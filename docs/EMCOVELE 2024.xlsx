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BERT\ROBERT\STOCK\NIKO\"/>
    </mc:Choice>
  </mc:AlternateContent>
  <xr:revisionPtr revIDLastSave="0" documentId="8_{60C0DC72-65C9-41C1-8329-DC9DD8BD063C}" xr6:coauthVersionLast="47" xr6:coauthVersionMax="47" xr10:uidLastSave="{00000000-0000-0000-0000-000000000000}"/>
  <bookViews>
    <workbookView xWindow="-120" yWindow="-120" windowWidth="29040" windowHeight="15720" xr2:uid="{9F048981-923C-431F-B4D0-34ADB0D9FE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121" i="1" l="1"/>
  <c r="AO1121" i="1"/>
  <c r="AP1121" i="1" s="1"/>
  <c r="AP1120" i="1"/>
  <c r="AO1120" i="1"/>
  <c r="AQ1120" i="1" s="1"/>
  <c r="AO1119" i="1"/>
  <c r="AQ1118" i="1"/>
  <c r="AO1118" i="1"/>
  <c r="AP1118" i="1" s="1"/>
  <c r="AQ1117" i="1"/>
  <c r="AP1117" i="1"/>
  <c r="AO1117" i="1"/>
  <c r="AP1116" i="1"/>
  <c r="AO1116" i="1"/>
  <c r="AQ1116" i="1" s="1"/>
  <c r="AO1115" i="1"/>
  <c r="AO1114" i="1"/>
  <c r="AQ1114" i="1" s="1"/>
  <c r="AQ1113" i="1"/>
  <c r="AO1113" i="1"/>
  <c r="AP1113" i="1" s="1"/>
  <c r="AP1112" i="1"/>
  <c r="AO1112" i="1"/>
  <c r="AQ1112" i="1" s="1"/>
  <c r="AO1111" i="1"/>
  <c r="AO1110" i="1"/>
  <c r="AQ1110" i="1" s="1"/>
  <c r="AQ1109" i="1"/>
  <c r="AO1109" i="1"/>
  <c r="AP1109" i="1" s="1"/>
  <c r="AP1108" i="1"/>
  <c r="AO1108" i="1"/>
  <c r="AQ1108" i="1" s="1"/>
  <c r="AO1107" i="1"/>
  <c r="AO1106" i="1"/>
  <c r="AQ1106" i="1" s="1"/>
  <c r="AQ1105" i="1"/>
  <c r="AO1105" i="1"/>
  <c r="AP1105" i="1" s="1"/>
  <c r="AP1104" i="1"/>
  <c r="AO1104" i="1"/>
  <c r="AQ1104" i="1" s="1"/>
  <c r="AO1103" i="1"/>
  <c r="AO1102" i="1"/>
  <c r="AQ1102" i="1" s="1"/>
  <c r="AQ1101" i="1"/>
  <c r="AO1101" i="1"/>
  <c r="AP1101" i="1" s="1"/>
  <c r="AP1100" i="1"/>
  <c r="AO1100" i="1"/>
  <c r="AQ1100" i="1" s="1"/>
  <c r="AO1099" i="1"/>
  <c r="AO1098" i="1"/>
  <c r="AQ1098" i="1" s="1"/>
  <c r="AQ1097" i="1"/>
  <c r="AO1097" i="1"/>
  <c r="AP1097" i="1" s="1"/>
  <c r="AP1096" i="1"/>
  <c r="AO1096" i="1"/>
  <c r="AQ1096" i="1" s="1"/>
  <c r="AO1095" i="1"/>
  <c r="AO1094" i="1"/>
  <c r="AQ1094" i="1" s="1"/>
  <c r="AQ1093" i="1"/>
  <c r="AO1093" i="1"/>
  <c r="AP1093" i="1" s="1"/>
  <c r="AP1092" i="1"/>
  <c r="AO1092" i="1"/>
  <c r="AQ1092" i="1" s="1"/>
  <c r="AO1091" i="1"/>
  <c r="AO1090" i="1"/>
  <c r="AQ1090" i="1" s="1"/>
  <c r="AQ1089" i="1"/>
  <c r="AO1089" i="1"/>
  <c r="AP1089" i="1" s="1"/>
  <c r="AP1088" i="1"/>
  <c r="AO1088" i="1"/>
  <c r="AQ1088" i="1" s="1"/>
  <c r="AO1087" i="1"/>
  <c r="AO1086" i="1"/>
  <c r="AQ1086" i="1" s="1"/>
  <c r="AQ1085" i="1"/>
  <c r="AO1085" i="1"/>
  <c r="AP1085" i="1" s="1"/>
  <c r="AP1084" i="1"/>
  <c r="AO1084" i="1"/>
  <c r="AQ1084" i="1" s="1"/>
  <c r="AO1083" i="1"/>
  <c r="AO1082" i="1"/>
  <c r="AQ1082" i="1" s="1"/>
  <c r="AQ1081" i="1"/>
  <c r="AO1081" i="1"/>
  <c r="AP1081" i="1" s="1"/>
  <c r="AP1080" i="1"/>
  <c r="AO1080" i="1"/>
  <c r="AQ1080" i="1" s="1"/>
  <c r="AO1079" i="1"/>
  <c r="AO1078" i="1"/>
  <c r="AQ1078" i="1" s="1"/>
  <c r="AQ1077" i="1"/>
  <c r="AO1077" i="1"/>
  <c r="AP1077" i="1" s="1"/>
  <c r="AP1076" i="1"/>
  <c r="AO1076" i="1"/>
  <c r="AQ1076" i="1" s="1"/>
  <c r="AO1075" i="1"/>
  <c r="AO1074" i="1"/>
  <c r="AQ1074" i="1" s="1"/>
  <c r="AQ1073" i="1"/>
  <c r="AO1073" i="1"/>
  <c r="AP1073" i="1" s="1"/>
  <c r="AP1072" i="1"/>
  <c r="AO1072" i="1"/>
  <c r="AQ1072" i="1" s="1"/>
  <c r="AO1071" i="1"/>
  <c r="AO1070" i="1"/>
  <c r="AQ1070" i="1" s="1"/>
  <c r="AQ1069" i="1"/>
  <c r="AO1069" i="1"/>
  <c r="AP1069" i="1" s="1"/>
  <c r="AP1068" i="1"/>
  <c r="AO1068" i="1"/>
  <c r="AQ1068" i="1" s="1"/>
  <c r="AO1067" i="1"/>
  <c r="AO1066" i="1"/>
  <c r="AQ1066" i="1" s="1"/>
  <c r="AQ1065" i="1"/>
  <c r="AO1065" i="1"/>
  <c r="AP1065" i="1" s="1"/>
  <c r="AP1064" i="1"/>
  <c r="AO1064" i="1"/>
  <c r="AQ1064" i="1" s="1"/>
  <c r="AO1063" i="1"/>
  <c r="AO1062" i="1"/>
  <c r="AQ1062" i="1" s="1"/>
  <c r="AQ1061" i="1"/>
  <c r="AO1061" i="1"/>
  <c r="AP1061" i="1" s="1"/>
  <c r="AP1060" i="1"/>
  <c r="AO1060" i="1"/>
  <c r="AQ1060" i="1" s="1"/>
  <c r="AO1059" i="1"/>
  <c r="AO1058" i="1"/>
  <c r="AQ1058" i="1" s="1"/>
  <c r="AQ1057" i="1"/>
  <c r="AO1057" i="1"/>
  <c r="AP1057" i="1" s="1"/>
  <c r="AP1056" i="1"/>
  <c r="AO1056" i="1"/>
  <c r="AQ1056" i="1" s="1"/>
  <c r="AO1055" i="1"/>
  <c r="AO1054" i="1"/>
  <c r="AQ1054" i="1" s="1"/>
  <c r="AQ1053" i="1"/>
  <c r="AO1053" i="1"/>
  <c r="AP1053" i="1" s="1"/>
  <c r="AP1052" i="1"/>
  <c r="AO1052" i="1"/>
  <c r="AQ1052" i="1" s="1"/>
  <c r="AO1051" i="1"/>
  <c r="AO1050" i="1"/>
  <c r="AQ1050" i="1" s="1"/>
  <c r="AQ1049" i="1"/>
  <c r="AO1049" i="1"/>
  <c r="AP1049" i="1" s="1"/>
  <c r="AP1048" i="1"/>
  <c r="AO1048" i="1"/>
  <c r="AQ1048" i="1" s="1"/>
  <c r="AO1047" i="1"/>
  <c r="AO1046" i="1"/>
  <c r="AQ1046" i="1" s="1"/>
  <c r="AQ1045" i="1"/>
  <c r="AO1045" i="1"/>
  <c r="AP1045" i="1" s="1"/>
  <c r="AP1044" i="1"/>
  <c r="AO1044" i="1"/>
  <c r="AQ1044" i="1" s="1"/>
  <c r="AO1043" i="1"/>
  <c r="AQ1042" i="1"/>
  <c r="AP1042" i="1"/>
  <c r="AO1042" i="1"/>
  <c r="AQ1041" i="1"/>
  <c r="AO1041" i="1"/>
  <c r="AP1041" i="1" s="1"/>
  <c r="AP1040" i="1"/>
  <c r="AO1040" i="1"/>
  <c r="AQ1040" i="1" s="1"/>
  <c r="AO1039" i="1"/>
  <c r="AO1038" i="1"/>
  <c r="AQ1038" i="1" s="1"/>
  <c r="AQ1037" i="1"/>
  <c r="AO1037" i="1"/>
  <c r="AP1037" i="1" s="1"/>
  <c r="AP1036" i="1"/>
  <c r="AO1036" i="1"/>
  <c r="AQ1036" i="1" s="1"/>
  <c r="AO1035" i="1"/>
  <c r="AO1034" i="1"/>
  <c r="AQ1034" i="1" s="1"/>
  <c r="AQ1033" i="1"/>
  <c r="AO1033" i="1"/>
  <c r="AP1033" i="1" s="1"/>
  <c r="AP1032" i="1"/>
  <c r="AO1032" i="1"/>
  <c r="AQ1032" i="1" s="1"/>
  <c r="AO1031" i="1"/>
  <c r="AO1030" i="1"/>
  <c r="AQ1030" i="1" s="1"/>
  <c r="AQ1029" i="1"/>
  <c r="AO1029" i="1"/>
  <c r="AP1029" i="1" s="1"/>
  <c r="AP1028" i="1"/>
  <c r="AO1028" i="1"/>
  <c r="AQ1028" i="1" s="1"/>
  <c r="AO1027" i="1"/>
  <c r="AO1026" i="1"/>
  <c r="AQ1026" i="1" s="1"/>
  <c r="AQ1025" i="1"/>
  <c r="AO1025" i="1"/>
  <c r="AP1025" i="1" s="1"/>
  <c r="AP1024" i="1"/>
  <c r="AO1024" i="1"/>
  <c r="AQ1024" i="1" s="1"/>
  <c r="AO1023" i="1"/>
  <c r="AQ1022" i="1"/>
  <c r="AP1022" i="1"/>
  <c r="AO1022" i="1"/>
  <c r="AQ1021" i="1"/>
  <c r="AO1021" i="1"/>
  <c r="AP1021" i="1" s="1"/>
  <c r="AP1020" i="1"/>
  <c r="AO1020" i="1"/>
  <c r="AQ1020" i="1" s="1"/>
  <c r="AO1019" i="1"/>
  <c r="AQ1018" i="1"/>
  <c r="AP1018" i="1"/>
  <c r="AO1018" i="1"/>
  <c r="AQ1017" i="1"/>
  <c r="AO1017" i="1"/>
  <c r="AP1017" i="1" s="1"/>
  <c r="AP1016" i="1"/>
  <c r="AO1016" i="1"/>
  <c r="AQ1016" i="1" s="1"/>
  <c r="AO1015" i="1"/>
  <c r="AO1014" i="1"/>
  <c r="AQ1014" i="1" s="1"/>
  <c r="AQ1013" i="1"/>
  <c r="AO1013" i="1"/>
  <c r="AP1013" i="1" s="1"/>
  <c r="AP1012" i="1"/>
  <c r="AO1012" i="1"/>
  <c r="AQ1012" i="1" s="1"/>
  <c r="AO1011" i="1"/>
  <c r="AO1010" i="1"/>
  <c r="AQ1010" i="1" s="1"/>
  <c r="AQ1009" i="1"/>
  <c r="AO1009" i="1"/>
  <c r="AP1009" i="1" s="1"/>
  <c r="AP1008" i="1"/>
  <c r="AO1008" i="1"/>
  <c r="AQ1008" i="1" s="1"/>
  <c r="AO1007" i="1"/>
  <c r="AO1006" i="1"/>
  <c r="AQ1006" i="1" s="1"/>
  <c r="AQ1005" i="1"/>
  <c r="AO1005" i="1"/>
  <c r="AP1005" i="1" s="1"/>
  <c r="AP1004" i="1"/>
  <c r="AO1004" i="1"/>
  <c r="AQ1004" i="1" s="1"/>
  <c r="AO1003" i="1"/>
  <c r="AO1002" i="1"/>
  <c r="AQ1002" i="1" s="1"/>
  <c r="AQ1001" i="1"/>
  <c r="AO1001" i="1"/>
  <c r="AP1001" i="1" s="1"/>
  <c r="AP1000" i="1"/>
  <c r="AO1000" i="1"/>
  <c r="AQ1000" i="1" s="1"/>
  <c r="AO999" i="1"/>
  <c r="AO998" i="1"/>
  <c r="AQ998" i="1" s="1"/>
  <c r="AQ997" i="1"/>
  <c r="AO997" i="1"/>
  <c r="AP997" i="1" s="1"/>
  <c r="AP996" i="1"/>
  <c r="AO996" i="1"/>
  <c r="AQ996" i="1" s="1"/>
  <c r="AO995" i="1"/>
  <c r="AO994" i="1"/>
  <c r="AQ994" i="1" s="1"/>
  <c r="AQ993" i="1"/>
  <c r="AO993" i="1"/>
  <c r="AP993" i="1" s="1"/>
  <c r="AP992" i="1"/>
  <c r="AO992" i="1"/>
  <c r="AQ992" i="1" s="1"/>
  <c r="AO991" i="1"/>
  <c r="AO990" i="1"/>
  <c r="AQ990" i="1" s="1"/>
  <c r="AQ989" i="1"/>
  <c r="AO989" i="1"/>
  <c r="AP989" i="1" s="1"/>
  <c r="AP988" i="1"/>
  <c r="AO988" i="1"/>
  <c r="AQ988" i="1" s="1"/>
  <c r="AO987" i="1"/>
  <c r="AO986" i="1"/>
  <c r="AQ986" i="1" s="1"/>
  <c r="AQ985" i="1"/>
  <c r="AO985" i="1"/>
  <c r="AP985" i="1" s="1"/>
  <c r="AP984" i="1"/>
  <c r="AO984" i="1"/>
  <c r="AQ984" i="1" s="1"/>
  <c r="AO983" i="1"/>
  <c r="AO982" i="1"/>
  <c r="AQ982" i="1" s="1"/>
  <c r="AQ981" i="1"/>
  <c r="AO981" i="1"/>
  <c r="AP981" i="1" s="1"/>
  <c r="AP980" i="1"/>
  <c r="AO980" i="1"/>
  <c r="AQ980" i="1" s="1"/>
  <c r="AO979" i="1"/>
  <c r="AO978" i="1"/>
  <c r="AQ978" i="1" s="1"/>
  <c r="AQ977" i="1"/>
  <c r="AO977" i="1"/>
  <c r="AP977" i="1" s="1"/>
  <c r="AP976" i="1"/>
  <c r="AO976" i="1"/>
  <c r="AQ976" i="1" s="1"/>
  <c r="AO975" i="1"/>
  <c r="AO974" i="1"/>
  <c r="AQ974" i="1" s="1"/>
  <c r="AQ973" i="1"/>
  <c r="AO973" i="1"/>
  <c r="AP973" i="1" s="1"/>
  <c r="AP972" i="1"/>
  <c r="AO972" i="1"/>
  <c r="AQ972" i="1" s="1"/>
  <c r="AO971" i="1"/>
  <c r="AO970" i="1"/>
  <c r="AQ970" i="1" s="1"/>
  <c r="AQ969" i="1"/>
  <c r="AO969" i="1"/>
  <c r="AP969" i="1" s="1"/>
  <c r="AP968" i="1"/>
  <c r="AO968" i="1"/>
  <c r="AQ968" i="1" s="1"/>
  <c r="AO967" i="1"/>
  <c r="AO966" i="1"/>
  <c r="AQ966" i="1" s="1"/>
  <c r="AQ965" i="1"/>
  <c r="AO965" i="1"/>
  <c r="AP965" i="1" s="1"/>
  <c r="AP964" i="1"/>
  <c r="AO964" i="1"/>
  <c r="AQ964" i="1" s="1"/>
  <c r="AO963" i="1"/>
  <c r="AO962" i="1"/>
  <c r="AQ962" i="1" s="1"/>
  <c r="AQ961" i="1"/>
  <c r="AO961" i="1"/>
  <c r="AP961" i="1" s="1"/>
  <c r="AP960" i="1"/>
  <c r="AO960" i="1"/>
  <c r="AQ960" i="1" s="1"/>
  <c r="AO959" i="1"/>
  <c r="AO958" i="1"/>
  <c r="AQ958" i="1" s="1"/>
  <c r="AQ957" i="1"/>
  <c r="AO957" i="1"/>
  <c r="AP957" i="1" s="1"/>
  <c r="AP956" i="1"/>
  <c r="AO956" i="1"/>
  <c r="AQ956" i="1" s="1"/>
  <c r="AO955" i="1"/>
  <c r="AO954" i="1"/>
  <c r="AQ954" i="1" s="1"/>
  <c r="AQ953" i="1"/>
  <c r="AO953" i="1"/>
  <c r="AP953" i="1" s="1"/>
  <c r="AP952" i="1"/>
  <c r="AO952" i="1"/>
  <c r="AQ952" i="1" s="1"/>
  <c r="AO951" i="1"/>
  <c r="AQ951" i="1" s="1"/>
  <c r="AO950" i="1"/>
  <c r="AQ949" i="1"/>
  <c r="AO949" i="1"/>
  <c r="AP949" i="1" s="1"/>
  <c r="AQ948" i="1"/>
  <c r="AP948" i="1"/>
  <c r="AO948" i="1"/>
  <c r="AO947" i="1"/>
  <c r="AQ947" i="1" s="1"/>
  <c r="AQ946" i="1"/>
  <c r="AP946" i="1"/>
  <c r="AO946" i="1"/>
  <c r="AO945" i="1"/>
  <c r="AP944" i="1"/>
  <c r="AO944" i="1"/>
  <c r="AQ944" i="1" s="1"/>
  <c r="AQ943" i="1"/>
  <c r="AO943" i="1"/>
  <c r="AP943" i="1" s="1"/>
  <c r="AQ942" i="1"/>
  <c r="AP942" i="1"/>
  <c r="AO942" i="1"/>
  <c r="AO941" i="1"/>
  <c r="AP940" i="1"/>
  <c r="AO940" i="1"/>
  <c r="AQ940" i="1" s="1"/>
  <c r="AQ939" i="1"/>
  <c r="AO939" i="1"/>
  <c r="AP939" i="1" s="1"/>
  <c r="AP938" i="1"/>
  <c r="AO938" i="1"/>
  <c r="AQ938" i="1" s="1"/>
  <c r="AO937" i="1"/>
  <c r="AP936" i="1"/>
  <c r="AO936" i="1"/>
  <c r="AQ936" i="1" s="1"/>
  <c r="AQ935" i="1"/>
  <c r="AO935" i="1"/>
  <c r="AP935" i="1" s="1"/>
  <c r="AP934" i="1"/>
  <c r="AO934" i="1"/>
  <c r="AQ934" i="1" s="1"/>
  <c r="AO933" i="1"/>
  <c r="AP932" i="1"/>
  <c r="AO932" i="1"/>
  <c r="AQ932" i="1" s="1"/>
  <c r="AQ931" i="1"/>
  <c r="AO931" i="1"/>
  <c r="AP931" i="1" s="1"/>
  <c r="AP930" i="1"/>
  <c r="AO930" i="1"/>
  <c r="AQ930" i="1" s="1"/>
  <c r="AO929" i="1"/>
  <c r="AP928" i="1"/>
  <c r="AO928" i="1"/>
  <c r="AQ928" i="1" s="1"/>
  <c r="AQ927" i="1"/>
  <c r="AO927" i="1"/>
  <c r="AP927" i="1" s="1"/>
  <c r="AP926" i="1"/>
  <c r="AO926" i="1"/>
  <c r="AQ926" i="1" s="1"/>
  <c r="AO925" i="1"/>
  <c r="AP924" i="1"/>
  <c r="AO924" i="1"/>
  <c r="AQ924" i="1" s="1"/>
  <c r="AQ923" i="1"/>
  <c r="AO923" i="1"/>
  <c r="AP923" i="1" s="1"/>
  <c r="AP922" i="1"/>
  <c r="AO922" i="1"/>
  <c r="AQ922" i="1" s="1"/>
  <c r="AO921" i="1"/>
  <c r="AP920" i="1"/>
  <c r="AO920" i="1"/>
  <c r="AQ920" i="1" s="1"/>
  <c r="AQ919" i="1"/>
  <c r="AO919" i="1"/>
  <c r="AP919" i="1" s="1"/>
  <c r="AP918" i="1"/>
  <c r="AO918" i="1"/>
  <c r="AQ918" i="1" s="1"/>
  <c r="AO917" i="1"/>
  <c r="AP916" i="1"/>
  <c r="AO916" i="1"/>
  <c r="AQ916" i="1" s="1"/>
  <c r="AQ915" i="1"/>
  <c r="AO915" i="1"/>
  <c r="AP915" i="1" s="1"/>
  <c r="AQ914" i="1"/>
  <c r="AP914" i="1"/>
  <c r="AO914" i="1"/>
  <c r="AO913" i="1"/>
  <c r="AP912" i="1"/>
  <c r="AO912" i="1"/>
  <c r="AQ912" i="1" s="1"/>
  <c r="AQ911" i="1"/>
  <c r="AO911" i="1"/>
  <c r="AP911" i="1" s="1"/>
  <c r="AP910" i="1"/>
  <c r="AO910" i="1"/>
  <c r="AQ910" i="1" s="1"/>
  <c r="AO909" i="1"/>
  <c r="AP908" i="1"/>
  <c r="AO908" i="1"/>
  <c r="AQ908" i="1" s="1"/>
  <c r="AQ907" i="1"/>
  <c r="AO907" i="1"/>
  <c r="AP907" i="1" s="1"/>
  <c r="AQ906" i="1"/>
  <c r="AP906" i="1"/>
  <c r="AO906" i="1"/>
  <c r="AO905" i="1"/>
  <c r="AP904" i="1"/>
  <c r="AO904" i="1"/>
  <c r="AQ904" i="1" s="1"/>
  <c r="AQ903" i="1"/>
  <c r="AO903" i="1"/>
  <c r="AP903" i="1" s="1"/>
  <c r="AQ902" i="1"/>
  <c r="AP902" i="1"/>
  <c r="AO902" i="1"/>
  <c r="AO901" i="1"/>
  <c r="AP900" i="1"/>
  <c r="AO900" i="1"/>
  <c r="AQ900" i="1" s="1"/>
  <c r="AQ899" i="1"/>
  <c r="AO899" i="1"/>
  <c r="AP899" i="1" s="1"/>
  <c r="AP898" i="1"/>
  <c r="AO898" i="1"/>
  <c r="AQ898" i="1" s="1"/>
  <c r="AO897" i="1"/>
  <c r="AP896" i="1"/>
  <c r="AO896" i="1"/>
  <c r="AQ896" i="1" s="1"/>
  <c r="AQ895" i="1"/>
  <c r="AO895" i="1"/>
  <c r="AP895" i="1" s="1"/>
  <c r="AP894" i="1"/>
  <c r="AO894" i="1"/>
  <c r="AQ894" i="1" s="1"/>
  <c r="AO893" i="1"/>
  <c r="AP892" i="1"/>
  <c r="AO892" i="1"/>
  <c r="AQ892" i="1" s="1"/>
  <c r="AQ891" i="1"/>
  <c r="AO891" i="1"/>
  <c r="AP891" i="1" s="1"/>
  <c r="AP890" i="1"/>
  <c r="AO890" i="1"/>
  <c r="AQ890" i="1" s="1"/>
  <c r="AO889" i="1"/>
  <c r="AP888" i="1"/>
  <c r="AO888" i="1"/>
  <c r="AQ888" i="1" s="1"/>
  <c r="AQ887" i="1"/>
  <c r="AO887" i="1"/>
  <c r="AP887" i="1" s="1"/>
  <c r="AP886" i="1"/>
  <c r="AO886" i="1"/>
  <c r="AQ886" i="1" s="1"/>
  <c r="AO885" i="1"/>
  <c r="AP884" i="1"/>
  <c r="AO884" i="1"/>
  <c r="AQ884" i="1" s="1"/>
  <c r="AQ883" i="1"/>
  <c r="AO883" i="1"/>
  <c r="AP883" i="1" s="1"/>
  <c r="AQ882" i="1"/>
  <c r="AP882" i="1"/>
  <c r="AO882" i="1"/>
  <c r="AO881" i="1"/>
  <c r="AP880" i="1"/>
  <c r="AO880" i="1"/>
  <c r="AQ880" i="1" s="1"/>
  <c r="AQ879" i="1"/>
  <c r="AO879" i="1"/>
  <c r="AP879" i="1" s="1"/>
  <c r="AP878" i="1"/>
  <c r="AO878" i="1"/>
  <c r="AQ878" i="1" s="1"/>
  <c r="AO877" i="1"/>
  <c r="AP876" i="1"/>
  <c r="AO876" i="1"/>
  <c r="AQ876" i="1" s="1"/>
  <c r="AQ875" i="1"/>
  <c r="AO875" i="1"/>
  <c r="AP875" i="1" s="1"/>
  <c r="AP874" i="1"/>
  <c r="AO874" i="1"/>
  <c r="AQ874" i="1" s="1"/>
  <c r="AO873" i="1"/>
  <c r="AP872" i="1"/>
  <c r="AO872" i="1"/>
  <c r="AQ872" i="1" s="1"/>
  <c r="AQ871" i="1"/>
  <c r="AO871" i="1"/>
  <c r="AP871" i="1" s="1"/>
  <c r="AP870" i="1"/>
  <c r="AO870" i="1"/>
  <c r="AQ870" i="1" s="1"/>
  <c r="AO869" i="1"/>
  <c r="AP868" i="1"/>
  <c r="AO868" i="1"/>
  <c r="AQ868" i="1" s="1"/>
  <c r="AQ867" i="1"/>
  <c r="AO867" i="1"/>
  <c r="AP867" i="1" s="1"/>
  <c r="AP866" i="1"/>
  <c r="AO866" i="1"/>
  <c r="AQ866" i="1" s="1"/>
  <c r="AO865" i="1"/>
  <c r="AP864" i="1"/>
  <c r="AO864" i="1"/>
  <c r="AQ864" i="1" s="1"/>
  <c r="AQ863" i="1"/>
  <c r="AO863" i="1"/>
  <c r="AP863" i="1" s="1"/>
  <c r="AP862" i="1"/>
  <c r="AO862" i="1"/>
  <c r="AQ862" i="1" s="1"/>
  <c r="AO861" i="1"/>
  <c r="AO860" i="1"/>
  <c r="AQ860" i="1" s="1"/>
  <c r="AQ859" i="1"/>
  <c r="AO859" i="1"/>
  <c r="AP859" i="1" s="1"/>
  <c r="AP858" i="1"/>
  <c r="AO858" i="1"/>
  <c r="AQ858" i="1" s="1"/>
  <c r="AO857" i="1"/>
  <c r="AO856" i="1"/>
  <c r="AQ856" i="1" s="1"/>
  <c r="AQ855" i="1"/>
  <c r="AP855" i="1"/>
  <c r="AO855" i="1"/>
  <c r="AP854" i="1"/>
  <c r="AO854" i="1"/>
  <c r="AQ854" i="1" s="1"/>
  <c r="AO853" i="1"/>
  <c r="AO852" i="1"/>
  <c r="AQ852" i="1" s="1"/>
  <c r="AQ851" i="1"/>
  <c r="AO851" i="1"/>
  <c r="AP851" i="1" s="1"/>
  <c r="AP850" i="1"/>
  <c r="AO850" i="1"/>
  <c r="AQ850" i="1" s="1"/>
  <c r="AO849" i="1"/>
  <c r="AO848" i="1"/>
  <c r="AQ848" i="1" s="1"/>
  <c r="AQ847" i="1"/>
  <c r="AO847" i="1"/>
  <c r="AP847" i="1" s="1"/>
  <c r="AP846" i="1"/>
  <c r="AO846" i="1"/>
  <c r="AQ846" i="1" s="1"/>
  <c r="AO845" i="1"/>
  <c r="AP844" i="1"/>
  <c r="AO844" i="1"/>
  <c r="AQ844" i="1" s="1"/>
  <c r="AQ843" i="1"/>
  <c r="AO843" i="1"/>
  <c r="AP843" i="1" s="1"/>
  <c r="AP842" i="1"/>
  <c r="AO842" i="1"/>
  <c r="AQ842" i="1" s="1"/>
  <c r="AO841" i="1"/>
  <c r="AQ840" i="1"/>
  <c r="AP840" i="1"/>
  <c r="AO840" i="1"/>
  <c r="AQ839" i="1"/>
  <c r="AO839" i="1"/>
  <c r="AP839" i="1" s="1"/>
  <c r="AP838" i="1"/>
  <c r="AO838" i="1"/>
  <c r="AQ838" i="1" s="1"/>
  <c r="AO837" i="1"/>
  <c r="AQ836" i="1"/>
  <c r="AP836" i="1"/>
  <c r="AO836" i="1"/>
  <c r="AQ835" i="1"/>
  <c r="AO835" i="1"/>
  <c r="AP835" i="1" s="1"/>
  <c r="AP834" i="1"/>
  <c r="AO834" i="1"/>
  <c r="AQ834" i="1" s="1"/>
  <c r="AO833" i="1"/>
  <c r="AQ832" i="1"/>
  <c r="AP832" i="1"/>
  <c r="AO832" i="1"/>
  <c r="AQ831" i="1"/>
  <c r="AO831" i="1"/>
  <c r="AP831" i="1" s="1"/>
  <c r="AP830" i="1"/>
  <c r="AO830" i="1"/>
  <c r="AQ830" i="1" s="1"/>
  <c r="AO829" i="1"/>
  <c r="AO828" i="1"/>
  <c r="AQ828" i="1" s="1"/>
  <c r="AQ827" i="1"/>
  <c r="AO827" i="1"/>
  <c r="AP827" i="1" s="1"/>
  <c r="AP826" i="1"/>
  <c r="AO826" i="1"/>
  <c r="AQ826" i="1" s="1"/>
  <c r="AO825" i="1"/>
  <c r="AO824" i="1"/>
  <c r="AQ824" i="1" s="1"/>
  <c r="AQ823" i="1"/>
  <c r="AO823" i="1"/>
  <c r="AP823" i="1" s="1"/>
  <c r="AP822" i="1"/>
  <c r="AO822" i="1"/>
  <c r="AQ822" i="1" s="1"/>
  <c r="AO821" i="1"/>
  <c r="AO820" i="1"/>
  <c r="AQ820" i="1" s="1"/>
  <c r="AQ819" i="1"/>
  <c r="AO819" i="1"/>
  <c r="AP819" i="1" s="1"/>
  <c r="AP818" i="1"/>
  <c r="AO818" i="1"/>
  <c r="AQ818" i="1" s="1"/>
  <c r="AO817" i="1"/>
  <c r="AO816" i="1"/>
  <c r="AQ816" i="1" s="1"/>
  <c r="AQ815" i="1"/>
  <c r="AO815" i="1"/>
  <c r="AP815" i="1" s="1"/>
  <c r="AP814" i="1"/>
  <c r="AO814" i="1"/>
  <c r="AQ814" i="1" s="1"/>
  <c r="AO813" i="1"/>
  <c r="AO812" i="1"/>
  <c r="AQ812" i="1" s="1"/>
  <c r="AQ811" i="1"/>
  <c r="AO811" i="1"/>
  <c r="AP811" i="1" s="1"/>
  <c r="AP810" i="1"/>
  <c r="AO810" i="1"/>
  <c r="AQ810" i="1" s="1"/>
  <c r="AO809" i="1"/>
  <c r="AO808" i="1"/>
  <c r="AQ808" i="1" s="1"/>
  <c r="AQ807" i="1"/>
  <c r="AO807" i="1"/>
  <c r="AP807" i="1" s="1"/>
  <c r="AP806" i="1"/>
  <c r="AO806" i="1"/>
  <c r="AQ806" i="1" s="1"/>
  <c r="AO805" i="1"/>
  <c r="AQ804" i="1"/>
  <c r="AO804" i="1"/>
  <c r="AP804" i="1" s="1"/>
  <c r="AQ803" i="1"/>
  <c r="AO803" i="1"/>
  <c r="AP803" i="1" s="1"/>
  <c r="AP802" i="1"/>
  <c r="AO802" i="1"/>
  <c r="AQ802" i="1" s="1"/>
  <c r="AO801" i="1"/>
  <c r="AQ800" i="1"/>
  <c r="AO800" i="1"/>
  <c r="AP800" i="1" s="1"/>
  <c r="AQ799" i="1"/>
  <c r="AO799" i="1"/>
  <c r="AP799" i="1" s="1"/>
  <c r="AP798" i="1"/>
  <c r="AO798" i="1"/>
  <c r="AQ798" i="1" s="1"/>
  <c r="AO797" i="1"/>
  <c r="AO796" i="1"/>
  <c r="AQ796" i="1" s="1"/>
  <c r="AQ795" i="1"/>
  <c r="AO795" i="1"/>
  <c r="AP795" i="1" s="1"/>
  <c r="AP794" i="1"/>
  <c r="AO794" i="1"/>
  <c r="AQ794" i="1" s="1"/>
  <c r="AO793" i="1"/>
  <c r="AO792" i="1"/>
  <c r="AQ792" i="1" s="1"/>
  <c r="AQ791" i="1"/>
  <c r="AO791" i="1"/>
  <c r="AP791" i="1" s="1"/>
  <c r="AP790" i="1"/>
  <c r="AO790" i="1"/>
  <c r="AQ790" i="1" s="1"/>
  <c r="AO789" i="1"/>
  <c r="AO788" i="1"/>
  <c r="AQ788" i="1" s="1"/>
  <c r="AQ787" i="1"/>
  <c r="AO787" i="1"/>
  <c r="AP787" i="1" s="1"/>
  <c r="AP786" i="1"/>
  <c r="AO786" i="1"/>
  <c r="AQ786" i="1" s="1"/>
  <c r="AO785" i="1"/>
  <c r="AO784" i="1"/>
  <c r="AQ784" i="1" s="1"/>
  <c r="AQ783" i="1"/>
  <c r="AP783" i="1"/>
  <c r="AO783" i="1"/>
  <c r="AO782" i="1"/>
  <c r="AQ782" i="1" s="1"/>
  <c r="AP781" i="1"/>
  <c r="AO781" i="1"/>
  <c r="AQ781" i="1" s="1"/>
  <c r="AO780" i="1"/>
  <c r="AQ779" i="1"/>
  <c r="AP779" i="1"/>
  <c r="AO779" i="1"/>
  <c r="AQ778" i="1"/>
  <c r="AO778" i="1"/>
  <c r="AP778" i="1" s="1"/>
  <c r="AP777" i="1"/>
  <c r="AO777" i="1"/>
  <c r="AQ777" i="1" s="1"/>
  <c r="AO776" i="1"/>
  <c r="AQ775" i="1"/>
  <c r="AP775" i="1"/>
  <c r="AO775" i="1"/>
  <c r="AQ774" i="1"/>
  <c r="AO774" i="1"/>
  <c r="AP774" i="1" s="1"/>
  <c r="AP773" i="1"/>
  <c r="AO773" i="1"/>
  <c r="AQ773" i="1" s="1"/>
  <c r="AO772" i="1"/>
  <c r="AQ771" i="1"/>
  <c r="AP771" i="1"/>
  <c r="AO771" i="1"/>
  <c r="AQ770" i="1"/>
  <c r="AO770" i="1"/>
  <c r="AP770" i="1" s="1"/>
  <c r="AP769" i="1"/>
  <c r="AO769" i="1"/>
  <c r="AQ769" i="1" s="1"/>
  <c r="AO768" i="1"/>
  <c r="AQ767" i="1"/>
  <c r="AP767" i="1"/>
  <c r="AO767" i="1"/>
  <c r="AQ766" i="1"/>
  <c r="AO766" i="1"/>
  <c r="AP766" i="1" s="1"/>
  <c r="AP765" i="1"/>
  <c r="AO765" i="1"/>
  <c r="AQ765" i="1" s="1"/>
  <c r="AO764" i="1"/>
  <c r="AQ763" i="1"/>
  <c r="AP763" i="1"/>
  <c r="AO763" i="1"/>
  <c r="AQ762" i="1"/>
  <c r="AO762" i="1"/>
  <c r="AP762" i="1" s="1"/>
  <c r="AP761" i="1"/>
  <c r="AO761" i="1"/>
  <c r="AQ761" i="1" s="1"/>
  <c r="AO760" i="1"/>
  <c r="AQ759" i="1"/>
  <c r="AP759" i="1"/>
  <c r="AO759" i="1"/>
  <c r="AQ758" i="1"/>
  <c r="AO758" i="1"/>
  <c r="AP758" i="1" s="1"/>
  <c r="AP757" i="1"/>
  <c r="AO757" i="1"/>
  <c r="AQ757" i="1" s="1"/>
  <c r="AO756" i="1"/>
  <c r="AQ755" i="1"/>
  <c r="AP755" i="1"/>
  <c r="AO755" i="1"/>
  <c r="AQ754" i="1"/>
  <c r="AO754" i="1"/>
  <c r="AP754" i="1" s="1"/>
  <c r="AP753" i="1"/>
  <c r="AO753" i="1"/>
  <c r="AQ753" i="1" s="1"/>
  <c r="AO752" i="1"/>
  <c r="AQ751" i="1"/>
  <c r="AP751" i="1"/>
  <c r="AO751" i="1"/>
  <c r="AQ750" i="1"/>
  <c r="AO750" i="1"/>
  <c r="AP750" i="1" s="1"/>
  <c r="AP749" i="1"/>
  <c r="AO749" i="1"/>
  <c r="AQ749" i="1" s="1"/>
  <c r="AO748" i="1"/>
  <c r="AQ747" i="1"/>
  <c r="AP747" i="1"/>
  <c r="AO747" i="1"/>
  <c r="AQ746" i="1"/>
  <c r="AO746" i="1"/>
  <c r="AP746" i="1" s="1"/>
  <c r="AP745" i="1"/>
  <c r="AO745" i="1"/>
  <c r="AQ745" i="1" s="1"/>
  <c r="AO744" i="1"/>
  <c r="AQ743" i="1"/>
  <c r="AP743" i="1"/>
  <c r="AO743" i="1"/>
  <c r="AQ742" i="1"/>
  <c r="AO742" i="1"/>
  <c r="AP742" i="1" s="1"/>
  <c r="AP741" i="1"/>
  <c r="AO741" i="1"/>
  <c r="AQ741" i="1" s="1"/>
  <c r="AO740" i="1"/>
  <c r="AQ739" i="1"/>
  <c r="AP739" i="1"/>
  <c r="AO739" i="1"/>
  <c r="AQ738" i="1"/>
  <c r="AO738" i="1"/>
  <c r="AP738" i="1" s="1"/>
  <c r="AP737" i="1"/>
  <c r="AO737" i="1"/>
  <c r="AQ737" i="1" s="1"/>
  <c r="AO736" i="1"/>
  <c r="AQ735" i="1"/>
  <c r="AP735" i="1"/>
  <c r="AO735" i="1"/>
  <c r="AQ734" i="1"/>
  <c r="AO734" i="1"/>
  <c r="AP734" i="1" s="1"/>
  <c r="AP733" i="1"/>
  <c r="AO733" i="1"/>
  <c r="AQ733" i="1" s="1"/>
  <c r="AO732" i="1"/>
  <c r="AQ731" i="1"/>
  <c r="AP731" i="1"/>
  <c r="AO731" i="1"/>
  <c r="AQ730" i="1"/>
  <c r="AO730" i="1"/>
  <c r="AP730" i="1" s="1"/>
  <c r="AP729" i="1"/>
  <c r="AO729" i="1"/>
  <c r="AQ729" i="1" s="1"/>
  <c r="AO728" i="1"/>
  <c r="AQ727" i="1"/>
  <c r="AP727" i="1"/>
  <c r="AO727" i="1"/>
  <c r="AQ726" i="1"/>
  <c r="AO726" i="1"/>
  <c r="AP726" i="1" s="1"/>
  <c r="AP725" i="1"/>
  <c r="AO725" i="1"/>
  <c r="AQ725" i="1" s="1"/>
  <c r="AO724" i="1"/>
  <c r="AQ723" i="1"/>
  <c r="AP723" i="1"/>
  <c r="AO723" i="1"/>
  <c r="AQ722" i="1"/>
  <c r="AO722" i="1"/>
  <c r="AP722" i="1" s="1"/>
  <c r="AP721" i="1"/>
  <c r="AO721" i="1"/>
  <c r="AQ721" i="1" s="1"/>
  <c r="AO720" i="1"/>
  <c r="AQ719" i="1"/>
  <c r="AP719" i="1"/>
  <c r="AO719" i="1"/>
  <c r="AQ718" i="1"/>
  <c r="AO718" i="1"/>
  <c r="AP718" i="1" s="1"/>
  <c r="AP717" i="1"/>
  <c r="AO717" i="1"/>
  <c r="AQ717" i="1" s="1"/>
  <c r="AO716" i="1"/>
  <c r="AQ715" i="1"/>
  <c r="AP715" i="1"/>
  <c r="AO715" i="1"/>
  <c r="AQ714" i="1"/>
  <c r="AO714" i="1"/>
  <c r="AP714" i="1" s="1"/>
  <c r="AP713" i="1"/>
  <c r="AO713" i="1"/>
  <c r="AQ713" i="1" s="1"/>
  <c r="AO712" i="1"/>
  <c r="AQ711" i="1"/>
  <c r="AP711" i="1"/>
  <c r="AO711" i="1"/>
  <c r="AQ710" i="1"/>
  <c r="AO710" i="1"/>
  <c r="AP710" i="1" s="1"/>
  <c r="AP709" i="1"/>
  <c r="AO709" i="1"/>
  <c r="AQ709" i="1" s="1"/>
  <c r="AO708" i="1"/>
  <c r="AQ707" i="1"/>
  <c r="AP707" i="1"/>
  <c r="AO707" i="1"/>
  <c r="AQ706" i="1"/>
  <c r="AO706" i="1"/>
  <c r="AP706" i="1" s="1"/>
  <c r="AP705" i="1"/>
  <c r="AO705" i="1"/>
  <c r="AQ705" i="1" s="1"/>
  <c r="AO704" i="1"/>
  <c r="AQ703" i="1"/>
  <c r="AP703" i="1"/>
  <c r="AO703" i="1"/>
  <c r="AQ702" i="1"/>
  <c r="AO702" i="1"/>
  <c r="AP702" i="1" s="1"/>
  <c r="AP701" i="1"/>
  <c r="AO701" i="1"/>
  <c r="AQ701" i="1" s="1"/>
  <c r="AO700" i="1"/>
  <c r="AQ699" i="1"/>
  <c r="AP699" i="1"/>
  <c r="AO699" i="1"/>
  <c r="AQ698" i="1"/>
  <c r="AO698" i="1"/>
  <c r="AP698" i="1" s="1"/>
  <c r="AP697" i="1"/>
  <c r="AO697" i="1"/>
  <c r="AQ697" i="1" s="1"/>
  <c r="AQ696" i="1"/>
  <c r="AO696" i="1"/>
  <c r="AP696" i="1" s="1"/>
  <c r="AQ695" i="1"/>
  <c r="AP695" i="1"/>
  <c r="AO695" i="1"/>
  <c r="AO694" i="1"/>
  <c r="AP694" i="1" s="1"/>
  <c r="AP693" i="1"/>
  <c r="AO693" i="1"/>
  <c r="AQ693" i="1" s="1"/>
  <c r="AO692" i="1"/>
  <c r="AP692" i="1" s="1"/>
  <c r="AQ691" i="1"/>
  <c r="AP691" i="1"/>
  <c r="AO691" i="1"/>
  <c r="AQ690" i="1"/>
  <c r="AO690" i="1"/>
  <c r="AP690" i="1" s="1"/>
  <c r="AP689" i="1"/>
  <c r="AO689" i="1"/>
  <c r="AQ689" i="1" s="1"/>
  <c r="AQ688" i="1"/>
  <c r="AO688" i="1"/>
  <c r="AP688" i="1" s="1"/>
  <c r="AQ687" i="1"/>
  <c r="AP687" i="1"/>
  <c r="AO687" i="1"/>
  <c r="AO686" i="1"/>
  <c r="AP685" i="1"/>
  <c r="AO685" i="1"/>
  <c r="AQ685" i="1" s="1"/>
  <c r="AO684" i="1"/>
  <c r="AQ683" i="1"/>
  <c r="AP683" i="1"/>
  <c r="AO683" i="1"/>
  <c r="AQ682" i="1"/>
  <c r="AO682" i="1"/>
  <c r="AP682" i="1" s="1"/>
  <c r="AP681" i="1"/>
  <c r="AO681" i="1"/>
  <c r="AQ681" i="1" s="1"/>
  <c r="AQ680" i="1"/>
  <c r="AO680" i="1"/>
  <c r="AP680" i="1" s="1"/>
  <c r="AQ679" i="1"/>
  <c r="AP679" i="1"/>
  <c r="AO679" i="1"/>
  <c r="AO678" i="1"/>
  <c r="AP678" i="1" s="1"/>
  <c r="AP677" i="1"/>
  <c r="AO677" i="1"/>
  <c r="AQ677" i="1" s="1"/>
  <c r="AO676" i="1"/>
  <c r="AP676" i="1" s="1"/>
  <c r="AQ675" i="1"/>
  <c r="AP675" i="1"/>
  <c r="AO675" i="1"/>
  <c r="AQ674" i="1"/>
  <c r="AO674" i="1"/>
  <c r="AP674" i="1" s="1"/>
  <c r="AP673" i="1"/>
  <c r="AO673" i="1"/>
  <c r="AQ673" i="1" s="1"/>
  <c r="AQ672" i="1"/>
  <c r="AO672" i="1"/>
  <c r="AP672" i="1" s="1"/>
  <c r="AQ671" i="1"/>
  <c r="AP671" i="1"/>
  <c r="AO671" i="1"/>
  <c r="AQ670" i="1"/>
  <c r="AP670" i="1"/>
  <c r="AO670" i="1"/>
  <c r="AP669" i="1"/>
  <c r="AO669" i="1"/>
  <c r="AQ669" i="1" s="1"/>
  <c r="AQ668" i="1"/>
  <c r="AO668" i="1"/>
  <c r="AP668" i="1" s="1"/>
  <c r="AQ667" i="1"/>
  <c r="AP667" i="1"/>
  <c r="AO667" i="1"/>
  <c r="AP666" i="1"/>
  <c r="AO666" i="1"/>
  <c r="AQ666" i="1" s="1"/>
  <c r="AP665" i="1"/>
  <c r="AO665" i="1"/>
  <c r="AQ665" i="1" s="1"/>
  <c r="AQ664" i="1"/>
  <c r="AO664" i="1"/>
  <c r="AP664" i="1" s="1"/>
  <c r="AQ663" i="1"/>
  <c r="AP663" i="1"/>
  <c r="AO663" i="1"/>
  <c r="AQ662" i="1"/>
  <c r="AP662" i="1"/>
  <c r="AO662" i="1"/>
  <c r="AP661" i="1"/>
  <c r="AO661" i="1"/>
  <c r="AQ661" i="1" s="1"/>
  <c r="AQ660" i="1"/>
  <c r="AO660" i="1"/>
  <c r="AP660" i="1" s="1"/>
  <c r="AQ659" i="1"/>
  <c r="AP659" i="1"/>
  <c r="AO659" i="1"/>
  <c r="AP658" i="1"/>
  <c r="AO658" i="1"/>
  <c r="AQ658" i="1" s="1"/>
  <c r="AP657" i="1"/>
  <c r="AO657" i="1"/>
  <c r="AQ657" i="1" s="1"/>
  <c r="AQ656" i="1"/>
  <c r="AO656" i="1"/>
  <c r="AP656" i="1" s="1"/>
  <c r="AQ655" i="1"/>
  <c r="AP655" i="1"/>
  <c r="AO655" i="1"/>
  <c r="AQ654" i="1"/>
  <c r="AP654" i="1"/>
  <c r="AO654" i="1"/>
  <c r="AP653" i="1"/>
  <c r="AO653" i="1"/>
  <c r="AQ653" i="1" s="1"/>
  <c r="AQ652" i="1"/>
  <c r="AO652" i="1"/>
  <c r="AP652" i="1" s="1"/>
  <c r="AQ651" i="1"/>
  <c r="AP651" i="1"/>
  <c r="AO651" i="1"/>
  <c r="AP650" i="1"/>
  <c r="AO650" i="1"/>
  <c r="AQ650" i="1" s="1"/>
  <c r="AP649" i="1"/>
  <c r="AO649" i="1"/>
  <c r="AQ649" i="1" s="1"/>
  <c r="AQ648" i="1"/>
  <c r="AO648" i="1"/>
  <c r="AP648" i="1" s="1"/>
  <c r="AQ647" i="1"/>
  <c r="AP647" i="1"/>
  <c r="AO647" i="1"/>
  <c r="AQ646" i="1"/>
  <c r="AP646" i="1"/>
  <c r="AO646" i="1"/>
  <c r="AP645" i="1"/>
  <c r="AO645" i="1"/>
  <c r="AQ645" i="1" s="1"/>
  <c r="AQ644" i="1"/>
  <c r="AO644" i="1"/>
  <c r="AP644" i="1" s="1"/>
  <c r="AQ643" i="1"/>
  <c r="AP643" i="1"/>
  <c r="AO643" i="1"/>
  <c r="AP642" i="1"/>
  <c r="AO642" i="1"/>
  <c r="AQ642" i="1" s="1"/>
  <c r="AP641" i="1"/>
  <c r="AO641" i="1"/>
  <c r="AQ641" i="1" s="1"/>
  <c r="AQ640" i="1"/>
  <c r="AO640" i="1"/>
  <c r="AP640" i="1" s="1"/>
  <c r="AQ639" i="1"/>
  <c r="AP639" i="1"/>
  <c r="AO639" i="1"/>
  <c r="AQ638" i="1"/>
  <c r="AP638" i="1"/>
  <c r="AO638" i="1"/>
  <c r="AP637" i="1"/>
  <c r="AO637" i="1"/>
  <c r="AQ637" i="1" s="1"/>
  <c r="AQ636" i="1"/>
  <c r="AO636" i="1"/>
  <c r="AP636" i="1" s="1"/>
  <c r="AQ635" i="1"/>
  <c r="AP635" i="1"/>
  <c r="AO635" i="1"/>
  <c r="AP634" i="1"/>
  <c r="AO634" i="1"/>
  <c r="AQ634" i="1" s="1"/>
  <c r="AP633" i="1"/>
  <c r="AO633" i="1"/>
  <c r="AQ633" i="1" s="1"/>
  <c r="AQ632" i="1"/>
  <c r="AO632" i="1"/>
  <c r="AP632" i="1" s="1"/>
  <c r="AQ631" i="1"/>
  <c r="AP631" i="1"/>
  <c r="AO631" i="1"/>
  <c r="AQ630" i="1"/>
  <c r="AP630" i="1"/>
  <c r="AO630" i="1"/>
  <c r="AP629" i="1"/>
  <c r="AO629" i="1"/>
  <c r="AQ629" i="1" s="1"/>
  <c r="AQ628" i="1"/>
  <c r="AO628" i="1"/>
  <c r="AP628" i="1" s="1"/>
  <c r="AQ627" i="1"/>
  <c r="AP627" i="1"/>
  <c r="AO627" i="1"/>
  <c r="AP626" i="1"/>
  <c r="AO626" i="1"/>
  <c r="AQ626" i="1" s="1"/>
  <c r="AP625" i="1"/>
  <c r="AO625" i="1"/>
  <c r="AQ625" i="1" s="1"/>
  <c r="AQ624" i="1"/>
  <c r="AO624" i="1"/>
  <c r="AP624" i="1" s="1"/>
  <c r="AQ623" i="1"/>
  <c r="AP623" i="1"/>
  <c r="AO623" i="1"/>
  <c r="AQ622" i="1"/>
  <c r="AP622" i="1"/>
  <c r="AO622" i="1"/>
  <c r="AP621" i="1"/>
  <c r="AO621" i="1"/>
  <c r="AQ621" i="1" s="1"/>
  <c r="AQ620" i="1"/>
  <c r="AO620" i="1"/>
  <c r="AP620" i="1" s="1"/>
  <c r="AQ619" i="1"/>
  <c r="AP619" i="1"/>
  <c r="AO619" i="1"/>
  <c r="AP618" i="1"/>
  <c r="AO618" i="1"/>
  <c r="AQ618" i="1" s="1"/>
  <c r="AP617" i="1"/>
  <c r="AO617" i="1"/>
  <c r="AQ617" i="1" s="1"/>
  <c r="AO616" i="1"/>
  <c r="AP615" i="1"/>
  <c r="AO615" i="1"/>
  <c r="AQ615" i="1" s="1"/>
  <c r="AQ614" i="1"/>
  <c r="AO614" i="1"/>
  <c r="AP614" i="1" s="1"/>
  <c r="AQ613" i="1"/>
  <c r="AP613" i="1"/>
  <c r="AO613" i="1"/>
  <c r="AO612" i="1"/>
  <c r="AP611" i="1"/>
  <c r="AO611" i="1"/>
  <c r="AQ611" i="1" s="1"/>
  <c r="AQ610" i="1"/>
  <c r="AO610" i="1"/>
  <c r="AP610" i="1" s="1"/>
  <c r="AQ609" i="1"/>
  <c r="AP609" i="1"/>
  <c r="AO609" i="1"/>
  <c r="AO608" i="1"/>
  <c r="AP607" i="1"/>
  <c r="AO607" i="1"/>
  <c r="AQ607" i="1" s="1"/>
  <c r="AQ606" i="1"/>
  <c r="AO606" i="1"/>
  <c r="AP606" i="1" s="1"/>
  <c r="AQ605" i="1"/>
  <c r="AP605" i="1"/>
  <c r="AO605" i="1"/>
  <c r="AO604" i="1"/>
  <c r="AP603" i="1"/>
  <c r="AO603" i="1"/>
  <c r="AQ603" i="1" s="1"/>
  <c r="AQ602" i="1"/>
  <c r="AO602" i="1"/>
  <c r="AP602" i="1" s="1"/>
  <c r="AQ601" i="1"/>
  <c r="AP601" i="1"/>
  <c r="AO601" i="1"/>
  <c r="AO600" i="1"/>
  <c r="AP599" i="1"/>
  <c r="AO599" i="1"/>
  <c r="AQ599" i="1" s="1"/>
  <c r="AQ598" i="1"/>
  <c r="AO598" i="1"/>
  <c r="AP598" i="1" s="1"/>
  <c r="AQ597" i="1"/>
  <c r="AP597" i="1"/>
  <c r="AO597" i="1"/>
  <c r="AO596" i="1"/>
  <c r="AP595" i="1"/>
  <c r="AO595" i="1"/>
  <c r="AQ595" i="1" s="1"/>
  <c r="AQ594" i="1"/>
  <c r="AO594" i="1"/>
  <c r="AP594" i="1" s="1"/>
  <c r="AQ593" i="1"/>
  <c r="AP593" i="1"/>
  <c r="AO593" i="1"/>
  <c r="AO592" i="1"/>
  <c r="AP591" i="1"/>
  <c r="AO591" i="1"/>
  <c r="AQ591" i="1" s="1"/>
  <c r="AQ590" i="1"/>
  <c r="AO590" i="1"/>
  <c r="AP590" i="1" s="1"/>
  <c r="AP589" i="1"/>
  <c r="AO589" i="1"/>
  <c r="AQ589" i="1" s="1"/>
  <c r="AO588" i="1"/>
  <c r="AP587" i="1"/>
  <c r="AO587" i="1"/>
  <c r="AQ587" i="1" s="1"/>
  <c r="AQ586" i="1"/>
  <c r="AO586" i="1"/>
  <c r="AP586" i="1" s="1"/>
  <c r="AP585" i="1"/>
  <c r="AO585" i="1"/>
  <c r="AQ585" i="1" s="1"/>
  <c r="AO584" i="1"/>
  <c r="AP583" i="1"/>
  <c r="AO583" i="1"/>
  <c r="AQ583" i="1" s="1"/>
  <c r="AQ582" i="1"/>
  <c r="AO582" i="1"/>
  <c r="AP582" i="1" s="1"/>
  <c r="AP581" i="1"/>
  <c r="AO581" i="1"/>
  <c r="AQ581" i="1" s="1"/>
  <c r="AO580" i="1"/>
  <c r="AP579" i="1"/>
  <c r="AO579" i="1"/>
  <c r="AQ579" i="1" s="1"/>
  <c r="AQ578" i="1"/>
  <c r="AO578" i="1"/>
  <c r="AP578" i="1" s="1"/>
  <c r="AQ577" i="1"/>
  <c r="AP577" i="1"/>
  <c r="AO577" i="1"/>
  <c r="AO576" i="1"/>
  <c r="AP575" i="1"/>
  <c r="AO575" i="1"/>
  <c r="AQ575" i="1" s="1"/>
  <c r="AQ574" i="1"/>
  <c r="AO574" i="1"/>
  <c r="AP574" i="1" s="1"/>
  <c r="AP573" i="1"/>
  <c r="AO573" i="1"/>
  <c r="AQ573" i="1" s="1"/>
  <c r="AO572" i="1"/>
  <c r="AP571" i="1"/>
  <c r="AO571" i="1"/>
  <c r="AQ571" i="1" s="1"/>
  <c r="AQ570" i="1"/>
  <c r="AO570" i="1"/>
  <c r="AP570" i="1" s="1"/>
  <c r="AP569" i="1"/>
  <c r="AO569" i="1"/>
  <c r="AQ569" i="1" s="1"/>
  <c r="AO568" i="1"/>
  <c r="AP567" i="1"/>
  <c r="AO567" i="1"/>
  <c r="AQ567" i="1" s="1"/>
  <c r="AQ566" i="1"/>
  <c r="AO566" i="1"/>
  <c r="AP566" i="1" s="1"/>
  <c r="AP565" i="1"/>
  <c r="AO565" i="1"/>
  <c r="AQ565" i="1" s="1"/>
  <c r="AO564" i="1"/>
  <c r="AP563" i="1"/>
  <c r="AO563" i="1"/>
  <c r="AQ563" i="1" s="1"/>
  <c r="AQ562" i="1"/>
  <c r="AO562" i="1"/>
  <c r="AP562" i="1" s="1"/>
  <c r="AP561" i="1"/>
  <c r="AO561" i="1"/>
  <c r="AQ561" i="1" s="1"/>
  <c r="AO560" i="1"/>
  <c r="AP559" i="1"/>
  <c r="AO559" i="1"/>
  <c r="AQ559" i="1" s="1"/>
  <c r="AQ558" i="1"/>
  <c r="AO558" i="1"/>
  <c r="AP558" i="1" s="1"/>
  <c r="AP557" i="1"/>
  <c r="AO557" i="1"/>
  <c r="AQ557" i="1" s="1"/>
  <c r="AO556" i="1"/>
  <c r="AP555" i="1"/>
  <c r="AO555" i="1"/>
  <c r="AQ555" i="1" s="1"/>
  <c r="AQ554" i="1"/>
  <c r="AO554" i="1"/>
  <c r="AP554" i="1" s="1"/>
  <c r="AP553" i="1"/>
  <c r="AO553" i="1"/>
  <c r="AQ553" i="1" s="1"/>
  <c r="AO552" i="1"/>
  <c r="AP551" i="1"/>
  <c r="AO551" i="1"/>
  <c r="AQ551" i="1" s="1"/>
  <c r="AQ550" i="1"/>
  <c r="AO550" i="1"/>
  <c r="AP550" i="1" s="1"/>
  <c r="AP549" i="1"/>
  <c r="AO549" i="1"/>
  <c r="AQ549" i="1" s="1"/>
  <c r="AO548" i="1"/>
  <c r="AP547" i="1"/>
  <c r="AO547" i="1"/>
  <c r="AQ547" i="1" s="1"/>
  <c r="AQ546" i="1"/>
  <c r="AO546" i="1"/>
  <c r="AP546" i="1" s="1"/>
  <c r="AP545" i="1"/>
  <c r="AO545" i="1"/>
  <c r="AQ545" i="1" s="1"/>
  <c r="AO544" i="1"/>
  <c r="AP543" i="1"/>
  <c r="AO543" i="1"/>
  <c r="AQ543" i="1" s="1"/>
  <c r="AQ542" i="1"/>
  <c r="AO542" i="1"/>
  <c r="AP542" i="1" s="1"/>
  <c r="AP541" i="1"/>
  <c r="AO541" i="1"/>
  <c r="AQ541" i="1" s="1"/>
  <c r="AO540" i="1"/>
  <c r="AP539" i="1"/>
  <c r="AO539" i="1"/>
  <c r="AQ539" i="1" s="1"/>
  <c r="AQ538" i="1"/>
  <c r="AO538" i="1"/>
  <c r="AP538" i="1" s="1"/>
  <c r="AP537" i="1"/>
  <c r="AO537" i="1"/>
  <c r="AQ537" i="1" s="1"/>
  <c r="AO536" i="1"/>
  <c r="AP535" i="1"/>
  <c r="AO535" i="1"/>
  <c r="AQ535" i="1" s="1"/>
  <c r="AQ534" i="1"/>
  <c r="AO534" i="1"/>
  <c r="AP534" i="1" s="1"/>
  <c r="AP533" i="1"/>
  <c r="AO533" i="1"/>
  <c r="AQ533" i="1" s="1"/>
  <c r="AO532" i="1"/>
  <c r="AP531" i="1"/>
  <c r="AO531" i="1"/>
  <c r="AQ531" i="1" s="1"/>
  <c r="AQ530" i="1"/>
  <c r="AO530" i="1"/>
  <c r="AP530" i="1" s="1"/>
  <c r="AP529" i="1"/>
  <c r="AO529" i="1"/>
  <c r="AQ529" i="1" s="1"/>
  <c r="AO528" i="1"/>
  <c r="AP527" i="1"/>
  <c r="AO527" i="1"/>
  <c r="AQ527" i="1" s="1"/>
  <c r="AQ526" i="1"/>
  <c r="AO526" i="1"/>
  <c r="AP526" i="1" s="1"/>
  <c r="AP525" i="1"/>
  <c r="AO525" i="1"/>
  <c r="AQ525" i="1" s="1"/>
  <c r="AO524" i="1"/>
  <c r="AO523" i="1"/>
  <c r="AQ523" i="1" s="1"/>
  <c r="AQ522" i="1"/>
  <c r="AO522" i="1"/>
  <c r="AP522" i="1" s="1"/>
  <c r="AP521" i="1"/>
  <c r="AO521" i="1"/>
  <c r="AQ521" i="1" s="1"/>
  <c r="AO520" i="1"/>
  <c r="AO519" i="1"/>
  <c r="AQ519" i="1" s="1"/>
  <c r="AQ518" i="1"/>
  <c r="AO518" i="1"/>
  <c r="AP518" i="1" s="1"/>
  <c r="AP517" i="1"/>
  <c r="AO517" i="1"/>
  <c r="AQ517" i="1" s="1"/>
  <c r="AO516" i="1"/>
  <c r="AO515" i="1"/>
  <c r="AQ515" i="1" s="1"/>
  <c r="AQ514" i="1"/>
  <c r="AO514" i="1"/>
  <c r="AP514" i="1" s="1"/>
  <c r="AQ513" i="1"/>
  <c r="AP513" i="1"/>
  <c r="AO513" i="1"/>
  <c r="AO512" i="1"/>
  <c r="AO511" i="1"/>
  <c r="AQ511" i="1" s="1"/>
  <c r="AQ510" i="1"/>
  <c r="AO510" i="1"/>
  <c r="AP510" i="1" s="1"/>
  <c r="AQ509" i="1"/>
  <c r="AP509" i="1"/>
  <c r="AO509" i="1"/>
  <c r="AO508" i="1"/>
  <c r="AO507" i="1"/>
  <c r="AQ507" i="1" s="1"/>
  <c r="AQ506" i="1"/>
  <c r="AO506" i="1"/>
  <c r="AP506" i="1" s="1"/>
  <c r="AP505" i="1"/>
  <c r="AO505" i="1"/>
  <c r="AQ505" i="1" s="1"/>
  <c r="AO504" i="1"/>
  <c r="AO503" i="1"/>
  <c r="AQ503" i="1" s="1"/>
  <c r="AQ502" i="1"/>
  <c r="AO502" i="1"/>
  <c r="AP502" i="1" s="1"/>
  <c r="AQ501" i="1"/>
  <c r="AP501" i="1"/>
  <c r="AO501" i="1"/>
  <c r="AO500" i="1"/>
  <c r="AO499" i="1"/>
  <c r="AQ499" i="1" s="1"/>
  <c r="AQ498" i="1"/>
  <c r="AO498" i="1"/>
  <c r="AP498" i="1" s="1"/>
  <c r="AP497" i="1"/>
  <c r="AO497" i="1"/>
  <c r="AQ497" i="1" s="1"/>
  <c r="AO496" i="1"/>
  <c r="AO495" i="1"/>
  <c r="AQ495" i="1" s="1"/>
  <c r="AQ494" i="1"/>
  <c r="AO494" i="1"/>
  <c r="AP494" i="1" s="1"/>
  <c r="AQ493" i="1"/>
  <c r="AP493" i="1"/>
  <c r="AO493" i="1"/>
  <c r="AO492" i="1"/>
  <c r="AO491" i="1"/>
  <c r="AQ491" i="1" s="1"/>
  <c r="AQ490" i="1"/>
  <c r="AO490" i="1"/>
  <c r="AP490" i="1" s="1"/>
  <c r="AP489" i="1"/>
  <c r="AO489" i="1"/>
  <c r="AQ489" i="1" s="1"/>
  <c r="AO488" i="1"/>
  <c r="AO487" i="1"/>
  <c r="AQ487" i="1" s="1"/>
  <c r="AQ486" i="1"/>
  <c r="AO486" i="1"/>
  <c r="AP486" i="1" s="1"/>
  <c r="AP485" i="1"/>
  <c r="AO485" i="1"/>
  <c r="AQ485" i="1" s="1"/>
  <c r="AO484" i="1"/>
  <c r="AO483" i="1"/>
  <c r="AQ483" i="1" s="1"/>
  <c r="AQ482" i="1"/>
  <c r="AO482" i="1"/>
  <c r="AP482" i="1" s="1"/>
  <c r="AP481" i="1"/>
  <c r="AO481" i="1"/>
  <c r="AQ481" i="1" s="1"/>
  <c r="AO480" i="1"/>
  <c r="AO479" i="1"/>
  <c r="AQ479" i="1" s="1"/>
  <c r="AQ478" i="1"/>
  <c r="AO478" i="1"/>
  <c r="AP478" i="1" s="1"/>
  <c r="AP477" i="1"/>
  <c r="AO477" i="1"/>
  <c r="AQ477" i="1" s="1"/>
  <c r="AO476" i="1"/>
  <c r="AO475" i="1"/>
  <c r="AQ475" i="1" s="1"/>
  <c r="AQ474" i="1"/>
  <c r="AO474" i="1"/>
  <c r="AP474" i="1" s="1"/>
  <c r="AP473" i="1"/>
  <c r="AO473" i="1"/>
  <c r="AQ473" i="1" s="1"/>
  <c r="AO472" i="1"/>
  <c r="AO471" i="1"/>
  <c r="AQ471" i="1" s="1"/>
  <c r="AQ470" i="1"/>
  <c r="AO470" i="1"/>
  <c r="AP470" i="1" s="1"/>
  <c r="AP469" i="1"/>
  <c r="AO469" i="1"/>
  <c r="AQ469" i="1" s="1"/>
  <c r="AO468" i="1"/>
  <c r="AO467" i="1"/>
  <c r="AQ467" i="1" s="1"/>
  <c r="AQ466" i="1"/>
  <c r="AO466" i="1"/>
  <c r="AP466" i="1" s="1"/>
  <c r="AP465" i="1"/>
  <c r="AO465" i="1"/>
  <c r="AQ465" i="1" s="1"/>
  <c r="AO464" i="1"/>
  <c r="AO463" i="1"/>
  <c r="AQ463" i="1" s="1"/>
  <c r="AQ462" i="1"/>
  <c r="AO462" i="1"/>
  <c r="AP462" i="1" s="1"/>
  <c r="AP461" i="1"/>
  <c r="AO461" i="1"/>
  <c r="AQ461" i="1" s="1"/>
  <c r="AO460" i="1"/>
  <c r="AO459" i="1"/>
  <c r="AQ459" i="1" s="1"/>
  <c r="AQ458" i="1"/>
  <c r="AO458" i="1"/>
  <c r="AP458" i="1" s="1"/>
  <c r="AP457" i="1"/>
  <c r="AO457" i="1"/>
  <c r="AQ457" i="1" s="1"/>
  <c r="AO456" i="1"/>
  <c r="AO455" i="1"/>
  <c r="AQ455" i="1" s="1"/>
  <c r="AQ454" i="1"/>
  <c r="AO454" i="1"/>
  <c r="AP454" i="1" s="1"/>
  <c r="AP453" i="1"/>
  <c r="AO453" i="1"/>
  <c r="AQ453" i="1" s="1"/>
  <c r="AO452" i="1"/>
  <c r="AO451" i="1"/>
  <c r="AQ451" i="1" s="1"/>
  <c r="AQ450" i="1"/>
  <c r="AO450" i="1"/>
  <c r="AP450" i="1" s="1"/>
  <c r="AP449" i="1"/>
  <c r="AO449" i="1"/>
  <c r="AQ449" i="1" s="1"/>
  <c r="AO448" i="1"/>
  <c r="AO447" i="1"/>
  <c r="AQ447" i="1" s="1"/>
  <c r="AQ446" i="1"/>
  <c r="AO446" i="1"/>
  <c r="AP446" i="1" s="1"/>
  <c r="AP445" i="1"/>
  <c r="AO445" i="1"/>
  <c r="AQ445" i="1" s="1"/>
  <c r="AO444" i="1"/>
  <c r="AO443" i="1"/>
  <c r="AQ443" i="1" s="1"/>
  <c r="AQ442" i="1"/>
  <c r="AO442" i="1"/>
  <c r="AP442" i="1" s="1"/>
  <c r="AP441" i="1"/>
  <c r="AO441" i="1"/>
  <c r="AQ441" i="1" s="1"/>
  <c r="AO440" i="1"/>
  <c r="AO439" i="1"/>
  <c r="AQ439" i="1" s="1"/>
  <c r="AQ438" i="1"/>
  <c r="AO438" i="1"/>
  <c r="AP438" i="1" s="1"/>
  <c r="AQ437" i="1"/>
  <c r="AP437" i="1"/>
  <c r="AO437" i="1"/>
  <c r="AO436" i="1"/>
  <c r="AO435" i="1"/>
  <c r="AQ435" i="1" s="1"/>
  <c r="AQ434" i="1"/>
  <c r="AO434" i="1"/>
  <c r="AP434" i="1" s="1"/>
  <c r="AP433" i="1"/>
  <c r="AO433" i="1"/>
  <c r="AQ433" i="1" s="1"/>
  <c r="AO432" i="1"/>
  <c r="AO431" i="1"/>
  <c r="AQ431" i="1" s="1"/>
  <c r="AQ430" i="1"/>
  <c r="AO430" i="1"/>
  <c r="AP430" i="1" s="1"/>
  <c r="AP429" i="1"/>
  <c r="AO429" i="1"/>
  <c r="AQ429" i="1" s="1"/>
  <c r="AO428" i="1"/>
  <c r="AO427" i="1"/>
  <c r="AQ427" i="1" s="1"/>
  <c r="AQ426" i="1"/>
  <c r="AO426" i="1"/>
  <c r="AP426" i="1" s="1"/>
  <c r="AP425" i="1"/>
  <c r="AO425" i="1"/>
  <c r="AQ425" i="1" s="1"/>
  <c r="AO424" i="1"/>
  <c r="AO423" i="1"/>
  <c r="AQ423" i="1" s="1"/>
  <c r="AQ422" i="1"/>
  <c r="AO422" i="1"/>
  <c r="AP422" i="1" s="1"/>
  <c r="AP421" i="1"/>
  <c r="AO421" i="1"/>
  <c r="AQ421" i="1" s="1"/>
  <c r="AO420" i="1"/>
  <c r="AO419" i="1"/>
  <c r="AQ419" i="1" s="1"/>
  <c r="AQ418" i="1"/>
  <c r="AO418" i="1"/>
  <c r="AP418" i="1" s="1"/>
  <c r="AQ417" i="1"/>
  <c r="AP417" i="1"/>
  <c r="AO417" i="1"/>
  <c r="AO416" i="1"/>
  <c r="AO415" i="1"/>
  <c r="AQ415" i="1" s="1"/>
  <c r="AQ414" i="1"/>
  <c r="AO414" i="1"/>
  <c r="AP414" i="1" s="1"/>
  <c r="AP413" i="1"/>
  <c r="AO413" i="1"/>
  <c r="AQ413" i="1" s="1"/>
  <c r="AO412" i="1"/>
  <c r="AP411" i="1"/>
  <c r="AO411" i="1"/>
  <c r="AQ411" i="1" s="1"/>
  <c r="AQ410" i="1"/>
  <c r="AO410" i="1"/>
  <c r="AP410" i="1" s="1"/>
  <c r="AP409" i="1"/>
  <c r="AO409" i="1"/>
  <c r="AQ409" i="1" s="1"/>
  <c r="AO408" i="1"/>
  <c r="AO407" i="1"/>
  <c r="AQ407" i="1" s="1"/>
  <c r="AQ406" i="1"/>
  <c r="AO406" i="1"/>
  <c r="AP406" i="1" s="1"/>
  <c r="AP405" i="1"/>
  <c r="AO405" i="1"/>
  <c r="AQ405" i="1" s="1"/>
  <c r="AO404" i="1"/>
  <c r="AO403" i="1"/>
  <c r="AQ403" i="1" s="1"/>
  <c r="AQ402" i="1"/>
  <c r="AO402" i="1"/>
  <c r="AP402" i="1" s="1"/>
  <c r="AP401" i="1"/>
  <c r="AO401" i="1"/>
  <c r="AQ401" i="1" s="1"/>
  <c r="AO400" i="1"/>
  <c r="AP399" i="1"/>
  <c r="AO399" i="1"/>
  <c r="AQ399" i="1" s="1"/>
  <c r="AQ398" i="1"/>
  <c r="AO398" i="1"/>
  <c r="AP398" i="1" s="1"/>
  <c r="AP397" i="1"/>
  <c r="AO397" i="1"/>
  <c r="AQ397" i="1" s="1"/>
  <c r="AO396" i="1"/>
  <c r="AQ395" i="1"/>
  <c r="AP395" i="1"/>
  <c r="AO395" i="1"/>
  <c r="AQ394" i="1"/>
  <c r="AP394" i="1"/>
  <c r="AO394" i="1"/>
  <c r="AP393" i="1"/>
  <c r="AO393" i="1"/>
  <c r="AQ393" i="1" s="1"/>
  <c r="AO392" i="1"/>
  <c r="AQ391" i="1"/>
  <c r="AP391" i="1"/>
  <c r="AO391" i="1"/>
  <c r="AQ390" i="1"/>
  <c r="AP390" i="1"/>
  <c r="AO390" i="1"/>
  <c r="AP389" i="1"/>
  <c r="AO389" i="1"/>
  <c r="AQ389" i="1" s="1"/>
  <c r="AO388" i="1"/>
  <c r="AQ387" i="1"/>
  <c r="AP387" i="1"/>
  <c r="AO387" i="1"/>
  <c r="AQ386" i="1"/>
  <c r="AP386" i="1"/>
  <c r="AO386" i="1"/>
  <c r="AP385" i="1"/>
  <c r="AO385" i="1"/>
  <c r="AQ385" i="1" s="1"/>
  <c r="AO384" i="1"/>
  <c r="AQ383" i="1"/>
  <c r="AP383" i="1"/>
  <c r="AO383" i="1"/>
  <c r="AQ382" i="1"/>
  <c r="AP382" i="1"/>
  <c r="AO382" i="1"/>
  <c r="AP381" i="1"/>
  <c r="AO381" i="1"/>
  <c r="AQ381" i="1" s="1"/>
  <c r="AO380" i="1"/>
  <c r="AQ379" i="1"/>
  <c r="AP379" i="1"/>
  <c r="AO379" i="1"/>
  <c r="AQ378" i="1"/>
  <c r="AP378" i="1"/>
  <c r="AO378" i="1"/>
  <c r="AP377" i="1"/>
  <c r="AO377" i="1"/>
  <c r="AQ377" i="1" s="1"/>
  <c r="AO376" i="1"/>
  <c r="AQ375" i="1"/>
  <c r="AP375" i="1"/>
  <c r="AO375" i="1"/>
  <c r="AQ374" i="1"/>
  <c r="AP374" i="1"/>
  <c r="AO374" i="1"/>
  <c r="AP373" i="1"/>
  <c r="AO373" i="1"/>
  <c r="AQ373" i="1" s="1"/>
  <c r="AO372" i="1"/>
  <c r="AQ371" i="1"/>
  <c r="AP371" i="1"/>
  <c r="AO371" i="1"/>
  <c r="AQ370" i="1"/>
  <c r="AO370" i="1"/>
  <c r="AP370" i="1" s="1"/>
  <c r="AP369" i="1"/>
  <c r="AO369" i="1"/>
  <c r="AQ369" i="1" s="1"/>
  <c r="AO368" i="1"/>
  <c r="AQ367" i="1"/>
  <c r="AP367" i="1"/>
  <c r="AO367" i="1"/>
  <c r="AQ366" i="1"/>
  <c r="AP366" i="1"/>
  <c r="AO366" i="1"/>
  <c r="AP365" i="1"/>
  <c r="AO365" i="1"/>
  <c r="AQ365" i="1" s="1"/>
  <c r="AO364" i="1"/>
  <c r="AQ363" i="1"/>
  <c r="AP363" i="1"/>
  <c r="AO363" i="1"/>
  <c r="AQ362" i="1"/>
  <c r="AP362" i="1"/>
  <c r="AO362" i="1"/>
  <c r="AP361" i="1"/>
  <c r="AO361" i="1"/>
  <c r="AQ361" i="1" s="1"/>
  <c r="AO360" i="1"/>
  <c r="AQ359" i="1"/>
  <c r="AP359" i="1"/>
  <c r="AO359" i="1"/>
  <c r="AQ358" i="1"/>
  <c r="AP358" i="1"/>
  <c r="AO358" i="1"/>
  <c r="AP357" i="1"/>
  <c r="AO357" i="1"/>
  <c r="AQ357" i="1" s="1"/>
  <c r="AO356" i="1"/>
  <c r="AQ355" i="1"/>
  <c r="AP355" i="1"/>
  <c r="AO355" i="1"/>
  <c r="AQ354" i="1"/>
  <c r="AO354" i="1"/>
  <c r="AP354" i="1" s="1"/>
  <c r="AP353" i="1"/>
  <c r="AO353" i="1"/>
  <c r="AQ353" i="1" s="1"/>
  <c r="AO352" i="1"/>
  <c r="AQ351" i="1"/>
  <c r="AP351" i="1"/>
  <c r="AO351" i="1"/>
  <c r="AQ350" i="1"/>
  <c r="AO350" i="1"/>
  <c r="AP350" i="1" s="1"/>
  <c r="AP349" i="1"/>
  <c r="AO349" i="1"/>
  <c r="AQ349" i="1" s="1"/>
  <c r="AO348" i="1"/>
  <c r="AQ347" i="1"/>
  <c r="AP347" i="1"/>
  <c r="AO347" i="1"/>
  <c r="AQ346" i="1"/>
  <c r="AO346" i="1"/>
  <c r="AP346" i="1" s="1"/>
  <c r="AP345" i="1"/>
  <c r="AO345" i="1"/>
  <c r="AQ345" i="1" s="1"/>
  <c r="AO344" i="1"/>
  <c r="AQ343" i="1"/>
  <c r="AP343" i="1"/>
  <c r="AO343" i="1"/>
  <c r="AQ342" i="1"/>
  <c r="AP342" i="1"/>
  <c r="AO342" i="1"/>
  <c r="AP341" i="1"/>
  <c r="AO341" i="1"/>
  <c r="AQ341" i="1" s="1"/>
  <c r="AO340" i="1"/>
  <c r="AQ339" i="1"/>
  <c r="AP339" i="1"/>
  <c r="AO339" i="1"/>
  <c r="AQ338" i="1"/>
  <c r="AO338" i="1"/>
  <c r="AP338" i="1" s="1"/>
  <c r="AP337" i="1"/>
  <c r="AO337" i="1"/>
  <c r="AQ337" i="1" s="1"/>
  <c r="AO336" i="1"/>
  <c r="AQ335" i="1"/>
  <c r="AP335" i="1"/>
  <c r="AO335" i="1"/>
  <c r="AQ334" i="1"/>
  <c r="AO334" i="1"/>
  <c r="AP334" i="1" s="1"/>
  <c r="AP333" i="1"/>
  <c r="AO333" i="1"/>
  <c r="AQ333" i="1" s="1"/>
  <c r="AO332" i="1"/>
  <c r="AQ331" i="1"/>
  <c r="AP331" i="1"/>
  <c r="AO331" i="1"/>
  <c r="AQ330" i="1"/>
  <c r="AO330" i="1"/>
  <c r="AP330" i="1" s="1"/>
  <c r="AP329" i="1"/>
  <c r="AO329" i="1"/>
  <c r="AQ329" i="1" s="1"/>
  <c r="AO328" i="1"/>
  <c r="AQ327" i="1"/>
  <c r="AP327" i="1"/>
  <c r="AO327" i="1"/>
  <c r="AQ326" i="1"/>
  <c r="AO326" i="1"/>
  <c r="AP326" i="1" s="1"/>
  <c r="AP325" i="1"/>
  <c r="AO325" i="1"/>
  <c r="AQ325" i="1" s="1"/>
  <c r="AO324" i="1"/>
  <c r="AQ323" i="1"/>
  <c r="AP323" i="1"/>
  <c r="AO323" i="1"/>
  <c r="AQ322" i="1"/>
  <c r="AO322" i="1"/>
  <c r="AP322" i="1" s="1"/>
  <c r="AP321" i="1"/>
  <c r="AO321" i="1"/>
  <c r="AQ321" i="1" s="1"/>
  <c r="AO320" i="1"/>
  <c r="AQ319" i="1"/>
  <c r="AP319" i="1"/>
  <c r="AO319" i="1"/>
  <c r="AQ318" i="1"/>
  <c r="AO318" i="1"/>
  <c r="AP318" i="1" s="1"/>
  <c r="AP317" i="1"/>
  <c r="AO317" i="1"/>
  <c r="AQ317" i="1" s="1"/>
  <c r="AO316" i="1"/>
  <c r="AQ315" i="1"/>
  <c r="AP315" i="1"/>
  <c r="AO315" i="1"/>
  <c r="AQ314" i="1"/>
  <c r="AO314" i="1"/>
  <c r="AP314" i="1" s="1"/>
  <c r="AP313" i="1"/>
  <c r="AO313" i="1"/>
  <c r="AQ313" i="1" s="1"/>
  <c r="AO312" i="1"/>
  <c r="AQ311" i="1"/>
  <c r="AP311" i="1"/>
  <c r="AO311" i="1"/>
  <c r="AQ310" i="1"/>
  <c r="AP310" i="1"/>
  <c r="AO310" i="1"/>
  <c r="AP309" i="1"/>
  <c r="AO309" i="1"/>
  <c r="AQ309" i="1" s="1"/>
  <c r="AO308" i="1"/>
  <c r="AQ307" i="1"/>
  <c r="AP307" i="1"/>
  <c r="AO307" i="1"/>
  <c r="AQ306" i="1"/>
  <c r="AO306" i="1"/>
  <c r="AP306" i="1" s="1"/>
  <c r="AP305" i="1"/>
  <c r="AO305" i="1"/>
  <c r="AQ305" i="1" s="1"/>
  <c r="AO304" i="1"/>
  <c r="AQ303" i="1"/>
  <c r="AP303" i="1"/>
  <c r="AO303" i="1"/>
  <c r="AQ302" i="1"/>
  <c r="AO302" i="1"/>
  <c r="AP302" i="1" s="1"/>
  <c r="AP301" i="1"/>
  <c r="AO301" i="1"/>
  <c r="AQ301" i="1" s="1"/>
  <c r="AO300" i="1"/>
  <c r="AQ299" i="1"/>
  <c r="AP299" i="1"/>
  <c r="AO299" i="1"/>
  <c r="AQ298" i="1"/>
  <c r="AO298" i="1"/>
  <c r="AP298" i="1" s="1"/>
  <c r="AP297" i="1"/>
  <c r="AO297" i="1"/>
  <c r="AQ297" i="1" s="1"/>
  <c r="AO296" i="1"/>
  <c r="AQ295" i="1"/>
  <c r="AP295" i="1"/>
  <c r="AO295" i="1"/>
  <c r="AQ294" i="1"/>
  <c r="AP294" i="1"/>
  <c r="AO294" i="1"/>
  <c r="AP293" i="1"/>
  <c r="AO293" i="1"/>
  <c r="AQ293" i="1" s="1"/>
  <c r="AO292" i="1"/>
  <c r="AQ291" i="1"/>
  <c r="AP291" i="1"/>
  <c r="AO291" i="1"/>
  <c r="AQ290" i="1"/>
  <c r="AP290" i="1"/>
  <c r="AO290" i="1"/>
  <c r="AP289" i="1"/>
  <c r="AO289" i="1"/>
  <c r="AQ289" i="1" s="1"/>
  <c r="AO288" i="1"/>
  <c r="AQ287" i="1"/>
  <c r="AP287" i="1"/>
  <c r="AO287" i="1"/>
  <c r="AQ286" i="1"/>
  <c r="AP286" i="1"/>
  <c r="AO286" i="1"/>
  <c r="AP285" i="1"/>
  <c r="AO285" i="1"/>
  <c r="AQ285" i="1" s="1"/>
  <c r="AO284" i="1"/>
  <c r="AQ283" i="1"/>
  <c r="AP283" i="1"/>
  <c r="AO283" i="1"/>
  <c r="AQ282" i="1"/>
  <c r="AO282" i="1"/>
  <c r="AP282" i="1" s="1"/>
  <c r="AP281" i="1"/>
  <c r="AO281" i="1"/>
  <c r="AQ281" i="1" s="1"/>
  <c r="AO280" i="1"/>
  <c r="AQ279" i="1"/>
  <c r="AP279" i="1"/>
  <c r="AO279" i="1"/>
  <c r="AQ278" i="1"/>
  <c r="AO278" i="1"/>
  <c r="AP278" i="1" s="1"/>
  <c r="AP277" i="1"/>
  <c r="AO277" i="1"/>
  <c r="AQ277" i="1" s="1"/>
  <c r="AO276" i="1"/>
  <c r="AQ275" i="1"/>
  <c r="AP275" i="1"/>
  <c r="AO275" i="1"/>
  <c r="AQ274" i="1"/>
  <c r="AO274" i="1"/>
  <c r="AP274" i="1" s="1"/>
  <c r="AP273" i="1"/>
  <c r="AO273" i="1"/>
  <c r="AQ273" i="1" s="1"/>
  <c r="AO272" i="1"/>
  <c r="AQ271" i="1"/>
  <c r="AP271" i="1"/>
  <c r="AO271" i="1"/>
  <c r="AQ270" i="1"/>
  <c r="AO270" i="1"/>
  <c r="AP270" i="1" s="1"/>
  <c r="AP269" i="1"/>
  <c r="AO269" i="1"/>
  <c r="AQ269" i="1" s="1"/>
  <c r="AO268" i="1"/>
  <c r="AQ267" i="1"/>
  <c r="AP267" i="1"/>
  <c r="AO267" i="1"/>
  <c r="AQ266" i="1"/>
  <c r="AP266" i="1"/>
  <c r="AO266" i="1"/>
  <c r="AP265" i="1"/>
  <c r="AO265" i="1"/>
  <c r="AQ265" i="1" s="1"/>
  <c r="AO264" i="1"/>
  <c r="AQ263" i="1"/>
  <c r="AP263" i="1"/>
  <c r="AO263" i="1"/>
  <c r="AQ262" i="1"/>
  <c r="AO262" i="1"/>
  <c r="AP262" i="1" s="1"/>
  <c r="AP261" i="1"/>
  <c r="AO261" i="1"/>
  <c r="AQ261" i="1" s="1"/>
  <c r="AO260" i="1"/>
  <c r="AQ259" i="1"/>
  <c r="AP259" i="1"/>
  <c r="AO259" i="1"/>
  <c r="AQ258" i="1"/>
  <c r="AO258" i="1"/>
  <c r="AP258" i="1" s="1"/>
  <c r="AP257" i="1"/>
  <c r="AO257" i="1"/>
  <c r="AQ257" i="1" s="1"/>
  <c r="AO256" i="1"/>
  <c r="AQ255" i="1"/>
  <c r="AP255" i="1"/>
  <c r="AO255" i="1"/>
  <c r="AQ254" i="1"/>
  <c r="AO254" i="1"/>
  <c r="AP254" i="1" s="1"/>
  <c r="AP253" i="1"/>
  <c r="AO253" i="1"/>
  <c r="AQ253" i="1" s="1"/>
  <c r="AO252" i="1"/>
  <c r="AQ251" i="1"/>
  <c r="AP251" i="1"/>
  <c r="AO251" i="1"/>
  <c r="AQ250" i="1"/>
  <c r="AO250" i="1"/>
  <c r="AP250" i="1" s="1"/>
  <c r="AP249" i="1"/>
  <c r="AO249" i="1"/>
  <c r="AQ249" i="1" s="1"/>
  <c r="AO248" i="1"/>
  <c r="AQ247" i="1"/>
  <c r="AP247" i="1"/>
  <c r="AO247" i="1"/>
  <c r="AQ246" i="1"/>
  <c r="AO246" i="1"/>
  <c r="AP246" i="1" s="1"/>
  <c r="AP245" i="1"/>
  <c r="AO245" i="1"/>
  <c r="AQ245" i="1" s="1"/>
  <c r="AO244" i="1"/>
  <c r="AQ243" i="1"/>
  <c r="AP243" i="1"/>
  <c r="AO243" i="1"/>
  <c r="AQ242" i="1"/>
  <c r="AO242" i="1"/>
  <c r="AP242" i="1" s="1"/>
  <c r="AP241" i="1"/>
  <c r="AO241" i="1"/>
  <c r="AQ241" i="1" s="1"/>
  <c r="AO240" i="1"/>
  <c r="AQ239" i="1"/>
  <c r="AP239" i="1"/>
  <c r="AO239" i="1"/>
  <c r="AQ238" i="1"/>
  <c r="AP238" i="1"/>
  <c r="AO238" i="1"/>
  <c r="AP237" i="1"/>
  <c r="AO237" i="1"/>
  <c r="AQ237" i="1" s="1"/>
  <c r="AO236" i="1"/>
  <c r="AQ235" i="1"/>
  <c r="AP235" i="1"/>
  <c r="AO235" i="1"/>
  <c r="AQ234" i="1"/>
  <c r="AP234" i="1"/>
  <c r="AO234" i="1"/>
  <c r="AP233" i="1"/>
  <c r="AO233" i="1"/>
  <c r="AQ233" i="1" s="1"/>
  <c r="AO232" i="1"/>
  <c r="AQ231" i="1"/>
  <c r="AP231" i="1"/>
  <c r="AO231" i="1"/>
  <c r="AQ230" i="1"/>
  <c r="AP230" i="1"/>
  <c r="AO230" i="1"/>
  <c r="AP229" i="1"/>
  <c r="AO229" i="1"/>
  <c r="AQ229" i="1" s="1"/>
  <c r="AO228" i="1"/>
  <c r="AQ227" i="1"/>
  <c r="AP227" i="1"/>
  <c r="AO227" i="1"/>
  <c r="AQ226" i="1"/>
  <c r="AP226" i="1"/>
  <c r="AO226" i="1"/>
  <c r="AP225" i="1"/>
  <c r="AO225" i="1"/>
  <c r="AQ225" i="1" s="1"/>
  <c r="AO224" i="1"/>
  <c r="AQ223" i="1"/>
  <c r="AP223" i="1"/>
  <c r="AO223" i="1"/>
  <c r="AQ222" i="1"/>
  <c r="AP222" i="1"/>
  <c r="AO222" i="1"/>
  <c r="AP221" i="1"/>
  <c r="AO221" i="1"/>
  <c r="AQ221" i="1" s="1"/>
  <c r="AO220" i="1"/>
  <c r="AQ219" i="1"/>
  <c r="AP219" i="1"/>
  <c r="AO219" i="1"/>
  <c r="AQ218" i="1"/>
  <c r="AO218" i="1"/>
  <c r="AP218" i="1" s="1"/>
  <c r="AP217" i="1"/>
  <c r="AO217" i="1"/>
  <c r="AQ217" i="1" s="1"/>
  <c r="AO216" i="1"/>
  <c r="AQ215" i="1"/>
  <c r="AP215" i="1"/>
  <c r="AO215" i="1"/>
  <c r="AQ214" i="1"/>
  <c r="AO214" i="1"/>
  <c r="AP214" i="1" s="1"/>
  <c r="AP213" i="1"/>
  <c r="AO213" i="1"/>
  <c r="AQ213" i="1" s="1"/>
  <c r="AO212" i="1"/>
  <c r="AQ211" i="1"/>
  <c r="AP211" i="1"/>
  <c r="AO211" i="1"/>
  <c r="AQ210" i="1"/>
  <c r="AO210" i="1"/>
  <c r="AP210" i="1" s="1"/>
  <c r="AP209" i="1"/>
  <c r="AO209" i="1"/>
  <c r="AQ209" i="1" s="1"/>
  <c r="AO208" i="1"/>
  <c r="AQ207" i="1"/>
  <c r="AP207" i="1"/>
  <c r="AO207" i="1"/>
  <c r="AQ206" i="1"/>
  <c r="AP206" i="1"/>
  <c r="AO206" i="1"/>
  <c r="AP205" i="1"/>
  <c r="AO205" i="1"/>
  <c r="AQ205" i="1" s="1"/>
  <c r="AO204" i="1"/>
  <c r="AQ203" i="1"/>
  <c r="AP203" i="1"/>
  <c r="AO203" i="1"/>
  <c r="AQ202" i="1"/>
  <c r="AP202" i="1"/>
  <c r="AO202" i="1"/>
  <c r="AP201" i="1"/>
  <c r="AO201" i="1"/>
  <c r="AQ201" i="1" s="1"/>
  <c r="AO200" i="1"/>
  <c r="AQ199" i="1"/>
  <c r="AP199" i="1"/>
  <c r="AO199" i="1"/>
  <c r="AQ198" i="1"/>
  <c r="AO198" i="1"/>
  <c r="AP198" i="1" s="1"/>
  <c r="AP197" i="1"/>
  <c r="AO197" i="1"/>
  <c r="AQ197" i="1" s="1"/>
  <c r="AO196" i="1"/>
  <c r="AQ195" i="1"/>
  <c r="AP195" i="1"/>
  <c r="AO195" i="1"/>
  <c r="AQ194" i="1"/>
  <c r="AO194" i="1"/>
  <c r="AP194" i="1" s="1"/>
  <c r="AP193" i="1"/>
  <c r="AO193" i="1"/>
  <c r="AQ193" i="1" s="1"/>
  <c r="AO192" i="1"/>
  <c r="AQ191" i="1"/>
  <c r="AP191" i="1"/>
  <c r="AO191" i="1"/>
  <c r="AQ190" i="1"/>
  <c r="AO190" i="1"/>
  <c r="AP190" i="1" s="1"/>
  <c r="AP189" i="1"/>
  <c r="AO189" i="1"/>
  <c r="AQ189" i="1" s="1"/>
  <c r="AO188" i="1"/>
  <c r="AQ187" i="1"/>
  <c r="AP187" i="1"/>
  <c r="AO187" i="1"/>
  <c r="AQ186" i="1"/>
  <c r="AO186" i="1"/>
  <c r="AP186" i="1" s="1"/>
  <c r="AP185" i="1"/>
  <c r="AO185" i="1"/>
  <c r="AQ185" i="1" s="1"/>
  <c r="AO184" i="1"/>
  <c r="AQ183" i="1"/>
  <c r="AP183" i="1"/>
  <c r="AO183" i="1"/>
  <c r="AQ182" i="1"/>
  <c r="AO182" i="1"/>
  <c r="AP182" i="1" s="1"/>
  <c r="AP181" i="1"/>
  <c r="AO181" i="1"/>
  <c r="AQ181" i="1" s="1"/>
  <c r="AO180" i="1"/>
  <c r="AQ179" i="1"/>
  <c r="AP179" i="1"/>
  <c r="AO179" i="1"/>
  <c r="AQ178" i="1"/>
  <c r="AO178" i="1"/>
  <c r="AP178" i="1" s="1"/>
  <c r="AP177" i="1"/>
  <c r="AO177" i="1"/>
  <c r="AQ177" i="1" s="1"/>
  <c r="AO176" i="1"/>
  <c r="AQ175" i="1"/>
  <c r="AP175" i="1"/>
  <c r="AO175" i="1"/>
  <c r="AQ174" i="1"/>
  <c r="AO174" i="1"/>
  <c r="AP174" i="1" s="1"/>
  <c r="AP173" i="1"/>
  <c r="AO173" i="1"/>
  <c r="AQ173" i="1" s="1"/>
  <c r="AO172" i="1"/>
  <c r="AQ171" i="1"/>
  <c r="AP171" i="1"/>
  <c r="AO171" i="1"/>
  <c r="AQ170" i="1"/>
  <c r="AO170" i="1"/>
  <c r="AP170" i="1" s="1"/>
  <c r="AP169" i="1"/>
  <c r="AO169" i="1"/>
  <c r="AQ169" i="1" s="1"/>
  <c r="AO168" i="1"/>
  <c r="AQ167" i="1"/>
  <c r="AP167" i="1"/>
  <c r="AO167" i="1"/>
  <c r="AQ166" i="1"/>
  <c r="AO166" i="1"/>
  <c r="AP166" i="1" s="1"/>
  <c r="AP165" i="1"/>
  <c r="AO165" i="1"/>
  <c r="AQ165" i="1" s="1"/>
  <c r="AO164" i="1"/>
  <c r="AQ163" i="1"/>
  <c r="AP163" i="1"/>
  <c r="AO163" i="1"/>
  <c r="AQ162" i="1"/>
  <c r="AO162" i="1"/>
  <c r="AP162" i="1" s="1"/>
  <c r="AP161" i="1"/>
  <c r="AO161" i="1"/>
  <c r="AQ161" i="1" s="1"/>
  <c r="AO160" i="1"/>
  <c r="AQ159" i="1"/>
  <c r="AP159" i="1"/>
  <c r="AO159" i="1"/>
  <c r="AQ158" i="1"/>
  <c r="AO158" i="1"/>
  <c r="AP158" i="1" s="1"/>
  <c r="AP157" i="1"/>
  <c r="AO157" i="1"/>
  <c r="AQ157" i="1" s="1"/>
  <c r="AO156" i="1"/>
  <c r="AQ155" i="1"/>
  <c r="AP155" i="1"/>
  <c r="AO155" i="1"/>
  <c r="AQ154" i="1"/>
  <c r="AO154" i="1"/>
  <c r="AP154" i="1" s="1"/>
  <c r="AP153" i="1"/>
  <c r="AO153" i="1"/>
  <c r="AQ153" i="1" s="1"/>
  <c r="AO152" i="1"/>
  <c r="AQ151" i="1"/>
  <c r="AP151" i="1"/>
  <c r="AO151" i="1"/>
  <c r="AQ150" i="1"/>
  <c r="AP150" i="1"/>
  <c r="AO150" i="1"/>
  <c r="AP149" i="1"/>
  <c r="AO149" i="1"/>
  <c r="AQ149" i="1" s="1"/>
  <c r="AO148" i="1"/>
  <c r="AQ147" i="1"/>
  <c r="AP147" i="1"/>
  <c r="AO147" i="1"/>
  <c r="AQ146" i="1"/>
  <c r="AP146" i="1"/>
  <c r="AO146" i="1"/>
  <c r="AP145" i="1"/>
  <c r="AO145" i="1"/>
  <c r="AQ145" i="1" s="1"/>
  <c r="AO144" i="1"/>
  <c r="AQ143" i="1"/>
  <c r="AP143" i="1"/>
  <c r="AO143" i="1"/>
  <c r="AQ142" i="1"/>
  <c r="AP142" i="1"/>
  <c r="AO142" i="1"/>
  <c r="AP141" i="1"/>
  <c r="AO141" i="1"/>
  <c r="AQ141" i="1" s="1"/>
  <c r="AO140" i="1"/>
  <c r="AQ139" i="1"/>
  <c r="AP139" i="1"/>
  <c r="AO139" i="1"/>
  <c r="AQ138" i="1"/>
  <c r="AP138" i="1"/>
  <c r="AO138" i="1"/>
  <c r="AP137" i="1"/>
  <c r="AO137" i="1"/>
  <c r="AQ137" i="1" s="1"/>
  <c r="AO136" i="1"/>
  <c r="AQ135" i="1"/>
  <c r="AP135" i="1"/>
  <c r="AO135" i="1"/>
  <c r="AQ134" i="1"/>
  <c r="AP134" i="1"/>
  <c r="AO134" i="1"/>
  <c r="AP133" i="1"/>
  <c r="AO133" i="1"/>
  <c r="AQ133" i="1" s="1"/>
  <c r="AO132" i="1"/>
  <c r="AQ131" i="1"/>
  <c r="AP131" i="1"/>
  <c r="AO131" i="1"/>
  <c r="AQ130" i="1"/>
  <c r="AP130" i="1"/>
  <c r="AO130" i="1"/>
  <c r="AP129" i="1"/>
  <c r="AO129" i="1"/>
  <c r="AQ129" i="1" s="1"/>
  <c r="AO128" i="1"/>
  <c r="AQ127" i="1"/>
  <c r="AP127" i="1"/>
  <c r="AO127" i="1"/>
  <c r="AQ126" i="1"/>
  <c r="AO126" i="1"/>
  <c r="AP126" i="1" s="1"/>
  <c r="AP125" i="1"/>
  <c r="AO125" i="1"/>
  <c r="AQ125" i="1" s="1"/>
  <c r="AO124" i="1"/>
  <c r="AQ123" i="1"/>
  <c r="AP123" i="1"/>
  <c r="AO123" i="1"/>
  <c r="AQ122" i="1"/>
  <c r="AO122" i="1"/>
  <c r="AP122" i="1" s="1"/>
  <c r="AP121" i="1"/>
  <c r="AO121" i="1"/>
  <c r="AQ121" i="1" s="1"/>
  <c r="AO120" i="1"/>
  <c r="AQ119" i="1"/>
  <c r="AP119" i="1"/>
  <c r="AO119" i="1"/>
  <c r="AQ118" i="1"/>
  <c r="AO118" i="1"/>
  <c r="AP118" i="1" s="1"/>
  <c r="AO117" i="1"/>
  <c r="AQ117" i="1" s="1"/>
  <c r="AO116" i="1"/>
  <c r="AP116" i="1" s="1"/>
  <c r="AQ115" i="1"/>
  <c r="AP115" i="1"/>
  <c r="AO115" i="1"/>
  <c r="AO114" i="1"/>
  <c r="AQ114" i="1" s="1"/>
  <c r="AO113" i="1"/>
  <c r="AQ113" i="1" s="1"/>
  <c r="AO112" i="1"/>
  <c r="AP112" i="1" s="1"/>
  <c r="AQ111" i="1"/>
  <c r="AP111" i="1"/>
  <c r="AO111" i="1"/>
  <c r="AQ110" i="1"/>
  <c r="AO110" i="1"/>
  <c r="AP110" i="1" s="1"/>
  <c r="AO109" i="1"/>
  <c r="AQ109" i="1" s="1"/>
  <c r="AO108" i="1"/>
  <c r="AP108" i="1" s="1"/>
  <c r="AQ107" i="1"/>
  <c r="AP107" i="1"/>
  <c r="AO107" i="1"/>
  <c r="AO106" i="1"/>
  <c r="AQ106" i="1" s="1"/>
  <c r="AO105" i="1"/>
  <c r="AQ105" i="1" s="1"/>
  <c r="AO104" i="1"/>
  <c r="AP104" i="1" s="1"/>
  <c r="AQ103" i="1"/>
  <c r="AP103" i="1"/>
  <c r="AO103" i="1"/>
  <c r="AQ102" i="1"/>
  <c r="AO102" i="1"/>
  <c r="AP102" i="1" s="1"/>
  <c r="AO101" i="1"/>
  <c r="AQ101" i="1" s="1"/>
  <c r="AO100" i="1"/>
  <c r="AP100" i="1" s="1"/>
  <c r="AQ99" i="1"/>
  <c r="AP99" i="1"/>
  <c r="AO99" i="1"/>
  <c r="AO98" i="1"/>
  <c r="AQ98" i="1" s="1"/>
  <c r="AO97" i="1"/>
  <c r="AQ97" i="1" s="1"/>
  <c r="AO96" i="1"/>
  <c r="AP96" i="1" s="1"/>
  <c r="AQ95" i="1"/>
  <c r="AP95" i="1"/>
  <c r="AO95" i="1"/>
  <c r="AQ94" i="1"/>
  <c r="AO94" i="1"/>
  <c r="AP94" i="1" s="1"/>
  <c r="AO93" i="1"/>
  <c r="AQ93" i="1" s="1"/>
  <c r="AO92" i="1"/>
  <c r="AP92" i="1" s="1"/>
  <c r="AQ91" i="1"/>
  <c r="AP91" i="1"/>
  <c r="AO91" i="1"/>
  <c r="AO90" i="1"/>
  <c r="AQ90" i="1" s="1"/>
  <c r="AO89" i="1"/>
  <c r="AQ89" i="1" s="1"/>
  <c r="AO88" i="1"/>
  <c r="AP88" i="1" s="1"/>
  <c r="AQ87" i="1"/>
  <c r="AP87" i="1"/>
  <c r="AO87" i="1"/>
  <c r="AQ86" i="1"/>
  <c r="AO86" i="1"/>
  <c r="AP86" i="1" s="1"/>
  <c r="AO85" i="1"/>
  <c r="AQ85" i="1" s="1"/>
  <c r="AO84" i="1"/>
  <c r="AP84" i="1" s="1"/>
  <c r="AQ83" i="1"/>
  <c r="AP83" i="1"/>
  <c r="AO83" i="1"/>
  <c r="AO82" i="1"/>
  <c r="AQ82" i="1" s="1"/>
  <c r="AO81" i="1"/>
  <c r="AQ81" i="1" s="1"/>
  <c r="AO80" i="1"/>
  <c r="AP80" i="1" s="1"/>
  <c r="AQ79" i="1"/>
  <c r="AP79" i="1"/>
  <c r="AO79" i="1"/>
  <c r="AQ78" i="1"/>
  <c r="AO78" i="1"/>
  <c r="AP78" i="1" s="1"/>
  <c r="AO77" i="1"/>
  <c r="AQ77" i="1" s="1"/>
  <c r="AO76" i="1"/>
  <c r="AP76" i="1" s="1"/>
  <c r="AQ75" i="1"/>
  <c r="AP75" i="1"/>
  <c r="AO75" i="1"/>
  <c r="AO74" i="1"/>
  <c r="AQ74" i="1" s="1"/>
  <c r="AO73" i="1"/>
  <c r="AQ73" i="1" s="1"/>
  <c r="AO72" i="1"/>
  <c r="AP72" i="1" s="1"/>
  <c r="AQ71" i="1"/>
  <c r="AP71" i="1"/>
  <c r="AO71" i="1"/>
  <c r="AQ70" i="1"/>
  <c r="AO70" i="1"/>
  <c r="AP70" i="1" s="1"/>
  <c r="AO69" i="1"/>
  <c r="AQ69" i="1" s="1"/>
  <c r="AO68" i="1"/>
  <c r="AP68" i="1" s="1"/>
  <c r="AQ67" i="1"/>
  <c r="AP67" i="1"/>
  <c r="AO67" i="1"/>
  <c r="AO66" i="1"/>
  <c r="AQ66" i="1" s="1"/>
  <c r="AP65" i="1"/>
  <c r="AO65" i="1"/>
  <c r="AQ65" i="1" s="1"/>
  <c r="AQ64" i="1"/>
  <c r="AO64" i="1"/>
  <c r="AP64" i="1" s="1"/>
  <c r="AQ63" i="1"/>
  <c r="AP63" i="1"/>
  <c r="AO63" i="1"/>
  <c r="AO62" i="1"/>
  <c r="AQ62" i="1" s="1"/>
  <c r="AP61" i="1"/>
  <c r="AO61" i="1"/>
  <c r="AQ61" i="1" s="1"/>
  <c r="AQ60" i="1"/>
  <c r="AO60" i="1"/>
  <c r="AP60" i="1" s="1"/>
  <c r="AQ59" i="1"/>
  <c r="AP59" i="1"/>
  <c r="AO59" i="1"/>
  <c r="AO58" i="1"/>
  <c r="AQ58" i="1" s="1"/>
  <c r="AP57" i="1"/>
  <c r="AO57" i="1"/>
  <c r="AQ57" i="1" s="1"/>
  <c r="AQ56" i="1"/>
  <c r="AO56" i="1"/>
  <c r="AP56" i="1" s="1"/>
  <c r="AQ55" i="1"/>
  <c r="AP55" i="1"/>
  <c r="AO55" i="1"/>
  <c r="AO54" i="1"/>
  <c r="AQ54" i="1" s="1"/>
  <c r="AP53" i="1"/>
  <c r="AO53" i="1"/>
  <c r="AQ53" i="1" s="1"/>
  <c r="AQ52" i="1"/>
  <c r="AO52" i="1"/>
  <c r="AP52" i="1" s="1"/>
  <c r="AQ51" i="1"/>
  <c r="AP51" i="1"/>
  <c r="AO51" i="1"/>
  <c r="AO50" i="1"/>
  <c r="AQ50" i="1" s="1"/>
  <c r="AP49" i="1"/>
  <c r="AO49" i="1"/>
  <c r="AQ49" i="1" s="1"/>
  <c r="AQ48" i="1"/>
  <c r="AO48" i="1"/>
  <c r="AP48" i="1" s="1"/>
  <c r="AQ47" i="1"/>
  <c r="AP47" i="1"/>
  <c r="AO47" i="1"/>
  <c r="AO46" i="1"/>
  <c r="AQ46" i="1" s="1"/>
  <c r="AP45" i="1"/>
  <c r="AO45" i="1"/>
  <c r="AQ45" i="1" s="1"/>
  <c r="AQ44" i="1"/>
  <c r="AO44" i="1"/>
  <c r="AP44" i="1" s="1"/>
  <c r="AQ43" i="1"/>
  <c r="AP43" i="1"/>
  <c r="AO43" i="1"/>
  <c r="AO42" i="1"/>
  <c r="AQ42" i="1" s="1"/>
  <c r="AP41" i="1"/>
  <c r="AO41" i="1"/>
  <c r="AQ41" i="1" s="1"/>
  <c r="AQ40" i="1"/>
  <c r="AO40" i="1"/>
  <c r="AP40" i="1" s="1"/>
  <c r="AQ39" i="1"/>
  <c r="AP39" i="1"/>
  <c r="AO39" i="1"/>
  <c r="AO38" i="1"/>
  <c r="AQ38" i="1" s="1"/>
  <c r="AP37" i="1"/>
  <c r="AO37" i="1"/>
  <c r="AQ37" i="1" s="1"/>
  <c r="AQ36" i="1"/>
  <c r="AO36" i="1"/>
  <c r="AP36" i="1" s="1"/>
  <c r="AQ35" i="1"/>
  <c r="AP35" i="1"/>
  <c r="AO35" i="1"/>
  <c r="AO34" i="1"/>
  <c r="AQ34" i="1" s="1"/>
  <c r="AP33" i="1"/>
  <c r="AO33" i="1"/>
  <c r="AQ33" i="1" s="1"/>
  <c r="AQ32" i="1"/>
  <c r="AO32" i="1"/>
  <c r="AP32" i="1" s="1"/>
  <c r="AQ31" i="1"/>
  <c r="AP31" i="1"/>
  <c r="AO31" i="1"/>
  <c r="AO30" i="1"/>
  <c r="AQ30" i="1" s="1"/>
  <c r="AP29" i="1"/>
  <c r="AO29" i="1"/>
  <c r="AQ29" i="1" s="1"/>
  <c r="AQ28" i="1"/>
  <c r="AO28" i="1"/>
  <c r="AP28" i="1" s="1"/>
  <c r="AQ27" i="1"/>
  <c r="AP27" i="1"/>
  <c r="AO27" i="1"/>
  <c r="AO26" i="1"/>
  <c r="AQ26" i="1" s="1"/>
  <c r="AP25" i="1"/>
  <c r="AO25" i="1"/>
  <c r="AQ25" i="1" s="1"/>
  <c r="AQ24" i="1"/>
  <c r="AO24" i="1"/>
  <c r="AP24" i="1" s="1"/>
  <c r="AQ23" i="1"/>
  <c r="AP23" i="1"/>
  <c r="AO23" i="1"/>
  <c r="AO22" i="1"/>
  <c r="AQ22" i="1" s="1"/>
  <c r="AP21" i="1"/>
  <c r="AO21" i="1"/>
  <c r="AQ21" i="1" s="1"/>
  <c r="AQ20" i="1"/>
  <c r="AO20" i="1"/>
  <c r="AP20" i="1" s="1"/>
  <c r="AQ19" i="1"/>
  <c r="AP19" i="1"/>
  <c r="AO19" i="1"/>
  <c r="AO18" i="1"/>
  <c r="AQ18" i="1" s="1"/>
  <c r="AP17" i="1"/>
  <c r="AO17" i="1"/>
  <c r="AQ17" i="1" s="1"/>
  <c r="AQ16" i="1"/>
  <c r="AO16" i="1"/>
  <c r="AP16" i="1" s="1"/>
  <c r="AQ15" i="1"/>
  <c r="AP15" i="1"/>
  <c r="AO15" i="1"/>
  <c r="AO14" i="1"/>
  <c r="AQ14" i="1" s="1"/>
  <c r="AP13" i="1"/>
  <c r="AO13" i="1"/>
  <c r="AQ13" i="1" s="1"/>
  <c r="AQ12" i="1"/>
  <c r="AO12" i="1"/>
  <c r="AP12" i="1" s="1"/>
  <c r="AQ11" i="1"/>
  <c r="AP11" i="1"/>
  <c r="AO11" i="1"/>
  <c r="AO10" i="1"/>
  <c r="AQ10" i="1" s="1"/>
  <c r="AP9" i="1"/>
  <c r="AO9" i="1"/>
  <c r="AQ9" i="1" s="1"/>
  <c r="AQ8" i="1"/>
  <c r="AO8" i="1"/>
  <c r="AP8" i="1" s="1"/>
  <c r="AQ7" i="1"/>
  <c r="AP7" i="1"/>
  <c r="AO7" i="1"/>
  <c r="AO6" i="1"/>
  <c r="AQ6" i="1" s="1"/>
  <c r="AP5" i="1"/>
  <c r="AO5" i="1"/>
  <c r="AQ5" i="1" s="1"/>
  <c r="AQ4" i="1"/>
  <c r="AO4" i="1"/>
  <c r="AP4" i="1" s="1"/>
  <c r="AQ3" i="1"/>
  <c r="AP3" i="1"/>
  <c r="AO3" i="1"/>
  <c r="AO2" i="1"/>
  <c r="AQ2" i="1" s="1"/>
  <c r="AQ248" i="1" l="1"/>
  <c r="AP248" i="1"/>
  <c r="AQ256" i="1"/>
  <c r="AP256" i="1"/>
  <c r="AQ304" i="1"/>
  <c r="AP304" i="1"/>
  <c r="AQ424" i="1"/>
  <c r="AP424" i="1"/>
  <c r="AQ432" i="1"/>
  <c r="AP432" i="1"/>
  <c r="AQ552" i="1"/>
  <c r="AP552" i="1"/>
  <c r="AQ568" i="1"/>
  <c r="AP568" i="1"/>
  <c r="AP684" i="1"/>
  <c r="AQ684" i="1"/>
  <c r="AQ708" i="1"/>
  <c r="AP708" i="1"/>
  <c r="AQ712" i="1"/>
  <c r="AP712" i="1"/>
  <c r="AQ724" i="1"/>
  <c r="AP724" i="1"/>
  <c r="AQ736" i="1"/>
  <c r="AP736" i="1"/>
  <c r="AQ748" i="1"/>
  <c r="AP748" i="1"/>
  <c r="AQ760" i="1"/>
  <c r="AP760" i="1"/>
  <c r="AQ772" i="1"/>
  <c r="AP772" i="1"/>
  <c r="AQ785" i="1"/>
  <c r="AP785" i="1"/>
  <c r="AQ805" i="1"/>
  <c r="AP805" i="1"/>
  <c r="AQ813" i="1"/>
  <c r="AP813" i="1"/>
  <c r="AQ833" i="1"/>
  <c r="AP833" i="1"/>
  <c r="AQ877" i="1"/>
  <c r="AP877" i="1"/>
  <c r="AP2" i="1"/>
  <c r="AP6" i="1"/>
  <c r="AP10" i="1"/>
  <c r="AP14" i="1"/>
  <c r="AP18" i="1"/>
  <c r="AP22" i="1"/>
  <c r="AP26" i="1"/>
  <c r="AP30" i="1"/>
  <c r="AP34" i="1"/>
  <c r="AP38" i="1"/>
  <c r="AP42" i="1"/>
  <c r="AP46" i="1"/>
  <c r="AP50" i="1"/>
  <c r="AP54" i="1"/>
  <c r="AP58" i="1"/>
  <c r="AP62" i="1"/>
  <c r="AP66" i="1"/>
  <c r="AP69" i="1"/>
  <c r="AQ72" i="1"/>
  <c r="AP74" i="1"/>
  <c r="AP77" i="1"/>
  <c r="AQ80" i="1"/>
  <c r="AP82" i="1"/>
  <c r="AP85" i="1"/>
  <c r="AQ88" i="1"/>
  <c r="AP90" i="1"/>
  <c r="AP93" i="1"/>
  <c r="AQ96" i="1"/>
  <c r="AP98" i="1"/>
  <c r="AP101" i="1"/>
  <c r="AQ104" i="1"/>
  <c r="AP106" i="1"/>
  <c r="AP109" i="1"/>
  <c r="AQ112" i="1"/>
  <c r="AP114" i="1"/>
  <c r="AP117" i="1"/>
  <c r="AQ136" i="1"/>
  <c r="AP136" i="1"/>
  <c r="AQ152" i="1"/>
  <c r="AP152" i="1"/>
  <c r="AQ156" i="1"/>
  <c r="AP156" i="1"/>
  <c r="AQ160" i="1"/>
  <c r="AP160" i="1"/>
  <c r="AQ164" i="1"/>
  <c r="AP164" i="1"/>
  <c r="AQ168" i="1"/>
  <c r="AP168" i="1"/>
  <c r="AQ172" i="1"/>
  <c r="AP172" i="1"/>
  <c r="AQ176" i="1"/>
  <c r="AP176" i="1"/>
  <c r="AQ180" i="1"/>
  <c r="AP180" i="1"/>
  <c r="AQ184" i="1"/>
  <c r="AP184" i="1"/>
  <c r="AQ188" i="1"/>
  <c r="AP188" i="1"/>
  <c r="AQ192" i="1"/>
  <c r="AP192" i="1"/>
  <c r="AQ196" i="1"/>
  <c r="AP196" i="1"/>
  <c r="AQ200" i="1"/>
  <c r="AP200" i="1"/>
  <c r="AQ228" i="1"/>
  <c r="AP228" i="1"/>
  <c r="AQ268" i="1"/>
  <c r="AP268" i="1"/>
  <c r="AQ272" i="1"/>
  <c r="AP272" i="1"/>
  <c r="AQ276" i="1"/>
  <c r="AP276" i="1"/>
  <c r="AQ280" i="1"/>
  <c r="AP280" i="1"/>
  <c r="AQ284" i="1"/>
  <c r="AP284" i="1"/>
  <c r="AQ312" i="1"/>
  <c r="AP312" i="1"/>
  <c r="AQ316" i="1"/>
  <c r="AP316" i="1"/>
  <c r="AQ320" i="1"/>
  <c r="AP320" i="1"/>
  <c r="AQ324" i="1"/>
  <c r="AP324" i="1"/>
  <c r="AQ328" i="1"/>
  <c r="AP328" i="1"/>
  <c r="AQ332" i="1"/>
  <c r="AP332" i="1"/>
  <c r="AQ336" i="1"/>
  <c r="AP336" i="1"/>
  <c r="AQ340" i="1"/>
  <c r="AP340" i="1"/>
  <c r="AQ368" i="1"/>
  <c r="AP368" i="1"/>
  <c r="AQ372" i="1"/>
  <c r="AP372" i="1"/>
  <c r="AQ388" i="1"/>
  <c r="AP388" i="1"/>
  <c r="AQ132" i="1"/>
  <c r="AP132" i="1"/>
  <c r="AQ224" i="1"/>
  <c r="AP224" i="1"/>
  <c r="AQ240" i="1"/>
  <c r="AP240" i="1"/>
  <c r="AQ244" i="1"/>
  <c r="AP244" i="1"/>
  <c r="AQ260" i="1"/>
  <c r="AP260" i="1"/>
  <c r="AQ300" i="1"/>
  <c r="AP300" i="1"/>
  <c r="AQ308" i="1"/>
  <c r="AP308" i="1"/>
  <c r="AQ384" i="1"/>
  <c r="AP384" i="1"/>
  <c r="AQ404" i="1"/>
  <c r="AP404" i="1"/>
  <c r="AQ500" i="1"/>
  <c r="AP500" i="1"/>
  <c r="AQ536" i="1"/>
  <c r="AP536" i="1"/>
  <c r="AQ700" i="1"/>
  <c r="AP700" i="1"/>
  <c r="AQ716" i="1"/>
  <c r="AP716" i="1"/>
  <c r="AQ728" i="1"/>
  <c r="AP728" i="1"/>
  <c r="AQ740" i="1"/>
  <c r="AP740" i="1"/>
  <c r="AQ752" i="1"/>
  <c r="AP752" i="1"/>
  <c r="AQ764" i="1"/>
  <c r="AP764" i="1"/>
  <c r="AQ780" i="1"/>
  <c r="AP780" i="1"/>
  <c r="AQ793" i="1"/>
  <c r="AP793" i="1"/>
  <c r="AQ837" i="1"/>
  <c r="AP837" i="1"/>
  <c r="AQ897" i="1"/>
  <c r="AP897" i="1"/>
  <c r="AQ941" i="1"/>
  <c r="AP941" i="1"/>
  <c r="AQ140" i="1"/>
  <c r="AP140" i="1"/>
  <c r="AQ204" i="1"/>
  <c r="AP204" i="1"/>
  <c r="AQ232" i="1"/>
  <c r="AP232" i="1"/>
  <c r="AQ288" i="1"/>
  <c r="AP288" i="1"/>
  <c r="AQ344" i="1"/>
  <c r="AP344" i="1"/>
  <c r="AQ348" i="1"/>
  <c r="AP348" i="1"/>
  <c r="AQ352" i="1"/>
  <c r="AP352" i="1"/>
  <c r="AQ356" i="1"/>
  <c r="AP356" i="1"/>
  <c r="AQ376" i="1"/>
  <c r="AP376" i="1"/>
  <c r="AQ392" i="1"/>
  <c r="AP392" i="1"/>
  <c r="AQ148" i="1"/>
  <c r="AP148" i="1"/>
  <c r="AQ252" i="1"/>
  <c r="AP252" i="1"/>
  <c r="AQ264" i="1"/>
  <c r="AP264" i="1"/>
  <c r="AQ296" i="1"/>
  <c r="AP296" i="1"/>
  <c r="AQ364" i="1"/>
  <c r="AP364" i="1"/>
  <c r="AQ512" i="1"/>
  <c r="AP512" i="1"/>
  <c r="AQ588" i="1"/>
  <c r="AP588" i="1"/>
  <c r="AQ704" i="1"/>
  <c r="AP704" i="1"/>
  <c r="AQ720" i="1"/>
  <c r="AP720" i="1"/>
  <c r="AQ732" i="1"/>
  <c r="AP732" i="1"/>
  <c r="AQ744" i="1"/>
  <c r="AP744" i="1"/>
  <c r="AQ756" i="1"/>
  <c r="AP756" i="1"/>
  <c r="AQ768" i="1"/>
  <c r="AP768" i="1"/>
  <c r="AQ776" i="1"/>
  <c r="AP776" i="1"/>
  <c r="AQ821" i="1"/>
  <c r="AP821" i="1"/>
  <c r="AQ829" i="1"/>
  <c r="AP829" i="1"/>
  <c r="AQ841" i="1"/>
  <c r="AP841" i="1"/>
  <c r="AQ861" i="1"/>
  <c r="AP861" i="1"/>
  <c r="AQ925" i="1"/>
  <c r="AP925" i="1"/>
  <c r="AQ945" i="1"/>
  <c r="AP945" i="1"/>
  <c r="AQ68" i="1"/>
  <c r="AP73" i="1"/>
  <c r="AQ76" i="1"/>
  <c r="AP81" i="1"/>
  <c r="AQ84" i="1"/>
  <c r="AP89" i="1"/>
  <c r="AQ92" i="1"/>
  <c r="AP97" i="1"/>
  <c r="AQ100" i="1"/>
  <c r="AP105" i="1"/>
  <c r="AQ108" i="1"/>
  <c r="AP113" i="1"/>
  <c r="AQ116" i="1"/>
  <c r="AQ120" i="1"/>
  <c r="AP120" i="1"/>
  <c r="AQ124" i="1"/>
  <c r="AP124" i="1"/>
  <c r="AQ128" i="1"/>
  <c r="AP128" i="1"/>
  <c r="AQ144" i="1"/>
  <c r="AP144" i="1"/>
  <c r="AQ208" i="1"/>
  <c r="AP208" i="1"/>
  <c r="AQ212" i="1"/>
  <c r="AP212" i="1"/>
  <c r="AQ216" i="1"/>
  <c r="AP216" i="1"/>
  <c r="AQ220" i="1"/>
  <c r="AP220" i="1"/>
  <c r="AQ236" i="1"/>
  <c r="AP236" i="1"/>
  <c r="AQ292" i="1"/>
  <c r="AP292" i="1"/>
  <c r="AQ360" i="1"/>
  <c r="AP360" i="1"/>
  <c r="AQ380" i="1"/>
  <c r="AP380" i="1"/>
  <c r="AQ396" i="1"/>
  <c r="AP396" i="1"/>
  <c r="AQ412" i="1"/>
  <c r="AP412" i="1"/>
  <c r="AQ440" i="1"/>
  <c r="AP440" i="1"/>
  <c r="AQ448" i="1"/>
  <c r="AP448" i="1"/>
  <c r="AQ456" i="1"/>
  <c r="AP456" i="1"/>
  <c r="AQ464" i="1"/>
  <c r="AP464" i="1"/>
  <c r="AQ472" i="1"/>
  <c r="AP472" i="1"/>
  <c r="AQ480" i="1"/>
  <c r="AP480" i="1"/>
  <c r="AQ488" i="1"/>
  <c r="AP488" i="1"/>
  <c r="AQ508" i="1"/>
  <c r="AP508" i="1"/>
  <c r="AQ520" i="1"/>
  <c r="AP520" i="1"/>
  <c r="AQ532" i="1"/>
  <c r="AP532" i="1"/>
  <c r="AQ548" i="1"/>
  <c r="AP548" i="1"/>
  <c r="AQ564" i="1"/>
  <c r="AP564" i="1"/>
  <c r="AQ584" i="1"/>
  <c r="AP584" i="1"/>
  <c r="AQ400" i="1"/>
  <c r="AP400" i="1"/>
  <c r="AQ408" i="1"/>
  <c r="AP408" i="1"/>
  <c r="AQ420" i="1"/>
  <c r="AP420" i="1"/>
  <c r="AQ428" i="1"/>
  <c r="AP428" i="1"/>
  <c r="AQ436" i="1"/>
  <c r="AP436" i="1"/>
  <c r="AQ496" i="1"/>
  <c r="AP496" i="1"/>
  <c r="AQ528" i="1"/>
  <c r="AP528" i="1"/>
  <c r="AQ544" i="1"/>
  <c r="AP544" i="1"/>
  <c r="AQ560" i="1"/>
  <c r="AP560" i="1"/>
  <c r="AQ576" i="1"/>
  <c r="AP576" i="1"/>
  <c r="AQ580" i="1"/>
  <c r="AP580" i="1"/>
  <c r="AQ416" i="1"/>
  <c r="AP416" i="1"/>
  <c r="AQ444" i="1"/>
  <c r="AP444" i="1"/>
  <c r="AQ452" i="1"/>
  <c r="AP452" i="1"/>
  <c r="AQ460" i="1"/>
  <c r="AP460" i="1"/>
  <c r="AQ468" i="1"/>
  <c r="AP468" i="1"/>
  <c r="AQ476" i="1"/>
  <c r="AP476" i="1"/>
  <c r="AQ484" i="1"/>
  <c r="AP484" i="1"/>
  <c r="AQ492" i="1"/>
  <c r="AP492" i="1"/>
  <c r="AQ504" i="1"/>
  <c r="AP504" i="1"/>
  <c r="AQ516" i="1"/>
  <c r="AP516" i="1"/>
  <c r="AQ524" i="1"/>
  <c r="AP524" i="1"/>
  <c r="AQ540" i="1"/>
  <c r="AP540" i="1"/>
  <c r="AQ556" i="1"/>
  <c r="AP556" i="1"/>
  <c r="AQ572" i="1"/>
  <c r="AP572" i="1"/>
  <c r="AQ592" i="1"/>
  <c r="AP592" i="1"/>
  <c r="AQ596" i="1"/>
  <c r="AP596" i="1"/>
  <c r="AQ600" i="1"/>
  <c r="AP600" i="1"/>
  <c r="AQ604" i="1"/>
  <c r="AP604" i="1"/>
  <c r="AQ608" i="1"/>
  <c r="AP608" i="1"/>
  <c r="AQ612" i="1"/>
  <c r="AP612" i="1"/>
  <c r="AQ616" i="1"/>
  <c r="AP616" i="1"/>
  <c r="AP686" i="1"/>
  <c r="AQ686" i="1"/>
  <c r="AP403" i="1"/>
  <c r="AP407" i="1"/>
  <c r="AP415" i="1"/>
  <c r="AP419" i="1"/>
  <c r="AP423" i="1"/>
  <c r="AP427" i="1"/>
  <c r="AP431" i="1"/>
  <c r="AP435" i="1"/>
  <c r="AP439" i="1"/>
  <c r="AP443" i="1"/>
  <c r="AP447" i="1"/>
  <c r="AP451" i="1"/>
  <c r="AP455" i="1"/>
  <c r="AP459" i="1"/>
  <c r="AP463" i="1"/>
  <c r="AP467" i="1"/>
  <c r="AP471" i="1"/>
  <c r="AP475" i="1"/>
  <c r="AP479" i="1"/>
  <c r="AP483" i="1"/>
  <c r="AP487" i="1"/>
  <c r="AP491" i="1"/>
  <c r="AP495" i="1"/>
  <c r="AP499" i="1"/>
  <c r="AP503" i="1"/>
  <c r="AP507" i="1"/>
  <c r="AP511" i="1"/>
  <c r="AP515" i="1"/>
  <c r="AP519" i="1"/>
  <c r="AP523" i="1"/>
  <c r="AQ676" i="1"/>
  <c r="AQ678" i="1"/>
  <c r="AQ692" i="1"/>
  <c r="AQ694" i="1"/>
  <c r="AQ801" i="1"/>
  <c r="AP801" i="1"/>
  <c r="AQ849" i="1"/>
  <c r="AP849" i="1"/>
  <c r="AQ873" i="1"/>
  <c r="AP873" i="1"/>
  <c r="AQ893" i="1"/>
  <c r="AP893" i="1"/>
  <c r="AQ921" i="1"/>
  <c r="AP921" i="1"/>
  <c r="AQ937" i="1"/>
  <c r="AP937" i="1"/>
  <c r="AQ789" i="1"/>
  <c r="AP789" i="1"/>
  <c r="AQ797" i="1"/>
  <c r="AP797" i="1"/>
  <c r="AQ809" i="1"/>
  <c r="AP809" i="1"/>
  <c r="AQ817" i="1"/>
  <c r="AP817" i="1"/>
  <c r="AQ825" i="1"/>
  <c r="AP825" i="1"/>
  <c r="AQ857" i="1"/>
  <c r="AP857" i="1"/>
  <c r="AQ869" i="1"/>
  <c r="AP869" i="1"/>
  <c r="AQ889" i="1"/>
  <c r="AP889" i="1"/>
  <c r="AQ913" i="1"/>
  <c r="AP913" i="1"/>
  <c r="AQ917" i="1"/>
  <c r="AP917" i="1"/>
  <c r="AQ933" i="1"/>
  <c r="AP933" i="1"/>
  <c r="AP782" i="1"/>
  <c r="AQ845" i="1"/>
  <c r="AP845" i="1"/>
  <c r="AQ853" i="1"/>
  <c r="AP853" i="1"/>
  <c r="AQ865" i="1"/>
  <c r="AP865" i="1"/>
  <c r="AQ881" i="1"/>
  <c r="AP881" i="1"/>
  <c r="AQ885" i="1"/>
  <c r="AP885" i="1"/>
  <c r="AQ901" i="1"/>
  <c r="AP901" i="1"/>
  <c r="AQ905" i="1"/>
  <c r="AP905" i="1"/>
  <c r="AQ909" i="1"/>
  <c r="AP909" i="1"/>
  <c r="AQ929" i="1"/>
  <c r="AP929" i="1"/>
  <c r="AQ950" i="1"/>
  <c r="AP950" i="1"/>
  <c r="AQ955" i="1"/>
  <c r="AP955" i="1"/>
  <c r="AQ963" i="1"/>
  <c r="AP963" i="1"/>
  <c r="AQ971" i="1"/>
  <c r="AP971" i="1"/>
  <c r="AQ979" i="1"/>
  <c r="AP979" i="1"/>
  <c r="AQ987" i="1"/>
  <c r="AP987" i="1"/>
  <c r="AQ995" i="1"/>
  <c r="AP995" i="1"/>
  <c r="AQ1003" i="1"/>
  <c r="AP1003" i="1"/>
  <c r="AQ1011" i="1"/>
  <c r="AP1011" i="1"/>
  <c r="AQ1027" i="1"/>
  <c r="AP1027" i="1"/>
  <c r="AQ1035" i="1"/>
  <c r="AP1035" i="1"/>
  <c r="AQ1047" i="1"/>
  <c r="AP1047" i="1"/>
  <c r="AQ1055" i="1"/>
  <c r="AP1055" i="1"/>
  <c r="AQ1063" i="1"/>
  <c r="AP1063" i="1"/>
  <c r="AQ1071" i="1"/>
  <c r="AP1071" i="1"/>
  <c r="AQ1079" i="1"/>
  <c r="AP1079" i="1"/>
  <c r="AQ1087" i="1"/>
  <c r="AP1087" i="1"/>
  <c r="AQ1095" i="1"/>
  <c r="AP1095" i="1"/>
  <c r="AQ1103" i="1"/>
  <c r="AP1103" i="1"/>
  <c r="AQ1111" i="1"/>
  <c r="AP1111" i="1"/>
  <c r="AP784" i="1"/>
  <c r="AP788" i="1"/>
  <c r="AP792" i="1"/>
  <c r="AP796" i="1"/>
  <c r="AP808" i="1"/>
  <c r="AP812" i="1"/>
  <c r="AP816" i="1"/>
  <c r="AP820" i="1"/>
  <c r="AP824" i="1"/>
  <c r="AP828" i="1"/>
  <c r="AP848" i="1"/>
  <c r="AP852" i="1"/>
  <c r="AP856" i="1"/>
  <c r="AP860" i="1"/>
  <c r="AP947" i="1"/>
  <c r="AP951" i="1"/>
  <c r="AQ959" i="1"/>
  <c r="AP959" i="1"/>
  <c r="AQ967" i="1"/>
  <c r="AP967" i="1"/>
  <c r="AQ975" i="1"/>
  <c r="AP975" i="1"/>
  <c r="AQ983" i="1"/>
  <c r="AP983" i="1"/>
  <c r="AQ991" i="1"/>
  <c r="AP991" i="1"/>
  <c r="AQ999" i="1"/>
  <c r="AP999" i="1"/>
  <c r="AQ1007" i="1"/>
  <c r="AP1007" i="1"/>
  <c r="AQ1015" i="1"/>
  <c r="AP1015" i="1"/>
  <c r="AQ1019" i="1"/>
  <c r="AP1019" i="1"/>
  <c r="AQ1023" i="1"/>
  <c r="AP1023" i="1"/>
  <c r="AQ1031" i="1"/>
  <c r="AP1031" i="1"/>
  <c r="AQ1039" i="1"/>
  <c r="AP1039" i="1"/>
  <c r="AQ1043" i="1"/>
  <c r="AP1043" i="1"/>
  <c r="AQ1051" i="1"/>
  <c r="AP1051" i="1"/>
  <c r="AQ1059" i="1"/>
  <c r="AP1059" i="1"/>
  <c r="AQ1067" i="1"/>
  <c r="AP1067" i="1"/>
  <c r="AQ1075" i="1"/>
  <c r="AP1075" i="1"/>
  <c r="AQ1083" i="1"/>
  <c r="AP1083" i="1"/>
  <c r="AQ1091" i="1"/>
  <c r="AP1091" i="1"/>
  <c r="AQ1099" i="1"/>
  <c r="AP1099" i="1"/>
  <c r="AQ1107" i="1"/>
  <c r="AP1107" i="1"/>
  <c r="AQ1115" i="1"/>
  <c r="AP1115" i="1"/>
  <c r="AQ1119" i="1"/>
  <c r="AP1119" i="1"/>
  <c r="AP954" i="1"/>
  <c r="AP958" i="1"/>
  <c r="AP962" i="1"/>
  <c r="AP966" i="1"/>
  <c r="AP970" i="1"/>
  <c r="AP974" i="1"/>
  <c r="AP978" i="1"/>
  <c r="AP982" i="1"/>
  <c r="AP986" i="1"/>
  <c r="AP990" i="1"/>
  <c r="AP994" i="1"/>
  <c r="AP998" i="1"/>
  <c r="AP1002" i="1"/>
  <c r="AP1006" i="1"/>
  <c r="AP1010" i="1"/>
  <c r="AP1014" i="1"/>
  <c r="AP1026" i="1"/>
  <c r="AP1030" i="1"/>
  <c r="AP1034" i="1"/>
  <c r="AP1038" i="1"/>
  <c r="AP1046" i="1"/>
  <c r="AP1050" i="1"/>
  <c r="AP1054" i="1"/>
  <c r="AP1058" i="1"/>
  <c r="AP1062" i="1"/>
  <c r="AP1066" i="1"/>
  <c r="AP1070" i="1"/>
  <c r="AP1074" i="1"/>
  <c r="AP1078" i="1"/>
  <c r="AP1082" i="1"/>
  <c r="AP1086" i="1"/>
  <c r="AP1090" i="1"/>
  <c r="AP1094" i="1"/>
  <c r="AP1098" i="1"/>
  <c r="AP1102" i="1"/>
  <c r="AP1106" i="1"/>
  <c r="AP1110" i="1"/>
  <c r="AP1114" i="1"/>
</calcChain>
</file>

<file path=xl/sharedStrings.xml><?xml version="1.0" encoding="utf-8"?>
<sst xmlns="http://schemas.openxmlformats.org/spreadsheetml/2006/main" count="24722" uniqueCount="1203">
  <si>
    <t>DIA</t>
  </si>
  <si>
    <t>MES</t>
  </si>
  <si>
    <t>AÑO</t>
  </si>
  <si>
    <t>REGIMEN ADUANERO</t>
  </si>
  <si>
    <t>REFRENDO</t>
  </si>
  <si>
    <t>DAU</t>
  </si>
  <si>
    <t>ITEM</t>
  </si>
  <si>
    <t>RUC IMPORTADOR</t>
  </si>
  <si>
    <t>PROBABLE IMPORTADOR</t>
  </si>
  <si>
    <t>PAÍS DE ORIGEN</t>
  </si>
  <si>
    <t>PAIS DE PROCEDENCIA</t>
  </si>
  <si>
    <t>CIUDAD EMBARQUE</t>
  </si>
  <si>
    <t>VIA DE TRANSPORTE</t>
  </si>
  <si>
    <t>ADUANA</t>
  </si>
  <si>
    <t>PARTIDA ARANCELARIA</t>
  </si>
  <si>
    <t>DESCRIPCIÓN ARANCELARIA</t>
  </si>
  <si>
    <t>DESCRIPCION PRODUCTO COMERCIAL</t>
  </si>
  <si>
    <t>MARCA</t>
  </si>
  <si>
    <t>ESTADO DE MERCANCIA</t>
  </si>
  <si>
    <t>BULTOS</t>
  </si>
  <si>
    <t>CANTIDAD</t>
  </si>
  <si>
    <t>UNIDAD DE MEDIDA</t>
  </si>
  <si>
    <t>ADVALOREM</t>
  </si>
  <si>
    <t>US$ FOB</t>
  </si>
  <si>
    <t>US$ FLETE</t>
  </si>
  <si>
    <t>US$ SEGURO</t>
  </si>
  <si>
    <t>US$ CIF</t>
  </si>
  <si>
    <t>EMBARCADOR</t>
  </si>
  <si>
    <t>EMPRESA DE TRANSPORTE</t>
  </si>
  <si>
    <t>PAÍS DE EMBARQUE</t>
  </si>
  <si>
    <t>CONTENEDOR</t>
  </si>
  <si>
    <t>PESO NETO KG</t>
  </si>
  <si>
    <t>TIPO AFORO</t>
  </si>
  <si>
    <t>FACTURA</t>
  </si>
  <si>
    <t>CARACTERISTICAS</t>
  </si>
  <si>
    <t>PRODUCTO</t>
  </si>
  <si>
    <t>MARCA COMERCIAL</t>
  </si>
  <si>
    <t>AÑO FABRICACIÓN</t>
  </si>
  <si>
    <t>MODELO MERCADERIA</t>
  </si>
  <si>
    <t>US$ FOB UNIT</t>
  </si>
  <si>
    <t>FOB EMCOVELE</t>
  </si>
  <si>
    <t>FOB CLIENTE</t>
  </si>
  <si>
    <t>PVP</t>
  </si>
  <si>
    <t>IMPORTACION A CONSUMO</t>
  </si>
  <si>
    <t>055-2024-10-02304297</t>
  </si>
  <si>
    <t>01002095</t>
  </si>
  <si>
    <t>EMPRESA COMERCIAL VELA LEIVA EMCOVELE S.A.</t>
  </si>
  <si>
    <t>SPAIN</t>
  </si>
  <si>
    <t>BELGIUM</t>
  </si>
  <si>
    <t>BRUXELLES (BRUSSEL)</t>
  </si>
  <si>
    <t>AEREA</t>
  </si>
  <si>
    <t>QUITO</t>
  </si>
  <si>
    <t>Los demás</t>
  </si>
  <si>
    <t>TUBO</t>
  </si>
  <si>
    <t>ATLAS COPCO</t>
  </si>
  <si>
    <t>NUEVA</t>
  </si>
  <si>
    <t>KILOGRAMO BRUTO</t>
  </si>
  <si>
    <t>ATLAS COPCO AIRPOWER NV</t>
  </si>
  <si>
    <t>IBERIA LINEAS AEREAS DE ESPAÑA SOCIEDAD ANONIMA OPERADORA</t>
  </si>
  <si>
    <t>AFORO-AFORO AUTOMATICO</t>
  </si>
  <si>
    <t>REPUESTOS PARA COMPRESORES</t>
  </si>
  <si>
    <t>0070-6002-04</t>
  </si>
  <si>
    <t>0070-6002-05</t>
  </si>
  <si>
    <t>055-2024-10-00805267</t>
  </si>
  <si>
    <t>00000799</t>
  </si>
  <si>
    <t>GERMANY</t>
  </si>
  <si>
    <t>LOS DEMÁS</t>
  </si>
  <si>
    <t>MANGUERA</t>
  </si>
  <si>
    <t>0070-6002-43</t>
  </si>
  <si>
    <t>055-2024-10-00534240</t>
  </si>
  <si>
    <t>00000586</t>
  </si>
  <si>
    <t>TRANSOCEANICA COMPAÑIA LIMITADA</t>
  </si>
  <si>
    <t>0070-6002-68</t>
  </si>
  <si>
    <t>055-2024-10-00707318</t>
  </si>
  <si>
    <t>00000724</t>
  </si>
  <si>
    <t>055-2024-10-01506656</t>
  </si>
  <si>
    <t>01001421</t>
  </si>
  <si>
    <t>AIR CANADA</t>
  </si>
  <si>
    <t>REPUESTOS</t>
  </si>
  <si>
    <t>055-2024-10-01077644</t>
  </si>
  <si>
    <t>00001028</t>
  </si>
  <si>
    <t>KLM CIA REAL HOLANDESA DE AVIACION SA</t>
  </si>
  <si>
    <t>AFORO-AFORO FISICO INTRUSIVO</t>
  </si>
  <si>
    <t>0070-6002-73</t>
  </si>
  <si>
    <t>055-2024-10-01886875</t>
  </si>
  <si>
    <t>00001826</t>
  </si>
  <si>
    <t>0070-6002-74</t>
  </si>
  <si>
    <t>0070-9002-03</t>
  </si>
  <si>
    <t>"LOS DEMAS_(SOLO PARA AQUELLAS MERCANCÍAS DIFERENTES A ""PERNOS DE CABEZA DE BOTÓN OVAL Y SUS TUERCAS""_NO INEN)"</t>
  </si>
  <si>
    <t>TORNILLO</t>
  </si>
  <si>
    <t>0147-1243-03</t>
  </si>
  <si>
    <t>055-2024-10-01952460</t>
  </si>
  <si>
    <t>01001893</t>
  </si>
  <si>
    <t>VIETNAM</t>
  </si>
  <si>
    <t>AIR EUROPA LINEAS AEREAS SOCIEDAD ANONIMA SOCIEDAD UNIPERSONAL</t>
  </si>
  <si>
    <t>0147-1325-03</t>
  </si>
  <si>
    <t>055-2024-10-01285367</t>
  </si>
  <si>
    <t>00001143</t>
  </si>
  <si>
    <t>482744 B</t>
  </si>
  <si>
    <t>0147-1326-03</t>
  </si>
  <si>
    <t>0147-1328-03</t>
  </si>
  <si>
    <t>0147-1363-03</t>
  </si>
  <si>
    <t>0211-1480-00</t>
  </si>
  <si>
    <t>LAS DEMÁS</t>
  </si>
  <si>
    <t>TUERCA</t>
  </si>
  <si>
    <t>0261-2118-00</t>
  </si>
  <si>
    <t>CHINA</t>
  </si>
  <si>
    <t>0291-1111-00</t>
  </si>
  <si>
    <t>0298-1000-22</t>
  </si>
  <si>
    <t>LAS DEMÁS ARANDELAS</t>
  </si>
  <si>
    <t>ARANDELA</t>
  </si>
  <si>
    <t>0301-2321-00</t>
  </si>
  <si>
    <t>0301-2335-00</t>
  </si>
  <si>
    <t>0301-2344-00</t>
  </si>
  <si>
    <t>ARANDELA DE SEGURIDAD</t>
  </si>
  <si>
    <t>0333-3220-00</t>
  </si>
  <si>
    <t>028-2024-10-01532238</t>
  </si>
  <si>
    <t>00001367</t>
  </si>
  <si>
    <t>FRANCE</t>
  </si>
  <si>
    <t>ANTWERPEN</t>
  </si>
  <si>
    <t>MARITIMO</t>
  </si>
  <si>
    <t>GUAYAQUIL MARITIMO</t>
  </si>
  <si>
    <t>CORREAS DE TRANSMISIÓN SIN FIN, SIN ESTRIAR, DE SECCIÓN TRAPEZOIDAL, DE CIRCUNFERENCIA EXTERIOR SUPERIOR A 60 CM PERO INFERIOR O IGUAL A 180 CM</t>
  </si>
  <si>
    <t>BANDAS</t>
  </si>
  <si>
    <t>ATLAS COPCO AIRPOWER N.V.</t>
  </si>
  <si>
    <t>CMA-CGM ECUADOR S.A.</t>
  </si>
  <si>
    <t>0367-0100-56</t>
  </si>
  <si>
    <t>0367-0100-57</t>
  </si>
  <si>
    <t>055-2024-10-02996145</t>
  </si>
  <si>
    <t>01002380</t>
  </si>
  <si>
    <t>Correas de transmisión sin fin, sin estriar, de sección trapezoidal, de circunferencia exterior superior a 60 cm pero inferior o igual a 180 cm</t>
  </si>
  <si>
    <t>SERVICIOS TECNICOS ESPECIALIZADOS WINGS GROUND HANDLING S.A.</t>
  </si>
  <si>
    <t>0367-0100-60</t>
  </si>
  <si>
    <t>ITALY</t>
  </si>
  <si>
    <t>DAMPER VIBRACION</t>
  </si>
  <si>
    <t>NUMERO DE UNIDADES</t>
  </si>
  <si>
    <t>0392-1100-20</t>
  </si>
  <si>
    <t>AMORTIGUADOR DE VIBRACIONES</t>
  </si>
  <si>
    <t>0392-1100-25</t>
  </si>
  <si>
    <t>0392-1100-63</t>
  </si>
  <si>
    <t>055-2024-10-00359260</t>
  </si>
  <si>
    <t>00000424</t>
  </si>
  <si>
    <t>CON ACCESORIOS</t>
  </si>
  <si>
    <t>TURK HAVA YOLLARI ANONIM ORTAKLIGI (TURKISH AIRLINES INC.)</t>
  </si>
  <si>
    <t>0574-8000-21</t>
  </si>
  <si>
    <t>0574-8000-22</t>
  </si>
  <si>
    <t>0574-8000-24</t>
  </si>
  <si>
    <t>0574-8000-25</t>
  </si>
  <si>
    <t>0574-8000-26</t>
  </si>
  <si>
    <t>0574-8000-37</t>
  </si>
  <si>
    <t>0574-8000-45</t>
  </si>
  <si>
    <t>0574-8002-18</t>
  </si>
  <si>
    <t>Con accesorios</t>
  </si>
  <si>
    <t>0574-8002-19</t>
  </si>
  <si>
    <t>0574-8002-25</t>
  </si>
  <si>
    <t>0574-8002-43</t>
  </si>
  <si>
    <t>0574-8002-48</t>
  </si>
  <si>
    <t>0574-8002-54</t>
  </si>
  <si>
    <t>0574-8002-65</t>
  </si>
  <si>
    <t>0574-8002-71</t>
  </si>
  <si>
    <t>0574-8002-76</t>
  </si>
  <si>
    <t>0574-9910-56</t>
  </si>
  <si>
    <t>0574-9918-24</t>
  </si>
  <si>
    <t>0575-0125-54</t>
  </si>
  <si>
    <t>NIPPLE</t>
  </si>
  <si>
    <t>0580-0018-34</t>
  </si>
  <si>
    <t>POLAND</t>
  </si>
  <si>
    <t>REDUCCIÓN &lt;&gt;</t>
  </si>
  <si>
    <t>0580-0402-00</t>
  </si>
  <si>
    <t>DE ALEACIONES DE COBRE</t>
  </si>
  <si>
    <t>RACOR BICONICO</t>
  </si>
  <si>
    <t>0582-2000-22</t>
  </si>
  <si>
    <t>TUBO DE CONEXION</t>
  </si>
  <si>
    <t>0583-8120-73</t>
  </si>
  <si>
    <t>055-2024-10-00222088</t>
  </si>
  <si>
    <t>01000266</t>
  </si>
  <si>
    <t>JUNTA PLANA 60X68</t>
  </si>
  <si>
    <t>0653-1293-00</t>
  </si>
  <si>
    <t>TAIWAN</t>
  </si>
  <si>
    <t>TORNILLOS, PERNOS, ARANDELAS Y ACCESORIOS ANÁLOGOS DE USO GENERAL</t>
  </si>
  <si>
    <t>0661-1000-38</t>
  </si>
  <si>
    <t>055-2024-10-00004303</t>
  </si>
  <si>
    <t>01000001</t>
  </si>
  <si>
    <t>MALTA</t>
  </si>
  <si>
    <t>Juntas o empaquetaduras</t>
  </si>
  <si>
    <t>O-RING</t>
  </si>
  <si>
    <t>0663-2101-95</t>
  </si>
  <si>
    <t>ANILLO</t>
  </si>
  <si>
    <t>JUNTAS O EMPAQUETADURAS</t>
  </si>
  <si>
    <t>0663-2103-22</t>
  </si>
  <si>
    <t>0663-2104-37</t>
  </si>
  <si>
    <t>055-2024-10-00092876</t>
  </si>
  <si>
    <t>00000151</t>
  </si>
  <si>
    <t>0663-2107-55</t>
  </si>
  <si>
    <t>0663-2108-08</t>
  </si>
  <si>
    <t>0663-2109-68</t>
  </si>
  <si>
    <t>0663-3130-00</t>
  </si>
  <si>
    <t>SWEDEN</t>
  </si>
  <si>
    <t>0663-6136-00</t>
  </si>
  <si>
    <t>0663-6147-00</t>
  </si>
  <si>
    <t>0663-7136-00</t>
  </si>
  <si>
    <t>PLUG</t>
  </si>
  <si>
    <t>0686-3716-01</t>
  </si>
  <si>
    <t>VÁLVULAS DE RETENCIÓN</t>
  </si>
  <si>
    <t>VALVULA ANTIRETORNO</t>
  </si>
  <si>
    <t>0823-0050-39</t>
  </si>
  <si>
    <t>VALVULA DE SEGURIDAD</t>
  </si>
  <si>
    <t>0830-1010-20</t>
  </si>
  <si>
    <t>VALVULA SEGURIDAD</t>
  </si>
  <si>
    <t>0830-1011-41</t>
  </si>
  <si>
    <t>LAS DEMÁS VÁLVULAS SOLENOIDES</t>
  </si>
  <si>
    <t>MINI VALVULA DE BOLA</t>
  </si>
  <si>
    <t>0852-0012-00</t>
  </si>
  <si>
    <t>Los  demás</t>
  </si>
  <si>
    <t>CONECTOR</t>
  </si>
  <si>
    <t>1088-0017-27</t>
  </si>
  <si>
    <t>1088-0017-28</t>
  </si>
  <si>
    <t>VALVULA</t>
  </si>
  <si>
    <t>1088-0702-14</t>
  </si>
  <si>
    <t>SENSOR TEMPERATURA</t>
  </si>
  <si>
    <t>1089-0574-70</t>
  </si>
  <si>
    <t>LOS DEMAS</t>
  </si>
  <si>
    <t>019-2024-10-03119522</t>
  </si>
  <si>
    <t>01002447</t>
  </si>
  <si>
    <t>GUAYAQUIL AEREO</t>
  </si>
  <si>
    <t>AVIANCA - ECUADOR S.A.</t>
  </si>
  <si>
    <t>SENSOR</t>
  </si>
  <si>
    <t>1089-0574-86</t>
  </si>
  <si>
    <t>VALVULA SOLENOIDE</t>
  </si>
  <si>
    <t>1089-0580-08</t>
  </si>
  <si>
    <t>1089-0580-09</t>
  </si>
  <si>
    <t>1089-0580-12</t>
  </si>
  <si>
    <t>Las demás</t>
  </si>
  <si>
    <t>1089-0580-21</t>
  </si>
  <si>
    <t>1089-0620-60</t>
  </si>
  <si>
    <t>VALVULA DE SOLENOIDE</t>
  </si>
  <si>
    <t>1089-0621-16</t>
  </si>
  <si>
    <t>SWITCH TEMPERATURA</t>
  </si>
  <si>
    <t>1089-0637-17</t>
  </si>
  <si>
    <t>1089-0637-24</t>
  </si>
  <si>
    <t>INTERRUPTOR DE TEMPERATURA</t>
  </si>
  <si>
    <t>1089-0637-29</t>
  </si>
  <si>
    <t>1089-0637-37</t>
  </si>
  <si>
    <t>1089-0641-12</t>
  </si>
  <si>
    <t>1089-0702-14</t>
  </si>
  <si>
    <t>SWITCH VENTILADOR</t>
  </si>
  <si>
    <t>1089-9139-35</t>
  </si>
  <si>
    <t>CZECH REPUBLIC</t>
  </si>
  <si>
    <t>TRANSFORMADOR</t>
  </si>
  <si>
    <t>1089-9436-08</t>
  </si>
  <si>
    <t>1089-9436-53</t>
  </si>
  <si>
    <t>1089-9439-21</t>
  </si>
  <si>
    <t>1089-9439-22</t>
  </si>
  <si>
    <t>FILTROS ELECTROSTÁTICOS DE AIRE U OTROS GASES</t>
  </si>
  <si>
    <t>FILTRO AIRE</t>
  </si>
  <si>
    <t>1089-9567-15</t>
  </si>
  <si>
    <t>PARA MEDIDA O CONTROL DE PRESIÓN</t>
  </si>
  <si>
    <t>1089-9625-01</t>
  </si>
  <si>
    <t>1092-0125-12</t>
  </si>
  <si>
    <t>UNITED KINGDOM</t>
  </si>
  <si>
    <t>1202-5749-00</t>
  </si>
  <si>
    <t>SEPARADOR ACEITE</t>
  </si>
  <si>
    <t>1202-8343-00</t>
  </si>
  <si>
    <t>NETHERLANDS</t>
  </si>
  <si>
    <t>ESPACIADOR</t>
  </si>
  <si>
    <t>1503-0154-00</t>
  </si>
  <si>
    <t>EMPAQUE</t>
  </si>
  <si>
    <t>1503-0170-00</t>
  </si>
  <si>
    <t>FILTRO DE AIRE</t>
  </si>
  <si>
    <t>1503-0189-00</t>
  </si>
  <si>
    <t>SILENCIADOR</t>
  </si>
  <si>
    <t>1503-2175-00</t>
  </si>
  <si>
    <t>KIT VALVULA REPARACION</t>
  </si>
  <si>
    <t>1503-5800-60</t>
  </si>
  <si>
    <t>KIT SERVICIO DE VALVULA</t>
  </si>
  <si>
    <t>1503-5800-62</t>
  </si>
  <si>
    <t>KIT DE VALVULA</t>
  </si>
  <si>
    <t>1503-5800-64</t>
  </si>
  <si>
    <t>KIT SERVICIO DE PISTON RING</t>
  </si>
  <si>
    <t>1503-5802-63</t>
  </si>
  <si>
    <t>KIT DE ARO DE PISTON</t>
  </si>
  <si>
    <t>1503-5809-67</t>
  </si>
  <si>
    <t>KIT VALVULA MT9-1</t>
  </si>
  <si>
    <t>1503-6140-60</t>
  </si>
  <si>
    <t>Arancel 0% para cabezas y/o cartucho de cierre cerámico; otros elementos de cierre (valvulitas o cabezas con tornillos ascendente); manijas, volantes y botones para apertura y cierre de caudal en artículos de grifería; picos de grifería; rosetas (set comp</t>
  </si>
  <si>
    <t>KIT MANTENIMIENTO VALVULA MT9-1</t>
  </si>
  <si>
    <t>NO REQUIERE INEN PRODUCTOS DISTINTOS DE PERFILES CORRUGADOS Y POSTES DE ACERO GUARDAVIAS</t>
  </si>
  <si>
    <t>KIT RING PISTON</t>
  </si>
  <si>
    <t>1503-6165-60</t>
  </si>
  <si>
    <t>KIT ANILLOS PISTON</t>
  </si>
  <si>
    <t>1503-6167-62</t>
  </si>
  <si>
    <t>VALVULA REGULADORA</t>
  </si>
  <si>
    <t>1503-6176-60</t>
  </si>
  <si>
    <t>CONJUNTO DISCO DE VALVULA</t>
  </si>
  <si>
    <t>1503-6188-60</t>
  </si>
  <si>
    <t>COJINETE</t>
  </si>
  <si>
    <t>1613-5194-00</t>
  </si>
  <si>
    <t>ELEMENTO SEP DE ACEITE</t>
  </si>
  <si>
    <t>1613-5329-00</t>
  </si>
  <si>
    <t>VALVULA DRENAJE</t>
  </si>
  <si>
    <t>1613-5452-00</t>
  </si>
  <si>
    <t>FILTRO ACEITE</t>
  </si>
  <si>
    <t>1613-6105-90</t>
  </si>
  <si>
    <t>LOS  DEMÁS</t>
  </si>
  <si>
    <t>FILTROS DE ACEITE</t>
  </si>
  <si>
    <t>FILTRO DE ACEITE</t>
  </si>
  <si>
    <t>ALMOHADILLA ANTIVIBRACIONES</t>
  </si>
  <si>
    <t>1613-6752-32</t>
  </si>
  <si>
    <t>1613-6882-00</t>
  </si>
  <si>
    <t>ELEMENTO DE FILTRO</t>
  </si>
  <si>
    <t>1613-8720-00</t>
  </si>
  <si>
    <t>ELEMENTO FILTRANTE</t>
  </si>
  <si>
    <t>ELEMENTO FILTRO</t>
  </si>
  <si>
    <t>CUBIERTA</t>
  </si>
  <si>
    <t>1613-8722-81</t>
  </si>
  <si>
    <t>MONTAJE VALVULA</t>
  </si>
  <si>
    <t>CONJUNTO DE ADMISION VALVULA</t>
  </si>
  <si>
    <t>ELEMENTO FILTRO AIRE</t>
  </si>
  <si>
    <t>1613-9001-00</t>
  </si>
  <si>
    <t>ELEMENTO FILTRANTE DE AIRE</t>
  </si>
  <si>
    <t>ELEMENTO FILTRO DE AIRE</t>
  </si>
  <si>
    <t>1613-9378-93</t>
  </si>
  <si>
    <t>1613-9503-00</t>
  </si>
  <si>
    <t>DE COBRE REFINADO</t>
  </si>
  <si>
    <t>LINEA DE BARRIDO</t>
  </si>
  <si>
    <t>1613-9841-00</t>
  </si>
  <si>
    <t>ACCESORIOS DE TUBERÍA (POR EJEMPLO: EMPALMES (RACORES), CODOS, MANGUITOS) DE ALUMINIO.</t>
  </si>
  <si>
    <t>FLANGE</t>
  </si>
  <si>
    <t>1614-6118-00</t>
  </si>
  <si>
    <t>1614-6449-00</t>
  </si>
  <si>
    <t>1614-7273-99</t>
  </si>
  <si>
    <t>CABLE</t>
  </si>
  <si>
    <t>1614-8126-03</t>
  </si>
  <si>
    <t>LOS DEMÁS. Aplica para cables para transmisión de datos.Art. 1 de la resolución 10-2014 COMEX.</t>
  </si>
  <si>
    <t>PARTES</t>
  </si>
  <si>
    <t>ACOPLAMIENTO FLEXIBLE</t>
  </si>
  <si>
    <t>1614-8738-00</t>
  </si>
  <si>
    <t>TUNISIA</t>
  </si>
  <si>
    <t>RUEDAS DENTADAS Y DEMÁS ÓRGANOS ELEMENTALES DE TRANSMISIÓN PRESENTA­DOS AISLADAMENTE</t>
  </si>
  <si>
    <t>ACOPLAMIENTO ELEMENTALES</t>
  </si>
  <si>
    <t>RUEDAS DENTADAS Y DEMÁS ÓRGANOS ELEMENTALES DE TRANSMISIÓN PRESENTADOS AISLADAMENTE</t>
  </si>
  <si>
    <t>ACOPLAMIENTO ELEMENTAL</t>
  </si>
  <si>
    <t>1614-8791-00</t>
  </si>
  <si>
    <t>ROMANIA</t>
  </si>
  <si>
    <t>CARCASA FILTRO ACEITE</t>
  </si>
  <si>
    <t>1614-9006-03</t>
  </si>
  <si>
    <t>1616-2798-00</t>
  </si>
  <si>
    <t>INDICADORES DE NIVEL</t>
  </si>
  <si>
    <t>INDICADOR NIVEL DE ACEITE</t>
  </si>
  <si>
    <t>1616-5108-00</t>
  </si>
  <si>
    <t>RUEDA DENTADA</t>
  </si>
  <si>
    <t>1616-5396-00</t>
  </si>
  <si>
    <t>1616-5397-00</t>
  </si>
  <si>
    <t>SELLO LIP</t>
  </si>
  <si>
    <t>1616-5742-80</t>
  </si>
  <si>
    <t>028-2024-10-00743465</t>
  </si>
  <si>
    <t>00000546</t>
  </si>
  <si>
    <t>DE COMPRESORES</t>
  </si>
  <si>
    <t>ELEMENTO COMPRESOR OIS O-05</t>
  </si>
  <si>
    <t>ATLAS COPCO AIRPOWER N.V</t>
  </si>
  <si>
    <t>1616-7345-92</t>
  </si>
  <si>
    <t>SERVICIO DE AIRE</t>
  </si>
  <si>
    <t>1616-7575-91</t>
  </si>
  <si>
    <t>De compresores</t>
  </si>
  <si>
    <t>ELEMENTO DE COMPRESOR DE TORNILLO OFS J-51</t>
  </si>
  <si>
    <t>1616-9883-81</t>
  </si>
  <si>
    <t>1617-6537-00</t>
  </si>
  <si>
    <t>1617-9471-00</t>
  </si>
  <si>
    <t>PARTES Y ACCESORIOS</t>
  </si>
  <si>
    <t>CARCASA DEL SENSOR</t>
  </si>
  <si>
    <t>1617-9655-80</t>
  </si>
  <si>
    <t>1619-2797-00</t>
  </si>
  <si>
    <t>1619-2798-00</t>
  </si>
  <si>
    <t>1621-+6002-00</t>
  </si>
  <si>
    <t>1621-1389-99</t>
  </si>
  <si>
    <t>1621-2536-00</t>
  </si>
  <si>
    <t>1621-7378-90</t>
  </si>
  <si>
    <t>VÁLVULAS PARA TRANSMISIONES OLEOHIDRÁULICAS O NEUMÁTICAS</t>
  </si>
  <si>
    <t>1621-7443-00</t>
  </si>
  <si>
    <t>1622-0009-00</t>
  </si>
  <si>
    <t>1622-0015-00</t>
  </si>
  <si>
    <t>Los demás, soldados, de sección circular, de acero inoxidable</t>
  </si>
  <si>
    <t>LINEA RECUPERACION DE TUBERIA</t>
  </si>
  <si>
    <t>1622-0017-10</t>
  </si>
  <si>
    <t>LOS DEMÁS, SOLDADOS, DE SECCIÓN CIRCULAR, DE ACERO INOXIDABLE</t>
  </si>
  <si>
    <t>CABLE SENSOR DE TEMPERATURA</t>
  </si>
  <si>
    <t>1622-0663-01</t>
  </si>
  <si>
    <t>1622-0965-80</t>
  </si>
  <si>
    <t>1622-1855-01</t>
  </si>
  <si>
    <t>CABLE SENSOR TEMPERATURA</t>
  </si>
  <si>
    <t>1622-3056-10</t>
  </si>
  <si>
    <t>MOTORREDUCTOR</t>
  </si>
  <si>
    <t>1622-3110-39</t>
  </si>
  <si>
    <t>GEAR MOTOR</t>
  </si>
  <si>
    <t>ELEMENTO DE ENGRANAJE</t>
  </si>
  <si>
    <t>1622-3110-40</t>
  </si>
  <si>
    <t>ELEMENTO ENGRANAJE</t>
  </si>
  <si>
    <t>1622-3155-00</t>
  </si>
  <si>
    <t>VARILLA PISTON</t>
  </si>
  <si>
    <t>1622-3164-31</t>
  </si>
  <si>
    <t>PISTON DE VARILLA</t>
  </si>
  <si>
    <t>VENTILADOR RADIAL</t>
  </si>
  <si>
    <t>1622-3406-02</t>
  </si>
  <si>
    <t>REGULACION DE LA VALVULA</t>
  </si>
  <si>
    <t>1622-3539-86</t>
  </si>
  <si>
    <t>PISTON C146</t>
  </si>
  <si>
    <t>1622-3687-00</t>
  </si>
  <si>
    <t>ENFRIADOR</t>
  </si>
  <si>
    <t>1622-3767-10</t>
  </si>
  <si>
    <t>1622-3769-10</t>
  </si>
  <si>
    <t>1622-5073-80</t>
  </si>
  <si>
    <t>LOS DEMAS_(SOLO PARA AQUELLAS MERCANCÍAS DIFERENTES A "PERNOS DE CABEZA DE BOTÓN OVAL Y SUS TUERCAS"_NO INEN)</t>
  </si>
  <si>
    <t>VARILLA</t>
  </si>
  <si>
    <t>1622-5115-01</t>
  </si>
  <si>
    <t>VALVULA DE DESCARGA</t>
  </si>
  <si>
    <t>1622-5128-80</t>
  </si>
  <si>
    <t>SET ENGRANAJES 27/28</t>
  </si>
  <si>
    <t>1622-6167-81</t>
  </si>
  <si>
    <t>SET ENGRANAJES</t>
  </si>
  <si>
    <t>1622-6988-73</t>
  </si>
  <si>
    <t>1622-6990-00</t>
  </si>
  <si>
    <t>VALVULA TERMOSTATICA</t>
  </si>
  <si>
    <t>1622-7064-04</t>
  </si>
  <si>
    <t>NOZZLE</t>
  </si>
  <si>
    <t>1622-8704-00</t>
  </si>
  <si>
    <t>INDIA</t>
  </si>
  <si>
    <t>1622-8786-88</t>
  </si>
  <si>
    <t>Partes</t>
  </si>
  <si>
    <t>PINON ENGRANAJE</t>
  </si>
  <si>
    <t>1623-1100-00</t>
  </si>
  <si>
    <t>VALVULA ASSEMBLY</t>
  </si>
  <si>
    <t>1623-1810-80</t>
  </si>
  <si>
    <t>ASSEMBLY</t>
  </si>
  <si>
    <t>TRANSMISION DE EJE</t>
  </si>
  <si>
    <t>1623-3920-00</t>
  </si>
  <si>
    <t>TRANSMISION ENGRANAJE</t>
  </si>
  <si>
    <t>1623-3952-00</t>
  </si>
  <si>
    <t>BUSHING</t>
  </si>
  <si>
    <t>1623-5507-00</t>
  </si>
  <si>
    <t>ABSORBEDOR</t>
  </si>
  <si>
    <t>1623-7339-01</t>
  </si>
  <si>
    <t>ÓXIDO DE ALUMINIO, EXCEPTO EL CORINDÓN ARTIFICIAL</t>
  </si>
  <si>
    <t>TUBO ASSY</t>
  </si>
  <si>
    <t>1624-0999-81</t>
  </si>
  <si>
    <t>1624-1633-09</t>
  </si>
  <si>
    <t>STUD</t>
  </si>
  <si>
    <t>1624-1680-00</t>
  </si>
  <si>
    <t>VALVULA DRENAJE AUTOMATICO</t>
  </si>
  <si>
    <t>1624-2950-80</t>
  </si>
  <si>
    <t>Partes y accesorios</t>
  </si>
  <si>
    <t>IMPACTOR DRAGER</t>
  </si>
  <si>
    <t>1624-7375-00</t>
  </si>
  <si>
    <t>PANEL DE CONTROL ELEKTRONIKON</t>
  </si>
  <si>
    <t>1624-9405-00</t>
  </si>
  <si>
    <t>LOS DEMÁS RODAMIENTOS DE RODILLOS CILÍNDRICOS, INCLUIDOS LOS ENSAMBLAJES DE JAULAS Y RODILLOS</t>
  </si>
  <si>
    <t>RODAMIENTOS</t>
  </si>
  <si>
    <t>1625-0033-08</t>
  </si>
  <si>
    <t>PAD ANTIVIBRACION</t>
  </si>
  <si>
    <t>1625-2062-00</t>
  </si>
  <si>
    <t>PAD ANTI VIBRADOR</t>
  </si>
  <si>
    <t>1625-2062-10</t>
  </si>
  <si>
    <t>PAD ANTIVIBRADOR</t>
  </si>
  <si>
    <t>1625-2073-04</t>
  </si>
  <si>
    <t>1625-2073-05</t>
  </si>
  <si>
    <t>1625-2073-06</t>
  </si>
  <si>
    <t>1625-2202-44</t>
  </si>
  <si>
    <t>1625-4238-28</t>
  </si>
  <si>
    <t>1625-4274-50</t>
  </si>
  <si>
    <t>1625-4300-97</t>
  </si>
  <si>
    <t>1625-4301-08</t>
  </si>
  <si>
    <t>1625-4301-21</t>
  </si>
  <si>
    <t>1625-4303-40</t>
  </si>
  <si>
    <t>1625-4303-41</t>
  </si>
  <si>
    <t>1625-4304-03</t>
  </si>
  <si>
    <t>ENSAMBLADO DE LA MANGUERA</t>
  </si>
  <si>
    <t>1625-4763-10</t>
  </si>
  <si>
    <t>1625-4800-50</t>
  </si>
  <si>
    <t>FILTRO</t>
  </si>
  <si>
    <t>1625-4800-51</t>
  </si>
  <si>
    <t>1625-4811-51</t>
  </si>
  <si>
    <t>Filtros electrostáticos de aire u otros gases</t>
  </si>
  <si>
    <t>1625-4847-01</t>
  </si>
  <si>
    <t>1625-4847-02</t>
  </si>
  <si>
    <t>1625-4847-04</t>
  </si>
  <si>
    <t>1625-4847-09</t>
  </si>
  <si>
    <t>1625-4847-10</t>
  </si>
  <si>
    <t>1625-5629-00</t>
  </si>
  <si>
    <t>1625-5630-00</t>
  </si>
  <si>
    <t>1625-5701-10</t>
  </si>
  <si>
    <t>1625-5953-00</t>
  </si>
  <si>
    <t>1625-5955-00</t>
  </si>
  <si>
    <t>1625-7004-81</t>
  </si>
  <si>
    <t>CONJUNTO VALVULA WSD</t>
  </si>
  <si>
    <t>1625-7200-19</t>
  </si>
  <si>
    <t>VALVULA DE ENTRADA</t>
  </si>
  <si>
    <t>1625-8101-01</t>
  </si>
  <si>
    <t>TUBO SCAVENGE L</t>
  </si>
  <si>
    <t>1625-8228-01</t>
  </si>
  <si>
    <t>REPUESTO VALVULA COMBI C11</t>
  </si>
  <si>
    <t>1625-8422-00</t>
  </si>
  <si>
    <t>Válvulas reductoras de presión</t>
  </si>
  <si>
    <t>1625-8757-00</t>
  </si>
  <si>
    <t>1625-8900-00</t>
  </si>
  <si>
    <t>055-2024-10-01280134</t>
  </si>
  <si>
    <t>00001239</t>
  </si>
  <si>
    <t>482744 A</t>
  </si>
  <si>
    <t>1625-8902-32</t>
  </si>
  <si>
    <t>DRENAJE AUTOMATICO</t>
  </si>
  <si>
    <t>1627-1555-20</t>
  </si>
  <si>
    <t>VENTILADOR AXIAL</t>
  </si>
  <si>
    <t>1627-3269-81</t>
  </si>
  <si>
    <t>MANGUERA ASSEMBLY</t>
  </si>
  <si>
    <t>1627-9011-10</t>
  </si>
  <si>
    <t>PERNO CENTRAL</t>
  </si>
  <si>
    <t>1629-0305-48</t>
  </si>
  <si>
    <t>ASSEMBLY INLET</t>
  </si>
  <si>
    <t>1629-0310-50</t>
  </si>
  <si>
    <t>VALVULA DE ENTRADA MONTAJE</t>
  </si>
  <si>
    <t>1629-0313-04</t>
  </si>
  <si>
    <t>1629-0313-62</t>
  </si>
  <si>
    <t>SOPORTE P/SENSOR BRACKET</t>
  </si>
  <si>
    <t>1629-2085-00</t>
  </si>
  <si>
    <t>1629-2141-69</t>
  </si>
  <si>
    <t>1629-2141-93</t>
  </si>
  <si>
    <t>1629-3076-00</t>
  </si>
  <si>
    <t>1629-4035-00</t>
  </si>
  <si>
    <t>PARA MEDIDA O CONTROL DE PRESIÓN. PARA MERCANCÍAS QUE NO CORRESPONDAN A DISPOSITIVOS MÉDICOS DE USO Y CONSUMO HUMANO</t>
  </si>
  <si>
    <t>SENSOR PRESION</t>
  </si>
  <si>
    <t>1629-4035-20</t>
  </si>
  <si>
    <t>1630-0406-99</t>
  </si>
  <si>
    <t>1630-0408-99</t>
  </si>
  <si>
    <t>FILTRAR AIRE</t>
  </si>
  <si>
    <t>1630-0409-99</t>
  </si>
  <si>
    <t>UNITED STATES</t>
  </si>
  <si>
    <t>GRASAS LUBRICANTES</t>
  </si>
  <si>
    <t>1630-0542-00</t>
  </si>
  <si>
    <t>028-2024-10-00743224</t>
  </si>
  <si>
    <t>00000664</t>
  </si>
  <si>
    <t>PARA COMPRESORES</t>
  </si>
  <si>
    <t>028-2024-10-02058466</t>
  </si>
  <si>
    <t>00004061</t>
  </si>
  <si>
    <t>MEDITERRANEAN SHIPPING COMPANY DEL ECUADOR COMPANIA ANONIMA EMESSEA</t>
  </si>
  <si>
    <t>1630-0589-03</t>
  </si>
  <si>
    <t>1630-0604-61</t>
  </si>
  <si>
    <t>ACEITE</t>
  </si>
  <si>
    <t>METRO CUBICO REAL</t>
  </si>
  <si>
    <t>1630-1442-00</t>
  </si>
  <si>
    <t>Los demás, con dispositivo registrador</t>
  </si>
  <si>
    <t>MODULO</t>
  </si>
  <si>
    <t>1630-2039-10</t>
  </si>
  <si>
    <t>1630-2201-36</t>
  </si>
  <si>
    <t>1631-0000-11</t>
  </si>
  <si>
    <t>1631-0433-00</t>
  </si>
  <si>
    <t>HUNGARY</t>
  </si>
  <si>
    <t>VALVULA STOP ACEITE</t>
  </si>
  <si>
    <t>1635-0122-00</t>
  </si>
  <si>
    <t>1635-3508-00</t>
  </si>
  <si>
    <t>BUFFER</t>
  </si>
  <si>
    <t>1635-8302-00</t>
  </si>
  <si>
    <t>1649-8120-01</t>
  </si>
  <si>
    <t>1649-8121-62</t>
  </si>
  <si>
    <t>"LOS DEMAS_(solo para aquellas mercancías diferentes a ""pernos de cabeza de botón oval y sus tuercas""_NO INEN)"</t>
  </si>
  <si>
    <t>1830-0252-66</t>
  </si>
  <si>
    <t>Las demás arandelas</t>
  </si>
  <si>
    <t>1830-0305-26</t>
  </si>
  <si>
    <t>1830-0360-77</t>
  </si>
  <si>
    <t>1830-0360-78</t>
  </si>
  <si>
    <t>1830-0426-06</t>
  </si>
  <si>
    <t>VÁLVULAS REDUCTORAS DE PRESIÓN</t>
  </si>
  <si>
    <t>VALVULA REDUCTORA DE PRESION</t>
  </si>
  <si>
    <t>1830-0661-30</t>
  </si>
  <si>
    <t>TERMOSTATOS</t>
  </si>
  <si>
    <t>TERMOSTATO</t>
  </si>
  <si>
    <t>1830-0805-89</t>
  </si>
  <si>
    <t>1830-1037-09</t>
  </si>
  <si>
    <t>SEPARADOR DE ACEITE K</t>
  </si>
  <si>
    <t>1837-0018-81</t>
  </si>
  <si>
    <t>KIT FILTRO AIRE</t>
  </si>
  <si>
    <t>1837-0018-83</t>
  </si>
  <si>
    <t>KIT DE FILTRO DE ACEITE</t>
  </si>
  <si>
    <t>1837-0018-84</t>
  </si>
  <si>
    <t>1837-0018-85</t>
  </si>
  <si>
    <t>1837-0049-08</t>
  </si>
  <si>
    <t>1837-0049-10</t>
  </si>
  <si>
    <t>1837-0057-03</t>
  </si>
  <si>
    <t>KIT FILTRO</t>
  </si>
  <si>
    <t>1837-0063-48</t>
  </si>
  <si>
    <t>1837-0080-04</t>
  </si>
  <si>
    <t>KIT DE SERVICIO</t>
  </si>
  <si>
    <t>1837-0082-58</t>
  </si>
  <si>
    <t>NRV KIT LOW PRE</t>
  </si>
  <si>
    <t>KIT VALVULA STC</t>
  </si>
  <si>
    <t>1837-0082-60</t>
  </si>
  <si>
    <t>1837-0289-55</t>
  </si>
  <si>
    <t>KIT SEPARADOR ACEITE</t>
  </si>
  <si>
    <t>1837-0289-64</t>
  </si>
  <si>
    <t>KIT MANTEMINIENTO VALVULA</t>
  </si>
  <si>
    <t>1837-0289-65</t>
  </si>
  <si>
    <t>KIT DE SERVICIO OSV-CV</t>
  </si>
  <si>
    <t>1837-0289-67</t>
  </si>
  <si>
    <t>KIT FILTRO ACEITE</t>
  </si>
  <si>
    <t>1837-0289-72</t>
  </si>
  <si>
    <t>KIT PANEL DE CONTROL MK55 TOUCH</t>
  </si>
  <si>
    <t>1837-0310-16</t>
  </si>
  <si>
    <t>KITS TOQUE</t>
  </si>
  <si>
    <t>KIT PANEL MK5S TOUCH</t>
  </si>
  <si>
    <t>Los demás rodamientos de rodillos cilíndricos, incluidos los ensamblajes de jaulas y rodillos</t>
  </si>
  <si>
    <t>1837-0338-71</t>
  </si>
  <si>
    <t>KIT RETROFIT</t>
  </si>
  <si>
    <t>1837-0347-16</t>
  </si>
  <si>
    <t>1860-1081-83</t>
  </si>
  <si>
    <t>1900-5200-02</t>
  </si>
  <si>
    <t>Controladores lógicos programables (PLC)</t>
  </si>
  <si>
    <t>PANEL CONTROL ELEKTRONIKON ST</t>
  </si>
  <si>
    <t>1900-5200-33</t>
  </si>
  <si>
    <t>ELECTRONICO</t>
  </si>
  <si>
    <t>1900-5200-71</t>
  </si>
  <si>
    <t>DRIVE 98KVA</t>
  </si>
  <si>
    <t>1900-5450-16</t>
  </si>
  <si>
    <t>OUTLET HOUSING</t>
  </si>
  <si>
    <t>2080-1199-02</t>
  </si>
  <si>
    <t>KIT SERVICIO VALVULA DE DESCARGA</t>
  </si>
  <si>
    <t>2200-9009-61</t>
  </si>
  <si>
    <t>KIT VALVULA DRENAJE</t>
  </si>
  <si>
    <t>2200-9020-17</t>
  </si>
  <si>
    <t>KIT VALVULA DESGATE DE DRENAJE</t>
  </si>
  <si>
    <t>DESGASTE DRENAJE</t>
  </si>
  <si>
    <t>KIT VALVULA DRENAJE REEMPLAZO</t>
  </si>
  <si>
    <t>2200-9024-01</t>
  </si>
  <si>
    <t>FLEXIBLE</t>
  </si>
  <si>
    <t>2202-7050-03</t>
  </si>
  <si>
    <t>2202-7050-04</t>
  </si>
  <si>
    <t>2202-7298-01</t>
  </si>
  <si>
    <t>CONECTOR DE ACOPLAMIENTO</t>
  </si>
  <si>
    <t>2202-7639-01</t>
  </si>
  <si>
    <t>VALVULA DRENAJE ELECTRONICA</t>
  </si>
  <si>
    <t>2202-8159-32</t>
  </si>
  <si>
    <t>2202-8891-05</t>
  </si>
  <si>
    <t>2202-9259-04</t>
  </si>
  <si>
    <t>2202-9259-07</t>
  </si>
  <si>
    <t>2202-9259-08</t>
  </si>
  <si>
    <t>SEPARADOR AIRE/ACEITE</t>
  </si>
  <si>
    <t>2202-9294-50</t>
  </si>
  <si>
    <t>SEPARADOR DE ACEITE/AIRE</t>
  </si>
  <si>
    <t>2202-9295-50</t>
  </si>
  <si>
    <t>2202-9296-50</t>
  </si>
  <si>
    <t>2203-0161-00</t>
  </si>
  <si>
    <t>SLOVENIA</t>
  </si>
  <si>
    <t>VENTILADOR D400</t>
  </si>
  <si>
    <t>2203-0488-00</t>
  </si>
  <si>
    <t>VENTILADOR</t>
  </si>
  <si>
    <t>2204-1076-00</t>
  </si>
  <si>
    <t>SIN ACCESORIOS</t>
  </si>
  <si>
    <t>MANGUERAS</t>
  </si>
  <si>
    <t>2204-1230-00</t>
  </si>
  <si>
    <t>CONTROLADOR BASICO</t>
  </si>
  <si>
    <t>2204-1351-01</t>
  </si>
  <si>
    <t>VALVULA CHECK</t>
  </si>
  <si>
    <t>2204-1546-01</t>
  </si>
  <si>
    <t>VALVULA DE RETENCION</t>
  </si>
  <si>
    <t>2204-1556-54</t>
  </si>
  <si>
    <t>2204-1556-56</t>
  </si>
  <si>
    <t>2204-1861-06</t>
  </si>
  <si>
    <t>2204-2134-10</t>
  </si>
  <si>
    <t>DRENAJE LDI</t>
  </si>
  <si>
    <t>2204-2134-43</t>
  </si>
  <si>
    <t>KIT SENSOR PRESION</t>
  </si>
  <si>
    <t>2205-0313-01</t>
  </si>
  <si>
    <t>2230-0018-09</t>
  </si>
  <si>
    <t>KIT SERVICIO CD5</t>
  </si>
  <si>
    <t>2230-0040-07</t>
  </si>
  <si>
    <t>2230-0040-12</t>
  </si>
  <si>
    <t>CONECTOR CD1</t>
  </si>
  <si>
    <t>2230-0040-13</t>
  </si>
  <si>
    <t>De aleaciones de cobre</t>
  </si>
  <si>
    <t>KIT SERVICIO SOLENOIDE</t>
  </si>
  <si>
    <t>2230-0040-15</t>
  </si>
  <si>
    <t>JUNTAS</t>
  </si>
  <si>
    <t>2230-0040-28</t>
  </si>
  <si>
    <t>KIT ACTUALIZACION NEOS</t>
  </si>
  <si>
    <t>2230-0203-00</t>
  </si>
  <si>
    <t>DAMPER</t>
  </si>
  <si>
    <t>2235-2544-00</t>
  </si>
  <si>
    <t>AMORTIGUADOR</t>
  </si>
  <si>
    <t>AMORTIGUADOR VIBRATION</t>
  </si>
  <si>
    <t>MUFFLER SAF 10B</t>
  </si>
  <si>
    <t>2236-1173-49</t>
  </si>
  <si>
    <t>LAS DEMÁS (CERRADURA PARA PUERTA)</t>
  </si>
  <si>
    <t>CERRADURA</t>
  </si>
  <si>
    <t>2252-7237-00</t>
  </si>
  <si>
    <t>2253-9671-01</t>
  </si>
  <si>
    <t>AUSTRIA</t>
  </si>
  <si>
    <t>2892-6100-20</t>
  </si>
  <si>
    <t>2901-0000-00</t>
  </si>
  <si>
    <t>VALVULA DESCARGADOR</t>
  </si>
  <si>
    <t>2901-0002-01</t>
  </si>
  <si>
    <t>SEPARADOR ACEITE/AIRE</t>
  </si>
  <si>
    <t>2901-0003-00</t>
  </si>
  <si>
    <t>2901-0004-01</t>
  </si>
  <si>
    <t>SEPARADOR</t>
  </si>
  <si>
    <t>2901-0061-01</t>
  </si>
  <si>
    <t>2901-0070-00</t>
  </si>
  <si>
    <t>KIT TERMOSTATO</t>
  </si>
  <si>
    <t>2901-0074-00</t>
  </si>
  <si>
    <t>2901-0213-01</t>
  </si>
  <si>
    <t>CONJUNTO DE REANCODICIOMIENTO WD80</t>
  </si>
  <si>
    <t>2901-0215-00</t>
  </si>
  <si>
    <t>KIT VALVULA RETENCION/STOP ACEITE</t>
  </si>
  <si>
    <t>2901-0217-04</t>
  </si>
  <si>
    <t>KIT VALVULA RETENCION/STOP DE ACEITE</t>
  </si>
  <si>
    <t>KIT VALVULA STOP/CHECK ACEITE</t>
  </si>
  <si>
    <t>KIT SERVICIO VALVULA WSD</t>
  </si>
  <si>
    <t>2901-0219-00</t>
  </si>
  <si>
    <t>2901-0338-03</t>
  </si>
  <si>
    <t>KIT BUJE DE EJE DEL SELLO</t>
  </si>
  <si>
    <t>2901-0561-00</t>
  </si>
  <si>
    <t>2901-0563-00</t>
  </si>
  <si>
    <t>KIY VALVULA DRENAJE AUTOMATICO</t>
  </si>
  <si>
    <t>2901-0566-02</t>
  </si>
  <si>
    <t>2901-0566-22</t>
  </si>
  <si>
    <t>CONJUNTO DE DESGASTE</t>
  </si>
  <si>
    <t>2901-0633-20</t>
  </si>
  <si>
    <t>VALVULA CONJUNTO DESGASTE</t>
  </si>
  <si>
    <t>RODAMIENTO</t>
  </si>
  <si>
    <t>2901-0709-00</t>
  </si>
  <si>
    <t>2901-0749-00</t>
  </si>
  <si>
    <t>DRENAJE WSD80</t>
  </si>
  <si>
    <t>2901-0750-00</t>
  </si>
  <si>
    <t>2901-0752-00</t>
  </si>
  <si>
    <t>2901-0779-01</t>
  </si>
  <si>
    <t>MONATJE DE ELEMENTOS</t>
  </si>
  <si>
    <t>2901-0850-00</t>
  </si>
  <si>
    <t>2901-0866-01</t>
  </si>
  <si>
    <t>FILTRO GX15</t>
  </si>
  <si>
    <t>29-01-0866-01</t>
  </si>
  <si>
    <t>KIT FILTRO SEPARADOR</t>
  </si>
  <si>
    <t>2901-0919-00</t>
  </si>
  <si>
    <t>KIT VALVULA DE PRESION MINIMA</t>
  </si>
  <si>
    <t>2901-0997-00</t>
  </si>
  <si>
    <t>KIT VALVULA PRESION MINIMA</t>
  </si>
  <si>
    <t>KIT VALVULA NO RETORNO</t>
  </si>
  <si>
    <t>2901-1077-00</t>
  </si>
  <si>
    <t>KIT VALVULA NO RETURN</t>
  </si>
  <si>
    <t>KIT ANTIRETORNO NON</t>
  </si>
  <si>
    <t>2901-1084-01</t>
  </si>
  <si>
    <t>LOS DEMÁS, INCLUIDOS LOS RODAMIENTOS COMBINADOS</t>
  </si>
  <si>
    <t>2901-1089-01</t>
  </si>
  <si>
    <t>RODAMIENTOS DE RODILLOS CÓNICOS, INCLUIDOS LOS ENSAMBLAJES DE CONOS Y RODILLOS CÓNICOS</t>
  </si>
  <si>
    <t>LOS DEMAS, INCLUIDOS LOS RODAMIENTOS COMBINADOS</t>
  </si>
  <si>
    <t>KIT REPARACION VALVULA TERMOSTATICO</t>
  </si>
  <si>
    <t>2901-1095-00</t>
  </si>
  <si>
    <t>KIT MANTENIMIENTO VALVULA TERMOSTATICA</t>
  </si>
  <si>
    <t>KIT SELLO</t>
  </si>
  <si>
    <t>2901-1097-00</t>
  </si>
  <si>
    <t>KIT SERVICIO FILTRO</t>
  </si>
  <si>
    <t>2901-1122-00</t>
  </si>
  <si>
    <t>KIT MANTENIMIENTO FILTRO PM</t>
  </si>
  <si>
    <t>MANTENIMIENTO PREVENTIVO</t>
  </si>
  <si>
    <t>2901-1292-00</t>
  </si>
  <si>
    <t>2901-1399-00</t>
  </si>
  <si>
    <t>KIT LINEA DE DESCARGA</t>
  </si>
  <si>
    <t>2901-1452-00</t>
  </si>
  <si>
    <t>KIT SERVICIO LINEA DE EVACUACION</t>
  </si>
  <si>
    <t>De cobre refinado</t>
  </si>
  <si>
    <t>KIT LINEA DE RETORNO PARA COMPRESOR</t>
  </si>
  <si>
    <t>2901-1453-00</t>
  </si>
  <si>
    <t>KIT SERVICIO VALVULA DE PRESION MINIMA</t>
  </si>
  <si>
    <t>KIT VAVULA PRESION MINIMA</t>
  </si>
  <si>
    <t>KIT DE TERMOSTATO VALVULA</t>
  </si>
  <si>
    <t>2901-1454-00</t>
  </si>
  <si>
    <t>2901-1463-00</t>
  </si>
  <si>
    <t>CARBÓN ACTIVADO</t>
  </si>
  <si>
    <t>KIT SERVICIO OSC</t>
  </si>
  <si>
    <t>2901-1578-20</t>
  </si>
  <si>
    <t>KIT LINEA EVACUACION</t>
  </si>
  <si>
    <t>2901-1615-00</t>
  </si>
  <si>
    <t>KIT VALVULA TERMOSTATICA</t>
  </si>
  <si>
    <t>2901-1616-00</t>
  </si>
  <si>
    <t>KIT DE TERMOSTATO</t>
  </si>
  <si>
    <t>2901-1617-00</t>
  </si>
  <si>
    <t>KIT SERVICIO VALVULA TERMOSTATICA</t>
  </si>
  <si>
    <t>2901-1618-00</t>
  </si>
  <si>
    <t>VALVULA UNLOADER</t>
  </si>
  <si>
    <t>2901-1622-00</t>
  </si>
  <si>
    <t>KIT VALVULA DESCARGADOR</t>
  </si>
  <si>
    <t>VALVULA DE DESCARGADOR</t>
  </si>
  <si>
    <t>SEPARADOR DE ACEITE</t>
  </si>
  <si>
    <t>2901-1626-00</t>
  </si>
  <si>
    <t>2901-1626-10</t>
  </si>
  <si>
    <t>ELEMENTO DE MONTAJE</t>
  </si>
  <si>
    <t>2901-1639-00</t>
  </si>
  <si>
    <t>KIT MONTAJE DE ELEMENTOS</t>
  </si>
  <si>
    <t>KIT MANTENIMIENTO</t>
  </si>
  <si>
    <t>2901-1641-01</t>
  </si>
  <si>
    <t>MONTAJE DE ELEMENTOS</t>
  </si>
  <si>
    <t>2901-1644-00</t>
  </si>
  <si>
    <t>ELEMENTO MOUNTIN</t>
  </si>
  <si>
    <t>2901-1646-00</t>
  </si>
  <si>
    <t>ELEMENTO OVERHAU</t>
  </si>
  <si>
    <t>2901-1702-00</t>
  </si>
  <si>
    <t>KIT VALVULA TERMICA</t>
  </si>
  <si>
    <t>2901-1872-00</t>
  </si>
  <si>
    <t>2901-1910-21</t>
  </si>
  <si>
    <t>MOTOR OVERHAUL</t>
  </si>
  <si>
    <t>2901-1944-02</t>
  </si>
  <si>
    <t>2901-1947-02</t>
  </si>
  <si>
    <t>2901-1948-02</t>
  </si>
  <si>
    <t>PARTES IDENTIFICABLES COMO DESTINADAS, EXCLUSIVA O PRINCIPALMENTE, A LAS MÁQUINAS DE LAS PARTIDAS 85.01 U 85.02.</t>
  </si>
  <si>
    <t>KIT MANTENIMIENTO MOTOR</t>
  </si>
  <si>
    <t>2901-1951-01</t>
  </si>
  <si>
    <t>PARTES IDENTIFICABLES COMO DESTINADAS, EXCLUSIVA O PRINCIPAL MENTE, A LAS MAQUINAS DE LAS PARTIDAS NOS 85.01 U 85.02.</t>
  </si>
  <si>
    <t>KIT REACONDICIONAMIENTO MOTOR</t>
  </si>
  <si>
    <t>2901-1952-00</t>
  </si>
  <si>
    <t>KIT SELLO LIP</t>
  </si>
  <si>
    <t>2901-1955-00</t>
  </si>
  <si>
    <t>2901-1957-00</t>
  </si>
  <si>
    <t>2901-1959-00</t>
  </si>
  <si>
    <t>FILTRO DE AIRE/ACEITE</t>
  </si>
  <si>
    <t>2901-1961-00</t>
  </si>
  <si>
    <t>FILTRO AIRE/ACEITE</t>
  </si>
  <si>
    <t>2901-1963-00</t>
  </si>
  <si>
    <t>2901-2005-02</t>
  </si>
  <si>
    <t>2901-2005-04</t>
  </si>
  <si>
    <t>FILTRO QD70</t>
  </si>
  <si>
    <t>KIT FILTRO QD13</t>
  </si>
  <si>
    <t>2901-2005-05</t>
  </si>
  <si>
    <t>2901-2006-11</t>
  </si>
  <si>
    <t>VALVULA ANTI-RETORNO</t>
  </si>
  <si>
    <t>KIT FILTRO DE CUBICULO</t>
  </si>
  <si>
    <t>2901-2006-12</t>
  </si>
  <si>
    <t>KIT FILTRO CUBICULO</t>
  </si>
  <si>
    <t>RODAMIENTOS DE BOLAS</t>
  </si>
  <si>
    <t>2901-2006-16</t>
  </si>
  <si>
    <t>FILTRO SEPARADOR</t>
  </si>
  <si>
    <t>2901-2006-50</t>
  </si>
  <si>
    <t>KIT FILTRO/SEPARADOR</t>
  </si>
  <si>
    <t>FILTRO SEPARADOR AIRE/ACEITE</t>
  </si>
  <si>
    <t>KIT FILTRO AIRE/ACEITE</t>
  </si>
  <si>
    <t>2901-2006-51</t>
  </si>
  <si>
    <t>KIT DE SERVICIO DE VALVULA DE PRESION</t>
  </si>
  <si>
    <t>2901-2006-53</t>
  </si>
  <si>
    <t>KIT SERVICIO VALVULA PRESION</t>
  </si>
  <si>
    <t>2901-2006-54</t>
  </si>
  <si>
    <t>Rodamientos de bolas</t>
  </si>
  <si>
    <t>KIT SELLOS INSTR</t>
  </si>
  <si>
    <t>2901-2006-56</t>
  </si>
  <si>
    <t>KIT SERVICIO VALVULA TERMOSTATO TROPICAL</t>
  </si>
  <si>
    <t>2901-2006-61</t>
  </si>
  <si>
    <t>2901-2010-00</t>
  </si>
  <si>
    <t>KIT MANTENIMIENTO VALVULA DE RETENCION</t>
  </si>
  <si>
    <t>2901-2012-00</t>
  </si>
  <si>
    <t>KIT VALVULA RETENCION DE ACEITE</t>
  </si>
  <si>
    <t>KIT ELEMENTO MONTAJE</t>
  </si>
  <si>
    <t>2901-2015-00</t>
  </si>
  <si>
    <t>KIT ELEMENTO DE MONTAJE</t>
  </si>
  <si>
    <t>Rodamientos de rodillos cónicos, incluidos los ensamblajes de conos y rodillos cónicos</t>
  </si>
  <si>
    <t>2901-2016-00</t>
  </si>
  <si>
    <t>2901-2017-00</t>
  </si>
  <si>
    <t>2901-2018-00</t>
  </si>
  <si>
    <t>KIT SERVICIO VALVULA OSV/CV C11</t>
  </si>
  <si>
    <t>KIT OSV/CV</t>
  </si>
  <si>
    <t>KIT VALVULA DE CONTROL OSV/CV</t>
  </si>
  <si>
    <t>2901-2021-00</t>
  </si>
  <si>
    <t>LADO DE IMPULSION DEL MOTOR</t>
  </si>
  <si>
    <t>2901-2022-00</t>
  </si>
  <si>
    <t>KIT MOTOR OVERH</t>
  </si>
  <si>
    <t>2901-2023-00</t>
  </si>
  <si>
    <t>COJINETES</t>
  </si>
  <si>
    <t>2901-2024-00</t>
  </si>
  <si>
    <t>KIT MONTAJE ELEMENTOS</t>
  </si>
  <si>
    <t>2901-2047-00</t>
  </si>
  <si>
    <t>MONTAJE DE ELEMENTO</t>
  </si>
  <si>
    <t>2901-2049-00</t>
  </si>
  <si>
    <t>KIT VALVULA DE ENTRADA</t>
  </si>
  <si>
    <t>2901-2050-00</t>
  </si>
  <si>
    <t>2901-2051-00</t>
  </si>
  <si>
    <t>2901-2052-00</t>
  </si>
  <si>
    <t>2901-2053-00</t>
  </si>
  <si>
    <t>2901-2055-00</t>
  </si>
  <si>
    <t>SEPARADOR G</t>
  </si>
  <si>
    <t>2901-2079-11</t>
  </si>
  <si>
    <t>2901-2079-12</t>
  </si>
  <si>
    <t>2901-2079-13</t>
  </si>
  <si>
    <t>2901-2079-15</t>
  </si>
  <si>
    <t>FILTRO DD24</t>
  </si>
  <si>
    <t>2901-2079-18</t>
  </si>
  <si>
    <t>FILTRO DD30</t>
  </si>
  <si>
    <t>2901-2079-19</t>
  </si>
  <si>
    <t>2901-2079-31</t>
  </si>
  <si>
    <t>FILTRO PD15</t>
  </si>
  <si>
    <t>2901-2079-32</t>
  </si>
  <si>
    <t>2901-2079-33</t>
  </si>
  <si>
    <t>2901-2079-35</t>
  </si>
  <si>
    <t>FILTRO PD24</t>
  </si>
  <si>
    <t>2901-2079-38</t>
  </si>
  <si>
    <t>2901-2079-50</t>
  </si>
  <si>
    <t>FILTRO UD15</t>
  </si>
  <si>
    <t>2901-2079-51</t>
  </si>
  <si>
    <t>2901-2079-52</t>
  </si>
  <si>
    <t>FILTRO UD25</t>
  </si>
  <si>
    <t>2901-2079-53</t>
  </si>
  <si>
    <t>FILTRO UD11</t>
  </si>
  <si>
    <t>2901-2079-55</t>
  </si>
  <si>
    <t>FILTRO DDP7</t>
  </si>
  <si>
    <t>2901-2079-74</t>
  </si>
  <si>
    <t>2901-2080-10</t>
  </si>
  <si>
    <t>2901-2080-35</t>
  </si>
  <si>
    <t>FILTRO QD11</t>
  </si>
  <si>
    <t>FILTRO QD24</t>
  </si>
  <si>
    <t>2901-2080-38</t>
  </si>
  <si>
    <t>2901-3000-02</t>
  </si>
  <si>
    <t>2901-3000-03</t>
  </si>
  <si>
    <t>2901-3000-05</t>
  </si>
  <si>
    <t>KIT DE FILTRO DD/D</t>
  </si>
  <si>
    <t>KIT FILTRO DD/D</t>
  </si>
  <si>
    <t>2901-3000-06</t>
  </si>
  <si>
    <t>2901-3000-07</t>
  </si>
  <si>
    <t>2901-3000-08</t>
  </si>
  <si>
    <t>2901-3000-09</t>
  </si>
  <si>
    <t>2901-3000-10</t>
  </si>
  <si>
    <t>2901-3000-11</t>
  </si>
  <si>
    <t>2901-3001-02</t>
  </si>
  <si>
    <t>2901-3001-03</t>
  </si>
  <si>
    <t>2901-3001-05</t>
  </si>
  <si>
    <t>KIT DE FILTRO PD/P</t>
  </si>
  <si>
    <t>KIT FILTRO PD/D</t>
  </si>
  <si>
    <t>2901-3001-06</t>
  </si>
  <si>
    <t>KIT FILTRO PD/P</t>
  </si>
  <si>
    <t>2901-3001-07</t>
  </si>
  <si>
    <t>2901-3001-08</t>
  </si>
  <si>
    <t>2901-3001-09</t>
  </si>
  <si>
    <t>2901-3001-10</t>
  </si>
  <si>
    <t>2901-3001-11</t>
  </si>
  <si>
    <t>KIT FILTRO UD 4</t>
  </si>
  <si>
    <t>2901-3004-04</t>
  </si>
  <si>
    <t>KIT FILTRO UD 6</t>
  </si>
  <si>
    <t>2901-3004-05</t>
  </si>
  <si>
    <t>2901-3004-06</t>
  </si>
  <si>
    <t>KIT DE FILTRO UD 1</t>
  </si>
  <si>
    <t>KIT FILTRO UD</t>
  </si>
  <si>
    <t>KIT FILTRO UD 1</t>
  </si>
  <si>
    <t>2901-3004-10</t>
  </si>
  <si>
    <t>2901-3004-11</t>
  </si>
  <si>
    <t>2901-3004-12</t>
  </si>
  <si>
    <t>2901-3504-00</t>
  </si>
  <si>
    <t>2901-3506-00</t>
  </si>
  <si>
    <t>2901-3531-00</t>
  </si>
  <si>
    <t>2901-3532-00</t>
  </si>
  <si>
    <t>2901-3537-00</t>
  </si>
  <si>
    <t>KIT MANTEMINIENTO PREVENTIVO</t>
  </si>
  <si>
    <t>2901-3541-00</t>
  </si>
  <si>
    <t>KIT SERVICIO VALVULA MPV/TERMOSTATICA</t>
  </si>
  <si>
    <t>2901-3545-00</t>
  </si>
  <si>
    <t>2901-3547-00</t>
  </si>
  <si>
    <t>KIT DE SERVICIO VALVULA</t>
  </si>
  <si>
    <t>2901-3581-00</t>
  </si>
  <si>
    <t>KIT MANTENIMIENTO VALVULA</t>
  </si>
  <si>
    <t>KIT SELLO DE EJE</t>
  </si>
  <si>
    <t>2901-5005-00</t>
  </si>
  <si>
    <t>KIT SELLO DEL EJE</t>
  </si>
  <si>
    <t>KIT SERVICIO</t>
  </si>
  <si>
    <t>2901-89900-33</t>
  </si>
  <si>
    <t>2901-9195-00</t>
  </si>
  <si>
    <t>2901-9200-00</t>
  </si>
  <si>
    <t>FILTRO DE ACEITE DE AIRE</t>
  </si>
  <si>
    <t>2901-9200-20</t>
  </si>
  <si>
    <t>2901-9200-30</t>
  </si>
  <si>
    <t>2901-9200-40</t>
  </si>
  <si>
    <t>KIT MANTENIMIENTO PREVENTIVO</t>
  </si>
  <si>
    <t>2901-9200-70</t>
  </si>
  <si>
    <t>2901-9900-33</t>
  </si>
  <si>
    <t>KIT SERVICIO VALVULA</t>
  </si>
  <si>
    <t>KIT FILTRO V111</t>
  </si>
  <si>
    <t>2901-9900-77</t>
  </si>
  <si>
    <t>2901-9900-96</t>
  </si>
  <si>
    <t>KIT FILTRO DE ACEITE</t>
  </si>
  <si>
    <t>2901-9900-97</t>
  </si>
  <si>
    <t>2901-9900-98</t>
  </si>
  <si>
    <t>KIT REEMPLAZO SEPARADOR MPV</t>
  </si>
  <si>
    <t>2901-9904-22</t>
  </si>
  <si>
    <t>2901-9905-67</t>
  </si>
  <si>
    <t>KIT ACEITE SEPARADO</t>
  </si>
  <si>
    <t>2901-9908-14</t>
  </si>
  <si>
    <t>2901-9908-16</t>
  </si>
  <si>
    <t>VALVULA NO RETORNO</t>
  </si>
  <si>
    <t>2901-9908-18</t>
  </si>
  <si>
    <t>PREVENTIVO PRINCIPAL</t>
  </si>
  <si>
    <t>2901-9908-26</t>
  </si>
  <si>
    <t>ELEMENTO INTERCAMBIO DE COMPRESORES</t>
  </si>
  <si>
    <t>2901-9909-22</t>
  </si>
  <si>
    <t>ELEMENTO SEPARADOR</t>
  </si>
  <si>
    <t>2901-9909-23</t>
  </si>
  <si>
    <t>KIT RECONSTRUCCION RODAMIENTOS</t>
  </si>
  <si>
    <t>2901-9909-58</t>
  </si>
  <si>
    <t>KIT DESCARGADOR</t>
  </si>
  <si>
    <t>2902-0161-00</t>
  </si>
  <si>
    <t>2902-0350-00</t>
  </si>
  <si>
    <t>2903-0337-01</t>
  </si>
  <si>
    <t>2903-0871-00</t>
  </si>
  <si>
    <t>FILTRO SEPARADOR ACEITE</t>
  </si>
  <si>
    <t>2903-1012-00</t>
  </si>
  <si>
    <t>2903-1021-28</t>
  </si>
  <si>
    <t>2903-1021-30</t>
  </si>
  <si>
    <t>2903-1024-03</t>
  </si>
  <si>
    <t>2903-1024-04</t>
  </si>
  <si>
    <t>2903-1024-06</t>
  </si>
  <si>
    <t>2903-1024-23</t>
  </si>
  <si>
    <t>2903-7407-00</t>
  </si>
  <si>
    <t>2903-7525-01</t>
  </si>
  <si>
    <t>2903-7526-00</t>
  </si>
  <si>
    <t>2903-7753-00</t>
  </si>
  <si>
    <t>2904-0061-00</t>
  </si>
  <si>
    <t>2904-5000-69</t>
  </si>
  <si>
    <t>KIT SERVICIO C</t>
  </si>
  <si>
    <t>2904-5002-36</t>
  </si>
  <si>
    <t>2904-5002-75</t>
  </si>
  <si>
    <t>2906-0005-02</t>
  </si>
  <si>
    <t>2906-0020-00</t>
  </si>
  <si>
    <t>KIT VALVULA CHECK</t>
  </si>
  <si>
    <t>2906-0093-00</t>
  </si>
  <si>
    <t>KIT SELLO PARA VALVULA DE ACEITE</t>
  </si>
  <si>
    <t>2906-0094-00</t>
  </si>
  <si>
    <t>KIT SEPARADOR DE ACEITE</t>
  </si>
  <si>
    <t>2906-0098-00</t>
  </si>
  <si>
    <t>KIT SERVICIO ENFRIADOR</t>
  </si>
  <si>
    <t>2906-0204-00</t>
  </si>
  <si>
    <t>2906-0564-00</t>
  </si>
  <si>
    <t>2906-0565-00</t>
  </si>
  <si>
    <t>KIT SEPARADOR ACEITE/AIRE</t>
  </si>
  <si>
    <t>KIT DE MANTENIMIENTO FILTRO</t>
  </si>
  <si>
    <t>2906-0665-00</t>
  </si>
  <si>
    <t>KIT SERVICIO BOMBA ACEITE</t>
  </si>
  <si>
    <t>2906-0678-00</t>
  </si>
  <si>
    <t>KIT ELEMENTO FILTRANTE</t>
  </si>
  <si>
    <t>2906-0748-00</t>
  </si>
  <si>
    <t>2906-0752-00</t>
  </si>
  <si>
    <t>2906-0922-00</t>
  </si>
  <si>
    <t>2906-0952-00</t>
  </si>
  <si>
    <t>2906-0955-00</t>
  </si>
  <si>
    <t>KIT VALVULA DESCARGA</t>
  </si>
  <si>
    <t>2906-0957-00</t>
  </si>
  <si>
    <t>2906-0958-00</t>
  </si>
  <si>
    <t>2906-0959-00</t>
  </si>
  <si>
    <t>JUNTA PARA VALVULA PRESION</t>
  </si>
  <si>
    <t>KIT MANTENIMIENTO VALVULA RETENCION</t>
  </si>
  <si>
    <t>2906-0960-00</t>
  </si>
  <si>
    <t>KIT SERVICIO STOP ACEITE</t>
  </si>
  <si>
    <t>2906-0963-00</t>
  </si>
  <si>
    <t>2906-0965-00</t>
  </si>
  <si>
    <t>2908-8500-00</t>
  </si>
  <si>
    <t>2908-8521-00</t>
  </si>
  <si>
    <t>028-2024-10-02558828</t>
  </si>
  <si>
    <t>00004316</t>
  </si>
  <si>
    <t>2R4661</t>
  </si>
  <si>
    <t>3001-1500-25</t>
  </si>
  <si>
    <t>KIT SERVICIO CD260</t>
  </si>
  <si>
    <t>3001-1500-52</t>
  </si>
  <si>
    <t>MOTOR KIT B - NGP8</t>
  </si>
  <si>
    <t>3001-1504-01</t>
  </si>
  <si>
    <t>KIT MOTOR NGP8</t>
  </si>
  <si>
    <t>MOTOR C KIT NGP8</t>
  </si>
  <si>
    <t>3001-1504-03</t>
  </si>
  <si>
    <t>KIT MOTOR NGP30</t>
  </si>
  <si>
    <t>3001-1504-04</t>
  </si>
  <si>
    <t>KIT ACTUADOR</t>
  </si>
  <si>
    <t>3001-1504-09</t>
  </si>
  <si>
    <t>ELÉCTRICOS O ELECTRÓNICOS</t>
  </si>
  <si>
    <t>KIT DE ACTUADOR NGBP30</t>
  </si>
  <si>
    <t>3001-1504-17</t>
  </si>
  <si>
    <t>3001-1513-00</t>
  </si>
  <si>
    <t>3001-1513-03</t>
  </si>
  <si>
    <t>3001-1602-10</t>
  </si>
  <si>
    <t>3001-1602-17</t>
  </si>
  <si>
    <t>3001-1602-19</t>
  </si>
  <si>
    <t>KIT SERVICIO VALVULA CHECK</t>
  </si>
  <si>
    <t>3001-1721-00</t>
  </si>
  <si>
    <t>3001-5006-50</t>
  </si>
  <si>
    <t>3001-5006-55</t>
  </si>
  <si>
    <t>Carbón activado</t>
  </si>
  <si>
    <t>SERVICIO QDT</t>
  </si>
  <si>
    <t>3001-5009-01</t>
  </si>
  <si>
    <t>KIT SERVICIO QDT</t>
  </si>
  <si>
    <t>3001-5009-02</t>
  </si>
  <si>
    <t>KIT DE SERVICIO QDT</t>
  </si>
  <si>
    <t>3001-5009-04</t>
  </si>
  <si>
    <t>3001-50098-04</t>
  </si>
  <si>
    <t>FILTRO AIRE/AGUA</t>
  </si>
  <si>
    <t>3001-5170-00</t>
  </si>
  <si>
    <t>3001-5200-00</t>
  </si>
  <si>
    <t>ELEMENTO EJE S</t>
  </si>
  <si>
    <t>3001-5243-08</t>
  </si>
  <si>
    <t>3001-5248-00</t>
  </si>
  <si>
    <t>3001-5311-09</t>
  </si>
  <si>
    <t>KIT ENFRIAMIENTO</t>
  </si>
  <si>
    <t>3001-5311-21</t>
  </si>
  <si>
    <t>KIT VALVULA TERMOSTATO</t>
  </si>
  <si>
    <t>3001-5311-22</t>
  </si>
  <si>
    <t>3002-6001-40</t>
  </si>
  <si>
    <t>KIT VALVULA ANTIRETORNO</t>
  </si>
  <si>
    <t>6229-0317-00</t>
  </si>
  <si>
    <t>KIT VALVULA NON RETURN</t>
  </si>
  <si>
    <t>028-2024-10-01532815</t>
  </si>
  <si>
    <t>00001375</t>
  </si>
  <si>
    <t>RECIPIENTES PARA GAS COMPRIMIDO</t>
  </si>
  <si>
    <t>8101-0218-09</t>
  </si>
  <si>
    <t>028-2024-10-02169581</t>
  </si>
  <si>
    <t>01001976</t>
  </si>
  <si>
    <t>8101-0218-25</t>
  </si>
  <si>
    <t>FILTRO SEPARADOR AGUA</t>
  </si>
  <si>
    <t>8102-0434-30</t>
  </si>
  <si>
    <t>028-2024-10-02184452</t>
  </si>
  <si>
    <t>02002003</t>
  </si>
  <si>
    <t>LOS DEMÁS.</t>
  </si>
  <si>
    <t>SECADOR</t>
  </si>
  <si>
    <t>8102-2277-15</t>
  </si>
  <si>
    <t>028-2024-10-02226493</t>
  </si>
  <si>
    <t>00002004</t>
  </si>
  <si>
    <t>Los demás.</t>
  </si>
  <si>
    <t>8102-2277-16</t>
  </si>
  <si>
    <t>8102-2277-17</t>
  </si>
  <si>
    <t>8102-2278-02</t>
  </si>
  <si>
    <t>8102-2278-03</t>
  </si>
  <si>
    <t>8102-2293-30</t>
  </si>
  <si>
    <t>8102-2293-32</t>
  </si>
  <si>
    <t>8102-2293-34</t>
  </si>
  <si>
    <t>8102-3659-73</t>
  </si>
  <si>
    <t>8102-3720-08</t>
  </si>
  <si>
    <t>FILTRO AIRE DD300</t>
  </si>
  <si>
    <t>8102-3720-22</t>
  </si>
  <si>
    <t>8102-3720-36</t>
  </si>
  <si>
    <t>8102-3723-08</t>
  </si>
  <si>
    <t>8102-3724-02</t>
  </si>
  <si>
    <t>8102-3724-04</t>
  </si>
  <si>
    <t>8102-3724-06</t>
  </si>
  <si>
    <t>8102-3724-10</t>
  </si>
  <si>
    <t>8102-3724-14</t>
  </si>
  <si>
    <t>8102-3725-10</t>
  </si>
  <si>
    <t>8102-3727-06</t>
  </si>
  <si>
    <t>8102-3727-08</t>
  </si>
  <si>
    <t>8102-3727-10</t>
  </si>
  <si>
    <t>8102-3727-12</t>
  </si>
  <si>
    <t>FILTRO AIRE QD300</t>
  </si>
  <si>
    <t>8102-3727-22</t>
  </si>
  <si>
    <t>DE POTENCIA INFERIOR A 30 KW (40 HP)</t>
  </si>
  <si>
    <t>COMPRESOR DE PISTON</t>
  </si>
  <si>
    <t>8115*4306-32</t>
  </si>
  <si>
    <t>8115-4306-32</t>
  </si>
  <si>
    <t>8115-4609-28</t>
  </si>
  <si>
    <t>DE POTENCIA SUPERIOR O IGUAL A 30 KW (40 HP) E INFERIOR A 262,5 KW (352 HP)</t>
  </si>
  <si>
    <t>8115-4788-70</t>
  </si>
  <si>
    <t>028-2024-10-00512736</t>
  </si>
  <si>
    <t>00000448</t>
  </si>
  <si>
    <t>COMPRESOR TORNILLO</t>
  </si>
  <si>
    <t>HAPAG-LLOYD ECUADOR S.A.</t>
  </si>
  <si>
    <t>8152-1037-92</t>
  </si>
  <si>
    <t>8152-1038-00</t>
  </si>
  <si>
    <t>8152-1038-10</t>
  </si>
  <si>
    <t>8153-1880-50</t>
  </si>
  <si>
    <t>De potencia superior o igual a 30 kW (40 HP) e inferior a 262,5 kW (352 HP)</t>
  </si>
  <si>
    <t>8153-1883-73</t>
  </si>
  <si>
    <t>De potencia inferior a 30 kW (40 HP)</t>
  </si>
  <si>
    <t>8153-2944-52</t>
  </si>
  <si>
    <t>8153-3261-63</t>
  </si>
  <si>
    <t>8153-6182-54</t>
  </si>
  <si>
    <t>8153-6183-79</t>
  </si>
  <si>
    <t>8153-6192-11</t>
  </si>
  <si>
    <t>8153-6193-36</t>
  </si>
  <si>
    <t>8153-6193-77</t>
  </si>
  <si>
    <t>ACOPLAMIENTO</t>
  </si>
  <si>
    <t>9740-2001-32</t>
  </si>
  <si>
    <t>ACOPLAMIENTO EN CODO</t>
  </si>
  <si>
    <t>9740-2004-32</t>
  </si>
  <si>
    <t>9740-2021-11</t>
  </si>
  <si>
    <t>055-2024-10-00725711</t>
  </si>
  <si>
    <t>00000754</t>
  </si>
  <si>
    <t>COLOMBIA</t>
  </si>
  <si>
    <t>BOGOTA</t>
  </si>
  <si>
    <t>ATLAS COPCO COLOMBIA LTDA</t>
  </si>
  <si>
    <t>AEROVIAS DEL CONTINENTE AMERICANO S.A. AVIANCA</t>
  </si>
  <si>
    <t>FX5 E0 ACUL 230V1PH60</t>
  </si>
  <si>
    <t>028-2024-10-00280407</t>
  </si>
  <si>
    <t>00000318</t>
  </si>
  <si>
    <t>BUENAVENTURA</t>
  </si>
  <si>
    <t>ATLAS COPCO COLOMBIA</t>
  </si>
  <si>
    <t>GA22VSDSFF A 150</t>
  </si>
  <si>
    <t>GA55VSD+FF A 175</t>
  </si>
  <si>
    <t>028-2024-10-01451668</t>
  </si>
  <si>
    <t>00001153</t>
  </si>
  <si>
    <t>REMAR REPRESENTACIONES MARITIMAS DEL ECUADOR SA REMAR</t>
  </si>
  <si>
    <t>GA75P A 125</t>
  </si>
  <si>
    <t>028-2024-10-01532532</t>
  </si>
  <si>
    <t>01001313</t>
  </si>
  <si>
    <t>LV-500/11</t>
  </si>
  <si>
    <t>IMPORTACION COURIER</t>
  </si>
  <si>
    <t>055-2024-91-00236414</t>
  </si>
  <si>
    <t>1791882490001</t>
  </si>
  <si>
    <t>MIAMI</t>
  </si>
  <si>
    <t>RUEDA DE ENGRANAJE</t>
  </si>
  <si>
    <t>DHL EXPRESS USA MIA</t>
  </si>
  <si>
    <t>DHL AERO EXPRESO SA</t>
  </si>
  <si>
    <t>MOTOR DE ALETAS</t>
  </si>
  <si>
    <t>055-2024-91-00255106</t>
  </si>
  <si>
    <t>POWER TOOLS DISTRIBUTION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</si>
</sst>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E547-4214-4878-9F3C-ABF922D2379D}">
  <dimension ref="A1:AS1121"/>
  <sheetViews>
    <sheetView tabSelected="1" topLeftCell="R1" workbookViewId="0">
      <selection sqref="A1:XFD1048576"/>
    </sheetView>
  </sheetViews>
  <sheetFormatPr baseColWidth="10" defaultRowHeight="15" x14ac:dyDescent="0.25"/>
  <cols>
    <col min="1" max="1" width="4.140625" bestFit="1" customWidth="1"/>
    <col min="2" max="3" width="5" bestFit="1" customWidth="1"/>
    <col min="4" max="4" width="26" bestFit="1" customWidth="1"/>
    <col min="5" max="5" width="19.85546875" bestFit="1" customWidth="1"/>
    <col min="6" max="6" width="9" bestFit="1" customWidth="1"/>
    <col min="7" max="7" width="5.42578125" bestFit="1" customWidth="1"/>
    <col min="8" max="8" width="18.140625" bestFit="1" customWidth="1"/>
    <col min="9" max="9" width="49.28515625" bestFit="1" customWidth="1"/>
    <col min="10" max="10" width="17" bestFit="1" customWidth="1"/>
    <col min="11" max="11" width="22.5703125" bestFit="1" customWidth="1"/>
    <col min="12" max="12" width="22.42578125" bestFit="1" customWidth="1"/>
    <col min="13" max="13" width="20.42578125" bestFit="1" customWidth="1"/>
    <col min="14" max="14" width="21.5703125" bestFit="1" customWidth="1"/>
    <col min="15" max="15" width="23.140625" bestFit="1" customWidth="1"/>
    <col min="16" max="16" width="215.42578125" bestFit="1" customWidth="1"/>
    <col min="17" max="17" width="49" bestFit="1" customWidth="1"/>
    <col min="18" max="18" width="14.140625" bestFit="1" customWidth="1"/>
    <col min="19" max="19" width="23.42578125" bestFit="1" customWidth="1"/>
    <col min="20" max="20" width="8.5703125" bestFit="1" customWidth="1"/>
    <col min="21" max="21" width="10.42578125" bestFit="1" customWidth="1"/>
    <col min="22" max="22" width="22.5703125" bestFit="1" customWidth="1"/>
    <col min="23" max="23" width="12.7109375" bestFit="1" customWidth="1"/>
    <col min="24" max="24" width="9" bestFit="1" customWidth="1"/>
    <col min="25" max="25" width="10.85546875" bestFit="1" customWidth="1"/>
    <col min="26" max="26" width="13" bestFit="1" customWidth="1"/>
    <col min="27" max="27" width="9" bestFit="1" customWidth="1"/>
    <col min="28" max="28" width="31.5703125" bestFit="1" customWidth="1"/>
    <col min="29" max="29" width="81.28515625" bestFit="1" customWidth="1"/>
    <col min="30" max="30" width="19.5703125" bestFit="1" customWidth="1"/>
    <col min="31" max="31" width="13.7109375" bestFit="1" customWidth="1"/>
    <col min="32" max="32" width="15" bestFit="1" customWidth="1"/>
    <col min="33" max="33" width="32.140625" bestFit="1" customWidth="1"/>
    <col min="34" max="34" width="9.7109375" bestFit="1" customWidth="1"/>
    <col min="35" max="36" width="36.7109375" bestFit="1" customWidth="1"/>
    <col min="37" max="37" width="19.42578125" bestFit="1" customWidth="1"/>
    <col min="38" max="38" width="18.42578125" bestFit="1" customWidth="1"/>
    <col min="39" max="39" width="23.140625" style="6" bestFit="1" customWidth="1"/>
    <col min="40" max="40" width="13.85546875" style="7" bestFit="1" customWidth="1"/>
    <col min="41" max="41" width="15.5703125" style="8" bestFit="1" customWidth="1"/>
    <col min="42" max="42" width="11.42578125" style="8"/>
    <col min="43" max="43" width="11.42578125" style="9"/>
    <col min="257" max="257" width="4.140625" bestFit="1" customWidth="1"/>
    <col min="258" max="259" width="5" bestFit="1" customWidth="1"/>
    <col min="260" max="260" width="26" bestFit="1" customWidth="1"/>
    <col min="261" max="261" width="19.85546875" bestFit="1" customWidth="1"/>
    <col min="262" max="262" width="9" bestFit="1" customWidth="1"/>
    <col min="263" max="263" width="5.42578125" bestFit="1" customWidth="1"/>
    <col min="264" max="264" width="18.140625" bestFit="1" customWidth="1"/>
    <col min="265" max="265" width="49.28515625" bestFit="1" customWidth="1"/>
    <col min="266" max="266" width="17" bestFit="1" customWidth="1"/>
    <col min="267" max="267" width="22.5703125" bestFit="1" customWidth="1"/>
    <col min="268" max="268" width="22.42578125" bestFit="1" customWidth="1"/>
    <col min="269" max="269" width="20.42578125" bestFit="1" customWidth="1"/>
    <col min="270" max="270" width="21.5703125" bestFit="1" customWidth="1"/>
    <col min="271" max="271" width="23.140625" bestFit="1" customWidth="1"/>
    <col min="272" max="272" width="215.42578125" bestFit="1" customWidth="1"/>
    <col min="273" max="273" width="49" bestFit="1" customWidth="1"/>
    <col min="274" max="274" width="14.140625" bestFit="1" customWidth="1"/>
    <col min="275" max="275" width="23.42578125" bestFit="1" customWidth="1"/>
    <col min="276" max="276" width="8.5703125" bestFit="1" customWidth="1"/>
    <col min="277" max="277" width="10.42578125" bestFit="1" customWidth="1"/>
    <col min="278" max="278" width="22.5703125" bestFit="1" customWidth="1"/>
    <col min="279" max="279" width="12.7109375" bestFit="1" customWidth="1"/>
    <col min="280" max="280" width="9" bestFit="1" customWidth="1"/>
    <col min="281" max="281" width="10.85546875" bestFit="1" customWidth="1"/>
    <col min="282" max="282" width="13" bestFit="1" customWidth="1"/>
    <col min="283" max="283" width="9" bestFit="1" customWidth="1"/>
    <col min="284" max="284" width="31.5703125" bestFit="1" customWidth="1"/>
    <col min="285" max="285" width="81.28515625" bestFit="1" customWidth="1"/>
    <col min="286" max="286" width="19.5703125" bestFit="1" customWidth="1"/>
    <col min="287" max="287" width="13.7109375" bestFit="1" customWidth="1"/>
    <col min="288" max="288" width="15" bestFit="1" customWidth="1"/>
    <col min="289" max="289" width="32.140625" bestFit="1" customWidth="1"/>
    <col min="290" max="290" width="9.7109375" bestFit="1" customWidth="1"/>
    <col min="291" max="292" width="36.7109375" bestFit="1" customWidth="1"/>
    <col min="293" max="293" width="19.42578125" bestFit="1" customWidth="1"/>
    <col min="294" max="294" width="18.42578125" bestFit="1" customWidth="1"/>
    <col min="295" max="295" width="23.140625" bestFit="1" customWidth="1"/>
    <col min="296" max="296" width="13.85546875" bestFit="1" customWidth="1"/>
    <col min="513" max="513" width="4.140625" bestFit="1" customWidth="1"/>
    <col min="514" max="515" width="5" bestFit="1" customWidth="1"/>
    <col min="516" max="516" width="26" bestFit="1" customWidth="1"/>
    <col min="517" max="517" width="19.85546875" bestFit="1" customWidth="1"/>
    <col min="518" max="518" width="9" bestFit="1" customWidth="1"/>
    <col min="519" max="519" width="5.42578125" bestFit="1" customWidth="1"/>
    <col min="520" max="520" width="18.140625" bestFit="1" customWidth="1"/>
    <col min="521" max="521" width="49.28515625" bestFit="1" customWidth="1"/>
    <col min="522" max="522" width="17" bestFit="1" customWidth="1"/>
    <col min="523" max="523" width="22.5703125" bestFit="1" customWidth="1"/>
    <col min="524" max="524" width="22.42578125" bestFit="1" customWidth="1"/>
    <col min="525" max="525" width="20.42578125" bestFit="1" customWidth="1"/>
    <col min="526" max="526" width="21.5703125" bestFit="1" customWidth="1"/>
    <col min="527" max="527" width="23.140625" bestFit="1" customWidth="1"/>
    <col min="528" max="528" width="215.42578125" bestFit="1" customWidth="1"/>
    <col min="529" max="529" width="49" bestFit="1" customWidth="1"/>
    <col min="530" max="530" width="14.140625" bestFit="1" customWidth="1"/>
    <col min="531" max="531" width="23.42578125" bestFit="1" customWidth="1"/>
    <col min="532" max="532" width="8.5703125" bestFit="1" customWidth="1"/>
    <col min="533" max="533" width="10.42578125" bestFit="1" customWidth="1"/>
    <col min="534" max="534" width="22.5703125" bestFit="1" customWidth="1"/>
    <col min="535" max="535" width="12.7109375" bestFit="1" customWidth="1"/>
    <col min="536" max="536" width="9" bestFit="1" customWidth="1"/>
    <col min="537" max="537" width="10.85546875" bestFit="1" customWidth="1"/>
    <col min="538" max="538" width="13" bestFit="1" customWidth="1"/>
    <col min="539" max="539" width="9" bestFit="1" customWidth="1"/>
    <col min="540" max="540" width="31.5703125" bestFit="1" customWidth="1"/>
    <col min="541" max="541" width="81.28515625" bestFit="1" customWidth="1"/>
    <col min="542" max="542" width="19.5703125" bestFit="1" customWidth="1"/>
    <col min="543" max="543" width="13.7109375" bestFit="1" customWidth="1"/>
    <col min="544" max="544" width="15" bestFit="1" customWidth="1"/>
    <col min="545" max="545" width="32.140625" bestFit="1" customWidth="1"/>
    <col min="546" max="546" width="9.7109375" bestFit="1" customWidth="1"/>
    <col min="547" max="548" width="36.7109375" bestFit="1" customWidth="1"/>
    <col min="549" max="549" width="19.42578125" bestFit="1" customWidth="1"/>
    <col min="550" max="550" width="18.42578125" bestFit="1" customWidth="1"/>
    <col min="551" max="551" width="23.140625" bestFit="1" customWidth="1"/>
    <col min="552" max="552" width="13.85546875" bestFit="1" customWidth="1"/>
    <col min="769" max="769" width="4.140625" bestFit="1" customWidth="1"/>
    <col min="770" max="771" width="5" bestFit="1" customWidth="1"/>
    <col min="772" max="772" width="26" bestFit="1" customWidth="1"/>
    <col min="773" max="773" width="19.85546875" bestFit="1" customWidth="1"/>
    <col min="774" max="774" width="9" bestFit="1" customWidth="1"/>
    <col min="775" max="775" width="5.42578125" bestFit="1" customWidth="1"/>
    <col min="776" max="776" width="18.140625" bestFit="1" customWidth="1"/>
    <col min="777" max="777" width="49.28515625" bestFit="1" customWidth="1"/>
    <col min="778" max="778" width="17" bestFit="1" customWidth="1"/>
    <col min="779" max="779" width="22.5703125" bestFit="1" customWidth="1"/>
    <col min="780" max="780" width="22.42578125" bestFit="1" customWidth="1"/>
    <col min="781" max="781" width="20.42578125" bestFit="1" customWidth="1"/>
    <col min="782" max="782" width="21.5703125" bestFit="1" customWidth="1"/>
    <col min="783" max="783" width="23.140625" bestFit="1" customWidth="1"/>
    <col min="784" max="784" width="215.42578125" bestFit="1" customWidth="1"/>
    <col min="785" max="785" width="49" bestFit="1" customWidth="1"/>
    <col min="786" max="786" width="14.140625" bestFit="1" customWidth="1"/>
    <col min="787" max="787" width="23.42578125" bestFit="1" customWidth="1"/>
    <col min="788" max="788" width="8.5703125" bestFit="1" customWidth="1"/>
    <col min="789" max="789" width="10.42578125" bestFit="1" customWidth="1"/>
    <col min="790" max="790" width="22.5703125" bestFit="1" customWidth="1"/>
    <col min="791" max="791" width="12.7109375" bestFit="1" customWidth="1"/>
    <col min="792" max="792" width="9" bestFit="1" customWidth="1"/>
    <col min="793" max="793" width="10.85546875" bestFit="1" customWidth="1"/>
    <col min="794" max="794" width="13" bestFit="1" customWidth="1"/>
    <col min="795" max="795" width="9" bestFit="1" customWidth="1"/>
    <col min="796" max="796" width="31.5703125" bestFit="1" customWidth="1"/>
    <col min="797" max="797" width="81.28515625" bestFit="1" customWidth="1"/>
    <col min="798" max="798" width="19.5703125" bestFit="1" customWidth="1"/>
    <col min="799" max="799" width="13.7109375" bestFit="1" customWidth="1"/>
    <col min="800" max="800" width="15" bestFit="1" customWidth="1"/>
    <col min="801" max="801" width="32.140625" bestFit="1" customWidth="1"/>
    <col min="802" max="802" width="9.7109375" bestFit="1" customWidth="1"/>
    <col min="803" max="804" width="36.7109375" bestFit="1" customWidth="1"/>
    <col min="805" max="805" width="19.42578125" bestFit="1" customWidth="1"/>
    <col min="806" max="806" width="18.42578125" bestFit="1" customWidth="1"/>
    <col min="807" max="807" width="23.140625" bestFit="1" customWidth="1"/>
    <col min="808" max="808" width="13.85546875" bestFit="1" customWidth="1"/>
    <col min="1025" max="1025" width="4.140625" bestFit="1" customWidth="1"/>
    <col min="1026" max="1027" width="5" bestFit="1" customWidth="1"/>
    <col min="1028" max="1028" width="26" bestFit="1" customWidth="1"/>
    <col min="1029" max="1029" width="19.85546875" bestFit="1" customWidth="1"/>
    <col min="1030" max="1030" width="9" bestFit="1" customWidth="1"/>
    <col min="1031" max="1031" width="5.42578125" bestFit="1" customWidth="1"/>
    <col min="1032" max="1032" width="18.140625" bestFit="1" customWidth="1"/>
    <col min="1033" max="1033" width="49.28515625" bestFit="1" customWidth="1"/>
    <col min="1034" max="1034" width="17" bestFit="1" customWidth="1"/>
    <col min="1035" max="1035" width="22.5703125" bestFit="1" customWidth="1"/>
    <col min="1036" max="1036" width="22.42578125" bestFit="1" customWidth="1"/>
    <col min="1037" max="1037" width="20.42578125" bestFit="1" customWidth="1"/>
    <col min="1038" max="1038" width="21.5703125" bestFit="1" customWidth="1"/>
    <col min="1039" max="1039" width="23.140625" bestFit="1" customWidth="1"/>
    <col min="1040" max="1040" width="215.42578125" bestFit="1" customWidth="1"/>
    <col min="1041" max="1041" width="49" bestFit="1" customWidth="1"/>
    <col min="1042" max="1042" width="14.140625" bestFit="1" customWidth="1"/>
    <col min="1043" max="1043" width="23.42578125" bestFit="1" customWidth="1"/>
    <col min="1044" max="1044" width="8.5703125" bestFit="1" customWidth="1"/>
    <col min="1045" max="1045" width="10.42578125" bestFit="1" customWidth="1"/>
    <col min="1046" max="1046" width="22.5703125" bestFit="1" customWidth="1"/>
    <col min="1047" max="1047" width="12.7109375" bestFit="1" customWidth="1"/>
    <col min="1048" max="1048" width="9" bestFit="1" customWidth="1"/>
    <col min="1049" max="1049" width="10.85546875" bestFit="1" customWidth="1"/>
    <col min="1050" max="1050" width="13" bestFit="1" customWidth="1"/>
    <col min="1051" max="1051" width="9" bestFit="1" customWidth="1"/>
    <col min="1052" max="1052" width="31.5703125" bestFit="1" customWidth="1"/>
    <col min="1053" max="1053" width="81.28515625" bestFit="1" customWidth="1"/>
    <col min="1054" max="1054" width="19.5703125" bestFit="1" customWidth="1"/>
    <col min="1055" max="1055" width="13.7109375" bestFit="1" customWidth="1"/>
    <col min="1056" max="1056" width="15" bestFit="1" customWidth="1"/>
    <col min="1057" max="1057" width="32.140625" bestFit="1" customWidth="1"/>
    <col min="1058" max="1058" width="9.7109375" bestFit="1" customWidth="1"/>
    <col min="1059" max="1060" width="36.7109375" bestFit="1" customWidth="1"/>
    <col min="1061" max="1061" width="19.42578125" bestFit="1" customWidth="1"/>
    <col min="1062" max="1062" width="18.42578125" bestFit="1" customWidth="1"/>
    <col min="1063" max="1063" width="23.140625" bestFit="1" customWidth="1"/>
    <col min="1064" max="1064" width="13.85546875" bestFit="1" customWidth="1"/>
    <col min="1281" max="1281" width="4.140625" bestFit="1" customWidth="1"/>
    <col min="1282" max="1283" width="5" bestFit="1" customWidth="1"/>
    <col min="1284" max="1284" width="26" bestFit="1" customWidth="1"/>
    <col min="1285" max="1285" width="19.85546875" bestFit="1" customWidth="1"/>
    <col min="1286" max="1286" width="9" bestFit="1" customWidth="1"/>
    <col min="1287" max="1287" width="5.42578125" bestFit="1" customWidth="1"/>
    <col min="1288" max="1288" width="18.140625" bestFit="1" customWidth="1"/>
    <col min="1289" max="1289" width="49.28515625" bestFit="1" customWidth="1"/>
    <col min="1290" max="1290" width="17" bestFit="1" customWidth="1"/>
    <col min="1291" max="1291" width="22.5703125" bestFit="1" customWidth="1"/>
    <col min="1292" max="1292" width="22.42578125" bestFit="1" customWidth="1"/>
    <col min="1293" max="1293" width="20.42578125" bestFit="1" customWidth="1"/>
    <col min="1294" max="1294" width="21.5703125" bestFit="1" customWidth="1"/>
    <col min="1295" max="1295" width="23.140625" bestFit="1" customWidth="1"/>
    <col min="1296" max="1296" width="215.42578125" bestFit="1" customWidth="1"/>
    <col min="1297" max="1297" width="49" bestFit="1" customWidth="1"/>
    <col min="1298" max="1298" width="14.140625" bestFit="1" customWidth="1"/>
    <col min="1299" max="1299" width="23.42578125" bestFit="1" customWidth="1"/>
    <col min="1300" max="1300" width="8.5703125" bestFit="1" customWidth="1"/>
    <col min="1301" max="1301" width="10.42578125" bestFit="1" customWidth="1"/>
    <col min="1302" max="1302" width="22.5703125" bestFit="1" customWidth="1"/>
    <col min="1303" max="1303" width="12.7109375" bestFit="1" customWidth="1"/>
    <col min="1304" max="1304" width="9" bestFit="1" customWidth="1"/>
    <col min="1305" max="1305" width="10.85546875" bestFit="1" customWidth="1"/>
    <col min="1306" max="1306" width="13" bestFit="1" customWidth="1"/>
    <col min="1307" max="1307" width="9" bestFit="1" customWidth="1"/>
    <col min="1308" max="1308" width="31.5703125" bestFit="1" customWidth="1"/>
    <col min="1309" max="1309" width="81.28515625" bestFit="1" customWidth="1"/>
    <col min="1310" max="1310" width="19.5703125" bestFit="1" customWidth="1"/>
    <col min="1311" max="1311" width="13.7109375" bestFit="1" customWidth="1"/>
    <col min="1312" max="1312" width="15" bestFit="1" customWidth="1"/>
    <col min="1313" max="1313" width="32.140625" bestFit="1" customWidth="1"/>
    <col min="1314" max="1314" width="9.7109375" bestFit="1" customWidth="1"/>
    <col min="1315" max="1316" width="36.7109375" bestFit="1" customWidth="1"/>
    <col min="1317" max="1317" width="19.42578125" bestFit="1" customWidth="1"/>
    <col min="1318" max="1318" width="18.42578125" bestFit="1" customWidth="1"/>
    <col min="1319" max="1319" width="23.140625" bestFit="1" customWidth="1"/>
    <col min="1320" max="1320" width="13.85546875" bestFit="1" customWidth="1"/>
    <col min="1537" max="1537" width="4.140625" bestFit="1" customWidth="1"/>
    <col min="1538" max="1539" width="5" bestFit="1" customWidth="1"/>
    <col min="1540" max="1540" width="26" bestFit="1" customWidth="1"/>
    <col min="1541" max="1541" width="19.85546875" bestFit="1" customWidth="1"/>
    <col min="1542" max="1542" width="9" bestFit="1" customWidth="1"/>
    <col min="1543" max="1543" width="5.42578125" bestFit="1" customWidth="1"/>
    <col min="1544" max="1544" width="18.140625" bestFit="1" customWidth="1"/>
    <col min="1545" max="1545" width="49.28515625" bestFit="1" customWidth="1"/>
    <col min="1546" max="1546" width="17" bestFit="1" customWidth="1"/>
    <col min="1547" max="1547" width="22.5703125" bestFit="1" customWidth="1"/>
    <col min="1548" max="1548" width="22.42578125" bestFit="1" customWidth="1"/>
    <col min="1549" max="1549" width="20.42578125" bestFit="1" customWidth="1"/>
    <col min="1550" max="1550" width="21.5703125" bestFit="1" customWidth="1"/>
    <col min="1551" max="1551" width="23.140625" bestFit="1" customWidth="1"/>
    <col min="1552" max="1552" width="215.42578125" bestFit="1" customWidth="1"/>
    <col min="1553" max="1553" width="49" bestFit="1" customWidth="1"/>
    <col min="1554" max="1554" width="14.140625" bestFit="1" customWidth="1"/>
    <col min="1555" max="1555" width="23.42578125" bestFit="1" customWidth="1"/>
    <col min="1556" max="1556" width="8.5703125" bestFit="1" customWidth="1"/>
    <col min="1557" max="1557" width="10.42578125" bestFit="1" customWidth="1"/>
    <col min="1558" max="1558" width="22.5703125" bestFit="1" customWidth="1"/>
    <col min="1559" max="1559" width="12.7109375" bestFit="1" customWidth="1"/>
    <col min="1560" max="1560" width="9" bestFit="1" customWidth="1"/>
    <col min="1561" max="1561" width="10.85546875" bestFit="1" customWidth="1"/>
    <col min="1562" max="1562" width="13" bestFit="1" customWidth="1"/>
    <col min="1563" max="1563" width="9" bestFit="1" customWidth="1"/>
    <col min="1564" max="1564" width="31.5703125" bestFit="1" customWidth="1"/>
    <col min="1565" max="1565" width="81.28515625" bestFit="1" customWidth="1"/>
    <col min="1566" max="1566" width="19.5703125" bestFit="1" customWidth="1"/>
    <col min="1567" max="1567" width="13.7109375" bestFit="1" customWidth="1"/>
    <col min="1568" max="1568" width="15" bestFit="1" customWidth="1"/>
    <col min="1569" max="1569" width="32.140625" bestFit="1" customWidth="1"/>
    <col min="1570" max="1570" width="9.7109375" bestFit="1" customWidth="1"/>
    <col min="1571" max="1572" width="36.7109375" bestFit="1" customWidth="1"/>
    <col min="1573" max="1573" width="19.42578125" bestFit="1" customWidth="1"/>
    <col min="1574" max="1574" width="18.42578125" bestFit="1" customWidth="1"/>
    <col min="1575" max="1575" width="23.140625" bestFit="1" customWidth="1"/>
    <col min="1576" max="1576" width="13.85546875" bestFit="1" customWidth="1"/>
    <col min="1793" max="1793" width="4.140625" bestFit="1" customWidth="1"/>
    <col min="1794" max="1795" width="5" bestFit="1" customWidth="1"/>
    <col min="1796" max="1796" width="26" bestFit="1" customWidth="1"/>
    <col min="1797" max="1797" width="19.85546875" bestFit="1" customWidth="1"/>
    <col min="1798" max="1798" width="9" bestFit="1" customWidth="1"/>
    <col min="1799" max="1799" width="5.42578125" bestFit="1" customWidth="1"/>
    <col min="1800" max="1800" width="18.140625" bestFit="1" customWidth="1"/>
    <col min="1801" max="1801" width="49.28515625" bestFit="1" customWidth="1"/>
    <col min="1802" max="1802" width="17" bestFit="1" customWidth="1"/>
    <col min="1803" max="1803" width="22.5703125" bestFit="1" customWidth="1"/>
    <col min="1804" max="1804" width="22.42578125" bestFit="1" customWidth="1"/>
    <col min="1805" max="1805" width="20.42578125" bestFit="1" customWidth="1"/>
    <col min="1806" max="1806" width="21.5703125" bestFit="1" customWidth="1"/>
    <col min="1807" max="1807" width="23.140625" bestFit="1" customWidth="1"/>
    <col min="1808" max="1808" width="215.42578125" bestFit="1" customWidth="1"/>
    <col min="1809" max="1809" width="49" bestFit="1" customWidth="1"/>
    <col min="1810" max="1810" width="14.140625" bestFit="1" customWidth="1"/>
    <col min="1811" max="1811" width="23.42578125" bestFit="1" customWidth="1"/>
    <col min="1812" max="1812" width="8.5703125" bestFit="1" customWidth="1"/>
    <col min="1813" max="1813" width="10.42578125" bestFit="1" customWidth="1"/>
    <col min="1814" max="1814" width="22.5703125" bestFit="1" customWidth="1"/>
    <col min="1815" max="1815" width="12.7109375" bestFit="1" customWidth="1"/>
    <col min="1816" max="1816" width="9" bestFit="1" customWidth="1"/>
    <col min="1817" max="1817" width="10.85546875" bestFit="1" customWidth="1"/>
    <col min="1818" max="1818" width="13" bestFit="1" customWidth="1"/>
    <col min="1819" max="1819" width="9" bestFit="1" customWidth="1"/>
    <col min="1820" max="1820" width="31.5703125" bestFit="1" customWidth="1"/>
    <col min="1821" max="1821" width="81.28515625" bestFit="1" customWidth="1"/>
    <col min="1822" max="1822" width="19.5703125" bestFit="1" customWidth="1"/>
    <col min="1823" max="1823" width="13.7109375" bestFit="1" customWidth="1"/>
    <col min="1824" max="1824" width="15" bestFit="1" customWidth="1"/>
    <col min="1825" max="1825" width="32.140625" bestFit="1" customWidth="1"/>
    <col min="1826" max="1826" width="9.7109375" bestFit="1" customWidth="1"/>
    <col min="1827" max="1828" width="36.7109375" bestFit="1" customWidth="1"/>
    <col min="1829" max="1829" width="19.42578125" bestFit="1" customWidth="1"/>
    <col min="1830" max="1830" width="18.42578125" bestFit="1" customWidth="1"/>
    <col min="1831" max="1831" width="23.140625" bestFit="1" customWidth="1"/>
    <col min="1832" max="1832" width="13.85546875" bestFit="1" customWidth="1"/>
    <col min="2049" max="2049" width="4.140625" bestFit="1" customWidth="1"/>
    <col min="2050" max="2051" width="5" bestFit="1" customWidth="1"/>
    <col min="2052" max="2052" width="26" bestFit="1" customWidth="1"/>
    <col min="2053" max="2053" width="19.85546875" bestFit="1" customWidth="1"/>
    <col min="2054" max="2054" width="9" bestFit="1" customWidth="1"/>
    <col min="2055" max="2055" width="5.42578125" bestFit="1" customWidth="1"/>
    <col min="2056" max="2056" width="18.140625" bestFit="1" customWidth="1"/>
    <col min="2057" max="2057" width="49.28515625" bestFit="1" customWidth="1"/>
    <col min="2058" max="2058" width="17" bestFit="1" customWidth="1"/>
    <col min="2059" max="2059" width="22.5703125" bestFit="1" customWidth="1"/>
    <col min="2060" max="2060" width="22.42578125" bestFit="1" customWidth="1"/>
    <col min="2061" max="2061" width="20.42578125" bestFit="1" customWidth="1"/>
    <col min="2062" max="2062" width="21.5703125" bestFit="1" customWidth="1"/>
    <col min="2063" max="2063" width="23.140625" bestFit="1" customWidth="1"/>
    <col min="2064" max="2064" width="215.42578125" bestFit="1" customWidth="1"/>
    <col min="2065" max="2065" width="49" bestFit="1" customWidth="1"/>
    <col min="2066" max="2066" width="14.140625" bestFit="1" customWidth="1"/>
    <col min="2067" max="2067" width="23.42578125" bestFit="1" customWidth="1"/>
    <col min="2068" max="2068" width="8.5703125" bestFit="1" customWidth="1"/>
    <col min="2069" max="2069" width="10.42578125" bestFit="1" customWidth="1"/>
    <col min="2070" max="2070" width="22.5703125" bestFit="1" customWidth="1"/>
    <col min="2071" max="2071" width="12.7109375" bestFit="1" customWidth="1"/>
    <col min="2072" max="2072" width="9" bestFit="1" customWidth="1"/>
    <col min="2073" max="2073" width="10.85546875" bestFit="1" customWidth="1"/>
    <col min="2074" max="2074" width="13" bestFit="1" customWidth="1"/>
    <col min="2075" max="2075" width="9" bestFit="1" customWidth="1"/>
    <col min="2076" max="2076" width="31.5703125" bestFit="1" customWidth="1"/>
    <col min="2077" max="2077" width="81.28515625" bestFit="1" customWidth="1"/>
    <col min="2078" max="2078" width="19.5703125" bestFit="1" customWidth="1"/>
    <col min="2079" max="2079" width="13.7109375" bestFit="1" customWidth="1"/>
    <col min="2080" max="2080" width="15" bestFit="1" customWidth="1"/>
    <col min="2081" max="2081" width="32.140625" bestFit="1" customWidth="1"/>
    <col min="2082" max="2082" width="9.7109375" bestFit="1" customWidth="1"/>
    <col min="2083" max="2084" width="36.7109375" bestFit="1" customWidth="1"/>
    <col min="2085" max="2085" width="19.42578125" bestFit="1" customWidth="1"/>
    <col min="2086" max="2086" width="18.42578125" bestFit="1" customWidth="1"/>
    <col min="2087" max="2087" width="23.140625" bestFit="1" customWidth="1"/>
    <col min="2088" max="2088" width="13.85546875" bestFit="1" customWidth="1"/>
    <col min="2305" max="2305" width="4.140625" bestFit="1" customWidth="1"/>
    <col min="2306" max="2307" width="5" bestFit="1" customWidth="1"/>
    <col min="2308" max="2308" width="26" bestFit="1" customWidth="1"/>
    <col min="2309" max="2309" width="19.85546875" bestFit="1" customWidth="1"/>
    <col min="2310" max="2310" width="9" bestFit="1" customWidth="1"/>
    <col min="2311" max="2311" width="5.42578125" bestFit="1" customWidth="1"/>
    <col min="2312" max="2312" width="18.140625" bestFit="1" customWidth="1"/>
    <col min="2313" max="2313" width="49.28515625" bestFit="1" customWidth="1"/>
    <col min="2314" max="2314" width="17" bestFit="1" customWidth="1"/>
    <col min="2315" max="2315" width="22.5703125" bestFit="1" customWidth="1"/>
    <col min="2316" max="2316" width="22.42578125" bestFit="1" customWidth="1"/>
    <col min="2317" max="2317" width="20.42578125" bestFit="1" customWidth="1"/>
    <col min="2318" max="2318" width="21.5703125" bestFit="1" customWidth="1"/>
    <col min="2319" max="2319" width="23.140625" bestFit="1" customWidth="1"/>
    <col min="2320" max="2320" width="215.42578125" bestFit="1" customWidth="1"/>
    <col min="2321" max="2321" width="49" bestFit="1" customWidth="1"/>
    <col min="2322" max="2322" width="14.140625" bestFit="1" customWidth="1"/>
    <col min="2323" max="2323" width="23.42578125" bestFit="1" customWidth="1"/>
    <col min="2324" max="2324" width="8.5703125" bestFit="1" customWidth="1"/>
    <col min="2325" max="2325" width="10.42578125" bestFit="1" customWidth="1"/>
    <col min="2326" max="2326" width="22.5703125" bestFit="1" customWidth="1"/>
    <col min="2327" max="2327" width="12.7109375" bestFit="1" customWidth="1"/>
    <col min="2328" max="2328" width="9" bestFit="1" customWidth="1"/>
    <col min="2329" max="2329" width="10.85546875" bestFit="1" customWidth="1"/>
    <col min="2330" max="2330" width="13" bestFit="1" customWidth="1"/>
    <col min="2331" max="2331" width="9" bestFit="1" customWidth="1"/>
    <col min="2332" max="2332" width="31.5703125" bestFit="1" customWidth="1"/>
    <col min="2333" max="2333" width="81.28515625" bestFit="1" customWidth="1"/>
    <col min="2334" max="2334" width="19.5703125" bestFit="1" customWidth="1"/>
    <col min="2335" max="2335" width="13.7109375" bestFit="1" customWidth="1"/>
    <col min="2336" max="2336" width="15" bestFit="1" customWidth="1"/>
    <col min="2337" max="2337" width="32.140625" bestFit="1" customWidth="1"/>
    <col min="2338" max="2338" width="9.7109375" bestFit="1" customWidth="1"/>
    <col min="2339" max="2340" width="36.7109375" bestFit="1" customWidth="1"/>
    <col min="2341" max="2341" width="19.42578125" bestFit="1" customWidth="1"/>
    <col min="2342" max="2342" width="18.42578125" bestFit="1" customWidth="1"/>
    <col min="2343" max="2343" width="23.140625" bestFit="1" customWidth="1"/>
    <col min="2344" max="2344" width="13.85546875" bestFit="1" customWidth="1"/>
    <col min="2561" max="2561" width="4.140625" bestFit="1" customWidth="1"/>
    <col min="2562" max="2563" width="5" bestFit="1" customWidth="1"/>
    <col min="2564" max="2564" width="26" bestFit="1" customWidth="1"/>
    <col min="2565" max="2565" width="19.85546875" bestFit="1" customWidth="1"/>
    <col min="2566" max="2566" width="9" bestFit="1" customWidth="1"/>
    <col min="2567" max="2567" width="5.42578125" bestFit="1" customWidth="1"/>
    <col min="2568" max="2568" width="18.140625" bestFit="1" customWidth="1"/>
    <col min="2569" max="2569" width="49.28515625" bestFit="1" customWidth="1"/>
    <col min="2570" max="2570" width="17" bestFit="1" customWidth="1"/>
    <col min="2571" max="2571" width="22.5703125" bestFit="1" customWidth="1"/>
    <col min="2572" max="2572" width="22.42578125" bestFit="1" customWidth="1"/>
    <col min="2573" max="2573" width="20.42578125" bestFit="1" customWidth="1"/>
    <col min="2574" max="2574" width="21.5703125" bestFit="1" customWidth="1"/>
    <col min="2575" max="2575" width="23.140625" bestFit="1" customWidth="1"/>
    <col min="2576" max="2576" width="215.42578125" bestFit="1" customWidth="1"/>
    <col min="2577" max="2577" width="49" bestFit="1" customWidth="1"/>
    <col min="2578" max="2578" width="14.140625" bestFit="1" customWidth="1"/>
    <col min="2579" max="2579" width="23.42578125" bestFit="1" customWidth="1"/>
    <col min="2580" max="2580" width="8.5703125" bestFit="1" customWidth="1"/>
    <col min="2581" max="2581" width="10.42578125" bestFit="1" customWidth="1"/>
    <col min="2582" max="2582" width="22.5703125" bestFit="1" customWidth="1"/>
    <col min="2583" max="2583" width="12.7109375" bestFit="1" customWidth="1"/>
    <col min="2584" max="2584" width="9" bestFit="1" customWidth="1"/>
    <col min="2585" max="2585" width="10.85546875" bestFit="1" customWidth="1"/>
    <col min="2586" max="2586" width="13" bestFit="1" customWidth="1"/>
    <col min="2587" max="2587" width="9" bestFit="1" customWidth="1"/>
    <col min="2588" max="2588" width="31.5703125" bestFit="1" customWidth="1"/>
    <col min="2589" max="2589" width="81.28515625" bestFit="1" customWidth="1"/>
    <col min="2590" max="2590" width="19.5703125" bestFit="1" customWidth="1"/>
    <col min="2591" max="2591" width="13.7109375" bestFit="1" customWidth="1"/>
    <col min="2592" max="2592" width="15" bestFit="1" customWidth="1"/>
    <col min="2593" max="2593" width="32.140625" bestFit="1" customWidth="1"/>
    <col min="2594" max="2594" width="9.7109375" bestFit="1" customWidth="1"/>
    <col min="2595" max="2596" width="36.7109375" bestFit="1" customWidth="1"/>
    <col min="2597" max="2597" width="19.42578125" bestFit="1" customWidth="1"/>
    <col min="2598" max="2598" width="18.42578125" bestFit="1" customWidth="1"/>
    <col min="2599" max="2599" width="23.140625" bestFit="1" customWidth="1"/>
    <col min="2600" max="2600" width="13.85546875" bestFit="1" customWidth="1"/>
    <col min="2817" max="2817" width="4.140625" bestFit="1" customWidth="1"/>
    <col min="2818" max="2819" width="5" bestFit="1" customWidth="1"/>
    <col min="2820" max="2820" width="26" bestFit="1" customWidth="1"/>
    <col min="2821" max="2821" width="19.85546875" bestFit="1" customWidth="1"/>
    <col min="2822" max="2822" width="9" bestFit="1" customWidth="1"/>
    <col min="2823" max="2823" width="5.42578125" bestFit="1" customWidth="1"/>
    <col min="2824" max="2824" width="18.140625" bestFit="1" customWidth="1"/>
    <col min="2825" max="2825" width="49.28515625" bestFit="1" customWidth="1"/>
    <col min="2826" max="2826" width="17" bestFit="1" customWidth="1"/>
    <col min="2827" max="2827" width="22.5703125" bestFit="1" customWidth="1"/>
    <col min="2828" max="2828" width="22.42578125" bestFit="1" customWidth="1"/>
    <col min="2829" max="2829" width="20.42578125" bestFit="1" customWidth="1"/>
    <col min="2830" max="2830" width="21.5703125" bestFit="1" customWidth="1"/>
    <col min="2831" max="2831" width="23.140625" bestFit="1" customWidth="1"/>
    <col min="2832" max="2832" width="215.42578125" bestFit="1" customWidth="1"/>
    <col min="2833" max="2833" width="49" bestFit="1" customWidth="1"/>
    <col min="2834" max="2834" width="14.140625" bestFit="1" customWidth="1"/>
    <col min="2835" max="2835" width="23.42578125" bestFit="1" customWidth="1"/>
    <col min="2836" max="2836" width="8.5703125" bestFit="1" customWidth="1"/>
    <col min="2837" max="2837" width="10.42578125" bestFit="1" customWidth="1"/>
    <col min="2838" max="2838" width="22.5703125" bestFit="1" customWidth="1"/>
    <col min="2839" max="2839" width="12.7109375" bestFit="1" customWidth="1"/>
    <col min="2840" max="2840" width="9" bestFit="1" customWidth="1"/>
    <col min="2841" max="2841" width="10.85546875" bestFit="1" customWidth="1"/>
    <col min="2842" max="2842" width="13" bestFit="1" customWidth="1"/>
    <col min="2843" max="2843" width="9" bestFit="1" customWidth="1"/>
    <col min="2844" max="2844" width="31.5703125" bestFit="1" customWidth="1"/>
    <col min="2845" max="2845" width="81.28515625" bestFit="1" customWidth="1"/>
    <col min="2846" max="2846" width="19.5703125" bestFit="1" customWidth="1"/>
    <col min="2847" max="2847" width="13.7109375" bestFit="1" customWidth="1"/>
    <col min="2848" max="2848" width="15" bestFit="1" customWidth="1"/>
    <col min="2849" max="2849" width="32.140625" bestFit="1" customWidth="1"/>
    <col min="2850" max="2850" width="9.7109375" bestFit="1" customWidth="1"/>
    <col min="2851" max="2852" width="36.7109375" bestFit="1" customWidth="1"/>
    <col min="2853" max="2853" width="19.42578125" bestFit="1" customWidth="1"/>
    <col min="2854" max="2854" width="18.42578125" bestFit="1" customWidth="1"/>
    <col min="2855" max="2855" width="23.140625" bestFit="1" customWidth="1"/>
    <col min="2856" max="2856" width="13.85546875" bestFit="1" customWidth="1"/>
    <col min="3073" max="3073" width="4.140625" bestFit="1" customWidth="1"/>
    <col min="3074" max="3075" width="5" bestFit="1" customWidth="1"/>
    <col min="3076" max="3076" width="26" bestFit="1" customWidth="1"/>
    <col min="3077" max="3077" width="19.85546875" bestFit="1" customWidth="1"/>
    <col min="3078" max="3078" width="9" bestFit="1" customWidth="1"/>
    <col min="3079" max="3079" width="5.42578125" bestFit="1" customWidth="1"/>
    <col min="3080" max="3080" width="18.140625" bestFit="1" customWidth="1"/>
    <col min="3081" max="3081" width="49.28515625" bestFit="1" customWidth="1"/>
    <col min="3082" max="3082" width="17" bestFit="1" customWidth="1"/>
    <col min="3083" max="3083" width="22.5703125" bestFit="1" customWidth="1"/>
    <col min="3084" max="3084" width="22.42578125" bestFit="1" customWidth="1"/>
    <col min="3085" max="3085" width="20.42578125" bestFit="1" customWidth="1"/>
    <col min="3086" max="3086" width="21.5703125" bestFit="1" customWidth="1"/>
    <col min="3087" max="3087" width="23.140625" bestFit="1" customWidth="1"/>
    <col min="3088" max="3088" width="215.42578125" bestFit="1" customWidth="1"/>
    <col min="3089" max="3089" width="49" bestFit="1" customWidth="1"/>
    <col min="3090" max="3090" width="14.140625" bestFit="1" customWidth="1"/>
    <col min="3091" max="3091" width="23.42578125" bestFit="1" customWidth="1"/>
    <col min="3092" max="3092" width="8.5703125" bestFit="1" customWidth="1"/>
    <col min="3093" max="3093" width="10.42578125" bestFit="1" customWidth="1"/>
    <col min="3094" max="3094" width="22.5703125" bestFit="1" customWidth="1"/>
    <col min="3095" max="3095" width="12.7109375" bestFit="1" customWidth="1"/>
    <col min="3096" max="3096" width="9" bestFit="1" customWidth="1"/>
    <col min="3097" max="3097" width="10.85546875" bestFit="1" customWidth="1"/>
    <col min="3098" max="3098" width="13" bestFit="1" customWidth="1"/>
    <col min="3099" max="3099" width="9" bestFit="1" customWidth="1"/>
    <col min="3100" max="3100" width="31.5703125" bestFit="1" customWidth="1"/>
    <col min="3101" max="3101" width="81.28515625" bestFit="1" customWidth="1"/>
    <col min="3102" max="3102" width="19.5703125" bestFit="1" customWidth="1"/>
    <col min="3103" max="3103" width="13.7109375" bestFit="1" customWidth="1"/>
    <col min="3104" max="3104" width="15" bestFit="1" customWidth="1"/>
    <col min="3105" max="3105" width="32.140625" bestFit="1" customWidth="1"/>
    <col min="3106" max="3106" width="9.7109375" bestFit="1" customWidth="1"/>
    <col min="3107" max="3108" width="36.7109375" bestFit="1" customWidth="1"/>
    <col min="3109" max="3109" width="19.42578125" bestFit="1" customWidth="1"/>
    <col min="3110" max="3110" width="18.42578125" bestFit="1" customWidth="1"/>
    <col min="3111" max="3111" width="23.140625" bestFit="1" customWidth="1"/>
    <col min="3112" max="3112" width="13.85546875" bestFit="1" customWidth="1"/>
    <col min="3329" max="3329" width="4.140625" bestFit="1" customWidth="1"/>
    <col min="3330" max="3331" width="5" bestFit="1" customWidth="1"/>
    <col min="3332" max="3332" width="26" bestFit="1" customWidth="1"/>
    <col min="3333" max="3333" width="19.85546875" bestFit="1" customWidth="1"/>
    <col min="3334" max="3334" width="9" bestFit="1" customWidth="1"/>
    <col min="3335" max="3335" width="5.42578125" bestFit="1" customWidth="1"/>
    <col min="3336" max="3336" width="18.140625" bestFit="1" customWidth="1"/>
    <col min="3337" max="3337" width="49.28515625" bestFit="1" customWidth="1"/>
    <col min="3338" max="3338" width="17" bestFit="1" customWidth="1"/>
    <col min="3339" max="3339" width="22.5703125" bestFit="1" customWidth="1"/>
    <col min="3340" max="3340" width="22.42578125" bestFit="1" customWidth="1"/>
    <col min="3341" max="3341" width="20.42578125" bestFit="1" customWidth="1"/>
    <col min="3342" max="3342" width="21.5703125" bestFit="1" customWidth="1"/>
    <col min="3343" max="3343" width="23.140625" bestFit="1" customWidth="1"/>
    <col min="3344" max="3344" width="215.42578125" bestFit="1" customWidth="1"/>
    <col min="3345" max="3345" width="49" bestFit="1" customWidth="1"/>
    <col min="3346" max="3346" width="14.140625" bestFit="1" customWidth="1"/>
    <col min="3347" max="3347" width="23.42578125" bestFit="1" customWidth="1"/>
    <col min="3348" max="3348" width="8.5703125" bestFit="1" customWidth="1"/>
    <col min="3349" max="3349" width="10.42578125" bestFit="1" customWidth="1"/>
    <col min="3350" max="3350" width="22.5703125" bestFit="1" customWidth="1"/>
    <col min="3351" max="3351" width="12.7109375" bestFit="1" customWidth="1"/>
    <col min="3352" max="3352" width="9" bestFit="1" customWidth="1"/>
    <col min="3353" max="3353" width="10.85546875" bestFit="1" customWidth="1"/>
    <col min="3354" max="3354" width="13" bestFit="1" customWidth="1"/>
    <col min="3355" max="3355" width="9" bestFit="1" customWidth="1"/>
    <col min="3356" max="3356" width="31.5703125" bestFit="1" customWidth="1"/>
    <col min="3357" max="3357" width="81.28515625" bestFit="1" customWidth="1"/>
    <col min="3358" max="3358" width="19.5703125" bestFit="1" customWidth="1"/>
    <col min="3359" max="3359" width="13.7109375" bestFit="1" customWidth="1"/>
    <col min="3360" max="3360" width="15" bestFit="1" customWidth="1"/>
    <col min="3361" max="3361" width="32.140625" bestFit="1" customWidth="1"/>
    <col min="3362" max="3362" width="9.7109375" bestFit="1" customWidth="1"/>
    <col min="3363" max="3364" width="36.7109375" bestFit="1" customWidth="1"/>
    <col min="3365" max="3365" width="19.42578125" bestFit="1" customWidth="1"/>
    <col min="3366" max="3366" width="18.42578125" bestFit="1" customWidth="1"/>
    <col min="3367" max="3367" width="23.140625" bestFit="1" customWidth="1"/>
    <col min="3368" max="3368" width="13.85546875" bestFit="1" customWidth="1"/>
    <col min="3585" max="3585" width="4.140625" bestFit="1" customWidth="1"/>
    <col min="3586" max="3587" width="5" bestFit="1" customWidth="1"/>
    <col min="3588" max="3588" width="26" bestFit="1" customWidth="1"/>
    <col min="3589" max="3589" width="19.85546875" bestFit="1" customWidth="1"/>
    <col min="3590" max="3590" width="9" bestFit="1" customWidth="1"/>
    <col min="3591" max="3591" width="5.42578125" bestFit="1" customWidth="1"/>
    <col min="3592" max="3592" width="18.140625" bestFit="1" customWidth="1"/>
    <col min="3593" max="3593" width="49.28515625" bestFit="1" customWidth="1"/>
    <col min="3594" max="3594" width="17" bestFit="1" customWidth="1"/>
    <col min="3595" max="3595" width="22.5703125" bestFit="1" customWidth="1"/>
    <col min="3596" max="3596" width="22.42578125" bestFit="1" customWidth="1"/>
    <col min="3597" max="3597" width="20.42578125" bestFit="1" customWidth="1"/>
    <col min="3598" max="3598" width="21.5703125" bestFit="1" customWidth="1"/>
    <col min="3599" max="3599" width="23.140625" bestFit="1" customWidth="1"/>
    <col min="3600" max="3600" width="215.42578125" bestFit="1" customWidth="1"/>
    <col min="3601" max="3601" width="49" bestFit="1" customWidth="1"/>
    <col min="3602" max="3602" width="14.140625" bestFit="1" customWidth="1"/>
    <col min="3603" max="3603" width="23.42578125" bestFit="1" customWidth="1"/>
    <col min="3604" max="3604" width="8.5703125" bestFit="1" customWidth="1"/>
    <col min="3605" max="3605" width="10.42578125" bestFit="1" customWidth="1"/>
    <col min="3606" max="3606" width="22.5703125" bestFit="1" customWidth="1"/>
    <col min="3607" max="3607" width="12.7109375" bestFit="1" customWidth="1"/>
    <col min="3608" max="3608" width="9" bestFit="1" customWidth="1"/>
    <col min="3609" max="3609" width="10.85546875" bestFit="1" customWidth="1"/>
    <col min="3610" max="3610" width="13" bestFit="1" customWidth="1"/>
    <col min="3611" max="3611" width="9" bestFit="1" customWidth="1"/>
    <col min="3612" max="3612" width="31.5703125" bestFit="1" customWidth="1"/>
    <col min="3613" max="3613" width="81.28515625" bestFit="1" customWidth="1"/>
    <col min="3614" max="3614" width="19.5703125" bestFit="1" customWidth="1"/>
    <col min="3615" max="3615" width="13.7109375" bestFit="1" customWidth="1"/>
    <col min="3616" max="3616" width="15" bestFit="1" customWidth="1"/>
    <col min="3617" max="3617" width="32.140625" bestFit="1" customWidth="1"/>
    <col min="3618" max="3618" width="9.7109375" bestFit="1" customWidth="1"/>
    <col min="3619" max="3620" width="36.7109375" bestFit="1" customWidth="1"/>
    <col min="3621" max="3621" width="19.42578125" bestFit="1" customWidth="1"/>
    <col min="3622" max="3622" width="18.42578125" bestFit="1" customWidth="1"/>
    <col min="3623" max="3623" width="23.140625" bestFit="1" customWidth="1"/>
    <col min="3624" max="3624" width="13.85546875" bestFit="1" customWidth="1"/>
    <col min="3841" max="3841" width="4.140625" bestFit="1" customWidth="1"/>
    <col min="3842" max="3843" width="5" bestFit="1" customWidth="1"/>
    <col min="3844" max="3844" width="26" bestFit="1" customWidth="1"/>
    <col min="3845" max="3845" width="19.85546875" bestFit="1" customWidth="1"/>
    <col min="3846" max="3846" width="9" bestFit="1" customWidth="1"/>
    <col min="3847" max="3847" width="5.42578125" bestFit="1" customWidth="1"/>
    <col min="3848" max="3848" width="18.140625" bestFit="1" customWidth="1"/>
    <col min="3849" max="3849" width="49.28515625" bestFit="1" customWidth="1"/>
    <col min="3850" max="3850" width="17" bestFit="1" customWidth="1"/>
    <col min="3851" max="3851" width="22.5703125" bestFit="1" customWidth="1"/>
    <col min="3852" max="3852" width="22.42578125" bestFit="1" customWidth="1"/>
    <col min="3853" max="3853" width="20.42578125" bestFit="1" customWidth="1"/>
    <col min="3854" max="3854" width="21.5703125" bestFit="1" customWidth="1"/>
    <col min="3855" max="3855" width="23.140625" bestFit="1" customWidth="1"/>
    <col min="3856" max="3856" width="215.42578125" bestFit="1" customWidth="1"/>
    <col min="3857" max="3857" width="49" bestFit="1" customWidth="1"/>
    <col min="3858" max="3858" width="14.140625" bestFit="1" customWidth="1"/>
    <col min="3859" max="3859" width="23.42578125" bestFit="1" customWidth="1"/>
    <col min="3860" max="3860" width="8.5703125" bestFit="1" customWidth="1"/>
    <col min="3861" max="3861" width="10.42578125" bestFit="1" customWidth="1"/>
    <col min="3862" max="3862" width="22.5703125" bestFit="1" customWidth="1"/>
    <col min="3863" max="3863" width="12.7109375" bestFit="1" customWidth="1"/>
    <col min="3864" max="3864" width="9" bestFit="1" customWidth="1"/>
    <col min="3865" max="3865" width="10.85546875" bestFit="1" customWidth="1"/>
    <col min="3866" max="3866" width="13" bestFit="1" customWidth="1"/>
    <col min="3867" max="3867" width="9" bestFit="1" customWidth="1"/>
    <col min="3868" max="3868" width="31.5703125" bestFit="1" customWidth="1"/>
    <col min="3869" max="3869" width="81.28515625" bestFit="1" customWidth="1"/>
    <col min="3870" max="3870" width="19.5703125" bestFit="1" customWidth="1"/>
    <col min="3871" max="3871" width="13.7109375" bestFit="1" customWidth="1"/>
    <col min="3872" max="3872" width="15" bestFit="1" customWidth="1"/>
    <col min="3873" max="3873" width="32.140625" bestFit="1" customWidth="1"/>
    <col min="3874" max="3874" width="9.7109375" bestFit="1" customWidth="1"/>
    <col min="3875" max="3876" width="36.7109375" bestFit="1" customWidth="1"/>
    <col min="3877" max="3877" width="19.42578125" bestFit="1" customWidth="1"/>
    <col min="3878" max="3878" width="18.42578125" bestFit="1" customWidth="1"/>
    <col min="3879" max="3879" width="23.140625" bestFit="1" customWidth="1"/>
    <col min="3880" max="3880" width="13.85546875" bestFit="1" customWidth="1"/>
    <col min="4097" max="4097" width="4.140625" bestFit="1" customWidth="1"/>
    <col min="4098" max="4099" width="5" bestFit="1" customWidth="1"/>
    <col min="4100" max="4100" width="26" bestFit="1" customWidth="1"/>
    <col min="4101" max="4101" width="19.85546875" bestFit="1" customWidth="1"/>
    <col min="4102" max="4102" width="9" bestFit="1" customWidth="1"/>
    <col min="4103" max="4103" width="5.42578125" bestFit="1" customWidth="1"/>
    <col min="4104" max="4104" width="18.140625" bestFit="1" customWidth="1"/>
    <col min="4105" max="4105" width="49.28515625" bestFit="1" customWidth="1"/>
    <col min="4106" max="4106" width="17" bestFit="1" customWidth="1"/>
    <col min="4107" max="4107" width="22.5703125" bestFit="1" customWidth="1"/>
    <col min="4108" max="4108" width="22.42578125" bestFit="1" customWidth="1"/>
    <col min="4109" max="4109" width="20.42578125" bestFit="1" customWidth="1"/>
    <col min="4110" max="4110" width="21.5703125" bestFit="1" customWidth="1"/>
    <col min="4111" max="4111" width="23.140625" bestFit="1" customWidth="1"/>
    <col min="4112" max="4112" width="215.42578125" bestFit="1" customWidth="1"/>
    <col min="4113" max="4113" width="49" bestFit="1" customWidth="1"/>
    <col min="4114" max="4114" width="14.140625" bestFit="1" customWidth="1"/>
    <col min="4115" max="4115" width="23.42578125" bestFit="1" customWidth="1"/>
    <col min="4116" max="4116" width="8.5703125" bestFit="1" customWidth="1"/>
    <col min="4117" max="4117" width="10.42578125" bestFit="1" customWidth="1"/>
    <col min="4118" max="4118" width="22.5703125" bestFit="1" customWidth="1"/>
    <col min="4119" max="4119" width="12.7109375" bestFit="1" customWidth="1"/>
    <col min="4120" max="4120" width="9" bestFit="1" customWidth="1"/>
    <col min="4121" max="4121" width="10.85546875" bestFit="1" customWidth="1"/>
    <col min="4122" max="4122" width="13" bestFit="1" customWidth="1"/>
    <col min="4123" max="4123" width="9" bestFit="1" customWidth="1"/>
    <col min="4124" max="4124" width="31.5703125" bestFit="1" customWidth="1"/>
    <col min="4125" max="4125" width="81.28515625" bestFit="1" customWidth="1"/>
    <col min="4126" max="4126" width="19.5703125" bestFit="1" customWidth="1"/>
    <col min="4127" max="4127" width="13.7109375" bestFit="1" customWidth="1"/>
    <col min="4128" max="4128" width="15" bestFit="1" customWidth="1"/>
    <col min="4129" max="4129" width="32.140625" bestFit="1" customWidth="1"/>
    <col min="4130" max="4130" width="9.7109375" bestFit="1" customWidth="1"/>
    <col min="4131" max="4132" width="36.7109375" bestFit="1" customWidth="1"/>
    <col min="4133" max="4133" width="19.42578125" bestFit="1" customWidth="1"/>
    <col min="4134" max="4134" width="18.42578125" bestFit="1" customWidth="1"/>
    <col min="4135" max="4135" width="23.140625" bestFit="1" customWidth="1"/>
    <col min="4136" max="4136" width="13.85546875" bestFit="1" customWidth="1"/>
    <col min="4353" max="4353" width="4.140625" bestFit="1" customWidth="1"/>
    <col min="4354" max="4355" width="5" bestFit="1" customWidth="1"/>
    <col min="4356" max="4356" width="26" bestFit="1" customWidth="1"/>
    <col min="4357" max="4357" width="19.85546875" bestFit="1" customWidth="1"/>
    <col min="4358" max="4358" width="9" bestFit="1" customWidth="1"/>
    <col min="4359" max="4359" width="5.42578125" bestFit="1" customWidth="1"/>
    <col min="4360" max="4360" width="18.140625" bestFit="1" customWidth="1"/>
    <col min="4361" max="4361" width="49.28515625" bestFit="1" customWidth="1"/>
    <col min="4362" max="4362" width="17" bestFit="1" customWidth="1"/>
    <col min="4363" max="4363" width="22.5703125" bestFit="1" customWidth="1"/>
    <col min="4364" max="4364" width="22.42578125" bestFit="1" customWidth="1"/>
    <col min="4365" max="4365" width="20.42578125" bestFit="1" customWidth="1"/>
    <col min="4366" max="4366" width="21.5703125" bestFit="1" customWidth="1"/>
    <col min="4367" max="4367" width="23.140625" bestFit="1" customWidth="1"/>
    <col min="4368" max="4368" width="215.42578125" bestFit="1" customWidth="1"/>
    <col min="4369" max="4369" width="49" bestFit="1" customWidth="1"/>
    <col min="4370" max="4370" width="14.140625" bestFit="1" customWidth="1"/>
    <col min="4371" max="4371" width="23.42578125" bestFit="1" customWidth="1"/>
    <col min="4372" max="4372" width="8.5703125" bestFit="1" customWidth="1"/>
    <col min="4373" max="4373" width="10.42578125" bestFit="1" customWidth="1"/>
    <col min="4374" max="4374" width="22.5703125" bestFit="1" customWidth="1"/>
    <col min="4375" max="4375" width="12.7109375" bestFit="1" customWidth="1"/>
    <col min="4376" max="4376" width="9" bestFit="1" customWidth="1"/>
    <col min="4377" max="4377" width="10.85546875" bestFit="1" customWidth="1"/>
    <col min="4378" max="4378" width="13" bestFit="1" customWidth="1"/>
    <col min="4379" max="4379" width="9" bestFit="1" customWidth="1"/>
    <col min="4380" max="4380" width="31.5703125" bestFit="1" customWidth="1"/>
    <col min="4381" max="4381" width="81.28515625" bestFit="1" customWidth="1"/>
    <col min="4382" max="4382" width="19.5703125" bestFit="1" customWidth="1"/>
    <col min="4383" max="4383" width="13.7109375" bestFit="1" customWidth="1"/>
    <col min="4384" max="4384" width="15" bestFit="1" customWidth="1"/>
    <col min="4385" max="4385" width="32.140625" bestFit="1" customWidth="1"/>
    <col min="4386" max="4386" width="9.7109375" bestFit="1" customWidth="1"/>
    <col min="4387" max="4388" width="36.7109375" bestFit="1" customWidth="1"/>
    <col min="4389" max="4389" width="19.42578125" bestFit="1" customWidth="1"/>
    <col min="4390" max="4390" width="18.42578125" bestFit="1" customWidth="1"/>
    <col min="4391" max="4391" width="23.140625" bestFit="1" customWidth="1"/>
    <col min="4392" max="4392" width="13.85546875" bestFit="1" customWidth="1"/>
    <col min="4609" max="4609" width="4.140625" bestFit="1" customWidth="1"/>
    <col min="4610" max="4611" width="5" bestFit="1" customWidth="1"/>
    <col min="4612" max="4612" width="26" bestFit="1" customWidth="1"/>
    <col min="4613" max="4613" width="19.85546875" bestFit="1" customWidth="1"/>
    <col min="4614" max="4614" width="9" bestFit="1" customWidth="1"/>
    <col min="4615" max="4615" width="5.42578125" bestFit="1" customWidth="1"/>
    <col min="4616" max="4616" width="18.140625" bestFit="1" customWidth="1"/>
    <col min="4617" max="4617" width="49.28515625" bestFit="1" customWidth="1"/>
    <col min="4618" max="4618" width="17" bestFit="1" customWidth="1"/>
    <col min="4619" max="4619" width="22.5703125" bestFit="1" customWidth="1"/>
    <col min="4620" max="4620" width="22.42578125" bestFit="1" customWidth="1"/>
    <col min="4621" max="4621" width="20.42578125" bestFit="1" customWidth="1"/>
    <col min="4622" max="4622" width="21.5703125" bestFit="1" customWidth="1"/>
    <col min="4623" max="4623" width="23.140625" bestFit="1" customWidth="1"/>
    <col min="4624" max="4624" width="215.42578125" bestFit="1" customWidth="1"/>
    <col min="4625" max="4625" width="49" bestFit="1" customWidth="1"/>
    <col min="4626" max="4626" width="14.140625" bestFit="1" customWidth="1"/>
    <col min="4627" max="4627" width="23.42578125" bestFit="1" customWidth="1"/>
    <col min="4628" max="4628" width="8.5703125" bestFit="1" customWidth="1"/>
    <col min="4629" max="4629" width="10.42578125" bestFit="1" customWidth="1"/>
    <col min="4630" max="4630" width="22.5703125" bestFit="1" customWidth="1"/>
    <col min="4631" max="4631" width="12.7109375" bestFit="1" customWidth="1"/>
    <col min="4632" max="4632" width="9" bestFit="1" customWidth="1"/>
    <col min="4633" max="4633" width="10.85546875" bestFit="1" customWidth="1"/>
    <col min="4634" max="4634" width="13" bestFit="1" customWidth="1"/>
    <col min="4635" max="4635" width="9" bestFit="1" customWidth="1"/>
    <col min="4636" max="4636" width="31.5703125" bestFit="1" customWidth="1"/>
    <col min="4637" max="4637" width="81.28515625" bestFit="1" customWidth="1"/>
    <col min="4638" max="4638" width="19.5703125" bestFit="1" customWidth="1"/>
    <col min="4639" max="4639" width="13.7109375" bestFit="1" customWidth="1"/>
    <col min="4640" max="4640" width="15" bestFit="1" customWidth="1"/>
    <col min="4641" max="4641" width="32.140625" bestFit="1" customWidth="1"/>
    <col min="4642" max="4642" width="9.7109375" bestFit="1" customWidth="1"/>
    <col min="4643" max="4644" width="36.7109375" bestFit="1" customWidth="1"/>
    <col min="4645" max="4645" width="19.42578125" bestFit="1" customWidth="1"/>
    <col min="4646" max="4646" width="18.42578125" bestFit="1" customWidth="1"/>
    <col min="4647" max="4647" width="23.140625" bestFit="1" customWidth="1"/>
    <col min="4648" max="4648" width="13.85546875" bestFit="1" customWidth="1"/>
    <col min="4865" max="4865" width="4.140625" bestFit="1" customWidth="1"/>
    <col min="4866" max="4867" width="5" bestFit="1" customWidth="1"/>
    <col min="4868" max="4868" width="26" bestFit="1" customWidth="1"/>
    <col min="4869" max="4869" width="19.85546875" bestFit="1" customWidth="1"/>
    <col min="4870" max="4870" width="9" bestFit="1" customWidth="1"/>
    <col min="4871" max="4871" width="5.42578125" bestFit="1" customWidth="1"/>
    <col min="4872" max="4872" width="18.140625" bestFit="1" customWidth="1"/>
    <col min="4873" max="4873" width="49.28515625" bestFit="1" customWidth="1"/>
    <col min="4874" max="4874" width="17" bestFit="1" customWidth="1"/>
    <col min="4875" max="4875" width="22.5703125" bestFit="1" customWidth="1"/>
    <col min="4876" max="4876" width="22.42578125" bestFit="1" customWidth="1"/>
    <col min="4877" max="4877" width="20.42578125" bestFit="1" customWidth="1"/>
    <col min="4878" max="4878" width="21.5703125" bestFit="1" customWidth="1"/>
    <col min="4879" max="4879" width="23.140625" bestFit="1" customWidth="1"/>
    <col min="4880" max="4880" width="215.42578125" bestFit="1" customWidth="1"/>
    <col min="4881" max="4881" width="49" bestFit="1" customWidth="1"/>
    <col min="4882" max="4882" width="14.140625" bestFit="1" customWidth="1"/>
    <col min="4883" max="4883" width="23.42578125" bestFit="1" customWidth="1"/>
    <col min="4884" max="4884" width="8.5703125" bestFit="1" customWidth="1"/>
    <col min="4885" max="4885" width="10.42578125" bestFit="1" customWidth="1"/>
    <col min="4886" max="4886" width="22.5703125" bestFit="1" customWidth="1"/>
    <col min="4887" max="4887" width="12.7109375" bestFit="1" customWidth="1"/>
    <col min="4888" max="4888" width="9" bestFit="1" customWidth="1"/>
    <col min="4889" max="4889" width="10.85546875" bestFit="1" customWidth="1"/>
    <col min="4890" max="4890" width="13" bestFit="1" customWidth="1"/>
    <col min="4891" max="4891" width="9" bestFit="1" customWidth="1"/>
    <col min="4892" max="4892" width="31.5703125" bestFit="1" customWidth="1"/>
    <col min="4893" max="4893" width="81.28515625" bestFit="1" customWidth="1"/>
    <col min="4894" max="4894" width="19.5703125" bestFit="1" customWidth="1"/>
    <col min="4895" max="4895" width="13.7109375" bestFit="1" customWidth="1"/>
    <col min="4896" max="4896" width="15" bestFit="1" customWidth="1"/>
    <col min="4897" max="4897" width="32.140625" bestFit="1" customWidth="1"/>
    <col min="4898" max="4898" width="9.7109375" bestFit="1" customWidth="1"/>
    <col min="4899" max="4900" width="36.7109375" bestFit="1" customWidth="1"/>
    <col min="4901" max="4901" width="19.42578125" bestFit="1" customWidth="1"/>
    <col min="4902" max="4902" width="18.42578125" bestFit="1" customWidth="1"/>
    <col min="4903" max="4903" width="23.140625" bestFit="1" customWidth="1"/>
    <col min="4904" max="4904" width="13.85546875" bestFit="1" customWidth="1"/>
    <col min="5121" max="5121" width="4.140625" bestFit="1" customWidth="1"/>
    <col min="5122" max="5123" width="5" bestFit="1" customWidth="1"/>
    <col min="5124" max="5124" width="26" bestFit="1" customWidth="1"/>
    <col min="5125" max="5125" width="19.85546875" bestFit="1" customWidth="1"/>
    <col min="5126" max="5126" width="9" bestFit="1" customWidth="1"/>
    <col min="5127" max="5127" width="5.42578125" bestFit="1" customWidth="1"/>
    <col min="5128" max="5128" width="18.140625" bestFit="1" customWidth="1"/>
    <col min="5129" max="5129" width="49.28515625" bestFit="1" customWidth="1"/>
    <col min="5130" max="5130" width="17" bestFit="1" customWidth="1"/>
    <col min="5131" max="5131" width="22.5703125" bestFit="1" customWidth="1"/>
    <col min="5132" max="5132" width="22.42578125" bestFit="1" customWidth="1"/>
    <col min="5133" max="5133" width="20.42578125" bestFit="1" customWidth="1"/>
    <col min="5134" max="5134" width="21.5703125" bestFit="1" customWidth="1"/>
    <col min="5135" max="5135" width="23.140625" bestFit="1" customWidth="1"/>
    <col min="5136" max="5136" width="215.42578125" bestFit="1" customWidth="1"/>
    <col min="5137" max="5137" width="49" bestFit="1" customWidth="1"/>
    <col min="5138" max="5138" width="14.140625" bestFit="1" customWidth="1"/>
    <col min="5139" max="5139" width="23.42578125" bestFit="1" customWidth="1"/>
    <col min="5140" max="5140" width="8.5703125" bestFit="1" customWidth="1"/>
    <col min="5141" max="5141" width="10.42578125" bestFit="1" customWidth="1"/>
    <col min="5142" max="5142" width="22.5703125" bestFit="1" customWidth="1"/>
    <col min="5143" max="5143" width="12.7109375" bestFit="1" customWidth="1"/>
    <col min="5144" max="5144" width="9" bestFit="1" customWidth="1"/>
    <col min="5145" max="5145" width="10.85546875" bestFit="1" customWidth="1"/>
    <col min="5146" max="5146" width="13" bestFit="1" customWidth="1"/>
    <col min="5147" max="5147" width="9" bestFit="1" customWidth="1"/>
    <col min="5148" max="5148" width="31.5703125" bestFit="1" customWidth="1"/>
    <col min="5149" max="5149" width="81.28515625" bestFit="1" customWidth="1"/>
    <col min="5150" max="5150" width="19.5703125" bestFit="1" customWidth="1"/>
    <col min="5151" max="5151" width="13.7109375" bestFit="1" customWidth="1"/>
    <col min="5152" max="5152" width="15" bestFit="1" customWidth="1"/>
    <col min="5153" max="5153" width="32.140625" bestFit="1" customWidth="1"/>
    <col min="5154" max="5154" width="9.7109375" bestFit="1" customWidth="1"/>
    <col min="5155" max="5156" width="36.7109375" bestFit="1" customWidth="1"/>
    <col min="5157" max="5157" width="19.42578125" bestFit="1" customWidth="1"/>
    <col min="5158" max="5158" width="18.42578125" bestFit="1" customWidth="1"/>
    <col min="5159" max="5159" width="23.140625" bestFit="1" customWidth="1"/>
    <col min="5160" max="5160" width="13.85546875" bestFit="1" customWidth="1"/>
    <col min="5377" max="5377" width="4.140625" bestFit="1" customWidth="1"/>
    <col min="5378" max="5379" width="5" bestFit="1" customWidth="1"/>
    <col min="5380" max="5380" width="26" bestFit="1" customWidth="1"/>
    <col min="5381" max="5381" width="19.85546875" bestFit="1" customWidth="1"/>
    <col min="5382" max="5382" width="9" bestFit="1" customWidth="1"/>
    <col min="5383" max="5383" width="5.42578125" bestFit="1" customWidth="1"/>
    <col min="5384" max="5384" width="18.140625" bestFit="1" customWidth="1"/>
    <col min="5385" max="5385" width="49.28515625" bestFit="1" customWidth="1"/>
    <col min="5386" max="5386" width="17" bestFit="1" customWidth="1"/>
    <col min="5387" max="5387" width="22.5703125" bestFit="1" customWidth="1"/>
    <col min="5388" max="5388" width="22.42578125" bestFit="1" customWidth="1"/>
    <col min="5389" max="5389" width="20.42578125" bestFit="1" customWidth="1"/>
    <col min="5390" max="5390" width="21.5703125" bestFit="1" customWidth="1"/>
    <col min="5391" max="5391" width="23.140625" bestFit="1" customWidth="1"/>
    <col min="5392" max="5392" width="215.42578125" bestFit="1" customWidth="1"/>
    <col min="5393" max="5393" width="49" bestFit="1" customWidth="1"/>
    <col min="5394" max="5394" width="14.140625" bestFit="1" customWidth="1"/>
    <col min="5395" max="5395" width="23.42578125" bestFit="1" customWidth="1"/>
    <col min="5396" max="5396" width="8.5703125" bestFit="1" customWidth="1"/>
    <col min="5397" max="5397" width="10.42578125" bestFit="1" customWidth="1"/>
    <col min="5398" max="5398" width="22.5703125" bestFit="1" customWidth="1"/>
    <col min="5399" max="5399" width="12.7109375" bestFit="1" customWidth="1"/>
    <col min="5400" max="5400" width="9" bestFit="1" customWidth="1"/>
    <col min="5401" max="5401" width="10.85546875" bestFit="1" customWidth="1"/>
    <col min="5402" max="5402" width="13" bestFit="1" customWidth="1"/>
    <col min="5403" max="5403" width="9" bestFit="1" customWidth="1"/>
    <col min="5404" max="5404" width="31.5703125" bestFit="1" customWidth="1"/>
    <col min="5405" max="5405" width="81.28515625" bestFit="1" customWidth="1"/>
    <col min="5406" max="5406" width="19.5703125" bestFit="1" customWidth="1"/>
    <col min="5407" max="5407" width="13.7109375" bestFit="1" customWidth="1"/>
    <col min="5408" max="5408" width="15" bestFit="1" customWidth="1"/>
    <col min="5409" max="5409" width="32.140625" bestFit="1" customWidth="1"/>
    <col min="5410" max="5410" width="9.7109375" bestFit="1" customWidth="1"/>
    <col min="5411" max="5412" width="36.7109375" bestFit="1" customWidth="1"/>
    <col min="5413" max="5413" width="19.42578125" bestFit="1" customWidth="1"/>
    <col min="5414" max="5414" width="18.42578125" bestFit="1" customWidth="1"/>
    <col min="5415" max="5415" width="23.140625" bestFit="1" customWidth="1"/>
    <col min="5416" max="5416" width="13.85546875" bestFit="1" customWidth="1"/>
    <col min="5633" max="5633" width="4.140625" bestFit="1" customWidth="1"/>
    <col min="5634" max="5635" width="5" bestFit="1" customWidth="1"/>
    <col min="5636" max="5636" width="26" bestFit="1" customWidth="1"/>
    <col min="5637" max="5637" width="19.85546875" bestFit="1" customWidth="1"/>
    <col min="5638" max="5638" width="9" bestFit="1" customWidth="1"/>
    <col min="5639" max="5639" width="5.42578125" bestFit="1" customWidth="1"/>
    <col min="5640" max="5640" width="18.140625" bestFit="1" customWidth="1"/>
    <col min="5641" max="5641" width="49.28515625" bestFit="1" customWidth="1"/>
    <col min="5642" max="5642" width="17" bestFit="1" customWidth="1"/>
    <col min="5643" max="5643" width="22.5703125" bestFit="1" customWidth="1"/>
    <col min="5644" max="5644" width="22.42578125" bestFit="1" customWidth="1"/>
    <col min="5645" max="5645" width="20.42578125" bestFit="1" customWidth="1"/>
    <col min="5646" max="5646" width="21.5703125" bestFit="1" customWidth="1"/>
    <col min="5647" max="5647" width="23.140625" bestFit="1" customWidth="1"/>
    <col min="5648" max="5648" width="215.42578125" bestFit="1" customWidth="1"/>
    <col min="5649" max="5649" width="49" bestFit="1" customWidth="1"/>
    <col min="5650" max="5650" width="14.140625" bestFit="1" customWidth="1"/>
    <col min="5651" max="5651" width="23.42578125" bestFit="1" customWidth="1"/>
    <col min="5652" max="5652" width="8.5703125" bestFit="1" customWidth="1"/>
    <col min="5653" max="5653" width="10.42578125" bestFit="1" customWidth="1"/>
    <col min="5654" max="5654" width="22.5703125" bestFit="1" customWidth="1"/>
    <col min="5655" max="5655" width="12.7109375" bestFit="1" customWidth="1"/>
    <col min="5656" max="5656" width="9" bestFit="1" customWidth="1"/>
    <col min="5657" max="5657" width="10.85546875" bestFit="1" customWidth="1"/>
    <col min="5658" max="5658" width="13" bestFit="1" customWidth="1"/>
    <col min="5659" max="5659" width="9" bestFit="1" customWidth="1"/>
    <col min="5660" max="5660" width="31.5703125" bestFit="1" customWidth="1"/>
    <col min="5661" max="5661" width="81.28515625" bestFit="1" customWidth="1"/>
    <col min="5662" max="5662" width="19.5703125" bestFit="1" customWidth="1"/>
    <col min="5663" max="5663" width="13.7109375" bestFit="1" customWidth="1"/>
    <col min="5664" max="5664" width="15" bestFit="1" customWidth="1"/>
    <col min="5665" max="5665" width="32.140625" bestFit="1" customWidth="1"/>
    <col min="5666" max="5666" width="9.7109375" bestFit="1" customWidth="1"/>
    <col min="5667" max="5668" width="36.7109375" bestFit="1" customWidth="1"/>
    <col min="5669" max="5669" width="19.42578125" bestFit="1" customWidth="1"/>
    <col min="5670" max="5670" width="18.42578125" bestFit="1" customWidth="1"/>
    <col min="5671" max="5671" width="23.140625" bestFit="1" customWidth="1"/>
    <col min="5672" max="5672" width="13.85546875" bestFit="1" customWidth="1"/>
    <col min="5889" max="5889" width="4.140625" bestFit="1" customWidth="1"/>
    <col min="5890" max="5891" width="5" bestFit="1" customWidth="1"/>
    <col min="5892" max="5892" width="26" bestFit="1" customWidth="1"/>
    <col min="5893" max="5893" width="19.85546875" bestFit="1" customWidth="1"/>
    <col min="5894" max="5894" width="9" bestFit="1" customWidth="1"/>
    <col min="5895" max="5895" width="5.42578125" bestFit="1" customWidth="1"/>
    <col min="5896" max="5896" width="18.140625" bestFit="1" customWidth="1"/>
    <col min="5897" max="5897" width="49.28515625" bestFit="1" customWidth="1"/>
    <col min="5898" max="5898" width="17" bestFit="1" customWidth="1"/>
    <col min="5899" max="5899" width="22.5703125" bestFit="1" customWidth="1"/>
    <col min="5900" max="5900" width="22.42578125" bestFit="1" customWidth="1"/>
    <col min="5901" max="5901" width="20.42578125" bestFit="1" customWidth="1"/>
    <col min="5902" max="5902" width="21.5703125" bestFit="1" customWidth="1"/>
    <col min="5903" max="5903" width="23.140625" bestFit="1" customWidth="1"/>
    <col min="5904" max="5904" width="215.42578125" bestFit="1" customWidth="1"/>
    <col min="5905" max="5905" width="49" bestFit="1" customWidth="1"/>
    <col min="5906" max="5906" width="14.140625" bestFit="1" customWidth="1"/>
    <col min="5907" max="5907" width="23.42578125" bestFit="1" customWidth="1"/>
    <col min="5908" max="5908" width="8.5703125" bestFit="1" customWidth="1"/>
    <col min="5909" max="5909" width="10.42578125" bestFit="1" customWidth="1"/>
    <col min="5910" max="5910" width="22.5703125" bestFit="1" customWidth="1"/>
    <col min="5911" max="5911" width="12.7109375" bestFit="1" customWidth="1"/>
    <col min="5912" max="5912" width="9" bestFit="1" customWidth="1"/>
    <col min="5913" max="5913" width="10.85546875" bestFit="1" customWidth="1"/>
    <col min="5914" max="5914" width="13" bestFit="1" customWidth="1"/>
    <col min="5915" max="5915" width="9" bestFit="1" customWidth="1"/>
    <col min="5916" max="5916" width="31.5703125" bestFit="1" customWidth="1"/>
    <col min="5917" max="5917" width="81.28515625" bestFit="1" customWidth="1"/>
    <col min="5918" max="5918" width="19.5703125" bestFit="1" customWidth="1"/>
    <col min="5919" max="5919" width="13.7109375" bestFit="1" customWidth="1"/>
    <col min="5920" max="5920" width="15" bestFit="1" customWidth="1"/>
    <col min="5921" max="5921" width="32.140625" bestFit="1" customWidth="1"/>
    <col min="5922" max="5922" width="9.7109375" bestFit="1" customWidth="1"/>
    <col min="5923" max="5924" width="36.7109375" bestFit="1" customWidth="1"/>
    <col min="5925" max="5925" width="19.42578125" bestFit="1" customWidth="1"/>
    <col min="5926" max="5926" width="18.42578125" bestFit="1" customWidth="1"/>
    <col min="5927" max="5927" width="23.140625" bestFit="1" customWidth="1"/>
    <col min="5928" max="5928" width="13.85546875" bestFit="1" customWidth="1"/>
    <col min="6145" max="6145" width="4.140625" bestFit="1" customWidth="1"/>
    <col min="6146" max="6147" width="5" bestFit="1" customWidth="1"/>
    <col min="6148" max="6148" width="26" bestFit="1" customWidth="1"/>
    <col min="6149" max="6149" width="19.85546875" bestFit="1" customWidth="1"/>
    <col min="6150" max="6150" width="9" bestFit="1" customWidth="1"/>
    <col min="6151" max="6151" width="5.42578125" bestFit="1" customWidth="1"/>
    <col min="6152" max="6152" width="18.140625" bestFit="1" customWidth="1"/>
    <col min="6153" max="6153" width="49.28515625" bestFit="1" customWidth="1"/>
    <col min="6154" max="6154" width="17" bestFit="1" customWidth="1"/>
    <col min="6155" max="6155" width="22.5703125" bestFit="1" customWidth="1"/>
    <col min="6156" max="6156" width="22.42578125" bestFit="1" customWidth="1"/>
    <col min="6157" max="6157" width="20.42578125" bestFit="1" customWidth="1"/>
    <col min="6158" max="6158" width="21.5703125" bestFit="1" customWidth="1"/>
    <col min="6159" max="6159" width="23.140625" bestFit="1" customWidth="1"/>
    <col min="6160" max="6160" width="215.42578125" bestFit="1" customWidth="1"/>
    <col min="6161" max="6161" width="49" bestFit="1" customWidth="1"/>
    <col min="6162" max="6162" width="14.140625" bestFit="1" customWidth="1"/>
    <col min="6163" max="6163" width="23.42578125" bestFit="1" customWidth="1"/>
    <col min="6164" max="6164" width="8.5703125" bestFit="1" customWidth="1"/>
    <col min="6165" max="6165" width="10.42578125" bestFit="1" customWidth="1"/>
    <col min="6166" max="6166" width="22.5703125" bestFit="1" customWidth="1"/>
    <col min="6167" max="6167" width="12.7109375" bestFit="1" customWidth="1"/>
    <col min="6168" max="6168" width="9" bestFit="1" customWidth="1"/>
    <col min="6169" max="6169" width="10.85546875" bestFit="1" customWidth="1"/>
    <col min="6170" max="6170" width="13" bestFit="1" customWidth="1"/>
    <col min="6171" max="6171" width="9" bestFit="1" customWidth="1"/>
    <col min="6172" max="6172" width="31.5703125" bestFit="1" customWidth="1"/>
    <col min="6173" max="6173" width="81.28515625" bestFit="1" customWidth="1"/>
    <col min="6174" max="6174" width="19.5703125" bestFit="1" customWidth="1"/>
    <col min="6175" max="6175" width="13.7109375" bestFit="1" customWidth="1"/>
    <col min="6176" max="6176" width="15" bestFit="1" customWidth="1"/>
    <col min="6177" max="6177" width="32.140625" bestFit="1" customWidth="1"/>
    <col min="6178" max="6178" width="9.7109375" bestFit="1" customWidth="1"/>
    <col min="6179" max="6180" width="36.7109375" bestFit="1" customWidth="1"/>
    <col min="6181" max="6181" width="19.42578125" bestFit="1" customWidth="1"/>
    <col min="6182" max="6182" width="18.42578125" bestFit="1" customWidth="1"/>
    <col min="6183" max="6183" width="23.140625" bestFit="1" customWidth="1"/>
    <col min="6184" max="6184" width="13.85546875" bestFit="1" customWidth="1"/>
    <col min="6401" max="6401" width="4.140625" bestFit="1" customWidth="1"/>
    <col min="6402" max="6403" width="5" bestFit="1" customWidth="1"/>
    <col min="6404" max="6404" width="26" bestFit="1" customWidth="1"/>
    <col min="6405" max="6405" width="19.85546875" bestFit="1" customWidth="1"/>
    <col min="6406" max="6406" width="9" bestFit="1" customWidth="1"/>
    <col min="6407" max="6407" width="5.42578125" bestFit="1" customWidth="1"/>
    <col min="6408" max="6408" width="18.140625" bestFit="1" customWidth="1"/>
    <col min="6409" max="6409" width="49.28515625" bestFit="1" customWidth="1"/>
    <col min="6410" max="6410" width="17" bestFit="1" customWidth="1"/>
    <col min="6411" max="6411" width="22.5703125" bestFit="1" customWidth="1"/>
    <col min="6412" max="6412" width="22.42578125" bestFit="1" customWidth="1"/>
    <col min="6413" max="6413" width="20.42578125" bestFit="1" customWidth="1"/>
    <col min="6414" max="6414" width="21.5703125" bestFit="1" customWidth="1"/>
    <col min="6415" max="6415" width="23.140625" bestFit="1" customWidth="1"/>
    <col min="6416" max="6416" width="215.42578125" bestFit="1" customWidth="1"/>
    <col min="6417" max="6417" width="49" bestFit="1" customWidth="1"/>
    <col min="6418" max="6418" width="14.140625" bestFit="1" customWidth="1"/>
    <col min="6419" max="6419" width="23.42578125" bestFit="1" customWidth="1"/>
    <col min="6420" max="6420" width="8.5703125" bestFit="1" customWidth="1"/>
    <col min="6421" max="6421" width="10.42578125" bestFit="1" customWidth="1"/>
    <col min="6422" max="6422" width="22.5703125" bestFit="1" customWidth="1"/>
    <col min="6423" max="6423" width="12.7109375" bestFit="1" customWidth="1"/>
    <col min="6424" max="6424" width="9" bestFit="1" customWidth="1"/>
    <col min="6425" max="6425" width="10.85546875" bestFit="1" customWidth="1"/>
    <col min="6426" max="6426" width="13" bestFit="1" customWidth="1"/>
    <col min="6427" max="6427" width="9" bestFit="1" customWidth="1"/>
    <col min="6428" max="6428" width="31.5703125" bestFit="1" customWidth="1"/>
    <col min="6429" max="6429" width="81.28515625" bestFit="1" customWidth="1"/>
    <col min="6430" max="6430" width="19.5703125" bestFit="1" customWidth="1"/>
    <col min="6431" max="6431" width="13.7109375" bestFit="1" customWidth="1"/>
    <col min="6432" max="6432" width="15" bestFit="1" customWidth="1"/>
    <col min="6433" max="6433" width="32.140625" bestFit="1" customWidth="1"/>
    <col min="6434" max="6434" width="9.7109375" bestFit="1" customWidth="1"/>
    <col min="6435" max="6436" width="36.7109375" bestFit="1" customWidth="1"/>
    <col min="6437" max="6437" width="19.42578125" bestFit="1" customWidth="1"/>
    <col min="6438" max="6438" width="18.42578125" bestFit="1" customWidth="1"/>
    <col min="6439" max="6439" width="23.140625" bestFit="1" customWidth="1"/>
    <col min="6440" max="6440" width="13.85546875" bestFit="1" customWidth="1"/>
    <col min="6657" max="6657" width="4.140625" bestFit="1" customWidth="1"/>
    <col min="6658" max="6659" width="5" bestFit="1" customWidth="1"/>
    <col min="6660" max="6660" width="26" bestFit="1" customWidth="1"/>
    <col min="6661" max="6661" width="19.85546875" bestFit="1" customWidth="1"/>
    <col min="6662" max="6662" width="9" bestFit="1" customWidth="1"/>
    <col min="6663" max="6663" width="5.42578125" bestFit="1" customWidth="1"/>
    <col min="6664" max="6664" width="18.140625" bestFit="1" customWidth="1"/>
    <col min="6665" max="6665" width="49.28515625" bestFit="1" customWidth="1"/>
    <col min="6666" max="6666" width="17" bestFit="1" customWidth="1"/>
    <col min="6667" max="6667" width="22.5703125" bestFit="1" customWidth="1"/>
    <col min="6668" max="6668" width="22.42578125" bestFit="1" customWidth="1"/>
    <col min="6669" max="6669" width="20.42578125" bestFit="1" customWidth="1"/>
    <col min="6670" max="6670" width="21.5703125" bestFit="1" customWidth="1"/>
    <col min="6671" max="6671" width="23.140625" bestFit="1" customWidth="1"/>
    <col min="6672" max="6672" width="215.42578125" bestFit="1" customWidth="1"/>
    <col min="6673" max="6673" width="49" bestFit="1" customWidth="1"/>
    <col min="6674" max="6674" width="14.140625" bestFit="1" customWidth="1"/>
    <col min="6675" max="6675" width="23.42578125" bestFit="1" customWidth="1"/>
    <col min="6676" max="6676" width="8.5703125" bestFit="1" customWidth="1"/>
    <col min="6677" max="6677" width="10.42578125" bestFit="1" customWidth="1"/>
    <col min="6678" max="6678" width="22.5703125" bestFit="1" customWidth="1"/>
    <col min="6679" max="6679" width="12.7109375" bestFit="1" customWidth="1"/>
    <col min="6680" max="6680" width="9" bestFit="1" customWidth="1"/>
    <col min="6681" max="6681" width="10.85546875" bestFit="1" customWidth="1"/>
    <col min="6682" max="6682" width="13" bestFit="1" customWidth="1"/>
    <col min="6683" max="6683" width="9" bestFit="1" customWidth="1"/>
    <col min="6684" max="6684" width="31.5703125" bestFit="1" customWidth="1"/>
    <col min="6685" max="6685" width="81.28515625" bestFit="1" customWidth="1"/>
    <col min="6686" max="6686" width="19.5703125" bestFit="1" customWidth="1"/>
    <col min="6687" max="6687" width="13.7109375" bestFit="1" customWidth="1"/>
    <col min="6688" max="6688" width="15" bestFit="1" customWidth="1"/>
    <col min="6689" max="6689" width="32.140625" bestFit="1" customWidth="1"/>
    <col min="6690" max="6690" width="9.7109375" bestFit="1" customWidth="1"/>
    <col min="6691" max="6692" width="36.7109375" bestFit="1" customWidth="1"/>
    <col min="6693" max="6693" width="19.42578125" bestFit="1" customWidth="1"/>
    <col min="6694" max="6694" width="18.42578125" bestFit="1" customWidth="1"/>
    <col min="6695" max="6695" width="23.140625" bestFit="1" customWidth="1"/>
    <col min="6696" max="6696" width="13.85546875" bestFit="1" customWidth="1"/>
    <col min="6913" max="6913" width="4.140625" bestFit="1" customWidth="1"/>
    <col min="6914" max="6915" width="5" bestFit="1" customWidth="1"/>
    <col min="6916" max="6916" width="26" bestFit="1" customWidth="1"/>
    <col min="6917" max="6917" width="19.85546875" bestFit="1" customWidth="1"/>
    <col min="6918" max="6918" width="9" bestFit="1" customWidth="1"/>
    <col min="6919" max="6919" width="5.42578125" bestFit="1" customWidth="1"/>
    <col min="6920" max="6920" width="18.140625" bestFit="1" customWidth="1"/>
    <col min="6921" max="6921" width="49.28515625" bestFit="1" customWidth="1"/>
    <col min="6922" max="6922" width="17" bestFit="1" customWidth="1"/>
    <col min="6923" max="6923" width="22.5703125" bestFit="1" customWidth="1"/>
    <col min="6924" max="6924" width="22.42578125" bestFit="1" customWidth="1"/>
    <col min="6925" max="6925" width="20.42578125" bestFit="1" customWidth="1"/>
    <col min="6926" max="6926" width="21.5703125" bestFit="1" customWidth="1"/>
    <col min="6927" max="6927" width="23.140625" bestFit="1" customWidth="1"/>
    <col min="6928" max="6928" width="215.42578125" bestFit="1" customWidth="1"/>
    <col min="6929" max="6929" width="49" bestFit="1" customWidth="1"/>
    <col min="6930" max="6930" width="14.140625" bestFit="1" customWidth="1"/>
    <col min="6931" max="6931" width="23.42578125" bestFit="1" customWidth="1"/>
    <col min="6932" max="6932" width="8.5703125" bestFit="1" customWidth="1"/>
    <col min="6933" max="6933" width="10.42578125" bestFit="1" customWidth="1"/>
    <col min="6934" max="6934" width="22.5703125" bestFit="1" customWidth="1"/>
    <col min="6935" max="6935" width="12.7109375" bestFit="1" customWidth="1"/>
    <col min="6936" max="6936" width="9" bestFit="1" customWidth="1"/>
    <col min="6937" max="6937" width="10.85546875" bestFit="1" customWidth="1"/>
    <col min="6938" max="6938" width="13" bestFit="1" customWidth="1"/>
    <col min="6939" max="6939" width="9" bestFit="1" customWidth="1"/>
    <col min="6940" max="6940" width="31.5703125" bestFit="1" customWidth="1"/>
    <col min="6941" max="6941" width="81.28515625" bestFit="1" customWidth="1"/>
    <col min="6942" max="6942" width="19.5703125" bestFit="1" customWidth="1"/>
    <col min="6943" max="6943" width="13.7109375" bestFit="1" customWidth="1"/>
    <col min="6944" max="6944" width="15" bestFit="1" customWidth="1"/>
    <col min="6945" max="6945" width="32.140625" bestFit="1" customWidth="1"/>
    <col min="6946" max="6946" width="9.7109375" bestFit="1" customWidth="1"/>
    <col min="6947" max="6948" width="36.7109375" bestFit="1" customWidth="1"/>
    <col min="6949" max="6949" width="19.42578125" bestFit="1" customWidth="1"/>
    <col min="6950" max="6950" width="18.42578125" bestFit="1" customWidth="1"/>
    <col min="6951" max="6951" width="23.140625" bestFit="1" customWidth="1"/>
    <col min="6952" max="6952" width="13.85546875" bestFit="1" customWidth="1"/>
    <col min="7169" max="7169" width="4.140625" bestFit="1" customWidth="1"/>
    <col min="7170" max="7171" width="5" bestFit="1" customWidth="1"/>
    <col min="7172" max="7172" width="26" bestFit="1" customWidth="1"/>
    <col min="7173" max="7173" width="19.85546875" bestFit="1" customWidth="1"/>
    <col min="7174" max="7174" width="9" bestFit="1" customWidth="1"/>
    <col min="7175" max="7175" width="5.42578125" bestFit="1" customWidth="1"/>
    <col min="7176" max="7176" width="18.140625" bestFit="1" customWidth="1"/>
    <col min="7177" max="7177" width="49.28515625" bestFit="1" customWidth="1"/>
    <col min="7178" max="7178" width="17" bestFit="1" customWidth="1"/>
    <col min="7179" max="7179" width="22.5703125" bestFit="1" customWidth="1"/>
    <col min="7180" max="7180" width="22.42578125" bestFit="1" customWidth="1"/>
    <col min="7181" max="7181" width="20.42578125" bestFit="1" customWidth="1"/>
    <col min="7182" max="7182" width="21.5703125" bestFit="1" customWidth="1"/>
    <col min="7183" max="7183" width="23.140625" bestFit="1" customWidth="1"/>
    <col min="7184" max="7184" width="215.42578125" bestFit="1" customWidth="1"/>
    <col min="7185" max="7185" width="49" bestFit="1" customWidth="1"/>
    <col min="7186" max="7186" width="14.140625" bestFit="1" customWidth="1"/>
    <col min="7187" max="7187" width="23.42578125" bestFit="1" customWidth="1"/>
    <col min="7188" max="7188" width="8.5703125" bestFit="1" customWidth="1"/>
    <col min="7189" max="7189" width="10.42578125" bestFit="1" customWidth="1"/>
    <col min="7190" max="7190" width="22.5703125" bestFit="1" customWidth="1"/>
    <col min="7191" max="7191" width="12.7109375" bestFit="1" customWidth="1"/>
    <col min="7192" max="7192" width="9" bestFit="1" customWidth="1"/>
    <col min="7193" max="7193" width="10.85546875" bestFit="1" customWidth="1"/>
    <col min="7194" max="7194" width="13" bestFit="1" customWidth="1"/>
    <col min="7195" max="7195" width="9" bestFit="1" customWidth="1"/>
    <col min="7196" max="7196" width="31.5703125" bestFit="1" customWidth="1"/>
    <col min="7197" max="7197" width="81.28515625" bestFit="1" customWidth="1"/>
    <col min="7198" max="7198" width="19.5703125" bestFit="1" customWidth="1"/>
    <col min="7199" max="7199" width="13.7109375" bestFit="1" customWidth="1"/>
    <col min="7200" max="7200" width="15" bestFit="1" customWidth="1"/>
    <col min="7201" max="7201" width="32.140625" bestFit="1" customWidth="1"/>
    <col min="7202" max="7202" width="9.7109375" bestFit="1" customWidth="1"/>
    <col min="7203" max="7204" width="36.7109375" bestFit="1" customWidth="1"/>
    <col min="7205" max="7205" width="19.42578125" bestFit="1" customWidth="1"/>
    <col min="7206" max="7206" width="18.42578125" bestFit="1" customWidth="1"/>
    <col min="7207" max="7207" width="23.140625" bestFit="1" customWidth="1"/>
    <col min="7208" max="7208" width="13.85546875" bestFit="1" customWidth="1"/>
    <col min="7425" max="7425" width="4.140625" bestFit="1" customWidth="1"/>
    <col min="7426" max="7427" width="5" bestFit="1" customWidth="1"/>
    <col min="7428" max="7428" width="26" bestFit="1" customWidth="1"/>
    <col min="7429" max="7429" width="19.85546875" bestFit="1" customWidth="1"/>
    <col min="7430" max="7430" width="9" bestFit="1" customWidth="1"/>
    <col min="7431" max="7431" width="5.42578125" bestFit="1" customWidth="1"/>
    <col min="7432" max="7432" width="18.140625" bestFit="1" customWidth="1"/>
    <col min="7433" max="7433" width="49.28515625" bestFit="1" customWidth="1"/>
    <col min="7434" max="7434" width="17" bestFit="1" customWidth="1"/>
    <col min="7435" max="7435" width="22.5703125" bestFit="1" customWidth="1"/>
    <col min="7436" max="7436" width="22.42578125" bestFit="1" customWidth="1"/>
    <col min="7437" max="7437" width="20.42578125" bestFit="1" customWidth="1"/>
    <col min="7438" max="7438" width="21.5703125" bestFit="1" customWidth="1"/>
    <col min="7439" max="7439" width="23.140625" bestFit="1" customWidth="1"/>
    <col min="7440" max="7440" width="215.42578125" bestFit="1" customWidth="1"/>
    <col min="7441" max="7441" width="49" bestFit="1" customWidth="1"/>
    <col min="7442" max="7442" width="14.140625" bestFit="1" customWidth="1"/>
    <col min="7443" max="7443" width="23.42578125" bestFit="1" customWidth="1"/>
    <col min="7444" max="7444" width="8.5703125" bestFit="1" customWidth="1"/>
    <col min="7445" max="7445" width="10.42578125" bestFit="1" customWidth="1"/>
    <col min="7446" max="7446" width="22.5703125" bestFit="1" customWidth="1"/>
    <col min="7447" max="7447" width="12.7109375" bestFit="1" customWidth="1"/>
    <col min="7448" max="7448" width="9" bestFit="1" customWidth="1"/>
    <col min="7449" max="7449" width="10.85546875" bestFit="1" customWidth="1"/>
    <col min="7450" max="7450" width="13" bestFit="1" customWidth="1"/>
    <col min="7451" max="7451" width="9" bestFit="1" customWidth="1"/>
    <col min="7452" max="7452" width="31.5703125" bestFit="1" customWidth="1"/>
    <col min="7453" max="7453" width="81.28515625" bestFit="1" customWidth="1"/>
    <col min="7454" max="7454" width="19.5703125" bestFit="1" customWidth="1"/>
    <col min="7455" max="7455" width="13.7109375" bestFit="1" customWidth="1"/>
    <col min="7456" max="7456" width="15" bestFit="1" customWidth="1"/>
    <col min="7457" max="7457" width="32.140625" bestFit="1" customWidth="1"/>
    <col min="7458" max="7458" width="9.7109375" bestFit="1" customWidth="1"/>
    <col min="7459" max="7460" width="36.7109375" bestFit="1" customWidth="1"/>
    <col min="7461" max="7461" width="19.42578125" bestFit="1" customWidth="1"/>
    <col min="7462" max="7462" width="18.42578125" bestFit="1" customWidth="1"/>
    <col min="7463" max="7463" width="23.140625" bestFit="1" customWidth="1"/>
    <col min="7464" max="7464" width="13.85546875" bestFit="1" customWidth="1"/>
    <col min="7681" max="7681" width="4.140625" bestFit="1" customWidth="1"/>
    <col min="7682" max="7683" width="5" bestFit="1" customWidth="1"/>
    <col min="7684" max="7684" width="26" bestFit="1" customWidth="1"/>
    <col min="7685" max="7685" width="19.85546875" bestFit="1" customWidth="1"/>
    <col min="7686" max="7686" width="9" bestFit="1" customWidth="1"/>
    <col min="7687" max="7687" width="5.42578125" bestFit="1" customWidth="1"/>
    <col min="7688" max="7688" width="18.140625" bestFit="1" customWidth="1"/>
    <col min="7689" max="7689" width="49.28515625" bestFit="1" customWidth="1"/>
    <col min="7690" max="7690" width="17" bestFit="1" customWidth="1"/>
    <col min="7691" max="7691" width="22.5703125" bestFit="1" customWidth="1"/>
    <col min="7692" max="7692" width="22.42578125" bestFit="1" customWidth="1"/>
    <col min="7693" max="7693" width="20.42578125" bestFit="1" customWidth="1"/>
    <col min="7694" max="7694" width="21.5703125" bestFit="1" customWidth="1"/>
    <col min="7695" max="7695" width="23.140625" bestFit="1" customWidth="1"/>
    <col min="7696" max="7696" width="215.42578125" bestFit="1" customWidth="1"/>
    <col min="7697" max="7697" width="49" bestFit="1" customWidth="1"/>
    <col min="7698" max="7698" width="14.140625" bestFit="1" customWidth="1"/>
    <col min="7699" max="7699" width="23.42578125" bestFit="1" customWidth="1"/>
    <col min="7700" max="7700" width="8.5703125" bestFit="1" customWidth="1"/>
    <col min="7701" max="7701" width="10.42578125" bestFit="1" customWidth="1"/>
    <col min="7702" max="7702" width="22.5703125" bestFit="1" customWidth="1"/>
    <col min="7703" max="7703" width="12.7109375" bestFit="1" customWidth="1"/>
    <col min="7704" max="7704" width="9" bestFit="1" customWidth="1"/>
    <col min="7705" max="7705" width="10.85546875" bestFit="1" customWidth="1"/>
    <col min="7706" max="7706" width="13" bestFit="1" customWidth="1"/>
    <col min="7707" max="7707" width="9" bestFit="1" customWidth="1"/>
    <col min="7708" max="7708" width="31.5703125" bestFit="1" customWidth="1"/>
    <col min="7709" max="7709" width="81.28515625" bestFit="1" customWidth="1"/>
    <col min="7710" max="7710" width="19.5703125" bestFit="1" customWidth="1"/>
    <col min="7711" max="7711" width="13.7109375" bestFit="1" customWidth="1"/>
    <col min="7712" max="7712" width="15" bestFit="1" customWidth="1"/>
    <col min="7713" max="7713" width="32.140625" bestFit="1" customWidth="1"/>
    <col min="7714" max="7714" width="9.7109375" bestFit="1" customWidth="1"/>
    <col min="7715" max="7716" width="36.7109375" bestFit="1" customWidth="1"/>
    <col min="7717" max="7717" width="19.42578125" bestFit="1" customWidth="1"/>
    <col min="7718" max="7718" width="18.42578125" bestFit="1" customWidth="1"/>
    <col min="7719" max="7719" width="23.140625" bestFit="1" customWidth="1"/>
    <col min="7720" max="7720" width="13.85546875" bestFit="1" customWidth="1"/>
    <col min="7937" max="7937" width="4.140625" bestFit="1" customWidth="1"/>
    <col min="7938" max="7939" width="5" bestFit="1" customWidth="1"/>
    <col min="7940" max="7940" width="26" bestFit="1" customWidth="1"/>
    <col min="7941" max="7941" width="19.85546875" bestFit="1" customWidth="1"/>
    <col min="7942" max="7942" width="9" bestFit="1" customWidth="1"/>
    <col min="7943" max="7943" width="5.42578125" bestFit="1" customWidth="1"/>
    <col min="7944" max="7944" width="18.140625" bestFit="1" customWidth="1"/>
    <col min="7945" max="7945" width="49.28515625" bestFit="1" customWidth="1"/>
    <col min="7946" max="7946" width="17" bestFit="1" customWidth="1"/>
    <col min="7947" max="7947" width="22.5703125" bestFit="1" customWidth="1"/>
    <col min="7948" max="7948" width="22.42578125" bestFit="1" customWidth="1"/>
    <col min="7949" max="7949" width="20.42578125" bestFit="1" customWidth="1"/>
    <col min="7950" max="7950" width="21.5703125" bestFit="1" customWidth="1"/>
    <col min="7951" max="7951" width="23.140625" bestFit="1" customWidth="1"/>
    <col min="7952" max="7952" width="215.42578125" bestFit="1" customWidth="1"/>
    <col min="7953" max="7953" width="49" bestFit="1" customWidth="1"/>
    <col min="7954" max="7954" width="14.140625" bestFit="1" customWidth="1"/>
    <col min="7955" max="7955" width="23.42578125" bestFit="1" customWidth="1"/>
    <col min="7956" max="7956" width="8.5703125" bestFit="1" customWidth="1"/>
    <col min="7957" max="7957" width="10.42578125" bestFit="1" customWidth="1"/>
    <col min="7958" max="7958" width="22.5703125" bestFit="1" customWidth="1"/>
    <col min="7959" max="7959" width="12.7109375" bestFit="1" customWidth="1"/>
    <col min="7960" max="7960" width="9" bestFit="1" customWidth="1"/>
    <col min="7961" max="7961" width="10.85546875" bestFit="1" customWidth="1"/>
    <col min="7962" max="7962" width="13" bestFit="1" customWidth="1"/>
    <col min="7963" max="7963" width="9" bestFit="1" customWidth="1"/>
    <col min="7964" max="7964" width="31.5703125" bestFit="1" customWidth="1"/>
    <col min="7965" max="7965" width="81.28515625" bestFit="1" customWidth="1"/>
    <col min="7966" max="7966" width="19.5703125" bestFit="1" customWidth="1"/>
    <col min="7967" max="7967" width="13.7109375" bestFit="1" customWidth="1"/>
    <col min="7968" max="7968" width="15" bestFit="1" customWidth="1"/>
    <col min="7969" max="7969" width="32.140625" bestFit="1" customWidth="1"/>
    <col min="7970" max="7970" width="9.7109375" bestFit="1" customWidth="1"/>
    <col min="7971" max="7972" width="36.7109375" bestFit="1" customWidth="1"/>
    <col min="7973" max="7973" width="19.42578125" bestFit="1" customWidth="1"/>
    <col min="7974" max="7974" width="18.42578125" bestFit="1" customWidth="1"/>
    <col min="7975" max="7975" width="23.140625" bestFit="1" customWidth="1"/>
    <col min="7976" max="7976" width="13.85546875" bestFit="1" customWidth="1"/>
    <col min="8193" max="8193" width="4.140625" bestFit="1" customWidth="1"/>
    <col min="8194" max="8195" width="5" bestFit="1" customWidth="1"/>
    <col min="8196" max="8196" width="26" bestFit="1" customWidth="1"/>
    <col min="8197" max="8197" width="19.85546875" bestFit="1" customWidth="1"/>
    <col min="8198" max="8198" width="9" bestFit="1" customWidth="1"/>
    <col min="8199" max="8199" width="5.42578125" bestFit="1" customWidth="1"/>
    <col min="8200" max="8200" width="18.140625" bestFit="1" customWidth="1"/>
    <col min="8201" max="8201" width="49.28515625" bestFit="1" customWidth="1"/>
    <col min="8202" max="8202" width="17" bestFit="1" customWidth="1"/>
    <col min="8203" max="8203" width="22.5703125" bestFit="1" customWidth="1"/>
    <col min="8204" max="8204" width="22.42578125" bestFit="1" customWidth="1"/>
    <col min="8205" max="8205" width="20.42578125" bestFit="1" customWidth="1"/>
    <col min="8206" max="8206" width="21.5703125" bestFit="1" customWidth="1"/>
    <col min="8207" max="8207" width="23.140625" bestFit="1" customWidth="1"/>
    <col min="8208" max="8208" width="215.42578125" bestFit="1" customWidth="1"/>
    <col min="8209" max="8209" width="49" bestFit="1" customWidth="1"/>
    <col min="8210" max="8210" width="14.140625" bestFit="1" customWidth="1"/>
    <col min="8211" max="8211" width="23.42578125" bestFit="1" customWidth="1"/>
    <col min="8212" max="8212" width="8.5703125" bestFit="1" customWidth="1"/>
    <col min="8213" max="8213" width="10.42578125" bestFit="1" customWidth="1"/>
    <col min="8214" max="8214" width="22.5703125" bestFit="1" customWidth="1"/>
    <col min="8215" max="8215" width="12.7109375" bestFit="1" customWidth="1"/>
    <col min="8216" max="8216" width="9" bestFit="1" customWidth="1"/>
    <col min="8217" max="8217" width="10.85546875" bestFit="1" customWidth="1"/>
    <col min="8218" max="8218" width="13" bestFit="1" customWidth="1"/>
    <col min="8219" max="8219" width="9" bestFit="1" customWidth="1"/>
    <col min="8220" max="8220" width="31.5703125" bestFit="1" customWidth="1"/>
    <col min="8221" max="8221" width="81.28515625" bestFit="1" customWidth="1"/>
    <col min="8222" max="8222" width="19.5703125" bestFit="1" customWidth="1"/>
    <col min="8223" max="8223" width="13.7109375" bestFit="1" customWidth="1"/>
    <col min="8224" max="8224" width="15" bestFit="1" customWidth="1"/>
    <col min="8225" max="8225" width="32.140625" bestFit="1" customWidth="1"/>
    <col min="8226" max="8226" width="9.7109375" bestFit="1" customWidth="1"/>
    <col min="8227" max="8228" width="36.7109375" bestFit="1" customWidth="1"/>
    <col min="8229" max="8229" width="19.42578125" bestFit="1" customWidth="1"/>
    <col min="8230" max="8230" width="18.42578125" bestFit="1" customWidth="1"/>
    <col min="8231" max="8231" width="23.140625" bestFit="1" customWidth="1"/>
    <col min="8232" max="8232" width="13.85546875" bestFit="1" customWidth="1"/>
    <col min="8449" max="8449" width="4.140625" bestFit="1" customWidth="1"/>
    <col min="8450" max="8451" width="5" bestFit="1" customWidth="1"/>
    <col min="8452" max="8452" width="26" bestFit="1" customWidth="1"/>
    <col min="8453" max="8453" width="19.85546875" bestFit="1" customWidth="1"/>
    <col min="8454" max="8454" width="9" bestFit="1" customWidth="1"/>
    <col min="8455" max="8455" width="5.42578125" bestFit="1" customWidth="1"/>
    <col min="8456" max="8456" width="18.140625" bestFit="1" customWidth="1"/>
    <col min="8457" max="8457" width="49.28515625" bestFit="1" customWidth="1"/>
    <col min="8458" max="8458" width="17" bestFit="1" customWidth="1"/>
    <col min="8459" max="8459" width="22.5703125" bestFit="1" customWidth="1"/>
    <col min="8460" max="8460" width="22.42578125" bestFit="1" customWidth="1"/>
    <col min="8461" max="8461" width="20.42578125" bestFit="1" customWidth="1"/>
    <col min="8462" max="8462" width="21.5703125" bestFit="1" customWidth="1"/>
    <col min="8463" max="8463" width="23.140625" bestFit="1" customWidth="1"/>
    <col min="8464" max="8464" width="215.42578125" bestFit="1" customWidth="1"/>
    <col min="8465" max="8465" width="49" bestFit="1" customWidth="1"/>
    <col min="8466" max="8466" width="14.140625" bestFit="1" customWidth="1"/>
    <col min="8467" max="8467" width="23.42578125" bestFit="1" customWidth="1"/>
    <col min="8468" max="8468" width="8.5703125" bestFit="1" customWidth="1"/>
    <col min="8469" max="8469" width="10.42578125" bestFit="1" customWidth="1"/>
    <col min="8470" max="8470" width="22.5703125" bestFit="1" customWidth="1"/>
    <col min="8471" max="8471" width="12.7109375" bestFit="1" customWidth="1"/>
    <col min="8472" max="8472" width="9" bestFit="1" customWidth="1"/>
    <col min="8473" max="8473" width="10.85546875" bestFit="1" customWidth="1"/>
    <col min="8474" max="8474" width="13" bestFit="1" customWidth="1"/>
    <col min="8475" max="8475" width="9" bestFit="1" customWidth="1"/>
    <col min="8476" max="8476" width="31.5703125" bestFit="1" customWidth="1"/>
    <col min="8477" max="8477" width="81.28515625" bestFit="1" customWidth="1"/>
    <col min="8478" max="8478" width="19.5703125" bestFit="1" customWidth="1"/>
    <col min="8479" max="8479" width="13.7109375" bestFit="1" customWidth="1"/>
    <col min="8480" max="8480" width="15" bestFit="1" customWidth="1"/>
    <col min="8481" max="8481" width="32.140625" bestFit="1" customWidth="1"/>
    <col min="8482" max="8482" width="9.7109375" bestFit="1" customWidth="1"/>
    <col min="8483" max="8484" width="36.7109375" bestFit="1" customWidth="1"/>
    <col min="8485" max="8485" width="19.42578125" bestFit="1" customWidth="1"/>
    <col min="8486" max="8486" width="18.42578125" bestFit="1" customWidth="1"/>
    <col min="8487" max="8487" width="23.140625" bestFit="1" customWidth="1"/>
    <col min="8488" max="8488" width="13.85546875" bestFit="1" customWidth="1"/>
    <col min="8705" max="8705" width="4.140625" bestFit="1" customWidth="1"/>
    <col min="8706" max="8707" width="5" bestFit="1" customWidth="1"/>
    <col min="8708" max="8708" width="26" bestFit="1" customWidth="1"/>
    <col min="8709" max="8709" width="19.85546875" bestFit="1" customWidth="1"/>
    <col min="8710" max="8710" width="9" bestFit="1" customWidth="1"/>
    <col min="8711" max="8711" width="5.42578125" bestFit="1" customWidth="1"/>
    <col min="8712" max="8712" width="18.140625" bestFit="1" customWidth="1"/>
    <col min="8713" max="8713" width="49.28515625" bestFit="1" customWidth="1"/>
    <col min="8714" max="8714" width="17" bestFit="1" customWidth="1"/>
    <col min="8715" max="8715" width="22.5703125" bestFit="1" customWidth="1"/>
    <col min="8716" max="8716" width="22.42578125" bestFit="1" customWidth="1"/>
    <col min="8717" max="8717" width="20.42578125" bestFit="1" customWidth="1"/>
    <col min="8718" max="8718" width="21.5703125" bestFit="1" customWidth="1"/>
    <col min="8719" max="8719" width="23.140625" bestFit="1" customWidth="1"/>
    <col min="8720" max="8720" width="215.42578125" bestFit="1" customWidth="1"/>
    <col min="8721" max="8721" width="49" bestFit="1" customWidth="1"/>
    <col min="8722" max="8722" width="14.140625" bestFit="1" customWidth="1"/>
    <col min="8723" max="8723" width="23.42578125" bestFit="1" customWidth="1"/>
    <col min="8724" max="8724" width="8.5703125" bestFit="1" customWidth="1"/>
    <col min="8725" max="8725" width="10.42578125" bestFit="1" customWidth="1"/>
    <col min="8726" max="8726" width="22.5703125" bestFit="1" customWidth="1"/>
    <col min="8727" max="8727" width="12.7109375" bestFit="1" customWidth="1"/>
    <col min="8728" max="8728" width="9" bestFit="1" customWidth="1"/>
    <col min="8729" max="8729" width="10.85546875" bestFit="1" customWidth="1"/>
    <col min="8730" max="8730" width="13" bestFit="1" customWidth="1"/>
    <col min="8731" max="8731" width="9" bestFit="1" customWidth="1"/>
    <col min="8732" max="8732" width="31.5703125" bestFit="1" customWidth="1"/>
    <col min="8733" max="8733" width="81.28515625" bestFit="1" customWidth="1"/>
    <col min="8734" max="8734" width="19.5703125" bestFit="1" customWidth="1"/>
    <col min="8735" max="8735" width="13.7109375" bestFit="1" customWidth="1"/>
    <col min="8736" max="8736" width="15" bestFit="1" customWidth="1"/>
    <col min="8737" max="8737" width="32.140625" bestFit="1" customWidth="1"/>
    <col min="8738" max="8738" width="9.7109375" bestFit="1" customWidth="1"/>
    <col min="8739" max="8740" width="36.7109375" bestFit="1" customWidth="1"/>
    <col min="8741" max="8741" width="19.42578125" bestFit="1" customWidth="1"/>
    <col min="8742" max="8742" width="18.42578125" bestFit="1" customWidth="1"/>
    <col min="8743" max="8743" width="23.140625" bestFit="1" customWidth="1"/>
    <col min="8744" max="8744" width="13.85546875" bestFit="1" customWidth="1"/>
    <col min="8961" max="8961" width="4.140625" bestFit="1" customWidth="1"/>
    <col min="8962" max="8963" width="5" bestFit="1" customWidth="1"/>
    <col min="8964" max="8964" width="26" bestFit="1" customWidth="1"/>
    <col min="8965" max="8965" width="19.85546875" bestFit="1" customWidth="1"/>
    <col min="8966" max="8966" width="9" bestFit="1" customWidth="1"/>
    <col min="8967" max="8967" width="5.42578125" bestFit="1" customWidth="1"/>
    <col min="8968" max="8968" width="18.140625" bestFit="1" customWidth="1"/>
    <col min="8969" max="8969" width="49.28515625" bestFit="1" customWidth="1"/>
    <col min="8970" max="8970" width="17" bestFit="1" customWidth="1"/>
    <col min="8971" max="8971" width="22.5703125" bestFit="1" customWidth="1"/>
    <col min="8972" max="8972" width="22.42578125" bestFit="1" customWidth="1"/>
    <col min="8973" max="8973" width="20.42578125" bestFit="1" customWidth="1"/>
    <col min="8974" max="8974" width="21.5703125" bestFit="1" customWidth="1"/>
    <col min="8975" max="8975" width="23.140625" bestFit="1" customWidth="1"/>
    <col min="8976" max="8976" width="215.42578125" bestFit="1" customWidth="1"/>
    <col min="8977" max="8977" width="49" bestFit="1" customWidth="1"/>
    <col min="8978" max="8978" width="14.140625" bestFit="1" customWidth="1"/>
    <col min="8979" max="8979" width="23.42578125" bestFit="1" customWidth="1"/>
    <col min="8980" max="8980" width="8.5703125" bestFit="1" customWidth="1"/>
    <col min="8981" max="8981" width="10.42578125" bestFit="1" customWidth="1"/>
    <col min="8982" max="8982" width="22.5703125" bestFit="1" customWidth="1"/>
    <col min="8983" max="8983" width="12.7109375" bestFit="1" customWidth="1"/>
    <col min="8984" max="8984" width="9" bestFit="1" customWidth="1"/>
    <col min="8985" max="8985" width="10.85546875" bestFit="1" customWidth="1"/>
    <col min="8986" max="8986" width="13" bestFit="1" customWidth="1"/>
    <col min="8987" max="8987" width="9" bestFit="1" customWidth="1"/>
    <col min="8988" max="8988" width="31.5703125" bestFit="1" customWidth="1"/>
    <col min="8989" max="8989" width="81.28515625" bestFit="1" customWidth="1"/>
    <col min="8990" max="8990" width="19.5703125" bestFit="1" customWidth="1"/>
    <col min="8991" max="8991" width="13.7109375" bestFit="1" customWidth="1"/>
    <col min="8992" max="8992" width="15" bestFit="1" customWidth="1"/>
    <col min="8993" max="8993" width="32.140625" bestFit="1" customWidth="1"/>
    <col min="8994" max="8994" width="9.7109375" bestFit="1" customWidth="1"/>
    <col min="8995" max="8996" width="36.7109375" bestFit="1" customWidth="1"/>
    <col min="8997" max="8997" width="19.42578125" bestFit="1" customWidth="1"/>
    <col min="8998" max="8998" width="18.42578125" bestFit="1" customWidth="1"/>
    <col min="8999" max="8999" width="23.140625" bestFit="1" customWidth="1"/>
    <col min="9000" max="9000" width="13.85546875" bestFit="1" customWidth="1"/>
    <col min="9217" max="9217" width="4.140625" bestFit="1" customWidth="1"/>
    <col min="9218" max="9219" width="5" bestFit="1" customWidth="1"/>
    <col min="9220" max="9220" width="26" bestFit="1" customWidth="1"/>
    <col min="9221" max="9221" width="19.85546875" bestFit="1" customWidth="1"/>
    <col min="9222" max="9222" width="9" bestFit="1" customWidth="1"/>
    <col min="9223" max="9223" width="5.42578125" bestFit="1" customWidth="1"/>
    <col min="9224" max="9224" width="18.140625" bestFit="1" customWidth="1"/>
    <col min="9225" max="9225" width="49.28515625" bestFit="1" customWidth="1"/>
    <col min="9226" max="9226" width="17" bestFit="1" customWidth="1"/>
    <col min="9227" max="9227" width="22.5703125" bestFit="1" customWidth="1"/>
    <col min="9228" max="9228" width="22.42578125" bestFit="1" customWidth="1"/>
    <col min="9229" max="9229" width="20.42578125" bestFit="1" customWidth="1"/>
    <col min="9230" max="9230" width="21.5703125" bestFit="1" customWidth="1"/>
    <col min="9231" max="9231" width="23.140625" bestFit="1" customWidth="1"/>
    <col min="9232" max="9232" width="215.42578125" bestFit="1" customWidth="1"/>
    <col min="9233" max="9233" width="49" bestFit="1" customWidth="1"/>
    <col min="9234" max="9234" width="14.140625" bestFit="1" customWidth="1"/>
    <col min="9235" max="9235" width="23.42578125" bestFit="1" customWidth="1"/>
    <col min="9236" max="9236" width="8.5703125" bestFit="1" customWidth="1"/>
    <col min="9237" max="9237" width="10.42578125" bestFit="1" customWidth="1"/>
    <col min="9238" max="9238" width="22.5703125" bestFit="1" customWidth="1"/>
    <col min="9239" max="9239" width="12.7109375" bestFit="1" customWidth="1"/>
    <col min="9240" max="9240" width="9" bestFit="1" customWidth="1"/>
    <col min="9241" max="9241" width="10.85546875" bestFit="1" customWidth="1"/>
    <col min="9242" max="9242" width="13" bestFit="1" customWidth="1"/>
    <col min="9243" max="9243" width="9" bestFit="1" customWidth="1"/>
    <col min="9244" max="9244" width="31.5703125" bestFit="1" customWidth="1"/>
    <col min="9245" max="9245" width="81.28515625" bestFit="1" customWidth="1"/>
    <col min="9246" max="9246" width="19.5703125" bestFit="1" customWidth="1"/>
    <col min="9247" max="9247" width="13.7109375" bestFit="1" customWidth="1"/>
    <col min="9248" max="9248" width="15" bestFit="1" customWidth="1"/>
    <col min="9249" max="9249" width="32.140625" bestFit="1" customWidth="1"/>
    <col min="9250" max="9250" width="9.7109375" bestFit="1" customWidth="1"/>
    <col min="9251" max="9252" width="36.7109375" bestFit="1" customWidth="1"/>
    <col min="9253" max="9253" width="19.42578125" bestFit="1" customWidth="1"/>
    <col min="9254" max="9254" width="18.42578125" bestFit="1" customWidth="1"/>
    <col min="9255" max="9255" width="23.140625" bestFit="1" customWidth="1"/>
    <col min="9256" max="9256" width="13.85546875" bestFit="1" customWidth="1"/>
    <col min="9473" max="9473" width="4.140625" bestFit="1" customWidth="1"/>
    <col min="9474" max="9475" width="5" bestFit="1" customWidth="1"/>
    <col min="9476" max="9476" width="26" bestFit="1" customWidth="1"/>
    <col min="9477" max="9477" width="19.85546875" bestFit="1" customWidth="1"/>
    <col min="9478" max="9478" width="9" bestFit="1" customWidth="1"/>
    <col min="9479" max="9479" width="5.42578125" bestFit="1" customWidth="1"/>
    <col min="9480" max="9480" width="18.140625" bestFit="1" customWidth="1"/>
    <col min="9481" max="9481" width="49.28515625" bestFit="1" customWidth="1"/>
    <col min="9482" max="9482" width="17" bestFit="1" customWidth="1"/>
    <col min="9483" max="9483" width="22.5703125" bestFit="1" customWidth="1"/>
    <col min="9484" max="9484" width="22.42578125" bestFit="1" customWidth="1"/>
    <col min="9485" max="9485" width="20.42578125" bestFit="1" customWidth="1"/>
    <col min="9486" max="9486" width="21.5703125" bestFit="1" customWidth="1"/>
    <col min="9487" max="9487" width="23.140625" bestFit="1" customWidth="1"/>
    <col min="9488" max="9488" width="215.42578125" bestFit="1" customWidth="1"/>
    <col min="9489" max="9489" width="49" bestFit="1" customWidth="1"/>
    <col min="9490" max="9490" width="14.140625" bestFit="1" customWidth="1"/>
    <col min="9491" max="9491" width="23.42578125" bestFit="1" customWidth="1"/>
    <col min="9492" max="9492" width="8.5703125" bestFit="1" customWidth="1"/>
    <col min="9493" max="9493" width="10.42578125" bestFit="1" customWidth="1"/>
    <col min="9494" max="9494" width="22.5703125" bestFit="1" customWidth="1"/>
    <col min="9495" max="9495" width="12.7109375" bestFit="1" customWidth="1"/>
    <col min="9496" max="9496" width="9" bestFit="1" customWidth="1"/>
    <col min="9497" max="9497" width="10.85546875" bestFit="1" customWidth="1"/>
    <col min="9498" max="9498" width="13" bestFit="1" customWidth="1"/>
    <col min="9499" max="9499" width="9" bestFit="1" customWidth="1"/>
    <col min="9500" max="9500" width="31.5703125" bestFit="1" customWidth="1"/>
    <col min="9501" max="9501" width="81.28515625" bestFit="1" customWidth="1"/>
    <col min="9502" max="9502" width="19.5703125" bestFit="1" customWidth="1"/>
    <col min="9503" max="9503" width="13.7109375" bestFit="1" customWidth="1"/>
    <col min="9504" max="9504" width="15" bestFit="1" customWidth="1"/>
    <col min="9505" max="9505" width="32.140625" bestFit="1" customWidth="1"/>
    <col min="9506" max="9506" width="9.7109375" bestFit="1" customWidth="1"/>
    <col min="9507" max="9508" width="36.7109375" bestFit="1" customWidth="1"/>
    <col min="9509" max="9509" width="19.42578125" bestFit="1" customWidth="1"/>
    <col min="9510" max="9510" width="18.42578125" bestFit="1" customWidth="1"/>
    <col min="9511" max="9511" width="23.140625" bestFit="1" customWidth="1"/>
    <col min="9512" max="9512" width="13.85546875" bestFit="1" customWidth="1"/>
    <col min="9729" max="9729" width="4.140625" bestFit="1" customWidth="1"/>
    <col min="9730" max="9731" width="5" bestFit="1" customWidth="1"/>
    <col min="9732" max="9732" width="26" bestFit="1" customWidth="1"/>
    <col min="9733" max="9733" width="19.85546875" bestFit="1" customWidth="1"/>
    <col min="9734" max="9734" width="9" bestFit="1" customWidth="1"/>
    <col min="9735" max="9735" width="5.42578125" bestFit="1" customWidth="1"/>
    <col min="9736" max="9736" width="18.140625" bestFit="1" customWidth="1"/>
    <col min="9737" max="9737" width="49.28515625" bestFit="1" customWidth="1"/>
    <col min="9738" max="9738" width="17" bestFit="1" customWidth="1"/>
    <col min="9739" max="9739" width="22.5703125" bestFit="1" customWidth="1"/>
    <col min="9740" max="9740" width="22.42578125" bestFit="1" customWidth="1"/>
    <col min="9741" max="9741" width="20.42578125" bestFit="1" customWidth="1"/>
    <col min="9742" max="9742" width="21.5703125" bestFit="1" customWidth="1"/>
    <col min="9743" max="9743" width="23.140625" bestFit="1" customWidth="1"/>
    <col min="9744" max="9744" width="215.42578125" bestFit="1" customWidth="1"/>
    <col min="9745" max="9745" width="49" bestFit="1" customWidth="1"/>
    <col min="9746" max="9746" width="14.140625" bestFit="1" customWidth="1"/>
    <col min="9747" max="9747" width="23.42578125" bestFit="1" customWidth="1"/>
    <col min="9748" max="9748" width="8.5703125" bestFit="1" customWidth="1"/>
    <col min="9749" max="9749" width="10.42578125" bestFit="1" customWidth="1"/>
    <col min="9750" max="9750" width="22.5703125" bestFit="1" customWidth="1"/>
    <col min="9751" max="9751" width="12.7109375" bestFit="1" customWidth="1"/>
    <col min="9752" max="9752" width="9" bestFit="1" customWidth="1"/>
    <col min="9753" max="9753" width="10.85546875" bestFit="1" customWidth="1"/>
    <col min="9754" max="9754" width="13" bestFit="1" customWidth="1"/>
    <col min="9755" max="9755" width="9" bestFit="1" customWidth="1"/>
    <col min="9756" max="9756" width="31.5703125" bestFit="1" customWidth="1"/>
    <col min="9757" max="9757" width="81.28515625" bestFit="1" customWidth="1"/>
    <col min="9758" max="9758" width="19.5703125" bestFit="1" customWidth="1"/>
    <col min="9759" max="9759" width="13.7109375" bestFit="1" customWidth="1"/>
    <col min="9760" max="9760" width="15" bestFit="1" customWidth="1"/>
    <col min="9761" max="9761" width="32.140625" bestFit="1" customWidth="1"/>
    <col min="9762" max="9762" width="9.7109375" bestFit="1" customWidth="1"/>
    <col min="9763" max="9764" width="36.7109375" bestFit="1" customWidth="1"/>
    <col min="9765" max="9765" width="19.42578125" bestFit="1" customWidth="1"/>
    <col min="9766" max="9766" width="18.42578125" bestFit="1" customWidth="1"/>
    <col min="9767" max="9767" width="23.140625" bestFit="1" customWidth="1"/>
    <col min="9768" max="9768" width="13.85546875" bestFit="1" customWidth="1"/>
    <col min="9985" max="9985" width="4.140625" bestFit="1" customWidth="1"/>
    <col min="9986" max="9987" width="5" bestFit="1" customWidth="1"/>
    <col min="9988" max="9988" width="26" bestFit="1" customWidth="1"/>
    <col min="9989" max="9989" width="19.85546875" bestFit="1" customWidth="1"/>
    <col min="9990" max="9990" width="9" bestFit="1" customWidth="1"/>
    <col min="9991" max="9991" width="5.42578125" bestFit="1" customWidth="1"/>
    <col min="9992" max="9992" width="18.140625" bestFit="1" customWidth="1"/>
    <col min="9993" max="9993" width="49.28515625" bestFit="1" customWidth="1"/>
    <col min="9994" max="9994" width="17" bestFit="1" customWidth="1"/>
    <col min="9995" max="9995" width="22.5703125" bestFit="1" customWidth="1"/>
    <col min="9996" max="9996" width="22.42578125" bestFit="1" customWidth="1"/>
    <col min="9997" max="9997" width="20.42578125" bestFit="1" customWidth="1"/>
    <col min="9998" max="9998" width="21.5703125" bestFit="1" customWidth="1"/>
    <col min="9999" max="9999" width="23.140625" bestFit="1" customWidth="1"/>
    <col min="10000" max="10000" width="215.42578125" bestFit="1" customWidth="1"/>
    <col min="10001" max="10001" width="49" bestFit="1" customWidth="1"/>
    <col min="10002" max="10002" width="14.140625" bestFit="1" customWidth="1"/>
    <col min="10003" max="10003" width="23.42578125" bestFit="1" customWidth="1"/>
    <col min="10004" max="10004" width="8.5703125" bestFit="1" customWidth="1"/>
    <col min="10005" max="10005" width="10.42578125" bestFit="1" customWidth="1"/>
    <col min="10006" max="10006" width="22.5703125" bestFit="1" customWidth="1"/>
    <col min="10007" max="10007" width="12.7109375" bestFit="1" customWidth="1"/>
    <col min="10008" max="10008" width="9" bestFit="1" customWidth="1"/>
    <col min="10009" max="10009" width="10.85546875" bestFit="1" customWidth="1"/>
    <col min="10010" max="10010" width="13" bestFit="1" customWidth="1"/>
    <col min="10011" max="10011" width="9" bestFit="1" customWidth="1"/>
    <col min="10012" max="10012" width="31.5703125" bestFit="1" customWidth="1"/>
    <col min="10013" max="10013" width="81.28515625" bestFit="1" customWidth="1"/>
    <col min="10014" max="10014" width="19.5703125" bestFit="1" customWidth="1"/>
    <col min="10015" max="10015" width="13.7109375" bestFit="1" customWidth="1"/>
    <col min="10016" max="10016" width="15" bestFit="1" customWidth="1"/>
    <col min="10017" max="10017" width="32.140625" bestFit="1" customWidth="1"/>
    <col min="10018" max="10018" width="9.7109375" bestFit="1" customWidth="1"/>
    <col min="10019" max="10020" width="36.7109375" bestFit="1" customWidth="1"/>
    <col min="10021" max="10021" width="19.42578125" bestFit="1" customWidth="1"/>
    <col min="10022" max="10022" width="18.42578125" bestFit="1" customWidth="1"/>
    <col min="10023" max="10023" width="23.140625" bestFit="1" customWidth="1"/>
    <col min="10024" max="10024" width="13.85546875" bestFit="1" customWidth="1"/>
    <col min="10241" max="10241" width="4.140625" bestFit="1" customWidth="1"/>
    <col min="10242" max="10243" width="5" bestFit="1" customWidth="1"/>
    <col min="10244" max="10244" width="26" bestFit="1" customWidth="1"/>
    <col min="10245" max="10245" width="19.85546875" bestFit="1" customWidth="1"/>
    <col min="10246" max="10246" width="9" bestFit="1" customWidth="1"/>
    <col min="10247" max="10247" width="5.42578125" bestFit="1" customWidth="1"/>
    <col min="10248" max="10248" width="18.140625" bestFit="1" customWidth="1"/>
    <col min="10249" max="10249" width="49.28515625" bestFit="1" customWidth="1"/>
    <col min="10250" max="10250" width="17" bestFit="1" customWidth="1"/>
    <col min="10251" max="10251" width="22.5703125" bestFit="1" customWidth="1"/>
    <col min="10252" max="10252" width="22.42578125" bestFit="1" customWidth="1"/>
    <col min="10253" max="10253" width="20.42578125" bestFit="1" customWidth="1"/>
    <col min="10254" max="10254" width="21.5703125" bestFit="1" customWidth="1"/>
    <col min="10255" max="10255" width="23.140625" bestFit="1" customWidth="1"/>
    <col min="10256" max="10256" width="215.42578125" bestFit="1" customWidth="1"/>
    <col min="10257" max="10257" width="49" bestFit="1" customWidth="1"/>
    <col min="10258" max="10258" width="14.140625" bestFit="1" customWidth="1"/>
    <col min="10259" max="10259" width="23.42578125" bestFit="1" customWidth="1"/>
    <col min="10260" max="10260" width="8.5703125" bestFit="1" customWidth="1"/>
    <col min="10261" max="10261" width="10.42578125" bestFit="1" customWidth="1"/>
    <col min="10262" max="10262" width="22.5703125" bestFit="1" customWidth="1"/>
    <col min="10263" max="10263" width="12.7109375" bestFit="1" customWidth="1"/>
    <col min="10264" max="10264" width="9" bestFit="1" customWidth="1"/>
    <col min="10265" max="10265" width="10.85546875" bestFit="1" customWidth="1"/>
    <col min="10266" max="10266" width="13" bestFit="1" customWidth="1"/>
    <col min="10267" max="10267" width="9" bestFit="1" customWidth="1"/>
    <col min="10268" max="10268" width="31.5703125" bestFit="1" customWidth="1"/>
    <col min="10269" max="10269" width="81.28515625" bestFit="1" customWidth="1"/>
    <col min="10270" max="10270" width="19.5703125" bestFit="1" customWidth="1"/>
    <col min="10271" max="10271" width="13.7109375" bestFit="1" customWidth="1"/>
    <col min="10272" max="10272" width="15" bestFit="1" customWidth="1"/>
    <col min="10273" max="10273" width="32.140625" bestFit="1" customWidth="1"/>
    <col min="10274" max="10274" width="9.7109375" bestFit="1" customWidth="1"/>
    <col min="10275" max="10276" width="36.7109375" bestFit="1" customWidth="1"/>
    <col min="10277" max="10277" width="19.42578125" bestFit="1" customWidth="1"/>
    <col min="10278" max="10278" width="18.42578125" bestFit="1" customWidth="1"/>
    <col min="10279" max="10279" width="23.140625" bestFit="1" customWidth="1"/>
    <col min="10280" max="10280" width="13.85546875" bestFit="1" customWidth="1"/>
    <col min="10497" max="10497" width="4.140625" bestFit="1" customWidth="1"/>
    <col min="10498" max="10499" width="5" bestFit="1" customWidth="1"/>
    <col min="10500" max="10500" width="26" bestFit="1" customWidth="1"/>
    <col min="10501" max="10501" width="19.85546875" bestFit="1" customWidth="1"/>
    <col min="10502" max="10502" width="9" bestFit="1" customWidth="1"/>
    <col min="10503" max="10503" width="5.42578125" bestFit="1" customWidth="1"/>
    <col min="10504" max="10504" width="18.140625" bestFit="1" customWidth="1"/>
    <col min="10505" max="10505" width="49.28515625" bestFit="1" customWidth="1"/>
    <col min="10506" max="10506" width="17" bestFit="1" customWidth="1"/>
    <col min="10507" max="10507" width="22.5703125" bestFit="1" customWidth="1"/>
    <col min="10508" max="10508" width="22.42578125" bestFit="1" customWidth="1"/>
    <col min="10509" max="10509" width="20.42578125" bestFit="1" customWidth="1"/>
    <col min="10510" max="10510" width="21.5703125" bestFit="1" customWidth="1"/>
    <col min="10511" max="10511" width="23.140625" bestFit="1" customWidth="1"/>
    <col min="10512" max="10512" width="215.42578125" bestFit="1" customWidth="1"/>
    <col min="10513" max="10513" width="49" bestFit="1" customWidth="1"/>
    <col min="10514" max="10514" width="14.140625" bestFit="1" customWidth="1"/>
    <col min="10515" max="10515" width="23.42578125" bestFit="1" customWidth="1"/>
    <col min="10516" max="10516" width="8.5703125" bestFit="1" customWidth="1"/>
    <col min="10517" max="10517" width="10.42578125" bestFit="1" customWidth="1"/>
    <col min="10518" max="10518" width="22.5703125" bestFit="1" customWidth="1"/>
    <col min="10519" max="10519" width="12.7109375" bestFit="1" customWidth="1"/>
    <col min="10520" max="10520" width="9" bestFit="1" customWidth="1"/>
    <col min="10521" max="10521" width="10.85546875" bestFit="1" customWidth="1"/>
    <col min="10522" max="10522" width="13" bestFit="1" customWidth="1"/>
    <col min="10523" max="10523" width="9" bestFit="1" customWidth="1"/>
    <col min="10524" max="10524" width="31.5703125" bestFit="1" customWidth="1"/>
    <col min="10525" max="10525" width="81.28515625" bestFit="1" customWidth="1"/>
    <col min="10526" max="10526" width="19.5703125" bestFit="1" customWidth="1"/>
    <col min="10527" max="10527" width="13.7109375" bestFit="1" customWidth="1"/>
    <col min="10528" max="10528" width="15" bestFit="1" customWidth="1"/>
    <col min="10529" max="10529" width="32.140625" bestFit="1" customWidth="1"/>
    <col min="10530" max="10530" width="9.7109375" bestFit="1" customWidth="1"/>
    <col min="10531" max="10532" width="36.7109375" bestFit="1" customWidth="1"/>
    <col min="10533" max="10533" width="19.42578125" bestFit="1" customWidth="1"/>
    <col min="10534" max="10534" width="18.42578125" bestFit="1" customWidth="1"/>
    <col min="10535" max="10535" width="23.140625" bestFit="1" customWidth="1"/>
    <col min="10536" max="10536" width="13.85546875" bestFit="1" customWidth="1"/>
    <col min="10753" max="10753" width="4.140625" bestFit="1" customWidth="1"/>
    <col min="10754" max="10755" width="5" bestFit="1" customWidth="1"/>
    <col min="10756" max="10756" width="26" bestFit="1" customWidth="1"/>
    <col min="10757" max="10757" width="19.85546875" bestFit="1" customWidth="1"/>
    <col min="10758" max="10758" width="9" bestFit="1" customWidth="1"/>
    <col min="10759" max="10759" width="5.42578125" bestFit="1" customWidth="1"/>
    <col min="10760" max="10760" width="18.140625" bestFit="1" customWidth="1"/>
    <col min="10761" max="10761" width="49.28515625" bestFit="1" customWidth="1"/>
    <col min="10762" max="10762" width="17" bestFit="1" customWidth="1"/>
    <col min="10763" max="10763" width="22.5703125" bestFit="1" customWidth="1"/>
    <col min="10764" max="10764" width="22.42578125" bestFit="1" customWidth="1"/>
    <col min="10765" max="10765" width="20.42578125" bestFit="1" customWidth="1"/>
    <col min="10766" max="10766" width="21.5703125" bestFit="1" customWidth="1"/>
    <col min="10767" max="10767" width="23.140625" bestFit="1" customWidth="1"/>
    <col min="10768" max="10768" width="215.42578125" bestFit="1" customWidth="1"/>
    <col min="10769" max="10769" width="49" bestFit="1" customWidth="1"/>
    <col min="10770" max="10770" width="14.140625" bestFit="1" customWidth="1"/>
    <col min="10771" max="10771" width="23.42578125" bestFit="1" customWidth="1"/>
    <col min="10772" max="10772" width="8.5703125" bestFit="1" customWidth="1"/>
    <col min="10773" max="10773" width="10.42578125" bestFit="1" customWidth="1"/>
    <col min="10774" max="10774" width="22.5703125" bestFit="1" customWidth="1"/>
    <col min="10775" max="10775" width="12.7109375" bestFit="1" customWidth="1"/>
    <col min="10776" max="10776" width="9" bestFit="1" customWidth="1"/>
    <col min="10777" max="10777" width="10.85546875" bestFit="1" customWidth="1"/>
    <col min="10778" max="10778" width="13" bestFit="1" customWidth="1"/>
    <col min="10779" max="10779" width="9" bestFit="1" customWidth="1"/>
    <col min="10780" max="10780" width="31.5703125" bestFit="1" customWidth="1"/>
    <col min="10781" max="10781" width="81.28515625" bestFit="1" customWidth="1"/>
    <col min="10782" max="10782" width="19.5703125" bestFit="1" customWidth="1"/>
    <col min="10783" max="10783" width="13.7109375" bestFit="1" customWidth="1"/>
    <col min="10784" max="10784" width="15" bestFit="1" customWidth="1"/>
    <col min="10785" max="10785" width="32.140625" bestFit="1" customWidth="1"/>
    <col min="10786" max="10786" width="9.7109375" bestFit="1" customWidth="1"/>
    <col min="10787" max="10788" width="36.7109375" bestFit="1" customWidth="1"/>
    <col min="10789" max="10789" width="19.42578125" bestFit="1" customWidth="1"/>
    <col min="10790" max="10790" width="18.42578125" bestFit="1" customWidth="1"/>
    <col min="10791" max="10791" width="23.140625" bestFit="1" customWidth="1"/>
    <col min="10792" max="10792" width="13.85546875" bestFit="1" customWidth="1"/>
    <col min="11009" max="11009" width="4.140625" bestFit="1" customWidth="1"/>
    <col min="11010" max="11011" width="5" bestFit="1" customWidth="1"/>
    <col min="11012" max="11012" width="26" bestFit="1" customWidth="1"/>
    <col min="11013" max="11013" width="19.85546875" bestFit="1" customWidth="1"/>
    <col min="11014" max="11014" width="9" bestFit="1" customWidth="1"/>
    <col min="11015" max="11015" width="5.42578125" bestFit="1" customWidth="1"/>
    <col min="11016" max="11016" width="18.140625" bestFit="1" customWidth="1"/>
    <col min="11017" max="11017" width="49.28515625" bestFit="1" customWidth="1"/>
    <col min="11018" max="11018" width="17" bestFit="1" customWidth="1"/>
    <col min="11019" max="11019" width="22.5703125" bestFit="1" customWidth="1"/>
    <col min="11020" max="11020" width="22.42578125" bestFit="1" customWidth="1"/>
    <col min="11021" max="11021" width="20.42578125" bestFit="1" customWidth="1"/>
    <col min="11022" max="11022" width="21.5703125" bestFit="1" customWidth="1"/>
    <col min="11023" max="11023" width="23.140625" bestFit="1" customWidth="1"/>
    <col min="11024" max="11024" width="215.42578125" bestFit="1" customWidth="1"/>
    <col min="11025" max="11025" width="49" bestFit="1" customWidth="1"/>
    <col min="11026" max="11026" width="14.140625" bestFit="1" customWidth="1"/>
    <col min="11027" max="11027" width="23.42578125" bestFit="1" customWidth="1"/>
    <col min="11028" max="11028" width="8.5703125" bestFit="1" customWidth="1"/>
    <col min="11029" max="11029" width="10.42578125" bestFit="1" customWidth="1"/>
    <col min="11030" max="11030" width="22.5703125" bestFit="1" customWidth="1"/>
    <col min="11031" max="11031" width="12.7109375" bestFit="1" customWidth="1"/>
    <col min="11032" max="11032" width="9" bestFit="1" customWidth="1"/>
    <col min="11033" max="11033" width="10.85546875" bestFit="1" customWidth="1"/>
    <col min="11034" max="11034" width="13" bestFit="1" customWidth="1"/>
    <col min="11035" max="11035" width="9" bestFit="1" customWidth="1"/>
    <col min="11036" max="11036" width="31.5703125" bestFit="1" customWidth="1"/>
    <col min="11037" max="11037" width="81.28515625" bestFit="1" customWidth="1"/>
    <col min="11038" max="11038" width="19.5703125" bestFit="1" customWidth="1"/>
    <col min="11039" max="11039" width="13.7109375" bestFit="1" customWidth="1"/>
    <col min="11040" max="11040" width="15" bestFit="1" customWidth="1"/>
    <col min="11041" max="11041" width="32.140625" bestFit="1" customWidth="1"/>
    <col min="11042" max="11042" width="9.7109375" bestFit="1" customWidth="1"/>
    <col min="11043" max="11044" width="36.7109375" bestFit="1" customWidth="1"/>
    <col min="11045" max="11045" width="19.42578125" bestFit="1" customWidth="1"/>
    <col min="11046" max="11046" width="18.42578125" bestFit="1" customWidth="1"/>
    <col min="11047" max="11047" width="23.140625" bestFit="1" customWidth="1"/>
    <col min="11048" max="11048" width="13.85546875" bestFit="1" customWidth="1"/>
    <col min="11265" max="11265" width="4.140625" bestFit="1" customWidth="1"/>
    <col min="11266" max="11267" width="5" bestFit="1" customWidth="1"/>
    <col min="11268" max="11268" width="26" bestFit="1" customWidth="1"/>
    <col min="11269" max="11269" width="19.85546875" bestFit="1" customWidth="1"/>
    <col min="11270" max="11270" width="9" bestFit="1" customWidth="1"/>
    <col min="11271" max="11271" width="5.42578125" bestFit="1" customWidth="1"/>
    <col min="11272" max="11272" width="18.140625" bestFit="1" customWidth="1"/>
    <col min="11273" max="11273" width="49.28515625" bestFit="1" customWidth="1"/>
    <col min="11274" max="11274" width="17" bestFit="1" customWidth="1"/>
    <col min="11275" max="11275" width="22.5703125" bestFit="1" customWidth="1"/>
    <col min="11276" max="11276" width="22.42578125" bestFit="1" customWidth="1"/>
    <col min="11277" max="11277" width="20.42578125" bestFit="1" customWidth="1"/>
    <col min="11278" max="11278" width="21.5703125" bestFit="1" customWidth="1"/>
    <col min="11279" max="11279" width="23.140625" bestFit="1" customWidth="1"/>
    <col min="11280" max="11280" width="215.42578125" bestFit="1" customWidth="1"/>
    <col min="11281" max="11281" width="49" bestFit="1" customWidth="1"/>
    <col min="11282" max="11282" width="14.140625" bestFit="1" customWidth="1"/>
    <col min="11283" max="11283" width="23.42578125" bestFit="1" customWidth="1"/>
    <col min="11284" max="11284" width="8.5703125" bestFit="1" customWidth="1"/>
    <col min="11285" max="11285" width="10.42578125" bestFit="1" customWidth="1"/>
    <col min="11286" max="11286" width="22.5703125" bestFit="1" customWidth="1"/>
    <col min="11287" max="11287" width="12.7109375" bestFit="1" customWidth="1"/>
    <col min="11288" max="11288" width="9" bestFit="1" customWidth="1"/>
    <col min="11289" max="11289" width="10.85546875" bestFit="1" customWidth="1"/>
    <col min="11290" max="11290" width="13" bestFit="1" customWidth="1"/>
    <col min="11291" max="11291" width="9" bestFit="1" customWidth="1"/>
    <col min="11292" max="11292" width="31.5703125" bestFit="1" customWidth="1"/>
    <col min="11293" max="11293" width="81.28515625" bestFit="1" customWidth="1"/>
    <col min="11294" max="11294" width="19.5703125" bestFit="1" customWidth="1"/>
    <col min="11295" max="11295" width="13.7109375" bestFit="1" customWidth="1"/>
    <col min="11296" max="11296" width="15" bestFit="1" customWidth="1"/>
    <col min="11297" max="11297" width="32.140625" bestFit="1" customWidth="1"/>
    <col min="11298" max="11298" width="9.7109375" bestFit="1" customWidth="1"/>
    <col min="11299" max="11300" width="36.7109375" bestFit="1" customWidth="1"/>
    <col min="11301" max="11301" width="19.42578125" bestFit="1" customWidth="1"/>
    <col min="11302" max="11302" width="18.42578125" bestFit="1" customWidth="1"/>
    <col min="11303" max="11303" width="23.140625" bestFit="1" customWidth="1"/>
    <col min="11304" max="11304" width="13.85546875" bestFit="1" customWidth="1"/>
    <col min="11521" max="11521" width="4.140625" bestFit="1" customWidth="1"/>
    <col min="11522" max="11523" width="5" bestFit="1" customWidth="1"/>
    <col min="11524" max="11524" width="26" bestFit="1" customWidth="1"/>
    <col min="11525" max="11525" width="19.85546875" bestFit="1" customWidth="1"/>
    <col min="11526" max="11526" width="9" bestFit="1" customWidth="1"/>
    <col min="11527" max="11527" width="5.42578125" bestFit="1" customWidth="1"/>
    <col min="11528" max="11528" width="18.140625" bestFit="1" customWidth="1"/>
    <col min="11529" max="11529" width="49.28515625" bestFit="1" customWidth="1"/>
    <col min="11530" max="11530" width="17" bestFit="1" customWidth="1"/>
    <col min="11531" max="11531" width="22.5703125" bestFit="1" customWidth="1"/>
    <col min="11532" max="11532" width="22.42578125" bestFit="1" customWidth="1"/>
    <col min="11533" max="11533" width="20.42578125" bestFit="1" customWidth="1"/>
    <col min="11534" max="11534" width="21.5703125" bestFit="1" customWidth="1"/>
    <col min="11535" max="11535" width="23.140625" bestFit="1" customWidth="1"/>
    <col min="11536" max="11536" width="215.42578125" bestFit="1" customWidth="1"/>
    <col min="11537" max="11537" width="49" bestFit="1" customWidth="1"/>
    <col min="11538" max="11538" width="14.140625" bestFit="1" customWidth="1"/>
    <col min="11539" max="11539" width="23.42578125" bestFit="1" customWidth="1"/>
    <col min="11540" max="11540" width="8.5703125" bestFit="1" customWidth="1"/>
    <col min="11541" max="11541" width="10.42578125" bestFit="1" customWidth="1"/>
    <col min="11542" max="11542" width="22.5703125" bestFit="1" customWidth="1"/>
    <col min="11543" max="11543" width="12.7109375" bestFit="1" customWidth="1"/>
    <col min="11544" max="11544" width="9" bestFit="1" customWidth="1"/>
    <col min="11545" max="11545" width="10.85546875" bestFit="1" customWidth="1"/>
    <col min="11546" max="11546" width="13" bestFit="1" customWidth="1"/>
    <col min="11547" max="11547" width="9" bestFit="1" customWidth="1"/>
    <col min="11548" max="11548" width="31.5703125" bestFit="1" customWidth="1"/>
    <col min="11549" max="11549" width="81.28515625" bestFit="1" customWidth="1"/>
    <col min="11550" max="11550" width="19.5703125" bestFit="1" customWidth="1"/>
    <col min="11551" max="11551" width="13.7109375" bestFit="1" customWidth="1"/>
    <col min="11552" max="11552" width="15" bestFit="1" customWidth="1"/>
    <col min="11553" max="11553" width="32.140625" bestFit="1" customWidth="1"/>
    <col min="11554" max="11554" width="9.7109375" bestFit="1" customWidth="1"/>
    <col min="11555" max="11556" width="36.7109375" bestFit="1" customWidth="1"/>
    <col min="11557" max="11557" width="19.42578125" bestFit="1" customWidth="1"/>
    <col min="11558" max="11558" width="18.42578125" bestFit="1" customWidth="1"/>
    <col min="11559" max="11559" width="23.140625" bestFit="1" customWidth="1"/>
    <col min="11560" max="11560" width="13.85546875" bestFit="1" customWidth="1"/>
    <col min="11777" max="11777" width="4.140625" bestFit="1" customWidth="1"/>
    <col min="11778" max="11779" width="5" bestFit="1" customWidth="1"/>
    <col min="11780" max="11780" width="26" bestFit="1" customWidth="1"/>
    <col min="11781" max="11781" width="19.85546875" bestFit="1" customWidth="1"/>
    <col min="11782" max="11782" width="9" bestFit="1" customWidth="1"/>
    <col min="11783" max="11783" width="5.42578125" bestFit="1" customWidth="1"/>
    <col min="11784" max="11784" width="18.140625" bestFit="1" customWidth="1"/>
    <col min="11785" max="11785" width="49.28515625" bestFit="1" customWidth="1"/>
    <col min="11786" max="11786" width="17" bestFit="1" customWidth="1"/>
    <col min="11787" max="11787" width="22.5703125" bestFit="1" customWidth="1"/>
    <col min="11788" max="11788" width="22.42578125" bestFit="1" customWidth="1"/>
    <col min="11789" max="11789" width="20.42578125" bestFit="1" customWidth="1"/>
    <col min="11790" max="11790" width="21.5703125" bestFit="1" customWidth="1"/>
    <col min="11791" max="11791" width="23.140625" bestFit="1" customWidth="1"/>
    <col min="11792" max="11792" width="215.42578125" bestFit="1" customWidth="1"/>
    <col min="11793" max="11793" width="49" bestFit="1" customWidth="1"/>
    <col min="11794" max="11794" width="14.140625" bestFit="1" customWidth="1"/>
    <col min="11795" max="11795" width="23.42578125" bestFit="1" customWidth="1"/>
    <col min="11796" max="11796" width="8.5703125" bestFit="1" customWidth="1"/>
    <col min="11797" max="11797" width="10.42578125" bestFit="1" customWidth="1"/>
    <col min="11798" max="11798" width="22.5703125" bestFit="1" customWidth="1"/>
    <col min="11799" max="11799" width="12.7109375" bestFit="1" customWidth="1"/>
    <col min="11800" max="11800" width="9" bestFit="1" customWidth="1"/>
    <col min="11801" max="11801" width="10.85546875" bestFit="1" customWidth="1"/>
    <col min="11802" max="11802" width="13" bestFit="1" customWidth="1"/>
    <col min="11803" max="11803" width="9" bestFit="1" customWidth="1"/>
    <col min="11804" max="11804" width="31.5703125" bestFit="1" customWidth="1"/>
    <col min="11805" max="11805" width="81.28515625" bestFit="1" customWidth="1"/>
    <col min="11806" max="11806" width="19.5703125" bestFit="1" customWidth="1"/>
    <col min="11807" max="11807" width="13.7109375" bestFit="1" customWidth="1"/>
    <col min="11808" max="11808" width="15" bestFit="1" customWidth="1"/>
    <col min="11809" max="11809" width="32.140625" bestFit="1" customWidth="1"/>
    <col min="11810" max="11810" width="9.7109375" bestFit="1" customWidth="1"/>
    <col min="11811" max="11812" width="36.7109375" bestFit="1" customWidth="1"/>
    <col min="11813" max="11813" width="19.42578125" bestFit="1" customWidth="1"/>
    <col min="11814" max="11814" width="18.42578125" bestFit="1" customWidth="1"/>
    <col min="11815" max="11815" width="23.140625" bestFit="1" customWidth="1"/>
    <col min="11816" max="11816" width="13.85546875" bestFit="1" customWidth="1"/>
    <col min="12033" max="12033" width="4.140625" bestFit="1" customWidth="1"/>
    <col min="12034" max="12035" width="5" bestFit="1" customWidth="1"/>
    <col min="12036" max="12036" width="26" bestFit="1" customWidth="1"/>
    <col min="12037" max="12037" width="19.85546875" bestFit="1" customWidth="1"/>
    <col min="12038" max="12038" width="9" bestFit="1" customWidth="1"/>
    <col min="12039" max="12039" width="5.42578125" bestFit="1" customWidth="1"/>
    <col min="12040" max="12040" width="18.140625" bestFit="1" customWidth="1"/>
    <col min="12041" max="12041" width="49.28515625" bestFit="1" customWidth="1"/>
    <col min="12042" max="12042" width="17" bestFit="1" customWidth="1"/>
    <col min="12043" max="12043" width="22.5703125" bestFit="1" customWidth="1"/>
    <col min="12044" max="12044" width="22.42578125" bestFit="1" customWidth="1"/>
    <col min="12045" max="12045" width="20.42578125" bestFit="1" customWidth="1"/>
    <col min="12046" max="12046" width="21.5703125" bestFit="1" customWidth="1"/>
    <col min="12047" max="12047" width="23.140625" bestFit="1" customWidth="1"/>
    <col min="12048" max="12048" width="215.42578125" bestFit="1" customWidth="1"/>
    <col min="12049" max="12049" width="49" bestFit="1" customWidth="1"/>
    <col min="12050" max="12050" width="14.140625" bestFit="1" customWidth="1"/>
    <col min="12051" max="12051" width="23.42578125" bestFit="1" customWidth="1"/>
    <col min="12052" max="12052" width="8.5703125" bestFit="1" customWidth="1"/>
    <col min="12053" max="12053" width="10.42578125" bestFit="1" customWidth="1"/>
    <col min="12054" max="12054" width="22.5703125" bestFit="1" customWidth="1"/>
    <col min="12055" max="12055" width="12.7109375" bestFit="1" customWidth="1"/>
    <col min="12056" max="12056" width="9" bestFit="1" customWidth="1"/>
    <col min="12057" max="12057" width="10.85546875" bestFit="1" customWidth="1"/>
    <col min="12058" max="12058" width="13" bestFit="1" customWidth="1"/>
    <col min="12059" max="12059" width="9" bestFit="1" customWidth="1"/>
    <col min="12060" max="12060" width="31.5703125" bestFit="1" customWidth="1"/>
    <col min="12061" max="12061" width="81.28515625" bestFit="1" customWidth="1"/>
    <col min="12062" max="12062" width="19.5703125" bestFit="1" customWidth="1"/>
    <col min="12063" max="12063" width="13.7109375" bestFit="1" customWidth="1"/>
    <col min="12064" max="12064" width="15" bestFit="1" customWidth="1"/>
    <col min="12065" max="12065" width="32.140625" bestFit="1" customWidth="1"/>
    <col min="12066" max="12066" width="9.7109375" bestFit="1" customWidth="1"/>
    <col min="12067" max="12068" width="36.7109375" bestFit="1" customWidth="1"/>
    <col min="12069" max="12069" width="19.42578125" bestFit="1" customWidth="1"/>
    <col min="12070" max="12070" width="18.42578125" bestFit="1" customWidth="1"/>
    <col min="12071" max="12071" width="23.140625" bestFit="1" customWidth="1"/>
    <col min="12072" max="12072" width="13.85546875" bestFit="1" customWidth="1"/>
    <col min="12289" max="12289" width="4.140625" bestFit="1" customWidth="1"/>
    <col min="12290" max="12291" width="5" bestFit="1" customWidth="1"/>
    <col min="12292" max="12292" width="26" bestFit="1" customWidth="1"/>
    <col min="12293" max="12293" width="19.85546875" bestFit="1" customWidth="1"/>
    <col min="12294" max="12294" width="9" bestFit="1" customWidth="1"/>
    <col min="12295" max="12295" width="5.42578125" bestFit="1" customWidth="1"/>
    <col min="12296" max="12296" width="18.140625" bestFit="1" customWidth="1"/>
    <col min="12297" max="12297" width="49.28515625" bestFit="1" customWidth="1"/>
    <col min="12298" max="12298" width="17" bestFit="1" customWidth="1"/>
    <col min="12299" max="12299" width="22.5703125" bestFit="1" customWidth="1"/>
    <col min="12300" max="12300" width="22.42578125" bestFit="1" customWidth="1"/>
    <col min="12301" max="12301" width="20.42578125" bestFit="1" customWidth="1"/>
    <col min="12302" max="12302" width="21.5703125" bestFit="1" customWidth="1"/>
    <col min="12303" max="12303" width="23.140625" bestFit="1" customWidth="1"/>
    <col min="12304" max="12304" width="215.42578125" bestFit="1" customWidth="1"/>
    <col min="12305" max="12305" width="49" bestFit="1" customWidth="1"/>
    <col min="12306" max="12306" width="14.140625" bestFit="1" customWidth="1"/>
    <col min="12307" max="12307" width="23.42578125" bestFit="1" customWidth="1"/>
    <col min="12308" max="12308" width="8.5703125" bestFit="1" customWidth="1"/>
    <col min="12309" max="12309" width="10.42578125" bestFit="1" customWidth="1"/>
    <col min="12310" max="12310" width="22.5703125" bestFit="1" customWidth="1"/>
    <col min="12311" max="12311" width="12.7109375" bestFit="1" customWidth="1"/>
    <col min="12312" max="12312" width="9" bestFit="1" customWidth="1"/>
    <col min="12313" max="12313" width="10.85546875" bestFit="1" customWidth="1"/>
    <col min="12314" max="12314" width="13" bestFit="1" customWidth="1"/>
    <col min="12315" max="12315" width="9" bestFit="1" customWidth="1"/>
    <col min="12316" max="12316" width="31.5703125" bestFit="1" customWidth="1"/>
    <col min="12317" max="12317" width="81.28515625" bestFit="1" customWidth="1"/>
    <col min="12318" max="12318" width="19.5703125" bestFit="1" customWidth="1"/>
    <col min="12319" max="12319" width="13.7109375" bestFit="1" customWidth="1"/>
    <col min="12320" max="12320" width="15" bestFit="1" customWidth="1"/>
    <col min="12321" max="12321" width="32.140625" bestFit="1" customWidth="1"/>
    <col min="12322" max="12322" width="9.7109375" bestFit="1" customWidth="1"/>
    <col min="12323" max="12324" width="36.7109375" bestFit="1" customWidth="1"/>
    <col min="12325" max="12325" width="19.42578125" bestFit="1" customWidth="1"/>
    <col min="12326" max="12326" width="18.42578125" bestFit="1" customWidth="1"/>
    <col min="12327" max="12327" width="23.140625" bestFit="1" customWidth="1"/>
    <col min="12328" max="12328" width="13.85546875" bestFit="1" customWidth="1"/>
    <col min="12545" max="12545" width="4.140625" bestFit="1" customWidth="1"/>
    <col min="12546" max="12547" width="5" bestFit="1" customWidth="1"/>
    <col min="12548" max="12548" width="26" bestFit="1" customWidth="1"/>
    <col min="12549" max="12549" width="19.85546875" bestFit="1" customWidth="1"/>
    <col min="12550" max="12550" width="9" bestFit="1" customWidth="1"/>
    <col min="12551" max="12551" width="5.42578125" bestFit="1" customWidth="1"/>
    <col min="12552" max="12552" width="18.140625" bestFit="1" customWidth="1"/>
    <col min="12553" max="12553" width="49.28515625" bestFit="1" customWidth="1"/>
    <col min="12554" max="12554" width="17" bestFit="1" customWidth="1"/>
    <col min="12555" max="12555" width="22.5703125" bestFit="1" customWidth="1"/>
    <col min="12556" max="12556" width="22.42578125" bestFit="1" customWidth="1"/>
    <col min="12557" max="12557" width="20.42578125" bestFit="1" customWidth="1"/>
    <col min="12558" max="12558" width="21.5703125" bestFit="1" customWidth="1"/>
    <col min="12559" max="12559" width="23.140625" bestFit="1" customWidth="1"/>
    <col min="12560" max="12560" width="215.42578125" bestFit="1" customWidth="1"/>
    <col min="12561" max="12561" width="49" bestFit="1" customWidth="1"/>
    <col min="12562" max="12562" width="14.140625" bestFit="1" customWidth="1"/>
    <col min="12563" max="12563" width="23.42578125" bestFit="1" customWidth="1"/>
    <col min="12564" max="12564" width="8.5703125" bestFit="1" customWidth="1"/>
    <col min="12565" max="12565" width="10.42578125" bestFit="1" customWidth="1"/>
    <col min="12566" max="12566" width="22.5703125" bestFit="1" customWidth="1"/>
    <col min="12567" max="12567" width="12.7109375" bestFit="1" customWidth="1"/>
    <col min="12568" max="12568" width="9" bestFit="1" customWidth="1"/>
    <col min="12569" max="12569" width="10.85546875" bestFit="1" customWidth="1"/>
    <col min="12570" max="12570" width="13" bestFit="1" customWidth="1"/>
    <col min="12571" max="12571" width="9" bestFit="1" customWidth="1"/>
    <col min="12572" max="12572" width="31.5703125" bestFit="1" customWidth="1"/>
    <col min="12573" max="12573" width="81.28515625" bestFit="1" customWidth="1"/>
    <col min="12574" max="12574" width="19.5703125" bestFit="1" customWidth="1"/>
    <col min="12575" max="12575" width="13.7109375" bestFit="1" customWidth="1"/>
    <col min="12576" max="12576" width="15" bestFit="1" customWidth="1"/>
    <col min="12577" max="12577" width="32.140625" bestFit="1" customWidth="1"/>
    <col min="12578" max="12578" width="9.7109375" bestFit="1" customWidth="1"/>
    <col min="12579" max="12580" width="36.7109375" bestFit="1" customWidth="1"/>
    <col min="12581" max="12581" width="19.42578125" bestFit="1" customWidth="1"/>
    <col min="12582" max="12582" width="18.42578125" bestFit="1" customWidth="1"/>
    <col min="12583" max="12583" width="23.140625" bestFit="1" customWidth="1"/>
    <col min="12584" max="12584" width="13.85546875" bestFit="1" customWidth="1"/>
    <col min="12801" max="12801" width="4.140625" bestFit="1" customWidth="1"/>
    <col min="12802" max="12803" width="5" bestFit="1" customWidth="1"/>
    <col min="12804" max="12804" width="26" bestFit="1" customWidth="1"/>
    <col min="12805" max="12805" width="19.85546875" bestFit="1" customWidth="1"/>
    <col min="12806" max="12806" width="9" bestFit="1" customWidth="1"/>
    <col min="12807" max="12807" width="5.42578125" bestFit="1" customWidth="1"/>
    <col min="12808" max="12808" width="18.140625" bestFit="1" customWidth="1"/>
    <col min="12809" max="12809" width="49.28515625" bestFit="1" customWidth="1"/>
    <col min="12810" max="12810" width="17" bestFit="1" customWidth="1"/>
    <col min="12811" max="12811" width="22.5703125" bestFit="1" customWidth="1"/>
    <col min="12812" max="12812" width="22.42578125" bestFit="1" customWidth="1"/>
    <col min="12813" max="12813" width="20.42578125" bestFit="1" customWidth="1"/>
    <col min="12814" max="12814" width="21.5703125" bestFit="1" customWidth="1"/>
    <col min="12815" max="12815" width="23.140625" bestFit="1" customWidth="1"/>
    <col min="12816" max="12816" width="215.42578125" bestFit="1" customWidth="1"/>
    <col min="12817" max="12817" width="49" bestFit="1" customWidth="1"/>
    <col min="12818" max="12818" width="14.140625" bestFit="1" customWidth="1"/>
    <col min="12819" max="12819" width="23.42578125" bestFit="1" customWidth="1"/>
    <col min="12820" max="12820" width="8.5703125" bestFit="1" customWidth="1"/>
    <col min="12821" max="12821" width="10.42578125" bestFit="1" customWidth="1"/>
    <col min="12822" max="12822" width="22.5703125" bestFit="1" customWidth="1"/>
    <col min="12823" max="12823" width="12.7109375" bestFit="1" customWidth="1"/>
    <col min="12824" max="12824" width="9" bestFit="1" customWidth="1"/>
    <col min="12825" max="12825" width="10.85546875" bestFit="1" customWidth="1"/>
    <col min="12826" max="12826" width="13" bestFit="1" customWidth="1"/>
    <col min="12827" max="12827" width="9" bestFit="1" customWidth="1"/>
    <col min="12828" max="12828" width="31.5703125" bestFit="1" customWidth="1"/>
    <col min="12829" max="12829" width="81.28515625" bestFit="1" customWidth="1"/>
    <col min="12830" max="12830" width="19.5703125" bestFit="1" customWidth="1"/>
    <col min="12831" max="12831" width="13.7109375" bestFit="1" customWidth="1"/>
    <col min="12832" max="12832" width="15" bestFit="1" customWidth="1"/>
    <col min="12833" max="12833" width="32.140625" bestFit="1" customWidth="1"/>
    <col min="12834" max="12834" width="9.7109375" bestFit="1" customWidth="1"/>
    <col min="12835" max="12836" width="36.7109375" bestFit="1" customWidth="1"/>
    <col min="12837" max="12837" width="19.42578125" bestFit="1" customWidth="1"/>
    <col min="12838" max="12838" width="18.42578125" bestFit="1" customWidth="1"/>
    <col min="12839" max="12839" width="23.140625" bestFit="1" customWidth="1"/>
    <col min="12840" max="12840" width="13.85546875" bestFit="1" customWidth="1"/>
    <col min="13057" max="13057" width="4.140625" bestFit="1" customWidth="1"/>
    <col min="13058" max="13059" width="5" bestFit="1" customWidth="1"/>
    <col min="13060" max="13060" width="26" bestFit="1" customWidth="1"/>
    <col min="13061" max="13061" width="19.85546875" bestFit="1" customWidth="1"/>
    <col min="13062" max="13062" width="9" bestFit="1" customWidth="1"/>
    <col min="13063" max="13063" width="5.42578125" bestFit="1" customWidth="1"/>
    <col min="13064" max="13064" width="18.140625" bestFit="1" customWidth="1"/>
    <col min="13065" max="13065" width="49.28515625" bestFit="1" customWidth="1"/>
    <col min="13066" max="13066" width="17" bestFit="1" customWidth="1"/>
    <col min="13067" max="13067" width="22.5703125" bestFit="1" customWidth="1"/>
    <col min="13068" max="13068" width="22.42578125" bestFit="1" customWidth="1"/>
    <col min="13069" max="13069" width="20.42578125" bestFit="1" customWidth="1"/>
    <col min="13070" max="13070" width="21.5703125" bestFit="1" customWidth="1"/>
    <col min="13071" max="13071" width="23.140625" bestFit="1" customWidth="1"/>
    <col min="13072" max="13072" width="215.42578125" bestFit="1" customWidth="1"/>
    <col min="13073" max="13073" width="49" bestFit="1" customWidth="1"/>
    <col min="13074" max="13074" width="14.140625" bestFit="1" customWidth="1"/>
    <col min="13075" max="13075" width="23.42578125" bestFit="1" customWidth="1"/>
    <col min="13076" max="13076" width="8.5703125" bestFit="1" customWidth="1"/>
    <col min="13077" max="13077" width="10.42578125" bestFit="1" customWidth="1"/>
    <col min="13078" max="13078" width="22.5703125" bestFit="1" customWidth="1"/>
    <col min="13079" max="13079" width="12.7109375" bestFit="1" customWidth="1"/>
    <col min="13080" max="13080" width="9" bestFit="1" customWidth="1"/>
    <col min="13081" max="13081" width="10.85546875" bestFit="1" customWidth="1"/>
    <col min="13082" max="13082" width="13" bestFit="1" customWidth="1"/>
    <col min="13083" max="13083" width="9" bestFit="1" customWidth="1"/>
    <col min="13084" max="13084" width="31.5703125" bestFit="1" customWidth="1"/>
    <col min="13085" max="13085" width="81.28515625" bestFit="1" customWidth="1"/>
    <col min="13086" max="13086" width="19.5703125" bestFit="1" customWidth="1"/>
    <col min="13087" max="13087" width="13.7109375" bestFit="1" customWidth="1"/>
    <col min="13088" max="13088" width="15" bestFit="1" customWidth="1"/>
    <col min="13089" max="13089" width="32.140625" bestFit="1" customWidth="1"/>
    <col min="13090" max="13090" width="9.7109375" bestFit="1" customWidth="1"/>
    <col min="13091" max="13092" width="36.7109375" bestFit="1" customWidth="1"/>
    <col min="13093" max="13093" width="19.42578125" bestFit="1" customWidth="1"/>
    <col min="13094" max="13094" width="18.42578125" bestFit="1" customWidth="1"/>
    <col min="13095" max="13095" width="23.140625" bestFit="1" customWidth="1"/>
    <col min="13096" max="13096" width="13.85546875" bestFit="1" customWidth="1"/>
    <col min="13313" max="13313" width="4.140625" bestFit="1" customWidth="1"/>
    <col min="13314" max="13315" width="5" bestFit="1" customWidth="1"/>
    <col min="13316" max="13316" width="26" bestFit="1" customWidth="1"/>
    <col min="13317" max="13317" width="19.85546875" bestFit="1" customWidth="1"/>
    <col min="13318" max="13318" width="9" bestFit="1" customWidth="1"/>
    <col min="13319" max="13319" width="5.42578125" bestFit="1" customWidth="1"/>
    <col min="13320" max="13320" width="18.140625" bestFit="1" customWidth="1"/>
    <col min="13321" max="13321" width="49.28515625" bestFit="1" customWidth="1"/>
    <col min="13322" max="13322" width="17" bestFit="1" customWidth="1"/>
    <col min="13323" max="13323" width="22.5703125" bestFit="1" customWidth="1"/>
    <col min="13324" max="13324" width="22.42578125" bestFit="1" customWidth="1"/>
    <col min="13325" max="13325" width="20.42578125" bestFit="1" customWidth="1"/>
    <col min="13326" max="13326" width="21.5703125" bestFit="1" customWidth="1"/>
    <col min="13327" max="13327" width="23.140625" bestFit="1" customWidth="1"/>
    <col min="13328" max="13328" width="215.42578125" bestFit="1" customWidth="1"/>
    <col min="13329" max="13329" width="49" bestFit="1" customWidth="1"/>
    <col min="13330" max="13330" width="14.140625" bestFit="1" customWidth="1"/>
    <col min="13331" max="13331" width="23.42578125" bestFit="1" customWidth="1"/>
    <col min="13332" max="13332" width="8.5703125" bestFit="1" customWidth="1"/>
    <col min="13333" max="13333" width="10.42578125" bestFit="1" customWidth="1"/>
    <col min="13334" max="13334" width="22.5703125" bestFit="1" customWidth="1"/>
    <col min="13335" max="13335" width="12.7109375" bestFit="1" customWidth="1"/>
    <col min="13336" max="13336" width="9" bestFit="1" customWidth="1"/>
    <col min="13337" max="13337" width="10.85546875" bestFit="1" customWidth="1"/>
    <col min="13338" max="13338" width="13" bestFit="1" customWidth="1"/>
    <col min="13339" max="13339" width="9" bestFit="1" customWidth="1"/>
    <col min="13340" max="13340" width="31.5703125" bestFit="1" customWidth="1"/>
    <col min="13341" max="13341" width="81.28515625" bestFit="1" customWidth="1"/>
    <col min="13342" max="13342" width="19.5703125" bestFit="1" customWidth="1"/>
    <col min="13343" max="13343" width="13.7109375" bestFit="1" customWidth="1"/>
    <col min="13344" max="13344" width="15" bestFit="1" customWidth="1"/>
    <col min="13345" max="13345" width="32.140625" bestFit="1" customWidth="1"/>
    <col min="13346" max="13346" width="9.7109375" bestFit="1" customWidth="1"/>
    <col min="13347" max="13348" width="36.7109375" bestFit="1" customWidth="1"/>
    <col min="13349" max="13349" width="19.42578125" bestFit="1" customWidth="1"/>
    <col min="13350" max="13350" width="18.42578125" bestFit="1" customWidth="1"/>
    <col min="13351" max="13351" width="23.140625" bestFit="1" customWidth="1"/>
    <col min="13352" max="13352" width="13.85546875" bestFit="1" customWidth="1"/>
    <col min="13569" max="13569" width="4.140625" bestFit="1" customWidth="1"/>
    <col min="13570" max="13571" width="5" bestFit="1" customWidth="1"/>
    <col min="13572" max="13572" width="26" bestFit="1" customWidth="1"/>
    <col min="13573" max="13573" width="19.85546875" bestFit="1" customWidth="1"/>
    <col min="13574" max="13574" width="9" bestFit="1" customWidth="1"/>
    <col min="13575" max="13575" width="5.42578125" bestFit="1" customWidth="1"/>
    <col min="13576" max="13576" width="18.140625" bestFit="1" customWidth="1"/>
    <col min="13577" max="13577" width="49.28515625" bestFit="1" customWidth="1"/>
    <col min="13578" max="13578" width="17" bestFit="1" customWidth="1"/>
    <col min="13579" max="13579" width="22.5703125" bestFit="1" customWidth="1"/>
    <col min="13580" max="13580" width="22.42578125" bestFit="1" customWidth="1"/>
    <col min="13581" max="13581" width="20.42578125" bestFit="1" customWidth="1"/>
    <col min="13582" max="13582" width="21.5703125" bestFit="1" customWidth="1"/>
    <col min="13583" max="13583" width="23.140625" bestFit="1" customWidth="1"/>
    <col min="13584" max="13584" width="215.42578125" bestFit="1" customWidth="1"/>
    <col min="13585" max="13585" width="49" bestFit="1" customWidth="1"/>
    <col min="13586" max="13586" width="14.140625" bestFit="1" customWidth="1"/>
    <col min="13587" max="13587" width="23.42578125" bestFit="1" customWidth="1"/>
    <col min="13588" max="13588" width="8.5703125" bestFit="1" customWidth="1"/>
    <col min="13589" max="13589" width="10.42578125" bestFit="1" customWidth="1"/>
    <col min="13590" max="13590" width="22.5703125" bestFit="1" customWidth="1"/>
    <col min="13591" max="13591" width="12.7109375" bestFit="1" customWidth="1"/>
    <col min="13592" max="13592" width="9" bestFit="1" customWidth="1"/>
    <col min="13593" max="13593" width="10.85546875" bestFit="1" customWidth="1"/>
    <col min="13594" max="13594" width="13" bestFit="1" customWidth="1"/>
    <col min="13595" max="13595" width="9" bestFit="1" customWidth="1"/>
    <col min="13596" max="13596" width="31.5703125" bestFit="1" customWidth="1"/>
    <col min="13597" max="13597" width="81.28515625" bestFit="1" customWidth="1"/>
    <col min="13598" max="13598" width="19.5703125" bestFit="1" customWidth="1"/>
    <col min="13599" max="13599" width="13.7109375" bestFit="1" customWidth="1"/>
    <col min="13600" max="13600" width="15" bestFit="1" customWidth="1"/>
    <col min="13601" max="13601" width="32.140625" bestFit="1" customWidth="1"/>
    <col min="13602" max="13602" width="9.7109375" bestFit="1" customWidth="1"/>
    <col min="13603" max="13604" width="36.7109375" bestFit="1" customWidth="1"/>
    <col min="13605" max="13605" width="19.42578125" bestFit="1" customWidth="1"/>
    <col min="13606" max="13606" width="18.42578125" bestFit="1" customWidth="1"/>
    <col min="13607" max="13607" width="23.140625" bestFit="1" customWidth="1"/>
    <col min="13608" max="13608" width="13.85546875" bestFit="1" customWidth="1"/>
    <col min="13825" max="13825" width="4.140625" bestFit="1" customWidth="1"/>
    <col min="13826" max="13827" width="5" bestFit="1" customWidth="1"/>
    <col min="13828" max="13828" width="26" bestFit="1" customWidth="1"/>
    <col min="13829" max="13829" width="19.85546875" bestFit="1" customWidth="1"/>
    <col min="13830" max="13830" width="9" bestFit="1" customWidth="1"/>
    <col min="13831" max="13831" width="5.42578125" bestFit="1" customWidth="1"/>
    <col min="13832" max="13832" width="18.140625" bestFit="1" customWidth="1"/>
    <col min="13833" max="13833" width="49.28515625" bestFit="1" customWidth="1"/>
    <col min="13834" max="13834" width="17" bestFit="1" customWidth="1"/>
    <col min="13835" max="13835" width="22.5703125" bestFit="1" customWidth="1"/>
    <col min="13836" max="13836" width="22.42578125" bestFit="1" customWidth="1"/>
    <col min="13837" max="13837" width="20.42578125" bestFit="1" customWidth="1"/>
    <col min="13838" max="13838" width="21.5703125" bestFit="1" customWidth="1"/>
    <col min="13839" max="13839" width="23.140625" bestFit="1" customWidth="1"/>
    <col min="13840" max="13840" width="215.42578125" bestFit="1" customWidth="1"/>
    <col min="13841" max="13841" width="49" bestFit="1" customWidth="1"/>
    <col min="13842" max="13842" width="14.140625" bestFit="1" customWidth="1"/>
    <col min="13843" max="13843" width="23.42578125" bestFit="1" customWidth="1"/>
    <col min="13844" max="13844" width="8.5703125" bestFit="1" customWidth="1"/>
    <col min="13845" max="13845" width="10.42578125" bestFit="1" customWidth="1"/>
    <col min="13846" max="13846" width="22.5703125" bestFit="1" customWidth="1"/>
    <col min="13847" max="13847" width="12.7109375" bestFit="1" customWidth="1"/>
    <col min="13848" max="13848" width="9" bestFit="1" customWidth="1"/>
    <col min="13849" max="13849" width="10.85546875" bestFit="1" customWidth="1"/>
    <col min="13850" max="13850" width="13" bestFit="1" customWidth="1"/>
    <col min="13851" max="13851" width="9" bestFit="1" customWidth="1"/>
    <col min="13852" max="13852" width="31.5703125" bestFit="1" customWidth="1"/>
    <col min="13853" max="13853" width="81.28515625" bestFit="1" customWidth="1"/>
    <col min="13854" max="13854" width="19.5703125" bestFit="1" customWidth="1"/>
    <col min="13855" max="13855" width="13.7109375" bestFit="1" customWidth="1"/>
    <col min="13856" max="13856" width="15" bestFit="1" customWidth="1"/>
    <col min="13857" max="13857" width="32.140625" bestFit="1" customWidth="1"/>
    <col min="13858" max="13858" width="9.7109375" bestFit="1" customWidth="1"/>
    <col min="13859" max="13860" width="36.7109375" bestFit="1" customWidth="1"/>
    <col min="13861" max="13861" width="19.42578125" bestFit="1" customWidth="1"/>
    <col min="13862" max="13862" width="18.42578125" bestFit="1" customWidth="1"/>
    <col min="13863" max="13863" width="23.140625" bestFit="1" customWidth="1"/>
    <col min="13864" max="13864" width="13.85546875" bestFit="1" customWidth="1"/>
    <col min="14081" max="14081" width="4.140625" bestFit="1" customWidth="1"/>
    <col min="14082" max="14083" width="5" bestFit="1" customWidth="1"/>
    <col min="14084" max="14084" width="26" bestFit="1" customWidth="1"/>
    <col min="14085" max="14085" width="19.85546875" bestFit="1" customWidth="1"/>
    <col min="14086" max="14086" width="9" bestFit="1" customWidth="1"/>
    <col min="14087" max="14087" width="5.42578125" bestFit="1" customWidth="1"/>
    <col min="14088" max="14088" width="18.140625" bestFit="1" customWidth="1"/>
    <col min="14089" max="14089" width="49.28515625" bestFit="1" customWidth="1"/>
    <col min="14090" max="14090" width="17" bestFit="1" customWidth="1"/>
    <col min="14091" max="14091" width="22.5703125" bestFit="1" customWidth="1"/>
    <col min="14092" max="14092" width="22.42578125" bestFit="1" customWidth="1"/>
    <col min="14093" max="14093" width="20.42578125" bestFit="1" customWidth="1"/>
    <col min="14094" max="14094" width="21.5703125" bestFit="1" customWidth="1"/>
    <col min="14095" max="14095" width="23.140625" bestFit="1" customWidth="1"/>
    <col min="14096" max="14096" width="215.42578125" bestFit="1" customWidth="1"/>
    <col min="14097" max="14097" width="49" bestFit="1" customWidth="1"/>
    <col min="14098" max="14098" width="14.140625" bestFit="1" customWidth="1"/>
    <col min="14099" max="14099" width="23.42578125" bestFit="1" customWidth="1"/>
    <col min="14100" max="14100" width="8.5703125" bestFit="1" customWidth="1"/>
    <col min="14101" max="14101" width="10.42578125" bestFit="1" customWidth="1"/>
    <col min="14102" max="14102" width="22.5703125" bestFit="1" customWidth="1"/>
    <col min="14103" max="14103" width="12.7109375" bestFit="1" customWidth="1"/>
    <col min="14104" max="14104" width="9" bestFit="1" customWidth="1"/>
    <col min="14105" max="14105" width="10.85546875" bestFit="1" customWidth="1"/>
    <col min="14106" max="14106" width="13" bestFit="1" customWidth="1"/>
    <col min="14107" max="14107" width="9" bestFit="1" customWidth="1"/>
    <col min="14108" max="14108" width="31.5703125" bestFit="1" customWidth="1"/>
    <col min="14109" max="14109" width="81.28515625" bestFit="1" customWidth="1"/>
    <col min="14110" max="14110" width="19.5703125" bestFit="1" customWidth="1"/>
    <col min="14111" max="14111" width="13.7109375" bestFit="1" customWidth="1"/>
    <col min="14112" max="14112" width="15" bestFit="1" customWidth="1"/>
    <col min="14113" max="14113" width="32.140625" bestFit="1" customWidth="1"/>
    <col min="14114" max="14114" width="9.7109375" bestFit="1" customWidth="1"/>
    <col min="14115" max="14116" width="36.7109375" bestFit="1" customWidth="1"/>
    <col min="14117" max="14117" width="19.42578125" bestFit="1" customWidth="1"/>
    <col min="14118" max="14118" width="18.42578125" bestFit="1" customWidth="1"/>
    <col min="14119" max="14119" width="23.140625" bestFit="1" customWidth="1"/>
    <col min="14120" max="14120" width="13.85546875" bestFit="1" customWidth="1"/>
    <col min="14337" max="14337" width="4.140625" bestFit="1" customWidth="1"/>
    <col min="14338" max="14339" width="5" bestFit="1" customWidth="1"/>
    <col min="14340" max="14340" width="26" bestFit="1" customWidth="1"/>
    <col min="14341" max="14341" width="19.85546875" bestFit="1" customWidth="1"/>
    <col min="14342" max="14342" width="9" bestFit="1" customWidth="1"/>
    <col min="14343" max="14343" width="5.42578125" bestFit="1" customWidth="1"/>
    <col min="14344" max="14344" width="18.140625" bestFit="1" customWidth="1"/>
    <col min="14345" max="14345" width="49.28515625" bestFit="1" customWidth="1"/>
    <col min="14346" max="14346" width="17" bestFit="1" customWidth="1"/>
    <col min="14347" max="14347" width="22.5703125" bestFit="1" customWidth="1"/>
    <col min="14348" max="14348" width="22.42578125" bestFit="1" customWidth="1"/>
    <col min="14349" max="14349" width="20.42578125" bestFit="1" customWidth="1"/>
    <col min="14350" max="14350" width="21.5703125" bestFit="1" customWidth="1"/>
    <col min="14351" max="14351" width="23.140625" bestFit="1" customWidth="1"/>
    <col min="14352" max="14352" width="215.42578125" bestFit="1" customWidth="1"/>
    <col min="14353" max="14353" width="49" bestFit="1" customWidth="1"/>
    <col min="14354" max="14354" width="14.140625" bestFit="1" customWidth="1"/>
    <col min="14355" max="14355" width="23.42578125" bestFit="1" customWidth="1"/>
    <col min="14356" max="14356" width="8.5703125" bestFit="1" customWidth="1"/>
    <col min="14357" max="14357" width="10.42578125" bestFit="1" customWidth="1"/>
    <col min="14358" max="14358" width="22.5703125" bestFit="1" customWidth="1"/>
    <col min="14359" max="14359" width="12.7109375" bestFit="1" customWidth="1"/>
    <col min="14360" max="14360" width="9" bestFit="1" customWidth="1"/>
    <col min="14361" max="14361" width="10.85546875" bestFit="1" customWidth="1"/>
    <col min="14362" max="14362" width="13" bestFit="1" customWidth="1"/>
    <col min="14363" max="14363" width="9" bestFit="1" customWidth="1"/>
    <col min="14364" max="14364" width="31.5703125" bestFit="1" customWidth="1"/>
    <col min="14365" max="14365" width="81.28515625" bestFit="1" customWidth="1"/>
    <col min="14366" max="14366" width="19.5703125" bestFit="1" customWidth="1"/>
    <col min="14367" max="14367" width="13.7109375" bestFit="1" customWidth="1"/>
    <col min="14368" max="14368" width="15" bestFit="1" customWidth="1"/>
    <col min="14369" max="14369" width="32.140625" bestFit="1" customWidth="1"/>
    <col min="14370" max="14370" width="9.7109375" bestFit="1" customWidth="1"/>
    <col min="14371" max="14372" width="36.7109375" bestFit="1" customWidth="1"/>
    <col min="14373" max="14373" width="19.42578125" bestFit="1" customWidth="1"/>
    <col min="14374" max="14374" width="18.42578125" bestFit="1" customWidth="1"/>
    <col min="14375" max="14375" width="23.140625" bestFit="1" customWidth="1"/>
    <col min="14376" max="14376" width="13.85546875" bestFit="1" customWidth="1"/>
    <col min="14593" max="14593" width="4.140625" bestFit="1" customWidth="1"/>
    <col min="14594" max="14595" width="5" bestFit="1" customWidth="1"/>
    <col min="14596" max="14596" width="26" bestFit="1" customWidth="1"/>
    <col min="14597" max="14597" width="19.85546875" bestFit="1" customWidth="1"/>
    <col min="14598" max="14598" width="9" bestFit="1" customWidth="1"/>
    <col min="14599" max="14599" width="5.42578125" bestFit="1" customWidth="1"/>
    <col min="14600" max="14600" width="18.140625" bestFit="1" customWidth="1"/>
    <col min="14601" max="14601" width="49.28515625" bestFit="1" customWidth="1"/>
    <col min="14602" max="14602" width="17" bestFit="1" customWidth="1"/>
    <col min="14603" max="14603" width="22.5703125" bestFit="1" customWidth="1"/>
    <col min="14604" max="14604" width="22.42578125" bestFit="1" customWidth="1"/>
    <col min="14605" max="14605" width="20.42578125" bestFit="1" customWidth="1"/>
    <col min="14606" max="14606" width="21.5703125" bestFit="1" customWidth="1"/>
    <col min="14607" max="14607" width="23.140625" bestFit="1" customWidth="1"/>
    <col min="14608" max="14608" width="215.42578125" bestFit="1" customWidth="1"/>
    <col min="14609" max="14609" width="49" bestFit="1" customWidth="1"/>
    <col min="14610" max="14610" width="14.140625" bestFit="1" customWidth="1"/>
    <col min="14611" max="14611" width="23.42578125" bestFit="1" customWidth="1"/>
    <col min="14612" max="14612" width="8.5703125" bestFit="1" customWidth="1"/>
    <col min="14613" max="14613" width="10.42578125" bestFit="1" customWidth="1"/>
    <col min="14614" max="14614" width="22.5703125" bestFit="1" customWidth="1"/>
    <col min="14615" max="14615" width="12.7109375" bestFit="1" customWidth="1"/>
    <col min="14616" max="14616" width="9" bestFit="1" customWidth="1"/>
    <col min="14617" max="14617" width="10.85546875" bestFit="1" customWidth="1"/>
    <col min="14618" max="14618" width="13" bestFit="1" customWidth="1"/>
    <col min="14619" max="14619" width="9" bestFit="1" customWidth="1"/>
    <col min="14620" max="14620" width="31.5703125" bestFit="1" customWidth="1"/>
    <col min="14621" max="14621" width="81.28515625" bestFit="1" customWidth="1"/>
    <col min="14622" max="14622" width="19.5703125" bestFit="1" customWidth="1"/>
    <col min="14623" max="14623" width="13.7109375" bestFit="1" customWidth="1"/>
    <col min="14624" max="14624" width="15" bestFit="1" customWidth="1"/>
    <col min="14625" max="14625" width="32.140625" bestFit="1" customWidth="1"/>
    <col min="14626" max="14626" width="9.7109375" bestFit="1" customWidth="1"/>
    <col min="14627" max="14628" width="36.7109375" bestFit="1" customWidth="1"/>
    <col min="14629" max="14629" width="19.42578125" bestFit="1" customWidth="1"/>
    <col min="14630" max="14630" width="18.42578125" bestFit="1" customWidth="1"/>
    <col min="14631" max="14631" width="23.140625" bestFit="1" customWidth="1"/>
    <col min="14632" max="14632" width="13.85546875" bestFit="1" customWidth="1"/>
    <col min="14849" max="14849" width="4.140625" bestFit="1" customWidth="1"/>
    <col min="14850" max="14851" width="5" bestFit="1" customWidth="1"/>
    <col min="14852" max="14852" width="26" bestFit="1" customWidth="1"/>
    <col min="14853" max="14853" width="19.85546875" bestFit="1" customWidth="1"/>
    <col min="14854" max="14854" width="9" bestFit="1" customWidth="1"/>
    <col min="14855" max="14855" width="5.42578125" bestFit="1" customWidth="1"/>
    <col min="14856" max="14856" width="18.140625" bestFit="1" customWidth="1"/>
    <col min="14857" max="14857" width="49.28515625" bestFit="1" customWidth="1"/>
    <col min="14858" max="14858" width="17" bestFit="1" customWidth="1"/>
    <col min="14859" max="14859" width="22.5703125" bestFit="1" customWidth="1"/>
    <col min="14860" max="14860" width="22.42578125" bestFit="1" customWidth="1"/>
    <col min="14861" max="14861" width="20.42578125" bestFit="1" customWidth="1"/>
    <col min="14862" max="14862" width="21.5703125" bestFit="1" customWidth="1"/>
    <col min="14863" max="14863" width="23.140625" bestFit="1" customWidth="1"/>
    <col min="14864" max="14864" width="215.42578125" bestFit="1" customWidth="1"/>
    <col min="14865" max="14865" width="49" bestFit="1" customWidth="1"/>
    <col min="14866" max="14866" width="14.140625" bestFit="1" customWidth="1"/>
    <col min="14867" max="14867" width="23.42578125" bestFit="1" customWidth="1"/>
    <col min="14868" max="14868" width="8.5703125" bestFit="1" customWidth="1"/>
    <col min="14869" max="14869" width="10.42578125" bestFit="1" customWidth="1"/>
    <col min="14870" max="14870" width="22.5703125" bestFit="1" customWidth="1"/>
    <col min="14871" max="14871" width="12.7109375" bestFit="1" customWidth="1"/>
    <col min="14872" max="14872" width="9" bestFit="1" customWidth="1"/>
    <col min="14873" max="14873" width="10.85546875" bestFit="1" customWidth="1"/>
    <col min="14874" max="14874" width="13" bestFit="1" customWidth="1"/>
    <col min="14875" max="14875" width="9" bestFit="1" customWidth="1"/>
    <col min="14876" max="14876" width="31.5703125" bestFit="1" customWidth="1"/>
    <col min="14877" max="14877" width="81.28515625" bestFit="1" customWidth="1"/>
    <col min="14878" max="14878" width="19.5703125" bestFit="1" customWidth="1"/>
    <col min="14879" max="14879" width="13.7109375" bestFit="1" customWidth="1"/>
    <col min="14880" max="14880" width="15" bestFit="1" customWidth="1"/>
    <col min="14881" max="14881" width="32.140625" bestFit="1" customWidth="1"/>
    <col min="14882" max="14882" width="9.7109375" bestFit="1" customWidth="1"/>
    <col min="14883" max="14884" width="36.7109375" bestFit="1" customWidth="1"/>
    <col min="14885" max="14885" width="19.42578125" bestFit="1" customWidth="1"/>
    <col min="14886" max="14886" width="18.42578125" bestFit="1" customWidth="1"/>
    <col min="14887" max="14887" width="23.140625" bestFit="1" customWidth="1"/>
    <col min="14888" max="14888" width="13.85546875" bestFit="1" customWidth="1"/>
    <col min="15105" max="15105" width="4.140625" bestFit="1" customWidth="1"/>
    <col min="15106" max="15107" width="5" bestFit="1" customWidth="1"/>
    <col min="15108" max="15108" width="26" bestFit="1" customWidth="1"/>
    <col min="15109" max="15109" width="19.85546875" bestFit="1" customWidth="1"/>
    <col min="15110" max="15110" width="9" bestFit="1" customWidth="1"/>
    <col min="15111" max="15111" width="5.42578125" bestFit="1" customWidth="1"/>
    <col min="15112" max="15112" width="18.140625" bestFit="1" customWidth="1"/>
    <col min="15113" max="15113" width="49.28515625" bestFit="1" customWidth="1"/>
    <col min="15114" max="15114" width="17" bestFit="1" customWidth="1"/>
    <col min="15115" max="15115" width="22.5703125" bestFit="1" customWidth="1"/>
    <col min="15116" max="15116" width="22.42578125" bestFit="1" customWidth="1"/>
    <col min="15117" max="15117" width="20.42578125" bestFit="1" customWidth="1"/>
    <col min="15118" max="15118" width="21.5703125" bestFit="1" customWidth="1"/>
    <col min="15119" max="15119" width="23.140625" bestFit="1" customWidth="1"/>
    <col min="15120" max="15120" width="215.42578125" bestFit="1" customWidth="1"/>
    <col min="15121" max="15121" width="49" bestFit="1" customWidth="1"/>
    <col min="15122" max="15122" width="14.140625" bestFit="1" customWidth="1"/>
    <col min="15123" max="15123" width="23.42578125" bestFit="1" customWidth="1"/>
    <col min="15124" max="15124" width="8.5703125" bestFit="1" customWidth="1"/>
    <col min="15125" max="15125" width="10.42578125" bestFit="1" customWidth="1"/>
    <col min="15126" max="15126" width="22.5703125" bestFit="1" customWidth="1"/>
    <col min="15127" max="15127" width="12.7109375" bestFit="1" customWidth="1"/>
    <col min="15128" max="15128" width="9" bestFit="1" customWidth="1"/>
    <col min="15129" max="15129" width="10.85546875" bestFit="1" customWidth="1"/>
    <col min="15130" max="15130" width="13" bestFit="1" customWidth="1"/>
    <col min="15131" max="15131" width="9" bestFit="1" customWidth="1"/>
    <col min="15132" max="15132" width="31.5703125" bestFit="1" customWidth="1"/>
    <col min="15133" max="15133" width="81.28515625" bestFit="1" customWidth="1"/>
    <col min="15134" max="15134" width="19.5703125" bestFit="1" customWidth="1"/>
    <col min="15135" max="15135" width="13.7109375" bestFit="1" customWidth="1"/>
    <col min="15136" max="15136" width="15" bestFit="1" customWidth="1"/>
    <col min="15137" max="15137" width="32.140625" bestFit="1" customWidth="1"/>
    <col min="15138" max="15138" width="9.7109375" bestFit="1" customWidth="1"/>
    <col min="15139" max="15140" width="36.7109375" bestFit="1" customWidth="1"/>
    <col min="15141" max="15141" width="19.42578125" bestFit="1" customWidth="1"/>
    <col min="15142" max="15142" width="18.42578125" bestFit="1" customWidth="1"/>
    <col min="15143" max="15143" width="23.140625" bestFit="1" customWidth="1"/>
    <col min="15144" max="15144" width="13.85546875" bestFit="1" customWidth="1"/>
    <col min="15361" max="15361" width="4.140625" bestFit="1" customWidth="1"/>
    <col min="15362" max="15363" width="5" bestFit="1" customWidth="1"/>
    <col min="15364" max="15364" width="26" bestFit="1" customWidth="1"/>
    <col min="15365" max="15365" width="19.85546875" bestFit="1" customWidth="1"/>
    <col min="15366" max="15366" width="9" bestFit="1" customWidth="1"/>
    <col min="15367" max="15367" width="5.42578125" bestFit="1" customWidth="1"/>
    <col min="15368" max="15368" width="18.140625" bestFit="1" customWidth="1"/>
    <col min="15369" max="15369" width="49.28515625" bestFit="1" customWidth="1"/>
    <col min="15370" max="15370" width="17" bestFit="1" customWidth="1"/>
    <col min="15371" max="15371" width="22.5703125" bestFit="1" customWidth="1"/>
    <col min="15372" max="15372" width="22.42578125" bestFit="1" customWidth="1"/>
    <col min="15373" max="15373" width="20.42578125" bestFit="1" customWidth="1"/>
    <col min="15374" max="15374" width="21.5703125" bestFit="1" customWidth="1"/>
    <col min="15375" max="15375" width="23.140625" bestFit="1" customWidth="1"/>
    <col min="15376" max="15376" width="215.42578125" bestFit="1" customWidth="1"/>
    <col min="15377" max="15377" width="49" bestFit="1" customWidth="1"/>
    <col min="15378" max="15378" width="14.140625" bestFit="1" customWidth="1"/>
    <col min="15379" max="15379" width="23.42578125" bestFit="1" customWidth="1"/>
    <col min="15380" max="15380" width="8.5703125" bestFit="1" customWidth="1"/>
    <col min="15381" max="15381" width="10.42578125" bestFit="1" customWidth="1"/>
    <col min="15382" max="15382" width="22.5703125" bestFit="1" customWidth="1"/>
    <col min="15383" max="15383" width="12.7109375" bestFit="1" customWidth="1"/>
    <col min="15384" max="15384" width="9" bestFit="1" customWidth="1"/>
    <col min="15385" max="15385" width="10.85546875" bestFit="1" customWidth="1"/>
    <col min="15386" max="15386" width="13" bestFit="1" customWidth="1"/>
    <col min="15387" max="15387" width="9" bestFit="1" customWidth="1"/>
    <col min="15388" max="15388" width="31.5703125" bestFit="1" customWidth="1"/>
    <col min="15389" max="15389" width="81.28515625" bestFit="1" customWidth="1"/>
    <col min="15390" max="15390" width="19.5703125" bestFit="1" customWidth="1"/>
    <col min="15391" max="15391" width="13.7109375" bestFit="1" customWidth="1"/>
    <col min="15392" max="15392" width="15" bestFit="1" customWidth="1"/>
    <col min="15393" max="15393" width="32.140625" bestFit="1" customWidth="1"/>
    <col min="15394" max="15394" width="9.7109375" bestFit="1" customWidth="1"/>
    <col min="15395" max="15396" width="36.7109375" bestFit="1" customWidth="1"/>
    <col min="15397" max="15397" width="19.42578125" bestFit="1" customWidth="1"/>
    <col min="15398" max="15398" width="18.42578125" bestFit="1" customWidth="1"/>
    <col min="15399" max="15399" width="23.140625" bestFit="1" customWidth="1"/>
    <col min="15400" max="15400" width="13.85546875" bestFit="1" customWidth="1"/>
    <col min="15617" max="15617" width="4.140625" bestFit="1" customWidth="1"/>
    <col min="15618" max="15619" width="5" bestFit="1" customWidth="1"/>
    <col min="15620" max="15620" width="26" bestFit="1" customWidth="1"/>
    <col min="15621" max="15621" width="19.85546875" bestFit="1" customWidth="1"/>
    <col min="15622" max="15622" width="9" bestFit="1" customWidth="1"/>
    <col min="15623" max="15623" width="5.42578125" bestFit="1" customWidth="1"/>
    <col min="15624" max="15624" width="18.140625" bestFit="1" customWidth="1"/>
    <col min="15625" max="15625" width="49.28515625" bestFit="1" customWidth="1"/>
    <col min="15626" max="15626" width="17" bestFit="1" customWidth="1"/>
    <col min="15627" max="15627" width="22.5703125" bestFit="1" customWidth="1"/>
    <col min="15628" max="15628" width="22.42578125" bestFit="1" customWidth="1"/>
    <col min="15629" max="15629" width="20.42578125" bestFit="1" customWidth="1"/>
    <col min="15630" max="15630" width="21.5703125" bestFit="1" customWidth="1"/>
    <col min="15631" max="15631" width="23.140625" bestFit="1" customWidth="1"/>
    <col min="15632" max="15632" width="215.42578125" bestFit="1" customWidth="1"/>
    <col min="15633" max="15633" width="49" bestFit="1" customWidth="1"/>
    <col min="15634" max="15634" width="14.140625" bestFit="1" customWidth="1"/>
    <col min="15635" max="15635" width="23.42578125" bestFit="1" customWidth="1"/>
    <col min="15636" max="15636" width="8.5703125" bestFit="1" customWidth="1"/>
    <col min="15637" max="15637" width="10.42578125" bestFit="1" customWidth="1"/>
    <col min="15638" max="15638" width="22.5703125" bestFit="1" customWidth="1"/>
    <col min="15639" max="15639" width="12.7109375" bestFit="1" customWidth="1"/>
    <col min="15640" max="15640" width="9" bestFit="1" customWidth="1"/>
    <col min="15641" max="15641" width="10.85546875" bestFit="1" customWidth="1"/>
    <col min="15642" max="15642" width="13" bestFit="1" customWidth="1"/>
    <col min="15643" max="15643" width="9" bestFit="1" customWidth="1"/>
    <col min="15644" max="15644" width="31.5703125" bestFit="1" customWidth="1"/>
    <col min="15645" max="15645" width="81.28515625" bestFit="1" customWidth="1"/>
    <col min="15646" max="15646" width="19.5703125" bestFit="1" customWidth="1"/>
    <col min="15647" max="15647" width="13.7109375" bestFit="1" customWidth="1"/>
    <col min="15648" max="15648" width="15" bestFit="1" customWidth="1"/>
    <col min="15649" max="15649" width="32.140625" bestFit="1" customWidth="1"/>
    <col min="15650" max="15650" width="9.7109375" bestFit="1" customWidth="1"/>
    <col min="15651" max="15652" width="36.7109375" bestFit="1" customWidth="1"/>
    <col min="15653" max="15653" width="19.42578125" bestFit="1" customWidth="1"/>
    <col min="15654" max="15654" width="18.42578125" bestFit="1" customWidth="1"/>
    <col min="15655" max="15655" width="23.140625" bestFit="1" customWidth="1"/>
    <col min="15656" max="15656" width="13.85546875" bestFit="1" customWidth="1"/>
    <col min="15873" max="15873" width="4.140625" bestFit="1" customWidth="1"/>
    <col min="15874" max="15875" width="5" bestFit="1" customWidth="1"/>
    <col min="15876" max="15876" width="26" bestFit="1" customWidth="1"/>
    <col min="15877" max="15877" width="19.85546875" bestFit="1" customWidth="1"/>
    <col min="15878" max="15878" width="9" bestFit="1" customWidth="1"/>
    <col min="15879" max="15879" width="5.42578125" bestFit="1" customWidth="1"/>
    <col min="15880" max="15880" width="18.140625" bestFit="1" customWidth="1"/>
    <col min="15881" max="15881" width="49.28515625" bestFit="1" customWidth="1"/>
    <col min="15882" max="15882" width="17" bestFit="1" customWidth="1"/>
    <col min="15883" max="15883" width="22.5703125" bestFit="1" customWidth="1"/>
    <col min="15884" max="15884" width="22.42578125" bestFit="1" customWidth="1"/>
    <col min="15885" max="15885" width="20.42578125" bestFit="1" customWidth="1"/>
    <col min="15886" max="15886" width="21.5703125" bestFit="1" customWidth="1"/>
    <col min="15887" max="15887" width="23.140625" bestFit="1" customWidth="1"/>
    <col min="15888" max="15888" width="215.42578125" bestFit="1" customWidth="1"/>
    <col min="15889" max="15889" width="49" bestFit="1" customWidth="1"/>
    <col min="15890" max="15890" width="14.140625" bestFit="1" customWidth="1"/>
    <col min="15891" max="15891" width="23.42578125" bestFit="1" customWidth="1"/>
    <col min="15892" max="15892" width="8.5703125" bestFit="1" customWidth="1"/>
    <col min="15893" max="15893" width="10.42578125" bestFit="1" customWidth="1"/>
    <col min="15894" max="15894" width="22.5703125" bestFit="1" customWidth="1"/>
    <col min="15895" max="15895" width="12.7109375" bestFit="1" customWidth="1"/>
    <col min="15896" max="15896" width="9" bestFit="1" customWidth="1"/>
    <col min="15897" max="15897" width="10.85546875" bestFit="1" customWidth="1"/>
    <col min="15898" max="15898" width="13" bestFit="1" customWidth="1"/>
    <col min="15899" max="15899" width="9" bestFit="1" customWidth="1"/>
    <col min="15900" max="15900" width="31.5703125" bestFit="1" customWidth="1"/>
    <col min="15901" max="15901" width="81.28515625" bestFit="1" customWidth="1"/>
    <col min="15902" max="15902" width="19.5703125" bestFit="1" customWidth="1"/>
    <col min="15903" max="15903" width="13.7109375" bestFit="1" customWidth="1"/>
    <col min="15904" max="15904" width="15" bestFit="1" customWidth="1"/>
    <col min="15905" max="15905" width="32.140625" bestFit="1" customWidth="1"/>
    <col min="15906" max="15906" width="9.7109375" bestFit="1" customWidth="1"/>
    <col min="15907" max="15908" width="36.7109375" bestFit="1" customWidth="1"/>
    <col min="15909" max="15909" width="19.42578125" bestFit="1" customWidth="1"/>
    <col min="15910" max="15910" width="18.42578125" bestFit="1" customWidth="1"/>
    <col min="15911" max="15911" width="23.140625" bestFit="1" customWidth="1"/>
    <col min="15912" max="15912" width="13.85546875" bestFit="1" customWidth="1"/>
    <col min="16129" max="16129" width="4.140625" bestFit="1" customWidth="1"/>
    <col min="16130" max="16131" width="5" bestFit="1" customWidth="1"/>
    <col min="16132" max="16132" width="26" bestFit="1" customWidth="1"/>
    <col min="16133" max="16133" width="19.85546875" bestFit="1" customWidth="1"/>
    <col min="16134" max="16134" width="9" bestFit="1" customWidth="1"/>
    <col min="16135" max="16135" width="5.42578125" bestFit="1" customWidth="1"/>
    <col min="16136" max="16136" width="18.140625" bestFit="1" customWidth="1"/>
    <col min="16137" max="16137" width="49.28515625" bestFit="1" customWidth="1"/>
    <col min="16138" max="16138" width="17" bestFit="1" customWidth="1"/>
    <col min="16139" max="16139" width="22.5703125" bestFit="1" customWidth="1"/>
    <col min="16140" max="16140" width="22.42578125" bestFit="1" customWidth="1"/>
    <col min="16141" max="16141" width="20.42578125" bestFit="1" customWidth="1"/>
    <col min="16142" max="16142" width="21.5703125" bestFit="1" customWidth="1"/>
    <col min="16143" max="16143" width="23.140625" bestFit="1" customWidth="1"/>
    <col min="16144" max="16144" width="215.42578125" bestFit="1" customWidth="1"/>
    <col min="16145" max="16145" width="49" bestFit="1" customWidth="1"/>
    <col min="16146" max="16146" width="14.140625" bestFit="1" customWidth="1"/>
    <col min="16147" max="16147" width="23.42578125" bestFit="1" customWidth="1"/>
    <col min="16148" max="16148" width="8.5703125" bestFit="1" customWidth="1"/>
    <col min="16149" max="16149" width="10.42578125" bestFit="1" customWidth="1"/>
    <col min="16150" max="16150" width="22.5703125" bestFit="1" customWidth="1"/>
    <col min="16151" max="16151" width="12.7109375" bestFit="1" customWidth="1"/>
    <col min="16152" max="16152" width="9" bestFit="1" customWidth="1"/>
    <col min="16153" max="16153" width="10.85546875" bestFit="1" customWidth="1"/>
    <col min="16154" max="16154" width="13" bestFit="1" customWidth="1"/>
    <col min="16155" max="16155" width="9" bestFit="1" customWidth="1"/>
    <col min="16156" max="16156" width="31.5703125" bestFit="1" customWidth="1"/>
    <col min="16157" max="16157" width="81.28515625" bestFit="1" customWidth="1"/>
    <col min="16158" max="16158" width="19.5703125" bestFit="1" customWidth="1"/>
    <col min="16159" max="16159" width="13.7109375" bestFit="1" customWidth="1"/>
    <col min="16160" max="16160" width="15" bestFit="1" customWidth="1"/>
    <col min="16161" max="16161" width="32.140625" bestFit="1" customWidth="1"/>
    <col min="16162" max="16162" width="9.7109375" bestFit="1" customWidth="1"/>
    <col min="16163" max="16164" width="36.7109375" bestFit="1" customWidth="1"/>
    <col min="16165" max="16165" width="19.42578125" bestFit="1" customWidth="1"/>
    <col min="16166" max="16166" width="18.42578125" bestFit="1" customWidth="1"/>
    <col min="16167" max="16167" width="23.140625" bestFit="1" customWidth="1"/>
    <col min="16168" max="16168" width="13.855468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3" t="s">
        <v>39</v>
      </c>
      <c r="AO1" s="4" t="s">
        <v>40</v>
      </c>
      <c r="AP1" s="4" t="s">
        <v>41</v>
      </c>
      <c r="AQ1" s="5" t="s">
        <v>42</v>
      </c>
    </row>
    <row r="2" spans="1:43" x14ac:dyDescent="0.25">
      <c r="A2">
        <v>10</v>
      </c>
      <c r="B2">
        <v>10</v>
      </c>
      <c r="C2">
        <v>2024</v>
      </c>
      <c r="D2" t="s">
        <v>43</v>
      </c>
      <c r="E2" t="s">
        <v>44</v>
      </c>
      <c r="F2" t="s">
        <v>45</v>
      </c>
      <c r="G2">
        <v>1</v>
      </c>
      <c r="H2">
        <v>1791882490001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>
        <v>3917329900</v>
      </c>
      <c r="P2" t="s">
        <v>52</v>
      </c>
      <c r="Q2" t="s">
        <v>53</v>
      </c>
      <c r="R2" t="s">
        <v>54</v>
      </c>
      <c r="S2" t="s">
        <v>55</v>
      </c>
      <c r="T2">
        <v>7</v>
      </c>
      <c r="U2">
        <v>3</v>
      </c>
      <c r="V2" t="s">
        <v>56</v>
      </c>
      <c r="W2">
        <v>0</v>
      </c>
      <c r="X2">
        <v>13.37</v>
      </c>
      <c r="Y2">
        <v>2.34</v>
      </c>
      <c r="Z2">
        <v>0.1</v>
      </c>
      <c r="AA2">
        <v>15.8</v>
      </c>
      <c r="AB2" t="s">
        <v>57</v>
      </c>
      <c r="AC2" t="s">
        <v>58</v>
      </c>
      <c r="AD2" t="s">
        <v>48</v>
      </c>
      <c r="AE2">
        <v>0</v>
      </c>
      <c r="AF2">
        <v>0.14000000000000001</v>
      </c>
      <c r="AG2" t="s">
        <v>59</v>
      </c>
      <c r="AH2">
        <v>179772</v>
      </c>
      <c r="AI2" t="s">
        <v>60</v>
      </c>
      <c r="AJ2" t="s">
        <v>60</v>
      </c>
      <c r="AK2" t="s">
        <v>54</v>
      </c>
      <c r="AL2">
        <v>2024</v>
      </c>
      <c r="AM2" s="6" t="s">
        <v>61</v>
      </c>
      <c r="AN2" s="7">
        <v>4.46</v>
      </c>
      <c r="AO2" s="8">
        <f t="shared" ref="AO2:AO65" si="0">SUM(AN2)*1.875</f>
        <v>8.3625000000000007</v>
      </c>
      <c r="AP2" s="8">
        <f t="shared" ref="AP2:AP65" si="1">SUM(AO2)*1.111</f>
        <v>9.2907375000000005</v>
      </c>
      <c r="AQ2" s="9">
        <f>SUM(AO2)*1.6199</f>
        <v>13.546413750000001</v>
      </c>
    </row>
    <row r="3" spans="1:43" x14ac:dyDescent="0.25">
      <c r="A3">
        <v>10</v>
      </c>
      <c r="B3">
        <v>10</v>
      </c>
      <c r="C3">
        <v>2024</v>
      </c>
      <c r="D3" t="s">
        <v>43</v>
      </c>
      <c r="E3" t="s">
        <v>44</v>
      </c>
      <c r="F3" t="s">
        <v>45</v>
      </c>
      <c r="G3">
        <v>2</v>
      </c>
      <c r="H3">
        <v>1791882490001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3917329900</v>
      </c>
      <c r="P3" t="s">
        <v>52</v>
      </c>
      <c r="Q3" t="s">
        <v>53</v>
      </c>
      <c r="R3" t="s">
        <v>54</v>
      </c>
      <c r="S3" t="s">
        <v>55</v>
      </c>
      <c r="T3">
        <v>7</v>
      </c>
      <c r="U3">
        <v>5</v>
      </c>
      <c r="V3" t="s">
        <v>56</v>
      </c>
      <c r="W3">
        <v>0</v>
      </c>
      <c r="X3">
        <v>36.619999999999997</v>
      </c>
      <c r="Y3">
        <v>6.4</v>
      </c>
      <c r="Z3">
        <v>0.26</v>
      </c>
      <c r="AA3">
        <v>43.28</v>
      </c>
      <c r="AB3" t="s">
        <v>57</v>
      </c>
      <c r="AC3" t="s">
        <v>58</v>
      </c>
      <c r="AD3" t="s">
        <v>48</v>
      </c>
      <c r="AE3">
        <v>0</v>
      </c>
      <c r="AF3">
        <v>0.4</v>
      </c>
      <c r="AG3" t="s">
        <v>59</v>
      </c>
      <c r="AH3">
        <v>179772</v>
      </c>
      <c r="AI3" t="s">
        <v>60</v>
      </c>
      <c r="AJ3" t="s">
        <v>60</v>
      </c>
      <c r="AK3" t="s">
        <v>54</v>
      </c>
      <c r="AL3">
        <v>2024</v>
      </c>
      <c r="AM3" s="6" t="s">
        <v>62</v>
      </c>
      <c r="AN3" s="7">
        <v>7.32</v>
      </c>
      <c r="AO3" s="8">
        <f t="shared" si="0"/>
        <v>13.725000000000001</v>
      </c>
      <c r="AP3" s="8">
        <f t="shared" si="1"/>
        <v>15.248475000000001</v>
      </c>
      <c r="AQ3" s="9">
        <f t="shared" ref="AQ3:AQ66" si="2">SUM(AO3)*1.6199</f>
        <v>22.233127500000002</v>
      </c>
    </row>
    <row r="4" spans="1:43" x14ac:dyDescent="0.25">
      <c r="A4">
        <v>15</v>
      </c>
      <c r="B4">
        <v>4</v>
      </c>
      <c r="C4">
        <v>2024</v>
      </c>
      <c r="D4" t="s">
        <v>43</v>
      </c>
      <c r="E4" t="s">
        <v>63</v>
      </c>
      <c r="F4" t="s">
        <v>64</v>
      </c>
      <c r="G4">
        <v>1</v>
      </c>
      <c r="H4">
        <v>1791882490001</v>
      </c>
      <c r="I4" t="s">
        <v>46</v>
      </c>
      <c r="J4" t="s">
        <v>65</v>
      </c>
      <c r="K4" t="s">
        <v>48</v>
      </c>
      <c r="L4" t="s">
        <v>49</v>
      </c>
      <c r="M4" t="s">
        <v>50</v>
      </c>
      <c r="N4" t="s">
        <v>51</v>
      </c>
      <c r="O4">
        <v>3917329900</v>
      </c>
      <c r="P4" t="s">
        <v>66</v>
      </c>
      <c r="Q4" t="s">
        <v>67</v>
      </c>
      <c r="R4" t="s">
        <v>54</v>
      </c>
      <c r="S4" t="s">
        <v>55</v>
      </c>
      <c r="T4">
        <v>6</v>
      </c>
      <c r="U4">
        <v>2</v>
      </c>
      <c r="V4" t="s">
        <v>56</v>
      </c>
      <c r="W4">
        <v>0</v>
      </c>
      <c r="X4">
        <v>39.090000000000003</v>
      </c>
      <c r="Y4">
        <v>4.1100000000000003</v>
      </c>
      <c r="Z4">
        <v>0.26</v>
      </c>
      <c r="AA4">
        <v>43.47</v>
      </c>
      <c r="AB4" t="s">
        <v>57</v>
      </c>
      <c r="AC4" t="s">
        <v>58</v>
      </c>
      <c r="AD4" t="s">
        <v>48</v>
      </c>
      <c r="AE4">
        <v>0</v>
      </c>
      <c r="AF4">
        <v>0.38</v>
      </c>
      <c r="AG4" t="s">
        <v>59</v>
      </c>
      <c r="AH4">
        <v>443965</v>
      </c>
      <c r="AI4" t="s">
        <v>60</v>
      </c>
      <c r="AJ4" t="s">
        <v>60</v>
      </c>
      <c r="AK4" t="s">
        <v>54</v>
      </c>
      <c r="AL4">
        <v>2024</v>
      </c>
      <c r="AM4" s="6" t="s">
        <v>68</v>
      </c>
      <c r="AN4" s="7">
        <v>19.55</v>
      </c>
      <c r="AO4" s="8">
        <f t="shared" si="0"/>
        <v>36.65625</v>
      </c>
      <c r="AP4" s="8">
        <f t="shared" si="1"/>
        <v>40.725093749999999</v>
      </c>
      <c r="AQ4" s="9">
        <f t="shared" si="2"/>
        <v>59.379459374999996</v>
      </c>
    </row>
    <row r="5" spans="1:43" x14ac:dyDescent="0.25">
      <c r="A5">
        <v>13</v>
      </c>
      <c r="B5">
        <v>3</v>
      </c>
      <c r="C5">
        <v>2024</v>
      </c>
      <c r="D5" t="s">
        <v>43</v>
      </c>
      <c r="E5" t="s">
        <v>69</v>
      </c>
      <c r="F5" t="s">
        <v>70</v>
      </c>
      <c r="G5">
        <v>1</v>
      </c>
      <c r="H5">
        <v>1791882490001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>
        <v>3917329900</v>
      </c>
      <c r="P5" t="s">
        <v>66</v>
      </c>
      <c r="Q5" t="s">
        <v>53</v>
      </c>
      <c r="R5" t="s">
        <v>54</v>
      </c>
      <c r="S5" t="s">
        <v>55</v>
      </c>
      <c r="T5">
        <v>11</v>
      </c>
      <c r="U5">
        <v>1</v>
      </c>
      <c r="V5" t="s">
        <v>56</v>
      </c>
      <c r="W5">
        <v>0</v>
      </c>
      <c r="X5">
        <v>5.48</v>
      </c>
      <c r="Y5">
        <v>0.72</v>
      </c>
      <c r="Z5">
        <v>0.04</v>
      </c>
      <c r="AA5">
        <v>6.24</v>
      </c>
      <c r="AB5" t="s">
        <v>54</v>
      </c>
      <c r="AC5" t="s">
        <v>71</v>
      </c>
      <c r="AD5" t="s">
        <v>48</v>
      </c>
      <c r="AE5">
        <v>0</v>
      </c>
      <c r="AF5">
        <v>2.04</v>
      </c>
      <c r="AG5" t="s">
        <v>59</v>
      </c>
      <c r="AH5">
        <v>895279</v>
      </c>
      <c r="AI5" t="s">
        <v>60</v>
      </c>
      <c r="AJ5" t="s">
        <v>60</v>
      </c>
      <c r="AK5" t="s">
        <v>54</v>
      </c>
      <c r="AL5">
        <v>2024</v>
      </c>
      <c r="AM5" s="6" t="s">
        <v>72</v>
      </c>
      <c r="AN5" s="7">
        <v>5.48</v>
      </c>
      <c r="AO5" s="8">
        <f t="shared" si="0"/>
        <v>10.275</v>
      </c>
      <c r="AP5" s="8">
        <f t="shared" si="1"/>
        <v>11.415525000000001</v>
      </c>
      <c r="AQ5" s="9">
        <f t="shared" si="2"/>
        <v>16.644472499999999</v>
      </c>
    </row>
    <row r="6" spans="1:43" x14ac:dyDescent="0.25">
      <c r="A6">
        <v>3</v>
      </c>
      <c r="B6">
        <v>4</v>
      </c>
      <c r="C6">
        <v>2024</v>
      </c>
      <c r="D6" t="s">
        <v>43</v>
      </c>
      <c r="E6" t="s">
        <v>73</v>
      </c>
      <c r="F6" t="s">
        <v>74</v>
      </c>
      <c r="G6">
        <v>2</v>
      </c>
      <c r="H6">
        <v>1791882490001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>
        <v>3917329900</v>
      </c>
      <c r="P6" t="s">
        <v>66</v>
      </c>
      <c r="Q6" t="s">
        <v>67</v>
      </c>
      <c r="R6" t="s">
        <v>54</v>
      </c>
      <c r="S6" t="s">
        <v>55</v>
      </c>
      <c r="T6">
        <v>6</v>
      </c>
      <c r="U6">
        <v>10</v>
      </c>
      <c r="V6" t="s">
        <v>56</v>
      </c>
      <c r="W6">
        <v>0</v>
      </c>
      <c r="X6">
        <v>55.83</v>
      </c>
      <c r="Y6">
        <v>6.52</v>
      </c>
      <c r="Z6">
        <v>0.37</v>
      </c>
      <c r="AA6">
        <v>62.71</v>
      </c>
      <c r="AB6" t="s">
        <v>57</v>
      </c>
      <c r="AC6" t="s">
        <v>58</v>
      </c>
      <c r="AD6" t="s">
        <v>48</v>
      </c>
      <c r="AE6">
        <v>0</v>
      </c>
      <c r="AF6">
        <v>13.33</v>
      </c>
      <c r="AG6" t="s">
        <v>59</v>
      </c>
      <c r="AH6">
        <v>438183</v>
      </c>
      <c r="AI6" t="s">
        <v>60</v>
      </c>
      <c r="AJ6" t="s">
        <v>60</v>
      </c>
      <c r="AK6" t="s">
        <v>54</v>
      </c>
      <c r="AL6">
        <v>2024</v>
      </c>
      <c r="AM6" s="6" t="s">
        <v>72</v>
      </c>
      <c r="AN6" s="7">
        <v>5.58</v>
      </c>
      <c r="AO6" s="8">
        <f t="shared" si="0"/>
        <v>10.4625</v>
      </c>
      <c r="AP6" s="8">
        <f t="shared" si="1"/>
        <v>11.6238375</v>
      </c>
      <c r="AQ6" s="9">
        <f t="shared" si="2"/>
        <v>16.948203750000001</v>
      </c>
    </row>
    <row r="7" spans="1:43" x14ac:dyDescent="0.25">
      <c r="A7">
        <v>8</v>
      </c>
      <c r="B7">
        <v>7</v>
      </c>
      <c r="C7">
        <v>2024</v>
      </c>
      <c r="D7" t="s">
        <v>43</v>
      </c>
      <c r="E7" t="s">
        <v>75</v>
      </c>
      <c r="F7" t="s">
        <v>76</v>
      </c>
      <c r="G7">
        <v>1</v>
      </c>
      <c r="H7">
        <v>1791882490001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>
        <v>7307990099</v>
      </c>
      <c r="P7" t="s">
        <v>66</v>
      </c>
      <c r="Q7" t="s">
        <v>53</v>
      </c>
      <c r="R7" t="s">
        <v>54</v>
      </c>
      <c r="S7" t="s">
        <v>55</v>
      </c>
      <c r="T7">
        <v>8</v>
      </c>
      <c r="U7">
        <v>1</v>
      </c>
      <c r="V7" t="s">
        <v>56</v>
      </c>
      <c r="W7">
        <v>0</v>
      </c>
      <c r="X7">
        <v>5.63</v>
      </c>
      <c r="Y7">
        <v>0.47</v>
      </c>
      <c r="Z7">
        <v>0.04</v>
      </c>
      <c r="AA7">
        <v>6.14</v>
      </c>
      <c r="AB7" t="s">
        <v>57</v>
      </c>
      <c r="AC7" t="s">
        <v>77</v>
      </c>
      <c r="AD7" t="s">
        <v>48</v>
      </c>
      <c r="AE7">
        <v>0</v>
      </c>
      <c r="AF7">
        <v>0.04</v>
      </c>
      <c r="AG7" t="s">
        <v>59</v>
      </c>
      <c r="AH7">
        <v>107711</v>
      </c>
      <c r="AI7" t="s">
        <v>60</v>
      </c>
      <c r="AJ7" t="s">
        <v>78</v>
      </c>
      <c r="AK7" t="s">
        <v>54</v>
      </c>
      <c r="AL7">
        <v>2024</v>
      </c>
      <c r="AM7" s="6" t="s">
        <v>72</v>
      </c>
      <c r="AN7" s="7">
        <v>5.63</v>
      </c>
      <c r="AO7" s="8">
        <f t="shared" si="0"/>
        <v>10.55625</v>
      </c>
      <c r="AP7" s="8">
        <f t="shared" si="1"/>
        <v>11.72799375</v>
      </c>
      <c r="AQ7" s="9">
        <f t="shared" si="2"/>
        <v>17.100069375</v>
      </c>
    </row>
    <row r="8" spans="1:43" x14ac:dyDescent="0.25">
      <c r="A8">
        <v>8</v>
      </c>
      <c r="B8">
        <v>7</v>
      </c>
      <c r="C8">
        <v>2024</v>
      </c>
      <c r="D8" t="s">
        <v>43</v>
      </c>
      <c r="E8" t="s">
        <v>75</v>
      </c>
      <c r="F8" t="s">
        <v>76</v>
      </c>
      <c r="G8">
        <v>1</v>
      </c>
      <c r="H8">
        <v>1791882490001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>
        <v>7307990099</v>
      </c>
      <c r="P8" t="s">
        <v>66</v>
      </c>
      <c r="Q8" t="s">
        <v>53</v>
      </c>
      <c r="R8" t="s">
        <v>54</v>
      </c>
      <c r="S8" t="s">
        <v>55</v>
      </c>
      <c r="T8">
        <v>8</v>
      </c>
      <c r="U8">
        <v>1</v>
      </c>
      <c r="V8" t="s">
        <v>56</v>
      </c>
      <c r="W8">
        <v>0</v>
      </c>
      <c r="X8">
        <v>5.63</v>
      </c>
      <c r="Y8">
        <v>0.47</v>
      </c>
      <c r="Z8">
        <v>0.04</v>
      </c>
      <c r="AA8">
        <v>6.14</v>
      </c>
      <c r="AB8" t="s">
        <v>57</v>
      </c>
      <c r="AC8" t="s">
        <v>77</v>
      </c>
      <c r="AD8" t="s">
        <v>48</v>
      </c>
      <c r="AE8">
        <v>0</v>
      </c>
      <c r="AF8">
        <v>0.04</v>
      </c>
      <c r="AG8" t="s">
        <v>59</v>
      </c>
      <c r="AH8">
        <v>107711</v>
      </c>
      <c r="AI8" t="s">
        <v>60</v>
      </c>
      <c r="AJ8" t="s">
        <v>78</v>
      </c>
      <c r="AK8" t="s">
        <v>54</v>
      </c>
      <c r="AL8">
        <v>2024</v>
      </c>
      <c r="AM8" s="6" t="s">
        <v>72</v>
      </c>
      <c r="AN8" s="7">
        <v>5.63</v>
      </c>
      <c r="AO8" s="8">
        <f t="shared" si="0"/>
        <v>10.55625</v>
      </c>
      <c r="AP8" s="8">
        <f t="shared" si="1"/>
        <v>11.72799375</v>
      </c>
      <c r="AQ8" s="9">
        <f t="shared" si="2"/>
        <v>17.100069375</v>
      </c>
    </row>
    <row r="9" spans="1:43" x14ac:dyDescent="0.25">
      <c r="A9">
        <v>17</v>
      </c>
      <c r="B9">
        <v>5</v>
      </c>
      <c r="C9">
        <v>2024</v>
      </c>
      <c r="D9" t="s">
        <v>43</v>
      </c>
      <c r="E9" t="s">
        <v>79</v>
      </c>
      <c r="F9" t="s">
        <v>80</v>
      </c>
      <c r="G9">
        <v>1</v>
      </c>
      <c r="H9">
        <v>1791882490001</v>
      </c>
      <c r="I9" t="s">
        <v>46</v>
      </c>
      <c r="J9" t="s">
        <v>65</v>
      </c>
      <c r="K9" t="s">
        <v>48</v>
      </c>
      <c r="L9" t="s">
        <v>49</v>
      </c>
      <c r="M9" t="s">
        <v>50</v>
      </c>
      <c r="N9" t="s">
        <v>51</v>
      </c>
      <c r="O9">
        <v>3917329900</v>
      </c>
      <c r="P9" t="s">
        <v>66</v>
      </c>
      <c r="Q9" t="s">
        <v>53</v>
      </c>
      <c r="R9" t="s">
        <v>54</v>
      </c>
      <c r="S9" t="s">
        <v>55</v>
      </c>
      <c r="T9">
        <v>6</v>
      </c>
      <c r="U9">
        <v>5</v>
      </c>
      <c r="V9" t="s">
        <v>56</v>
      </c>
      <c r="W9">
        <v>0</v>
      </c>
      <c r="X9">
        <v>31</v>
      </c>
      <c r="Y9">
        <v>2.99</v>
      </c>
      <c r="Z9">
        <v>0.21</v>
      </c>
      <c r="AA9">
        <v>34.200000000000003</v>
      </c>
      <c r="AB9" t="s">
        <v>57</v>
      </c>
      <c r="AC9" t="s">
        <v>81</v>
      </c>
      <c r="AD9" t="s">
        <v>48</v>
      </c>
      <c r="AE9">
        <v>0</v>
      </c>
      <c r="AF9">
        <v>5.41</v>
      </c>
      <c r="AG9" t="s">
        <v>82</v>
      </c>
      <c r="AH9">
        <v>471463</v>
      </c>
      <c r="AI9" t="s">
        <v>60</v>
      </c>
      <c r="AJ9" t="s">
        <v>60</v>
      </c>
      <c r="AK9" t="s">
        <v>54</v>
      </c>
      <c r="AL9">
        <v>2024</v>
      </c>
      <c r="AM9" s="6" t="s">
        <v>83</v>
      </c>
      <c r="AN9" s="7">
        <v>6.2</v>
      </c>
      <c r="AO9" s="8">
        <f t="shared" si="0"/>
        <v>11.625</v>
      </c>
      <c r="AP9" s="8">
        <f t="shared" si="1"/>
        <v>12.915374999999999</v>
      </c>
      <c r="AQ9" s="9">
        <f t="shared" si="2"/>
        <v>18.8313375</v>
      </c>
    </row>
    <row r="10" spans="1:43" x14ac:dyDescent="0.25">
      <c r="A10">
        <v>19</v>
      </c>
      <c r="B10">
        <v>8</v>
      </c>
      <c r="C10">
        <v>2024</v>
      </c>
      <c r="D10" t="s">
        <v>43</v>
      </c>
      <c r="E10" t="s">
        <v>84</v>
      </c>
      <c r="F10" t="s">
        <v>85</v>
      </c>
      <c r="G10">
        <v>1</v>
      </c>
      <c r="H10">
        <v>1791882490001</v>
      </c>
      <c r="I10" t="s">
        <v>46</v>
      </c>
      <c r="J10" t="s">
        <v>65</v>
      </c>
      <c r="K10" t="s">
        <v>48</v>
      </c>
      <c r="L10" t="s">
        <v>49</v>
      </c>
      <c r="M10" t="s">
        <v>50</v>
      </c>
      <c r="N10" t="s">
        <v>51</v>
      </c>
      <c r="O10">
        <v>3917329900</v>
      </c>
      <c r="P10" t="s">
        <v>66</v>
      </c>
      <c r="Q10" t="s">
        <v>53</v>
      </c>
      <c r="R10" t="s">
        <v>54</v>
      </c>
      <c r="S10" t="s">
        <v>55</v>
      </c>
      <c r="T10">
        <v>6</v>
      </c>
      <c r="U10">
        <v>10</v>
      </c>
      <c r="V10" t="s">
        <v>56</v>
      </c>
      <c r="W10">
        <v>0</v>
      </c>
      <c r="X10">
        <v>61.94</v>
      </c>
      <c r="Y10">
        <v>7.99</v>
      </c>
      <c r="Z10">
        <v>0.42</v>
      </c>
      <c r="AA10">
        <v>70.36</v>
      </c>
      <c r="AB10" t="s">
        <v>57</v>
      </c>
      <c r="AC10" t="s">
        <v>58</v>
      </c>
      <c r="AD10" t="s">
        <v>48</v>
      </c>
      <c r="AE10">
        <v>0</v>
      </c>
      <c r="AF10">
        <v>13.95</v>
      </c>
      <c r="AG10" t="s">
        <v>59</v>
      </c>
      <c r="AH10">
        <v>144527</v>
      </c>
      <c r="AI10" t="s">
        <v>60</v>
      </c>
      <c r="AJ10" t="s">
        <v>60</v>
      </c>
      <c r="AK10" t="s">
        <v>54</v>
      </c>
      <c r="AL10">
        <v>2024</v>
      </c>
      <c r="AM10" s="6" t="s">
        <v>83</v>
      </c>
      <c r="AN10" s="7">
        <v>6.19</v>
      </c>
      <c r="AO10" s="8">
        <f t="shared" si="0"/>
        <v>11.606250000000001</v>
      </c>
      <c r="AP10" s="8">
        <f t="shared" si="1"/>
        <v>12.89454375</v>
      </c>
      <c r="AQ10" s="9">
        <f t="shared" si="2"/>
        <v>18.800964375</v>
      </c>
    </row>
    <row r="11" spans="1:43" x14ac:dyDescent="0.25">
      <c r="A11">
        <v>17</v>
      </c>
      <c r="B11">
        <v>5</v>
      </c>
      <c r="C11">
        <v>2024</v>
      </c>
      <c r="D11" t="s">
        <v>43</v>
      </c>
      <c r="E11" t="s">
        <v>79</v>
      </c>
      <c r="F11" t="s">
        <v>80</v>
      </c>
      <c r="G11">
        <v>2</v>
      </c>
      <c r="H11">
        <v>1791882490001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>
        <v>3917329900</v>
      </c>
      <c r="P11" t="s">
        <v>66</v>
      </c>
      <c r="Q11" t="s">
        <v>53</v>
      </c>
      <c r="R11" t="s">
        <v>54</v>
      </c>
      <c r="S11" t="s">
        <v>55</v>
      </c>
      <c r="T11">
        <v>6</v>
      </c>
      <c r="U11">
        <v>5</v>
      </c>
      <c r="V11" t="s">
        <v>56</v>
      </c>
      <c r="W11">
        <v>0</v>
      </c>
      <c r="X11">
        <v>28.19</v>
      </c>
      <c r="Y11">
        <v>2.72</v>
      </c>
      <c r="Z11">
        <v>0.19</v>
      </c>
      <c r="AA11">
        <v>31.1</v>
      </c>
      <c r="AB11" t="s">
        <v>57</v>
      </c>
      <c r="AC11" t="s">
        <v>81</v>
      </c>
      <c r="AD11" t="s">
        <v>48</v>
      </c>
      <c r="AE11">
        <v>0</v>
      </c>
      <c r="AF11">
        <v>5.41</v>
      </c>
      <c r="AG11" t="s">
        <v>82</v>
      </c>
      <c r="AH11">
        <v>471463</v>
      </c>
      <c r="AI11" t="s">
        <v>60</v>
      </c>
      <c r="AJ11" t="s">
        <v>60</v>
      </c>
      <c r="AK11" t="s">
        <v>54</v>
      </c>
      <c r="AL11">
        <v>2024</v>
      </c>
      <c r="AM11" s="6" t="s">
        <v>86</v>
      </c>
      <c r="AN11" s="7">
        <v>5.64</v>
      </c>
      <c r="AO11" s="8">
        <f t="shared" si="0"/>
        <v>10.574999999999999</v>
      </c>
      <c r="AP11" s="8">
        <f t="shared" si="1"/>
        <v>11.748824999999998</v>
      </c>
      <c r="AQ11" s="9">
        <f t="shared" si="2"/>
        <v>17.130442499999997</v>
      </c>
    </row>
    <row r="12" spans="1:43" x14ac:dyDescent="0.25">
      <c r="A12">
        <v>19</v>
      </c>
      <c r="B12">
        <v>8</v>
      </c>
      <c r="C12">
        <v>2024</v>
      </c>
      <c r="D12" t="s">
        <v>43</v>
      </c>
      <c r="E12" t="s">
        <v>84</v>
      </c>
      <c r="F12" t="s">
        <v>85</v>
      </c>
      <c r="G12">
        <v>2</v>
      </c>
      <c r="H12">
        <v>1791882490001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>
        <v>3917329900</v>
      </c>
      <c r="P12" t="s">
        <v>66</v>
      </c>
      <c r="Q12" t="s">
        <v>53</v>
      </c>
      <c r="R12" t="s">
        <v>54</v>
      </c>
      <c r="S12" t="s">
        <v>55</v>
      </c>
      <c r="T12">
        <v>6</v>
      </c>
      <c r="U12">
        <v>10</v>
      </c>
      <c r="V12" t="s">
        <v>56</v>
      </c>
      <c r="W12">
        <v>0</v>
      </c>
      <c r="X12">
        <v>56.33</v>
      </c>
      <c r="Y12">
        <v>7.27</v>
      </c>
      <c r="Z12">
        <v>0.38</v>
      </c>
      <c r="AA12">
        <v>63.98</v>
      </c>
      <c r="AB12" t="s">
        <v>57</v>
      </c>
      <c r="AC12" t="s">
        <v>58</v>
      </c>
      <c r="AD12" t="s">
        <v>48</v>
      </c>
      <c r="AE12">
        <v>0</v>
      </c>
      <c r="AF12">
        <v>13.95</v>
      </c>
      <c r="AG12" t="s">
        <v>59</v>
      </c>
      <c r="AH12">
        <v>144527</v>
      </c>
      <c r="AI12" t="s">
        <v>60</v>
      </c>
      <c r="AJ12" t="s">
        <v>60</v>
      </c>
      <c r="AK12" t="s">
        <v>54</v>
      </c>
      <c r="AL12">
        <v>2024</v>
      </c>
      <c r="AM12" s="6" t="s">
        <v>86</v>
      </c>
      <c r="AN12" s="7">
        <v>5.63</v>
      </c>
      <c r="AO12" s="8">
        <f t="shared" si="0"/>
        <v>10.55625</v>
      </c>
      <c r="AP12" s="8">
        <f t="shared" si="1"/>
        <v>11.72799375</v>
      </c>
      <c r="AQ12" s="9">
        <f t="shared" si="2"/>
        <v>17.100069375</v>
      </c>
    </row>
    <row r="13" spans="1:43" x14ac:dyDescent="0.25">
      <c r="A13">
        <v>3</v>
      </c>
      <c r="B13">
        <v>4</v>
      </c>
      <c r="C13">
        <v>2024</v>
      </c>
      <c r="D13" t="s">
        <v>43</v>
      </c>
      <c r="E13" t="s">
        <v>73</v>
      </c>
      <c r="F13" t="s">
        <v>74</v>
      </c>
      <c r="G13">
        <v>1</v>
      </c>
      <c r="H13">
        <v>1791882490001</v>
      </c>
      <c r="I13" t="s">
        <v>46</v>
      </c>
      <c r="J13" t="s">
        <v>65</v>
      </c>
      <c r="K13" t="s">
        <v>48</v>
      </c>
      <c r="L13" t="s">
        <v>49</v>
      </c>
      <c r="M13" t="s">
        <v>50</v>
      </c>
      <c r="N13" t="s">
        <v>51</v>
      </c>
      <c r="O13">
        <v>3917329900</v>
      </c>
      <c r="P13" t="s">
        <v>66</v>
      </c>
      <c r="Q13" t="s">
        <v>67</v>
      </c>
      <c r="R13" t="s">
        <v>54</v>
      </c>
      <c r="S13" t="s">
        <v>55</v>
      </c>
      <c r="T13">
        <v>6</v>
      </c>
      <c r="U13">
        <v>10</v>
      </c>
      <c r="V13" t="s">
        <v>56</v>
      </c>
      <c r="W13">
        <v>0</v>
      </c>
      <c r="X13">
        <v>124.69</v>
      </c>
      <c r="Y13">
        <v>14.56</v>
      </c>
      <c r="Z13">
        <v>0.82</v>
      </c>
      <c r="AA13">
        <v>140.07</v>
      </c>
      <c r="AB13" t="s">
        <v>57</v>
      </c>
      <c r="AC13" t="s">
        <v>58</v>
      </c>
      <c r="AD13" t="s">
        <v>48</v>
      </c>
      <c r="AE13">
        <v>0</v>
      </c>
      <c r="AF13">
        <v>13.33</v>
      </c>
      <c r="AG13" t="s">
        <v>59</v>
      </c>
      <c r="AH13">
        <v>438183</v>
      </c>
      <c r="AI13" t="s">
        <v>60</v>
      </c>
      <c r="AJ13" t="s">
        <v>60</v>
      </c>
      <c r="AK13" t="s">
        <v>54</v>
      </c>
      <c r="AL13">
        <v>2024</v>
      </c>
      <c r="AM13" s="6" t="s">
        <v>87</v>
      </c>
      <c r="AN13" s="7">
        <v>12.47</v>
      </c>
      <c r="AO13" s="8">
        <f t="shared" si="0"/>
        <v>23.381250000000001</v>
      </c>
      <c r="AP13" s="8">
        <f t="shared" si="1"/>
        <v>25.976568750000002</v>
      </c>
      <c r="AQ13" s="9">
        <f t="shared" si="2"/>
        <v>37.875286875</v>
      </c>
    </row>
    <row r="14" spans="1:43" x14ac:dyDescent="0.25">
      <c r="A14">
        <v>15</v>
      </c>
      <c r="B14">
        <v>4</v>
      </c>
      <c r="C14">
        <v>2024</v>
      </c>
      <c r="D14" t="s">
        <v>43</v>
      </c>
      <c r="E14" t="s">
        <v>63</v>
      </c>
      <c r="F14" t="s">
        <v>64</v>
      </c>
      <c r="G14">
        <v>2</v>
      </c>
      <c r="H14">
        <v>1791882490001</v>
      </c>
      <c r="I14" t="s">
        <v>46</v>
      </c>
      <c r="J14" t="s">
        <v>48</v>
      </c>
      <c r="K14" t="s">
        <v>48</v>
      </c>
      <c r="L14" t="s">
        <v>49</v>
      </c>
      <c r="M14" t="s">
        <v>50</v>
      </c>
      <c r="N14" t="s">
        <v>51</v>
      </c>
      <c r="O14">
        <v>7318159000</v>
      </c>
      <c r="P14" t="s">
        <v>88</v>
      </c>
      <c r="Q14" t="s">
        <v>89</v>
      </c>
      <c r="R14" t="s">
        <v>54</v>
      </c>
      <c r="S14" t="s">
        <v>55</v>
      </c>
      <c r="T14">
        <v>6</v>
      </c>
      <c r="U14">
        <v>2</v>
      </c>
      <c r="V14" t="s">
        <v>56</v>
      </c>
      <c r="W14">
        <v>0.01</v>
      </c>
      <c r="X14">
        <v>0.22</v>
      </c>
      <c r="Y14">
        <v>0.02</v>
      </c>
      <c r="Z14">
        <v>0</v>
      </c>
      <c r="AA14">
        <v>0.25</v>
      </c>
      <c r="AB14" t="s">
        <v>57</v>
      </c>
      <c r="AC14" t="s">
        <v>58</v>
      </c>
      <c r="AD14" t="s">
        <v>48</v>
      </c>
      <c r="AE14">
        <v>0</v>
      </c>
      <c r="AF14">
        <v>0</v>
      </c>
      <c r="AG14" t="s">
        <v>59</v>
      </c>
      <c r="AH14">
        <v>443965</v>
      </c>
      <c r="AI14" t="s">
        <v>60</v>
      </c>
      <c r="AJ14" t="s">
        <v>60</v>
      </c>
      <c r="AK14" t="s">
        <v>54</v>
      </c>
      <c r="AL14">
        <v>2024</v>
      </c>
      <c r="AM14" s="6" t="s">
        <v>90</v>
      </c>
      <c r="AN14" s="7">
        <v>0.11</v>
      </c>
      <c r="AO14" s="8">
        <f t="shared" si="0"/>
        <v>0.20624999999999999</v>
      </c>
      <c r="AP14" s="8">
        <f t="shared" si="1"/>
        <v>0.22914374999999998</v>
      </c>
      <c r="AQ14" s="9">
        <f t="shared" si="2"/>
        <v>0.33410437499999995</v>
      </c>
    </row>
    <row r="15" spans="1:43" x14ac:dyDescent="0.25">
      <c r="A15">
        <v>28</v>
      </c>
      <c r="B15">
        <v>8</v>
      </c>
      <c r="C15">
        <v>2024</v>
      </c>
      <c r="D15" t="s">
        <v>43</v>
      </c>
      <c r="E15" t="s">
        <v>91</v>
      </c>
      <c r="F15" t="s">
        <v>92</v>
      </c>
      <c r="G15">
        <v>1</v>
      </c>
      <c r="H15">
        <v>1791882490001</v>
      </c>
      <c r="I15" t="s">
        <v>46</v>
      </c>
      <c r="J15" t="s">
        <v>93</v>
      </c>
      <c r="K15" t="s">
        <v>48</v>
      </c>
      <c r="L15" t="s">
        <v>49</v>
      </c>
      <c r="M15" t="s">
        <v>50</v>
      </c>
      <c r="N15" t="s">
        <v>51</v>
      </c>
      <c r="O15">
        <v>7318159000</v>
      </c>
      <c r="P15" t="s">
        <v>88</v>
      </c>
      <c r="Q15" t="s">
        <v>89</v>
      </c>
      <c r="R15" t="s">
        <v>54</v>
      </c>
      <c r="S15" t="s">
        <v>55</v>
      </c>
      <c r="T15">
        <v>8</v>
      </c>
      <c r="U15">
        <v>4</v>
      </c>
      <c r="V15" t="s">
        <v>56</v>
      </c>
      <c r="W15">
        <v>0.22</v>
      </c>
      <c r="X15">
        <v>1.3</v>
      </c>
      <c r="Y15">
        <v>0.14000000000000001</v>
      </c>
      <c r="Z15">
        <v>0.01</v>
      </c>
      <c r="AA15">
        <v>1.46</v>
      </c>
      <c r="AB15" t="s">
        <v>57</v>
      </c>
      <c r="AC15" t="s">
        <v>94</v>
      </c>
      <c r="AD15" t="s">
        <v>48</v>
      </c>
      <c r="AE15">
        <v>0</v>
      </c>
      <c r="AF15">
        <v>0.01</v>
      </c>
      <c r="AG15" t="s">
        <v>59</v>
      </c>
      <c r="AH15">
        <v>150511</v>
      </c>
      <c r="AI15" t="s">
        <v>60</v>
      </c>
      <c r="AJ15" t="s">
        <v>60</v>
      </c>
      <c r="AK15" t="s">
        <v>54</v>
      </c>
      <c r="AL15">
        <v>2024</v>
      </c>
      <c r="AM15" s="6" t="s">
        <v>95</v>
      </c>
      <c r="AN15" s="7">
        <v>0.33</v>
      </c>
      <c r="AO15" s="8">
        <f t="shared" si="0"/>
        <v>0.61875000000000002</v>
      </c>
      <c r="AP15" s="8">
        <f t="shared" si="1"/>
        <v>0.68743125000000005</v>
      </c>
      <c r="AQ15" s="9">
        <f t="shared" si="2"/>
        <v>1.0023131249999999</v>
      </c>
    </row>
    <row r="16" spans="1:43" x14ac:dyDescent="0.25">
      <c r="A16">
        <v>12</v>
      </c>
      <c r="B16">
        <v>6</v>
      </c>
      <c r="C16">
        <v>2024</v>
      </c>
      <c r="D16" t="s">
        <v>43</v>
      </c>
      <c r="E16" t="s">
        <v>96</v>
      </c>
      <c r="F16" t="s">
        <v>97</v>
      </c>
      <c r="G16">
        <v>1</v>
      </c>
      <c r="H16">
        <v>1791882490001</v>
      </c>
      <c r="I16" t="s">
        <v>46</v>
      </c>
      <c r="J16" t="s">
        <v>48</v>
      </c>
      <c r="K16" t="s">
        <v>48</v>
      </c>
      <c r="L16" t="s">
        <v>49</v>
      </c>
      <c r="M16" t="s">
        <v>50</v>
      </c>
      <c r="N16" t="s">
        <v>51</v>
      </c>
      <c r="O16">
        <v>7318159000</v>
      </c>
      <c r="P16" t="s">
        <v>88</v>
      </c>
      <c r="Q16" t="s">
        <v>89</v>
      </c>
      <c r="R16" t="s">
        <v>54</v>
      </c>
      <c r="S16" t="s">
        <v>55</v>
      </c>
      <c r="T16">
        <v>7</v>
      </c>
      <c r="U16">
        <v>4</v>
      </c>
      <c r="V16" t="s">
        <v>56</v>
      </c>
      <c r="W16">
        <v>0.05</v>
      </c>
      <c r="X16">
        <v>1.19</v>
      </c>
      <c r="Y16">
        <v>0.1</v>
      </c>
      <c r="Z16">
        <v>0.01</v>
      </c>
      <c r="AA16">
        <v>1.31</v>
      </c>
      <c r="AB16" t="s">
        <v>57</v>
      </c>
      <c r="AC16" t="s">
        <v>94</v>
      </c>
      <c r="AD16" t="s">
        <v>48</v>
      </c>
      <c r="AE16">
        <v>0</v>
      </c>
      <c r="AF16">
        <v>7.2</v>
      </c>
      <c r="AG16" t="s">
        <v>59</v>
      </c>
      <c r="AH16" t="s">
        <v>98</v>
      </c>
      <c r="AI16" t="s">
        <v>60</v>
      </c>
      <c r="AJ16" t="s">
        <v>60</v>
      </c>
      <c r="AK16" t="s">
        <v>54</v>
      </c>
      <c r="AL16">
        <v>2024</v>
      </c>
      <c r="AM16" s="6" t="s">
        <v>99</v>
      </c>
      <c r="AN16" s="7">
        <v>0.3</v>
      </c>
      <c r="AO16" s="8">
        <f t="shared" si="0"/>
        <v>0.5625</v>
      </c>
      <c r="AP16" s="8">
        <f t="shared" si="1"/>
        <v>0.62493750000000003</v>
      </c>
      <c r="AQ16" s="9">
        <f t="shared" si="2"/>
        <v>0.91119374999999991</v>
      </c>
    </row>
    <row r="17" spans="1:43" x14ac:dyDescent="0.25">
      <c r="A17">
        <v>15</v>
      </c>
      <c r="B17">
        <v>4</v>
      </c>
      <c r="C17">
        <v>2024</v>
      </c>
      <c r="D17" t="s">
        <v>43</v>
      </c>
      <c r="E17" t="s">
        <v>63</v>
      </c>
      <c r="F17" t="s">
        <v>64</v>
      </c>
      <c r="G17">
        <v>3</v>
      </c>
      <c r="H17">
        <v>1791882490001</v>
      </c>
      <c r="I17" t="s">
        <v>46</v>
      </c>
      <c r="J17" t="s">
        <v>48</v>
      </c>
      <c r="K17" t="s">
        <v>48</v>
      </c>
      <c r="L17" t="s">
        <v>49</v>
      </c>
      <c r="M17" t="s">
        <v>50</v>
      </c>
      <c r="N17" t="s">
        <v>51</v>
      </c>
      <c r="O17">
        <v>7318159000</v>
      </c>
      <c r="P17" t="s">
        <v>88</v>
      </c>
      <c r="Q17" t="s">
        <v>89</v>
      </c>
      <c r="R17" t="s">
        <v>54</v>
      </c>
      <c r="S17" t="s">
        <v>55</v>
      </c>
      <c r="T17">
        <v>6</v>
      </c>
      <c r="U17">
        <v>3</v>
      </c>
      <c r="V17" t="s">
        <v>56</v>
      </c>
      <c r="W17">
        <v>0.08</v>
      </c>
      <c r="X17">
        <v>1.62</v>
      </c>
      <c r="Y17">
        <v>0.17</v>
      </c>
      <c r="Z17">
        <v>0.01</v>
      </c>
      <c r="AA17">
        <v>1.8</v>
      </c>
      <c r="AB17" t="s">
        <v>57</v>
      </c>
      <c r="AC17" t="s">
        <v>58</v>
      </c>
      <c r="AD17" t="s">
        <v>48</v>
      </c>
      <c r="AE17">
        <v>0</v>
      </c>
      <c r="AF17">
        <v>0.02</v>
      </c>
      <c r="AG17" t="s">
        <v>59</v>
      </c>
      <c r="AH17">
        <v>443965</v>
      </c>
      <c r="AI17" t="s">
        <v>60</v>
      </c>
      <c r="AJ17" t="s">
        <v>60</v>
      </c>
      <c r="AK17" t="s">
        <v>54</v>
      </c>
      <c r="AL17">
        <v>2024</v>
      </c>
      <c r="AM17" s="6" t="s">
        <v>100</v>
      </c>
      <c r="AN17" s="7">
        <v>0.54</v>
      </c>
      <c r="AO17" s="8">
        <f t="shared" si="0"/>
        <v>1.0125000000000002</v>
      </c>
      <c r="AP17" s="8">
        <f t="shared" si="1"/>
        <v>1.1248875000000003</v>
      </c>
      <c r="AQ17" s="9">
        <f t="shared" si="2"/>
        <v>1.6401487500000003</v>
      </c>
    </row>
    <row r="18" spans="1:43" x14ac:dyDescent="0.25">
      <c r="A18">
        <v>28</v>
      </c>
      <c r="B18">
        <v>8</v>
      </c>
      <c r="C18">
        <v>2024</v>
      </c>
      <c r="D18" t="s">
        <v>43</v>
      </c>
      <c r="E18" t="s">
        <v>91</v>
      </c>
      <c r="F18" t="s">
        <v>92</v>
      </c>
      <c r="G18">
        <v>2</v>
      </c>
      <c r="H18">
        <v>1791882490001</v>
      </c>
      <c r="I18" t="s">
        <v>46</v>
      </c>
      <c r="J18" t="s">
        <v>93</v>
      </c>
      <c r="K18" t="s">
        <v>48</v>
      </c>
      <c r="L18" t="s">
        <v>49</v>
      </c>
      <c r="M18" t="s">
        <v>50</v>
      </c>
      <c r="N18" t="s">
        <v>51</v>
      </c>
      <c r="O18">
        <v>7318159000</v>
      </c>
      <c r="P18" t="s">
        <v>88</v>
      </c>
      <c r="Q18" t="s">
        <v>89</v>
      </c>
      <c r="R18" t="s">
        <v>54</v>
      </c>
      <c r="S18" t="s">
        <v>55</v>
      </c>
      <c r="T18">
        <v>8</v>
      </c>
      <c r="U18">
        <v>5</v>
      </c>
      <c r="V18" t="s">
        <v>56</v>
      </c>
      <c r="W18">
        <v>0.21</v>
      </c>
      <c r="X18">
        <v>1.27</v>
      </c>
      <c r="Y18">
        <v>0.14000000000000001</v>
      </c>
      <c r="Z18">
        <v>0.01</v>
      </c>
      <c r="AA18">
        <v>1.42</v>
      </c>
      <c r="AB18" t="s">
        <v>57</v>
      </c>
      <c r="AC18" t="s">
        <v>94</v>
      </c>
      <c r="AD18" t="s">
        <v>48</v>
      </c>
      <c r="AE18">
        <v>0</v>
      </c>
      <c r="AF18">
        <v>0.01</v>
      </c>
      <c r="AG18" t="s">
        <v>59</v>
      </c>
      <c r="AH18">
        <v>150511</v>
      </c>
      <c r="AI18" t="s">
        <v>60</v>
      </c>
      <c r="AJ18" t="s">
        <v>60</v>
      </c>
      <c r="AK18" t="s">
        <v>54</v>
      </c>
      <c r="AL18">
        <v>2024</v>
      </c>
      <c r="AM18" s="6" t="s">
        <v>101</v>
      </c>
      <c r="AN18" s="7">
        <v>0.25</v>
      </c>
      <c r="AO18" s="8">
        <f t="shared" si="0"/>
        <v>0.46875</v>
      </c>
      <c r="AP18" s="8">
        <f t="shared" si="1"/>
        <v>0.52078124999999997</v>
      </c>
      <c r="AQ18" s="9">
        <f t="shared" si="2"/>
        <v>0.75932812499999991</v>
      </c>
    </row>
    <row r="19" spans="1:43" x14ac:dyDescent="0.25">
      <c r="A19">
        <v>12</v>
      </c>
      <c r="B19">
        <v>6</v>
      </c>
      <c r="C19">
        <v>2024</v>
      </c>
      <c r="D19" t="s">
        <v>43</v>
      </c>
      <c r="E19" t="s">
        <v>96</v>
      </c>
      <c r="F19" t="s">
        <v>97</v>
      </c>
      <c r="G19">
        <v>2</v>
      </c>
      <c r="H19">
        <v>1791882490001</v>
      </c>
      <c r="I19" t="s">
        <v>46</v>
      </c>
      <c r="J19" t="s">
        <v>48</v>
      </c>
      <c r="K19" t="s">
        <v>48</v>
      </c>
      <c r="L19" t="s">
        <v>49</v>
      </c>
      <c r="M19" t="s">
        <v>50</v>
      </c>
      <c r="N19" t="s">
        <v>51</v>
      </c>
      <c r="O19">
        <v>7318159000</v>
      </c>
      <c r="P19" t="s">
        <v>88</v>
      </c>
      <c r="Q19" t="s">
        <v>89</v>
      </c>
      <c r="R19" t="s">
        <v>54</v>
      </c>
      <c r="S19" t="s">
        <v>55</v>
      </c>
      <c r="T19">
        <v>7</v>
      </c>
      <c r="U19">
        <v>8</v>
      </c>
      <c r="V19" t="s">
        <v>56</v>
      </c>
      <c r="W19">
        <v>0.9</v>
      </c>
      <c r="X19">
        <v>19.68</v>
      </c>
      <c r="Y19">
        <v>1.71</v>
      </c>
      <c r="Z19">
        <v>0.13</v>
      </c>
      <c r="AA19">
        <v>21.52</v>
      </c>
      <c r="AB19" t="s">
        <v>57</v>
      </c>
      <c r="AC19" t="s">
        <v>94</v>
      </c>
      <c r="AD19" t="s">
        <v>48</v>
      </c>
      <c r="AE19">
        <v>0</v>
      </c>
      <c r="AF19">
        <v>14.4</v>
      </c>
      <c r="AG19" t="s">
        <v>59</v>
      </c>
      <c r="AH19" t="s">
        <v>98</v>
      </c>
      <c r="AI19" t="s">
        <v>60</v>
      </c>
      <c r="AJ19" t="s">
        <v>60</v>
      </c>
      <c r="AK19" t="s">
        <v>54</v>
      </c>
      <c r="AL19">
        <v>2024</v>
      </c>
      <c r="AM19" s="6" t="s">
        <v>102</v>
      </c>
      <c r="AN19" s="7">
        <v>2.46</v>
      </c>
      <c r="AO19" s="8">
        <f t="shared" si="0"/>
        <v>4.6124999999999998</v>
      </c>
      <c r="AP19" s="8">
        <f t="shared" si="1"/>
        <v>5.1244874999999999</v>
      </c>
      <c r="AQ19" s="9">
        <f t="shared" si="2"/>
        <v>7.4717887499999991</v>
      </c>
    </row>
    <row r="20" spans="1:43" x14ac:dyDescent="0.25">
      <c r="A20">
        <v>19</v>
      </c>
      <c r="B20">
        <v>8</v>
      </c>
      <c r="C20">
        <v>2024</v>
      </c>
      <c r="D20" t="s">
        <v>43</v>
      </c>
      <c r="E20" t="s">
        <v>84</v>
      </c>
      <c r="F20" t="s">
        <v>85</v>
      </c>
      <c r="G20">
        <v>3</v>
      </c>
      <c r="H20">
        <v>1791882490001</v>
      </c>
      <c r="I20" t="s">
        <v>46</v>
      </c>
      <c r="J20" t="s">
        <v>65</v>
      </c>
      <c r="K20" t="s">
        <v>48</v>
      </c>
      <c r="L20" t="s">
        <v>49</v>
      </c>
      <c r="M20" t="s">
        <v>50</v>
      </c>
      <c r="N20" t="s">
        <v>51</v>
      </c>
      <c r="O20">
        <v>7318160090</v>
      </c>
      <c r="P20" t="s">
        <v>103</v>
      </c>
      <c r="Q20" t="s">
        <v>104</v>
      </c>
      <c r="R20" t="s">
        <v>54</v>
      </c>
      <c r="S20" t="s">
        <v>55</v>
      </c>
      <c r="T20">
        <v>6</v>
      </c>
      <c r="U20">
        <v>1</v>
      </c>
      <c r="V20" t="s">
        <v>56</v>
      </c>
      <c r="W20">
        <v>0.03</v>
      </c>
      <c r="X20">
        <v>2.11</v>
      </c>
      <c r="Y20">
        <v>0.27</v>
      </c>
      <c r="Z20">
        <v>0.01</v>
      </c>
      <c r="AA20">
        <v>2.4</v>
      </c>
      <c r="AB20" t="s">
        <v>57</v>
      </c>
      <c r="AC20" t="s">
        <v>58</v>
      </c>
      <c r="AD20" t="s">
        <v>48</v>
      </c>
      <c r="AE20">
        <v>0</v>
      </c>
      <c r="AF20">
        <v>1.39</v>
      </c>
      <c r="AG20" t="s">
        <v>59</v>
      </c>
      <c r="AH20">
        <v>144527</v>
      </c>
      <c r="AI20" t="s">
        <v>60</v>
      </c>
      <c r="AJ20" t="s">
        <v>60</v>
      </c>
      <c r="AK20" t="s">
        <v>54</v>
      </c>
      <c r="AL20">
        <v>2024</v>
      </c>
      <c r="AM20" s="6" t="s">
        <v>105</v>
      </c>
      <c r="AN20" s="7">
        <v>2.11</v>
      </c>
      <c r="AO20" s="8">
        <f t="shared" si="0"/>
        <v>3.9562499999999998</v>
      </c>
      <c r="AP20" s="8">
        <f t="shared" si="1"/>
        <v>4.3953937499999993</v>
      </c>
      <c r="AQ20" s="9">
        <f t="shared" si="2"/>
        <v>6.4087293749999992</v>
      </c>
    </row>
    <row r="21" spans="1:43" x14ac:dyDescent="0.25">
      <c r="A21">
        <v>19</v>
      </c>
      <c r="B21">
        <v>8</v>
      </c>
      <c r="C21">
        <v>2024</v>
      </c>
      <c r="D21" t="s">
        <v>43</v>
      </c>
      <c r="E21" t="s">
        <v>84</v>
      </c>
      <c r="F21" t="s">
        <v>85</v>
      </c>
      <c r="G21">
        <v>4</v>
      </c>
      <c r="H21">
        <v>1791882490001</v>
      </c>
      <c r="I21" t="s">
        <v>46</v>
      </c>
      <c r="J21" t="s">
        <v>106</v>
      </c>
      <c r="K21" t="s">
        <v>48</v>
      </c>
      <c r="L21" t="s">
        <v>49</v>
      </c>
      <c r="M21" t="s">
        <v>50</v>
      </c>
      <c r="N21" t="s">
        <v>51</v>
      </c>
      <c r="O21">
        <v>7318160090</v>
      </c>
      <c r="P21" t="s">
        <v>103</v>
      </c>
      <c r="Q21" t="s">
        <v>104</v>
      </c>
      <c r="R21" t="s">
        <v>54</v>
      </c>
      <c r="S21" t="s">
        <v>55</v>
      </c>
      <c r="T21">
        <v>6</v>
      </c>
      <c r="U21">
        <v>1</v>
      </c>
      <c r="V21" t="s">
        <v>56</v>
      </c>
      <c r="W21">
        <v>0.04</v>
      </c>
      <c r="X21">
        <v>0.23</v>
      </c>
      <c r="Y21">
        <v>0.03</v>
      </c>
      <c r="Z21">
        <v>0</v>
      </c>
      <c r="AA21">
        <v>0.27</v>
      </c>
      <c r="AB21" t="s">
        <v>57</v>
      </c>
      <c r="AC21" t="s">
        <v>58</v>
      </c>
      <c r="AD21" t="s">
        <v>48</v>
      </c>
      <c r="AE21">
        <v>0</v>
      </c>
      <c r="AF21">
        <v>1.39</v>
      </c>
      <c r="AG21" t="s">
        <v>59</v>
      </c>
      <c r="AH21">
        <v>144527</v>
      </c>
      <c r="AI21" t="s">
        <v>60</v>
      </c>
      <c r="AJ21" t="s">
        <v>60</v>
      </c>
      <c r="AK21" t="s">
        <v>54</v>
      </c>
      <c r="AL21">
        <v>2024</v>
      </c>
      <c r="AM21" s="6" t="s">
        <v>107</v>
      </c>
      <c r="AN21" s="7">
        <v>0.23</v>
      </c>
      <c r="AO21" s="8">
        <f t="shared" si="0"/>
        <v>0.43125000000000002</v>
      </c>
      <c r="AP21" s="8">
        <f t="shared" si="1"/>
        <v>0.47911875000000004</v>
      </c>
      <c r="AQ21" s="9">
        <f t="shared" si="2"/>
        <v>0.69858187500000002</v>
      </c>
    </row>
    <row r="22" spans="1:43" x14ac:dyDescent="0.25">
      <c r="A22">
        <v>12</v>
      </c>
      <c r="B22">
        <v>6</v>
      </c>
      <c r="C22">
        <v>2024</v>
      </c>
      <c r="D22" t="s">
        <v>43</v>
      </c>
      <c r="E22" t="s">
        <v>96</v>
      </c>
      <c r="F22" t="s">
        <v>97</v>
      </c>
      <c r="G22">
        <v>3</v>
      </c>
      <c r="H22">
        <v>1791882490001</v>
      </c>
      <c r="I22" t="s">
        <v>46</v>
      </c>
      <c r="J22" t="s">
        <v>48</v>
      </c>
      <c r="K22" t="s">
        <v>48</v>
      </c>
      <c r="L22" t="s">
        <v>49</v>
      </c>
      <c r="M22" t="s">
        <v>50</v>
      </c>
      <c r="N22" t="s">
        <v>51</v>
      </c>
      <c r="O22">
        <v>7318160090</v>
      </c>
      <c r="P22" t="s">
        <v>103</v>
      </c>
      <c r="Q22" t="s">
        <v>104</v>
      </c>
      <c r="R22" t="s">
        <v>54</v>
      </c>
      <c r="S22" t="s">
        <v>55</v>
      </c>
      <c r="T22">
        <v>7</v>
      </c>
      <c r="U22">
        <v>4</v>
      </c>
      <c r="V22" t="s">
        <v>56</v>
      </c>
      <c r="W22">
        <v>0.09</v>
      </c>
      <c r="X22">
        <v>5.64</v>
      </c>
      <c r="Y22">
        <v>0.49</v>
      </c>
      <c r="Z22">
        <v>0.04</v>
      </c>
      <c r="AA22">
        <v>6.17</v>
      </c>
      <c r="AB22" t="s">
        <v>57</v>
      </c>
      <c r="AC22" t="s">
        <v>94</v>
      </c>
      <c r="AD22" t="s">
        <v>48</v>
      </c>
      <c r="AE22">
        <v>0</v>
      </c>
      <c r="AF22">
        <v>7.2</v>
      </c>
      <c r="AG22" t="s">
        <v>59</v>
      </c>
      <c r="AH22" t="s">
        <v>98</v>
      </c>
      <c r="AI22" t="s">
        <v>60</v>
      </c>
      <c r="AJ22" t="s">
        <v>60</v>
      </c>
      <c r="AK22" t="s">
        <v>54</v>
      </c>
      <c r="AL22">
        <v>2024</v>
      </c>
      <c r="AM22" s="6" t="s">
        <v>108</v>
      </c>
      <c r="AN22" s="7">
        <v>1.41</v>
      </c>
      <c r="AO22" s="8">
        <f t="shared" si="0"/>
        <v>2.6437499999999998</v>
      </c>
      <c r="AP22" s="8">
        <f t="shared" si="1"/>
        <v>2.9372062499999996</v>
      </c>
      <c r="AQ22" s="9">
        <f t="shared" si="2"/>
        <v>4.2826106249999993</v>
      </c>
    </row>
    <row r="23" spans="1:43" x14ac:dyDescent="0.25">
      <c r="A23">
        <v>15</v>
      </c>
      <c r="B23">
        <v>4</v>
      </c>
      <c r="C23">
        <v>2024</v>
      </c>
      <c r="D23" t="s">
        <v>43</v>
      </c>
      <c r="E23" t="s">
        <v>63</v>
      </c>
      <c r="F23" t="s">
        <v>64</v>
      </c>
      <c r="G23">
        <v>4</v>
      </c>
      <c r="H23">
        <v>1791882490001</v>
      </c>
      <c r="I23" t="s">
        <v>46</v>
      </c>
      <c r="J23" t="s">
        <v>48</v>
      </c>
      <c r="K23" t="s">
        <v>48</v>
      </c>
      <c r="L23" t="s">
        <v>49</v>
      </c>
      <c r="M23" t="s">
        <v>50</v>
      </c>
      <c r="N23" t="s">
        <v>51</v>
      </c>
      <c r="O23">
        <v>7318220000</v>
      </c>
      <c r="P23" t="s">
        <v>109</v>
      </c>
      <c r="Q23" t="s">
        <v>110</v>
      </c>
      <c r="R23" t="s">
        <v>54</v>
      </c>
      <c r="S23" t="s">
        <v>55</v>
      </c>
      <c r="T23">
        <v>6</v>
      </c>
      <c r="U23">
        <v>2</v>
      </c>
      <c r="V23" t="s">
        <v>56</v>
      </c>
      <c r="W23">
        <v>0.01</v>
      </c>
      <c r="X23">
        <v>0.16</v>
      </c>
      <c r="Y23">
        <v>0.02</v>
      </c>
      <c r="Z23">
        <v>0</v>
      </c>
      <c r="AA23">
        <v>0.18</v>
      </c>
      <c r="AB23" t="s">
        <v>57</v>
      </c>
      <c r="AC23" t="s">
        <v>58</v>
      </c>
      <c r="AD23" t="s">
        <v>48</v>
      </c>
      <c r="AE23">
        <v>0</v>
      </c>
      <c r="AF23">
        <v>0</v>
      </c>
      <c r="AG23" t="s">
        <v>59</v>
      </c>
      <c r="AH23">
        <v>443965</v>
      </c>
      <c r="AI23" t="s">
        <v>60</v>
      </c>
      <c r="AJ23" t="s">
        <v>60</v>
      </c>
      <c r="AK23" t="s">
        <v>54</v>
      </c>
      <c r="AL23">
        <v>2024</v>
      </c>
      <c r="AM23" s="6" t="s">
        <v>111</v>
      </c>
      <c r="AN23" s="7">
        <v>0.08</v>
      </c>
      <c r="AO23" s="8">
        <f t="shared" si="0"/>
        <v>0.15</v>
      </c>
      <c r="AP23" s="8">
        <f t="shared" si="1"/>
        <v>0.16664999999999999</v>
      </c>
      <c r="AQ23" s="9">
        <f t="shared" si="2"/>
        <v>0.24298499999999998</v>
      </c>
    </row>
    <row r="24" spans="1:43" x14ac:dyDescent="0.25">
      <c r="A24">
        <v>15</v>
      </c>
      <c r="B24">
        <v>4</v>
      </c>
      <c r="C24">
        <v>2024</v>
      </c>
      <c r="D24" t="s">
        <v>43</v>
      </c>
      <c r="E24" t="s">
        <v>63</v>
      </c>
      <c r="F24" t="s">
        <v>64</v>
      </c>
      <c r="G24">
        <v>5</v>
      </c>
      <c r="H24">
        <v>1791882490001</v>
      </c>
      <c r="I24" t="s">
        <v>46</v>
      </c>
      <c r="J24" t="s">
        <v>48</v>
      </c>
      <c r="K24" t="s">
        <v>48</v>
      </c>
      <c r="L24" t="s">
        <v>49</v>
      </c>
      <c r="M24" t="s">
        <v>50</v>
      </c>
      <c r="N24" t="s">
        <v>51</v>
      </c>
      <c r="O24">
        <v>7318220000</v>
      </c>
      <c r="P24" t="s">
        <v>109</v>
      </c>
      <c r="Q24" t="s">
        <v>110</v>
      </c>
      <c r="R24" t="s">
        <v>54</v>
      </c>
      <c r="S24" t="s">
        <v>55</v>
      </c>
      <c r="T24">
        <v>6</v>
      </c>
      <c r="U24">
        <v>6</v>
      </c>
      <c r="V24" t="s">
        <v>56</v>
      </c>
      <c r="W24">
        <v>7.0000000000000007E-2</v>
      </c>
      <c r="X24">
        <v>1.41</v>
      </c>
      <c r="Y24">
        <v>0.15</v>
      </c>
      <c r="Z24">
        <v>0.01</v>
      </c>
      <c r="AA24">
        <v>1.57</v>
      </c>
      <c r="AB24" t="s">
        <v>57</v>
      </c>
      <c r="AC24" t="s">
        <v>58</v>
      </c>
      <c r="AD24" t="s">
        <v>48</v>
      </c>
      <c r="AE24">
        <v>0</v>
      </c>
      <c r="AF24">
        <v>0.01</v>
      </c>
      <c r="AG24" t="s">
        <v>59</v>
      </c>
      <c r="AH24">
        <v>443965</v>
      </c>
      <c r="AI24" t="s">
        <v>60</v>
      </c>
      <c r="AJ24" t="s">
        <v>60</v>
      </c>
      <c r="AK24" t="s">
        <v>54</v>
      </c>
      <c r="AL24">
        <v>2024</v>
      </c>
      <c r="AM24" s="6" t="s">
        <v>112</v>
      </c>
      <c r="AN24" s="7">
        <v>0.23</v>
      </c>
      <c r="AO24" s="8">
        <f t="shared" si="0"/>
        <v>0.43125000000000002</v>
      </c>
      <c r="AP24" s="8">
        <f t="shared" si="1"/>
        <v>0.47911875000000004</v>
      </c>
      <c r="AQ24" s="9">
        <f t="shared" si="2"/>
        <v>0.69858187500000002</v>
      </c>
    </row>
    <row r="25" spans="1:43" x14ac:dyDescent="0.25">
      <c r="A25">
        <v>28</v>
      </c>
      <c r="B25">
        <v>8</v>
      </c>
      <c r="C25">
        <v>2024</v>
      </c>
      <c r="D25" t="s">
        <v>43</v>
      </c>
      <c r="E25" t="s">
        <v>91</v>
      </c>
      <c r="F25" t="s">
        <v>92</v>
      </c>
      <c r="G25">
        <v>3</v>
      </c>
      <c r="H25">
        <v>1791882490001</v>
      </c>
      <c r="I25" t="s">
        <v>46</v>
      </c>
      <c r="J25" t="s">
        <v>48</v>
      </c>
      <c r="K25" t="s">
        <v>48</v>
      </c>
      <c r="L25" t="s">
        <v>49</v>
      </c>
      <c r="M25" t="s">
        <v>50</v>
      </c>
      <c r="N25" t="s">
        <v>51</v>
      </c>
      <c r="O25">
        <v>7318220000</v>
      </c>
      <c r="P25" t="s">
        <v>109</v>
      </c>
      <c r="Q25" t="s">
        <v>110</v>
      </c>
      <c r="R25" t="s">
        <v>54</v>
      </c>
      <c r="S25" t="s">
        <v>55</v>
      </c>
      <c r="T25">
        <v>8</v>
      </c>
      <c r="U25">
        <v>4</v>
      </c>
      <c r="V25" t="s">
        <v>56</v>
      </c>
      <c r="W25">
        <v>0.04</v>
      </c>
      <c r="X25">
        <v>0.94</v>
      </c>
      <c r="Y25">
        <v>0.1</v>
      </c>
      <c r="Z25">
        <v>0.01</v>
      </c>
      <c r="AA25">
        <v>1.05</v>
      </c>
      <c r="AB25" t="s">
        <v>57</v>
      </c>
      <c r="AC25" t="s">
        <v>94</v>
      </c>
      <c r="AD25" t="s">
        <v>48</v>
      </c>
      <c r="AE25">
        <v>0</v>
      </c>
      <c r="AF25">
        <v>0.01</v>
      </c>
      <c r="AG25" t="s">
        <v>59</v>
      </c>
      <c r="AH25">
        <v>150511</v>
      </c>
      <c r="AI25" t="s">
        <v>60</v>
      </c>
      <c r="AJ25" t="s">
        <v>60</v>
      </c>
      <c r="AK25" t="s">
        <v>54</v>
      </c>
      <c r="AL25">
        <v>2024</v>
      </c>
      <c r="AM25" s="6" t="s">
        <v>112</v>
      </c>
      <c r="AN25" s="7">
        <v>0.23</v>
      </c>
      <c r="AO25" s="8">
        <f t="shared" si="0"/>
        <v>0.43125000000000002</v>
      </c>
      <c r="AP25" s="8">
        <f t="shared" si="1"/>
        <v>0.47911875000000004</v>
      </c>
      <c r="AQ25" s="9">
        <f t="shared" si="2"/>
        <v>0.69858187500000002</v>
      </c>
    </row>
    <row r="26" spans="1:43" x14ac:dyDescent="0.25">
      <c r="A26">
        <v>28</v>
      </c>
      <c r="B26">
        <v>8</v>
      </c>
      <c r="C26">
        <v>2024</v>
      </c>
      <c r="D26" t="s">
        <v>43</v>
      </c>
      <c r="E26" t="s">
        <v>91</v>
      </c>
      <c r="F26" t="s">
        <v>92</v>
      </c>
      <c r="G26">
        <v>4</v>
      </c>
      <c r="H26">
        <v>1791882490001</v>
      </c>
      <c r="I26" t="s">
        <v>46</v>
      </c>
      <c r="J26" t="s">
        <v>48</v>
      </c>
      <c r="K26" t="s">
        <v>48</v>
      </c>
      <c r="L26" t="s">
        <v>49</v>
      </c>
      <c r="M26" t="s">
        <v>50</v>
      </c>
      <c r="N26" t="s">
        <v>51</v>
      </c>
      <c r="O26">
        <v>7318220000</v>
      </c>
      <c r="P26" t="s">
        <v>109</v>
      </c>
      <c r="Q26" t="s">
        <v>110</v>
      </c>
      <c r="R26" t="s">
        <v>54</v>
      </c>
      <c r="S26" t="s">
        <v>55</v>
      </c>
      <c r="T26">
        <v>8</v>
      </c>
      <c r="U26">
        <v>5</v>
      </c>
      <c r="V26" t="s">
        <v>56</v>
      </c>
      <c r="W26">
        <v>0.06</v>
      </c>
      <c r="X26">
        <v>1.27</v>
      </c>
      <c r="Y26">
        <v>0.14000000000000001</v>
      </c>
      <c r="Z26">
        <v>0.01</v>
      </c>
      <c r="AA26">
        <v>1.42</v>
      </c>
      <c r="AB26" t="s">
        <v>57</v>
      </c>
      <c r="AC26" t="s">
        <v>94</v>
      </c>
      <c r="AD26" t="s">
        <v>48</v>
      </c>
      <c r="AE26">
        <v>0</v>
      </c>
      <c r="AF26">
        <v>0.01</v>
      </c>
      <c r="AG26" t="s">
        <v>59</v>
      </c>
      <c r="AH26">
        <v>150511</v>
      </c>
      <c r="AI26" t="s">
        <v>60</v>
      </c>
      <c r="AJ26" t="s">
        <v>60</v>
      </c>
      <c r="AK26" t="s">
        <v>54</v>
      </c>
      <c r="AL26">
        <v>2024</v>
      </c>
      <c r="AM26" s="6" t="s">
        <v>113</v>
      </c>
      <c r="AN26" s="7">
        <v>0.25</v>
      </c>
      <c r="AO26" s="8">
        <f t="shared" si="0"/>
        <v>0.46875</v>
      </c>
      <c r="AP26" s="8">
        <f t="shared" si="1"/>
        <v>0.52078124999999997</v>
      </c>
      <c r="AQ26" s="9">
        <f t="shared" si="2"/>
        <v>0.75932812499999991</v>
      </c>
    </row>
    <row r="27" spans="1:43" x14ac:dyDescent="0.25">
      <c r="A27">
        <v>12</v>
      </c>
      <c r="B27">
        <v>6</v>
      </c>
      <c r="C27">
        <v>2024</v>
      </c>
      <c r="D27" t="s">
        <v>43</v>
      </c>
      <c r="E27" t="s">
        <v>96</v>
      </c>
      <c r="F27" t="s">
        <v>97</v>
      </c>
      <c r="G27">
        <v>4</v>
      </c>
      <c r="H27">
        <v>1791882490001</v>
      </c>
      <c r="I27" t="s">
        <v>46</v>
      </c>
      <c r="J27" t="s">
        <v>65</v>
      </c>
      <c r="K27" t="s">
        <v>48</v>
      </c>
      <c r="L27" t="s">
        <v>49</v>
      </c>
      <c r="M27" t="s">
        <v>50</v>
      </c>
      <c r="N27" t="s">
        <v>51</v>
      </c>
      <c r="O27">
        <v>7318210090</v>
      </c>
      <c r="P27" t="s">
        <v>103</v>
      </c>
      <c r="Q27" t="s">
        <v>114</v>
      </c>
      <c r="R27" t="s">
        <v>54</v>
      </c>
      <c r="S27" t="s">
        <v>55</v>
      </c>
      <c r="T27">
        <v>7</v>
      </c>
      <c r="U27">
        <v>4</v>
      </c>
      <c r="V27" t="s">
        <v>56</v>
      </c>
      <c r="W27">
        <v>0.2</v>
      </c>
      <c r="X27">
        <v>4.28</v>
      </c>
      <c r="Y27">
        <v>0.37</v>
      </c>
      <c r="Z27">
        <v>0.03</v>
      </c>
      <c r="AA27">
        <v>4.68</v>
      </c>
      <c r="AB27" t="s">
        <v>57</v>
      </c>
      <c r="AC27" t="s">
        <v>94</v>
      </c>
      <c r="AD27" t="s">
        <v>48</v>
      </c>
      <c r="AE27">
        <v>0</v>
      </c>
      <c r="AF27">
        <v>7.2</v>
      </c>
      <c r="AG27" t="s">
        <v>59</v>
      </c>
      <c r="AH27" t="s">
        <v>98</v>
      </c>
      <c r="AI27" t="s">
        <v>60</v>
      </c>
      <c r="AJ27" t="s">
        <v>60</v>
      </c>
      <c r="AK27" t="s">
        <v>54</v>
      </c>
      <c r="AL27">
        <v>2024</v>
      </c>
      <c r="AM27" s="6" t="s">
        <v>115</v>
      </c>
      <c r="AN27" s="7">
        <v>1.07</v>
      </c>
      <c r="AO27" s="8">
        <f t="shared" si="0"/>
        <v>2.0062500000000001</v>
      </c>
      <c r="AP27" s="8">
        <f t="shared" si="1"/>
        <v>2.22894375</v>
      </c>
      <c r="AQ27" s="9">
        <f t="shared" si="2"/>
        <v>3.249924375</v>
      </c>
    </row>
    <row r="28" spans="1:43" x14ac:dyDescent="0.25">
      <c r="A28">
        <v>11</v>
      </c>
      <c r="B28">
        <v>7</v>
      </c>
      <c r="C28">
        <v>2024</v>
      </c>
      <c r="D28" t="s">
        <v>43</v>
      </c>
      <c r="E28" t="s">
        <v>116</v>
      </c>
      <c r="F28" t="s">
        <v>117</v>
      </c>
      <c r="G28">
        <v>1</v>
      </c>
      <c r="H28">
        <v>1791882490001</v>
      </c>
      <c r="I28" t="s">
        <v>46</v>
      </c>
      <c r="J28" t="s">
        <v>118</v>
      </c>
      <c r="K28" t="s">
        <v>48</v>
      </c>
      <c r="L28" t="s">
        <v>119</v>
      </c>
      <c r="M28" t="s">
        <v>120</v>
      </c>
      <c r="N28" t="s">
        <v>121</v>
      </c>
      <c r="O28">
        <v>4010320000</v>
      </c>
      <c r="P28" t="s">
        <v>122</v>
      </c>
      <c r="Q28" t="s">
        <v>123</v>
      </c>
      <c r="R28" t="s">
        <v>54</v>
      </c>
      <c r="S28" t="s">
        <v>55</v>
      </c>
      <c r="T28">
        <v>9</v>
      </c>
      <c r="U28">
        <v>1</v>
      </c>
      <c r="V28" t="s">
        <v>56</v>
      </c>
      <c r="W28">
        <v>0</v>
      </c>
      <c r="X28">
        <v>15.36</v>
      </c>
      <c r="Y28">
        <v>1.39</v>
      </c>
      <c r="Z28">
        <v>0.1</v>
      </c>
      <c r="AA28">
        <v>16.850000000000001</v>
      </c>
      <c r="AB28" t="s">
        <v>124</v>
      </c>
      <c r="AC28" t="s">
        <v>125</v>
      </c>
      <c r="AD28" t="s">
        <v>48</v>
      </c>
      <c r="AE28">
        <v>0</v>
      </c>
      <c r="AF28">
        <v>2.02</v>
      </c>
      <c r="AG28" t="s">
        <v>59</v>
      </c>
      <c r="AH28">
        <v>486256</v>
      </c>
      <c r="AI28" t="s">
        <v>60</v>
      </c>
      <c r="AJ28" t="s">
        <v>78</v>
      </c>
      <c r="AK28" t="s">
        <v>54</v>
      </c>
      <c r="AL28">
        <v>2024</v>
      </c>
      <c r="AM28" s="6" t="s">
        <v>126</v>
      </c>
      <c r="AN28" s="7">
        <v>15.36</v>
      </c>
      <c r="AO28" s="8">
        <f t="shared" si="0"/>
        <v>28.799999999999997</v>
      </c>
      <c r="AP28" s="8">
        <f t="shared" si="1"/>
        <v>31.996799999999997</v>
      </c>
      <c r="AQ28" s="9">
        <f t="shared" si="2"/>
        <v>46.653119999999994</v>
      </c>
    </row>
    <row r="29" spans="1:43" x14ac:dyDescent="0.25">
      <c r="A29">
        <v>19</v>
      </c>
      <c r="B29">
        <v>8</v>
      </c>
      <c r="C29">
        <v>2024</v>
      </c>
      <c r="D29" t="s">
        <v>43</v>
      </c>
      <c r="E29" t="s">
        <v>84</v>
      </c>
      <c r="F29" t="s">
        <v>85</v>
      </c>
      <c r="G29">
        <v>5</v>
      </c>
      <c r="H29">
        <v>1791882490001</v>
      </c>
      <c r="I29" t="s">
        <v>46</v>
      </c>
      <c r="J29" t="s">
        <v>118</v>
      </c>
      <c r="K29" t="s">
        <v>48</v>
      </c>
      <c r="L29" t="s">
        <v>49</v>
      </c>
      <c r="M29" t="s">
        <v>50</v>
      </c>
      <c r="N29" t="s">
        <v>51</v>
      </c>
      <c r="O29">
        <v>4010320000</v>
      </c>
      <c r="P29" t="s">
        <v>122</v>
      </c>
      <c r="Q29" t="s">
        <v>123</v>
      </c>
      <c r="R29" t="s">
        <v>54</v>
      </c>
      <c r="S29" t="s">
        <v>55</v>
      </c>
      <c r="T29">
        <v>6</v>
      </c>
      <c r="U29">
        <v>2</v>
      </c>
      <c r="V29" t="s">
        <v>56</v>
      </c>
      <c r="W29">
        <v>0</v>
      </c>
      <c r="X29">
        <v>31.49</v>
      </c>
      <c r="Y29">
        <v>4.0599999999999996</v>
      </c>
      <c r="Z29">
        <v>0.22</v>
      </c>
      <c r="AA29">
        <v>35.770000000000003</v>
      </c>
      <c r="AB29" t="s">
        <v>57</v>
      </c>
      <c r="AC29" t="s">
        <v>58</v>
      </c>
      <c r="AD29" t="s">
        <v>48</v>
      </c>
      <c r="AE29">
        <v>0</v>
      </c>
      <c r="AF29">
        <v>2.79</v>
      </c>
      <c r="AG29" t="s">
        <v>59</v>
      </c>
      <c r="AH29">
        <v>144527</v>
      </c>
      <c r="AI29" t="s">
        <v>60</v>
      </c>
      <c r="AJ29" t="s">
        <v>60</v>
      </c>
      <c r="AK29" t="s">
        <v>54</v>
      </c>
      <c r="AL29">
        <v>2024</v>
      </c>
      <c r="AM29" s="6" t="s">
        <v>127</v>
      </c>
      <c r="AN29" s="7">
        <v>15.74</v>
      </c>
      <c r="AO29" s="8">
        <f t="shared" si="0"/>
        <v>29.512499999999999</v>
      </c>
      <c r="AP29" s="8">
        <f t="shared" si="1"/>
        <v>32.788387499999999</v>
      </c>
      <c r="AQ29" s="9">
        <f t="shared" si="2"/>
        <v>47.807298749999994</v>
      </c>
    </row>
    <row r="30" spans="1:43" x14ac:dyDescent="0.25">
      <c r="A30">
        <v>16</v>
      </c>
      <c r="B30">
        <v>12</v>
      </c>
      <c r="C30">
        <v>2024</v>
      </c>
      <c r="D30" t="s">
        <v>43</v>
      </c>
      <c r="E30" t="s">
        <v>128</v>
      </c>
      <c r="F30" t="s">
        <v>129</v>
      </c>
      <c r="G30">
        <v>1</v>
      </c>
      <c r="H30">
        <v>1791882490001</v>
      </c>
      <c r="I30" t="s">
        <v>46</v>
      </c>
      <c r="J30" t="s">
        <v>118</v>
      </c>
      <c r="K30" t="s">
        <v>48</v>
      </c>
      <c r="L30" t="s">
        <v>49</v>
      </c>
      <c r="M30" t="s">
        <v>50</v>
      </c>
      <c r="N30" t="s">
        <v>51</v>
      </c>
      <c r="O30">
        <v>4010320000</v>
      </c>
      <c r="P30" t="s">
        <v>130</v>
      </c>
      <c r="Q30" t="s">
        <v>123</v>
      </c>
      <c r="R30" t="s">
        <v>54</v>
      </c>
      <c r="S30" t="s">
        <v>55</v>
      </c>
      <c r="T30">
        <v>9</v>
      </c>
      <c r="U30">
        <v>1</v>
      </c>
      <c r="V30" t="s">
        <v>56</v>
      </c>
      <c r="W30">
        <v>0</v>
      </c>
      <c r="X30">
        <v>15.91</v>
      </c>
      <c r="Y30">
        <v>2.08</v>
      </c>
      <c r="Z30">
        <v>0.11</v>
      </c>
      <c r="AA30">
        <v>18.100000000000001</v>
      </c>
      <c r="AB30" t="s">
        <v>57</v>
      </c>
      <c r="AC30" t="s">
        <v>131</v>
      </c>
      <c r="AD30" t="s">
        <v>48</v>
      </c>
      <c r="AE30">
        <v>0</v>
      </c>
      <c r="AF30">
        <v>1.99</v>
      </c>
      <c r="AG30" t="s">
        <v>59</v>
      </c>
      <c r="AH30">
        <v>325395</v>
      </c>
      <c r="AI30" t="s">
        <v>60</v>
      </c>
      <c r="AJ30" t="s">
        <v>78</v>
      </c>
      <c r="AK30" t="s">
        <v>54</v>
      </c>
      <c r="AL30">
        <v>2024</v>
      </c>
      <c r="AM30" s="6" t="s">
        <v>127</v>
      </c>
      <c r="AN30" s="7">
        <v>15.91</v>
      </c>
      <c r="AO30" s="8">
        <f t="shared" si="0"/>
        <v>29.831250000000001</v>
      </c>
      <c r="AP30" s="8">
        <f t="shared" si="1"/>
        <v>33.142518750000001</v>
      </c>
      <c r="AQ30" s="9">
        <f t="shared" si="2"/>
        <v>48.323641875</v>
      </c>
    </row>
    <row r="31" spans="1:43" x14ac:dyDescent="0.25">
      <c r="A31">
        <v>10</v>
      </c>
      <c r="B31">
        <v>10</v>
      </c>
      <c r="C31">
        <v>2024</v>
      </c>
      <c r="D31" t="s">
        <v>43</v>
      </c>
      <c r="E31" t="s">
        <v>44</v>
      </c>
      <c r="F31" t="s">
        <v>45</v>
      </c>
      <c r="G31">
        <v>3</v>
      </c>
      <c r="H31">
        <v>1791882490001</v>
      </c>
      <c r="I31" t="s">
        <v>46</v>
      </c>
      <c r="J31" t="s">
        <v>118</v>
      </c>
      <c r="K31" t="s">
        <v>48</v>
      </c>
      <c r="L31" t="s">
        <v>49</v>
      </c>
      <c r="M31" t="s">
        <v>50</v>
      </c>
      <c r="N31" t="s">
        <v>51</v>
      </c>
      <c r="O31">
        <v>4010320000</v>
      </c>
      <c r="P31" t="s">
        <v>130</v>
      </c>
      <c r="Q31" t="s">
        <v>123</v>
      </c>
      <c r="R31" t="s">
        <v>54</v>
      </c>
      <c r="S31" t="s">
        <v>55</v>
      </c>
      <c r="T31">
        <v>7</v>
      </c>
      <c r="U31">
        <v>1</v>
      </c>
      <c r="V31" t="s">
        <v>56</v>
      </c>
      <c r="W31">
        <v>0</v>
      </c>
      <c r="X31">
        <v>11.65</v>
      </c>
      <c r="Y31">
        <v>2.04</v>
      </c>
      <c r="Z31">
        <v>0.08</v>
      </c>
      <c r="AA31">
        <v>13.77</v>
      </c>
      <c r="AB31" t="s">
        <v>57</v>
      </c>
      <c r="AC31" t="s">
        <v>58</v>
      </c>
      <c r="AD31" t="s">
        <v>48</v>
      </c>
      <c r="AE31">
        <v>0</v>
      </c>
      <c r="AF31">
        <v>0.13</v>
      </c>
      <c r="AG31" t="s">
        <v>59</v>
      </c>
      <c r="AH31">
        <v>179772</v>
      </c>
      <c r="AI31" t="s">
        <v>60</v>
      </c>
      <c r="AJ31" t="s">
        <v>60</v>
      </c>
      <c r="AK31" t="s">
        <v>54</v>
      </c>
      <c r="AL31">
        <v>2024</v>
      </c>
      <c r="AM31" s="6" t="s">
        <v>132</v>
      </c>
      <c r="AN31" s="7">
        <v>11.65</v>
      </c>
      <c r="AO31" s="8">
        <f t="shared" si="0"/>
        <v>21.84375</v>
      </c>
      <c r="AP31" s="8">
        <f t="shared" si="1"/>
        <v>24.268406249999998</v>
      </c>
      <c r="AQ31" s="9">
        <f t="shared" si="2"/>
        <v>35.384690624999998</v>
      </c>
    </row>
    <row r="32" spans="1:43" x14ac:dyDescent="0.25">
      <c r="A32">
        <v>15</v>
      </c>
      <c r="B32">
        <v>4</v>
      </c>
      <c r="C32">
        <v>2024</v>
      </c>
      <c r="D32" t="s">
        <v>43</v>
      </c>
      <c r="E32" t="s">
        <v>63</v>
      </c>
      <c r="F32" t="s">
        <v>64</v>
      </c>
      <c r="G32">
        <v>6</v>
      </c>
      <c r="H32">
        <v>1791882490001</v>
      </c>
      <c r="I32" t="s">
        <v>46</v>
      </c>
      <c r="J32" t="s">
        <v>133</v>
      </c>
      <c r="K32" t="s">
        <v>48</v>
      </c>
      <c r="L32" t="s">
        <v>49</v>
      </c>
      <c r="M32" t="s">
        <v>50</v>
      </c>
      <c r="N32" t="s">
        <v>51</v>
      </c>
      <c r="O32">
        <v>4016999000</v>
      </c>
      <c r="P32" t="s">
        <v>103</v>
      </c>
      <c r="Q32" t="s">
        <v>134</v>
      </c>
      <c r="R32" t="s">
        <v>54</v>
      </c>
      <c r="S32" t="s">
        <v>55</v>
      </c>
      <c r="T32">
        <v>6</v>
      </c>
      <c r="U32">
        <v>8</v>
      </c>
      <c r="V32" t="s">
        <v>135</v>
      </c>
      <c r="W32">
        <v>0</v>
      </c>
      <c r="X32">
        <v>101.9</v>
      </c>
      <c r="Y32">
        <v>10.73</v>
      </c>
      <c r="Z32">
        <v>0.68</v>
      </c>
      <c r="AA32">
        <v>113.32</v>
      </c>
      <c r="AB32" t="s">
        <v>57</v>
      </c>
      <c r="AC32" t="s">
        <v>58</v>
      </c>
      <c r="AD32" t="s">
        <v>48</v>
      </c>
      <c r="AE32">
        <v>0</v>
      </c>
      <c r="AF32">
        <v>0.98</v>
      </c>
      <c r="AG32" t="s">
        <v>59</v>
      </c>
      <c r="AH32">
        <v>443965</v>
      </c>
      <c r="AI32" t="s">
        <v>60</v>
      </c>
      <c r="AJ32" t="s">
        <v>60</v>
      </c>
      <c r="AK32" t="s">
        <v>54</v>
      </c>
      <c r="AL32">
        <v>2024</v>
      </c>
      <c r="AM32" s="6" t="s">
        <v>136</v>
      </c>
      <c r="AN32" s="7">
        <v>12.74</v>
      </c>
      <c r="AO32" s="8">
        <f t="shared" si="0"/>
        <v>23.887499999999999</v>
      </c>
      <c r="AP32" s="8">
        <f t="shared" si="1"/>
        <v>26.539012499999998</v>
      </c>
      <c r="AQ32" s="9">
        <f t="shared" si="2"/>
        <v>38.695361249999998</v>
      </c>
    </row>
    <row r="33" spans="1:43" x14ac:dyDescent="0.25">
      <c r="A33">
        <v>12</v>
      </c>
      <c r="B33">
        <v>6</v>
      </c>
      <c r="C33">
        <v>2024</v>
      </c>
      <c r="D33" t="s">
        <v>43</v>
      </c>
      <c r="E33" t="s">
        <v>96</v>
      </c>
      <c r="F33" t="s">
        <v>97</v>
      </c>
      <c r="G33">
        <v>5</v>
      </c>
      <c r="H33">
        <v>1791882490001</v>
      </c>
      <c r="I33" t="s">
        <v>46</v>
      </c>
      <c r="J33" t="s">
        <v>133</v>
      </c>
      <c r="K33" t="s">
        <v>48</v>
      </c>
      <c r="L33" t="s">
        <v>49</v>
      </c>
      <c r="M33" t="s">
        <v>50</v>
      </c>
      <c r="N33" t="s">
        <v>51</v>
      </c>
      <c r="O33">
        <v>4016999000</v>
      </c>
      <c r="P33" t="s">
        <v>103</v>
      </c>
      <c r="Q33" t="s">
        <v>137</v>
      </c>
      <c r="R33" t="s">
        <v>54</v>
      </c>
      <c r="S33" t="s">
        <v>55</v>
      </c>
      <c r="T33">
        <v>7</v>
      </c>
      <c r="U33">
        <v>12</v>
      </c>
      <c r="V33" t="s">
        <v>135</v>
      </c>
      <c r="W33">
        <v>0</v>
      </c>
      <c r="X33">
        <v>165.4</v>
      </c>
      <c r="Y33">
        <v>14.34</v>
      </c>
      <c r="Z33">
        <v>1.1100000000000001</v>
      </c>
      <c r="AA33">
        <v>180.85</v>
      </c>
      <c r="AB33" t="s">
        <v>57</v>
      </c>
      <c r="AC33" t="s">
        <v>94</v>
      </c>
      <c r="AD33" t="s">
        <v>48</v>
      </c>
      <c r="AE33">
        <v>0</v>
      </c>
      <c r="AF33">
        <v>21.6</v>
      </c>
      <c r="AG33" t="s">
        <v>59</v>
      </c>
      <c r="AH33" t="s">
        <v>98</v>
      </c>
      <c r="AI33" t="s">
        <v>60</v>
      </c>
      <c r="AJ33" t="s">
        <v>60</v>
      </c>
      <c r="AK33" t="s">
        <v>54</v>
      </c>
      <c r="AL33">
        <v>2024</v>
      </c>
      <c r="AM33" s="6" t="s">
        <v>138</v>
      </c>
      <c r="AN33" s="7">
        <v>13.78</v>
      </c>
      <c r="AO33" s="8">
        <f t="shared" si="0"/>
        <v>25.837499999999999</v>
      </c>
      <c r="AP33" s="8">
        <f t="shared" si="1"/>
        <v>28.705462499999999</v>
      </c>
      <c r="AQ33" s="9">
        <f t="shared" si="2"/>
        <v>41.854166249999992</v>
      </c>
    </row>
    <row r="34" spans="1:43" x14ac:dyDescent="0.25">
      <c r="A34">
        <v>3</v>
      </c>
      <c r="B34">
        <v>4</v>
      </c>
      <c r="C34">
        <v>2024</v>
      </c>
      <c r="D34" t="s">
        <v>43</v>
      </c>
      <c r="E34" t="s">
        <v>73</v>
      </c>
      <c r="F34" t="s">
        <v>74</v>
      </c>
      <c r="G34">
        <v>3</v>
      </c>
      <c r="H34">
        <v>1791882490001</v>
      </c>
      <c r="I34" t="s">
        <v>46</v>
      </c>
      <c r="J34" t="s">
        <v>133</v>
      </c>
      <c r="K34" t="s">
        <v>48</v>
      </c>
      <c r="L34" t="s">
        <v>49</v>
      </c>
      <c r="M34" t="s">
        <v>50</v>
      </c>
      <c r="N34" t="s">
        <v>51</v>
      </c>
      <c r="O34">
        <v>4016999000</v>
      </c>
      <c r="P34" t="s">
        <v>103</v>
      </c>
      <c r="Q34" t="s">
        <v>137</v>
      </c>
      <c r="R34" t="s">
        <v>54</v>
      </c>
      <c r="S34" t="s">
        <v>55</v>
      </c>
      <c r="T34">
        <v>6</v>
      </c>
      <c r="U34">
        <v>20</v>
      </c>
      <c r="V34" t="s">
        <v>135</v>
      </c>
      <c r="W34">
        <v>0</v>
      </c>
      <c r="X34">
        <v>82.21</v>
      </c>
      <c r="Y34">
        <v>9.6</v>
      </c>
      <c r="Z34">
        <v>0.54</v>
      </c>
      <c r="AA34">
        <v>92.36</v>
      </c>
      <c r="AB34" t="s">
        <v>57</v>
      </c>
      <c r="AC34" t="s">
        <v>58</v>
      </c>
      <c r="AD34" t="s">
        <v>48</v>
      </c>
      <c r="AE34">
        <v>0</v>
      </c>
      <c r="AF34">
        <v>26.66</v>
      </c>
      <c r="AG34" t="s">
        <v>59</v>
      </c>
      <c r="AH34">
        <v>438183</v>
      </c>
      <c r="AI34" t="s">
        <v>60</v>
      </c>
      <c r="AJ34" t="s">
        <v>60</v>
      </c>
      <c r="AK34" t="s">
        <v>54</v>
      </c>
      <c r="AL34">
        <v>2024</v>
      </c>
      <c r="AM34" s="6" t="s">
        <v>139</v>
      </c>
      <c r="AN34" s="7">
        <v>4.1100000000000003</v>
      </c>
      <c r="AO34" s="8">
        <f t="shared" si="0"/>
        <v>7.7062500000000007</v>
      </c>
      <c r="AP34" s="8">
        <f t="shared" si="1"/>
        <v>8.56164375</v>
      </c>
      <c r="AQ34" s="9">
        <f t="shared" si="2"/>
        <v>12.483354375000001</v>
      </c>
    </row>
    <row r="35" spans="1:43" x14ac:dyDescent="0.25">
      <c r="A35">
        <v>20</v>
      </c>
      <c r="B35">
        <v>2</v>
      </c>
      <c r="C35">
        <v>2024</v>
      </c>
      <c r="D35" t="s">
        <v>43</v>
      </c>
      <c r="E35" t="s">
        <v>140</v>
      </c>
      <c r="F35" t="s">
        <v>141</v>
      </c>
      <c r="G35">
        <v>1</v>
      </c>
      <c r="H35">
        <v>1791882490001</v>
      </c>
      <c r="I35" t="s">
        <v>46</v>
      </c>
      <c r="J35" t="s">
        <v>65</v>
      </c>
      <c r="K35" t="s">
        <v>48</v>
      </c>
      <c r="L35" t="s">
        <v>49</v>
      </c>
      <c r="M35" t="s">
        <v>50</v>
      </c>
      <c r="N35" t="s">
        <v>51</v>
      </c>
      <c r="O35">
        <v>4009320000</v>
      </c>
      <c r="P35" t="s">
        <v>142</v>
      </c>
      <c r="Q35" t="s">
        <v>67</v>
      </c>
      <c r="R35" t="s">
        <v>54</v>
      </c>
      <c r="S35" t="s">
        <v>55</v>
      </c>
      <c r="T35">
        <v>6</v>
      </c>
      <c r="U35">
        <v>1</v>
      </c>
      <c r="V35" t="s">
        <v>56</v>
      </c>
      <c r="W35">
        <v>0</v>
      </c>
      <c r="X35">
        <v>79.58</v>
      </c>
      <c r="Y35">
        <v>7.14</v>
      </c>
      <c r="Z35">
        <v>0.54</v>
      </c>
      <c r="AA35">
        <v>87.26</v>
      </c>
      <c r="AB35" t="s">
        <v>54</v>
      </c>
      <c r="AC35" t="s">
        <v>143</v>
      </c>
      <c r="AD35" t="s">
        <v>48</v>
      </c>
      <c r="AE35">
        <v>0</v>
      </c>
      <c r="AF35">
        <v>1.87</v>
      </c>
      <c r="AG35" t="s">
        <v>59</v>
      </c>
      <c r="AH35">
        <v>876053</v>
      </c>
      <c r="AI35" t="s">
        <v>60</v>
      </c>
      <c r="AJ35" t="s">
        <v>60</v>
      </c>
      <c r="AK35" t="s">
        <v>54</v>
      </c>
      <c r="AL35">
        <v>2024</v>
      </c>
      <c r="AM35" s="6" t="s">
        <v>144</v>
      </c>
      <c r="AN35" s="7">
        <v>79.58</v>
      </c>
      <c r="AO35" s="8">
        <f t="shared" si="0"/>
        <v>149.21250000000001</v>
      </c>
      <c r="AP35" s="8">
        <f t="shared" si="1"/>
        <v>165.77508750000001</v>
      </c>
      <c r="AQ35" s="9">
        <f t="shared" si="2"/>
        <v>241.70932875</v>
      </c>
    </row>
    <row r="36" spans="1:43" x14ac:dyDescent="0.25">
      <c r="A36">
        <v>20</v>
      </c>
      <c r="B36">
        <v>2</v>
      </c>
      <c r="C36">
        <v>2024</v>
      </c>
      <c r="D36" t="s">
        <v>43</v>
      </c>
      <c r="E36" t="s">
        <v>140</v>
      </c>
      <c r="F36" t="s">
        <v>141</v>
      </c>
      <c r="G36">
        <v>2</v>
      </c>
      <c r="H36">
        <v>1791882490001</v>
      </c>
      <c r="I36" t="s">
        <v>46</v>
      </c>
      <c r="J36" t="s">
        <v>65</v>
      </c>
      <c r="K36" t="s">
        <v>48</v>
      </c>
      <c r="L36" t="s">
        <v>49</v>
      </c>
      <c r="M36" t="s">
        <v>50</v>
      </c>
      <c r="N36" t="s">
        <v>51</v>
      </c>
      <c r="O36">
        <v>4009320000</v>
      </c>
      <c r="P36" t="s">
        <v>142</v>
      </c>
      <c r="Q36" t="s">
        <v>67</v>
      </c>
      <c r="R36" t="s">
        <v>54</v>
      </c>
      <c r="S36" t="s">
        <v>55</v>
      </c>
      <c r="T36">
        <v>6</v>
      </c>
      <c r="U36">
        <v>1</v>
      </c>
      <c r="V36" t="s">
        <v>56</v>
      </c>
      <c r="W36">
        <v>0</v>
      </c>
      <c r="X36">
        <v>69.75</v>
      </c>
      <c r="Y36">
        <v>6.26</v>
      </c>
      <c r="Z36">
        <v>0.47</v>
      </c>
      <c r="AA36">
        <v>76.47</v>
      </c>
      <c r="AB36" t="s">
        <v>54</v>
      </c>
      <c r="AC36" t="s">
        <v>143</v>
      </c>
      <c r="AD36" t="s">
        <v>48</v>
      </c>
      <c r="AE36">
        <v>0</v>
      </c>
      <c r="AF36">
        <v>1.87</v>
      </c>
      <c r="AG36" t="s">
        <v>59</v>
      </c>
      <c r="AH36">
        <v>876053</v>
      </c>
      <c r="AI36" t="s">
        <v>60</v>
      </c>
      <c r="AJ36" t="s">
        <v>60</v>
      </c>
      <c r="AK36" t="s">
        <v>54</v>
      </c>
      <c r="AL36">
        <v>2024</v>
      </c>
      <c r="AM36" s="6" t="s">
        <v>145</v>
      </c>
      <c r="AN36" s="7">
        <v>69.75</v>
      </c>
      <c r="AO36" s="8">
        <f t="shared" si="0"/>
        <v>130.78125</v>
      </c>
      <c r="AP36" s="8">
        <f t="shared" si="1"/>
        <v>145.29796875</v>
      </c>
      <c r="AQ36" s="9">
        <f t="shared" si="2"/>
        <v>211.85254687499997</v>
      </c>
    </row>
    <row r="37" spans="1:43" x14ac:dyDescent="0.25">
      <c r="A37">
        <v>20</v>
      </c>
      <c r="B37">
        <v>2</v>
      </c>
      <c r="C37">
        <v>2024</v>
      </c>
      <c r="D37" t="s">
        <v>43</v>
      </c>
      <c r="E37" t="s">
        <v>140</v>
      </c>
      <c r="F37" t="s">
        <v>141</v>
      </c>
      <c r="G37">
        <v>3</v>
      </c>
      <c r="H37">
        <v>1791882490001</v>
      </c>
      <c r="I37" t="s">
        <v>46</v>
      </c>
      <c r="J37" t="s">
        <v>65</v>
      </c>
      <c r="K37" t="s">
        <v>48</v>
      </c>
      <c r="L37" t="s">
        <v>49</v>
      </c>
      <c r="M37" t="s">
        <v>50</v>
      </c>
      <c r="N37" t="s">
        <v>51</v>
      </c>
      <c r="O37">
        <v>4009320000</v>
      </c>
      <c r="P37" t="s">
        <v>142</v>
      </c>
      <c r="Q37" t="s">
        <v>67</v>
      </c>
      <c r="R37" t="s">
        <v>54</v>
      </c>
      <c r="S37" t="s">
        <v>55</v>
      </c>
      <c r="T37">
        <v>6</v>
      </c>
      <c r="U37">
        <v>1</v>
      </c>
      <c r="V37" t="s">
        <v>56</v>
      </c>
      <c r="W37">
        <v>0</v>
      </c>
      <c r="X37">
        <v>87.88</v>
      </c>
      <c r="Y37">
        <v>7.89</v>
      </c>
      <c r="Z37">
        <v>0.59</v>
      </c>
      <c r="AA37">
        <v>96.36</v>
      </c>
      <c r="AB37" t="s">
        <v>54</v>
      </c>
      <c r="AC37" t="s">
        <v>143</v>
      </c>
      <c r="AD37" t="s">
        <v>48</v>
      </c>
      <c r="AE37">
        <v>0</v>
      </c>
      <c r="AF37">
        <v>1.87</v>
      </c>
      <c r="AG37" t="s">
        <v>59</v>
      </c>
      <c r="AH37">
        <v>876053</v>
      </c>
      <c r="AI37" t="s">
        <v>60</v>
      </c>
      <c r="AJ37" t="s">
        <v>60</v>
      </c>
      <c r="AK37" t="s">
        <v>54</v>
      </c>
      <c r="AL37">
        <v>2024</v>
      </c>
      <c r="AM37" s="6" t="s">
        <v>146</v>
      </c>
      <c r="AN37" s="7">
        <v>87.88</v>
      </c>
      <c r="AO37" s="8">
        <f t="shared" si="0"/>
        <v>164.77499999999998</v>
      </c>
      <c r="AP37" s="8">
        <f t="shared" si="1"/>
        <v>183.06502499999996</v>
      </c>
      <c r="AQ37" s="9">
        <f t="shared" si="2"/>
        <v>266.91902249999993</v>
      </c>
    </row>
    <row r="38" spans="1:43" x14ac:dyDescent="0.25">
      <c r="A38">
        <v>20</v>
      </c>
      <c r="B38">
        <v>2</v>
      </c>
      <c r="C38">
        <v>2024</v>
      </c>
      <c r="D38" t="s">
        <v>43</v>
      </c>
      <c r="E38" t="s">
        <v>140</v>
      </c>
      <c r="F38" t="s">
        <v>141</v>
      </c>
      <c r="G38">
        <v>4</v>
      </c>
      <c r="H38">
        <v>1791882490001</v>
      </c>
      <c r="I38" t="s">
        <v>46</v>
      </c>
      <c r="J38" t="s">
        <v>65</v>
      </c>
      <c r="K38" t="s">
        <v>48</v>
      </c>
      <c r="L38" t="s">
        <v>49</v>
      </c>
      <c r="M38" t="s">
        <v>50</v>
      </c>
      <c r="N38" t="s">
        <v>51</v>
      </c>
      <c r="O38">
        <v>4009320000</v>
      </c>
      <c r="P38" t="s">
        <v>142</v>
      </c>
      <c r="Q38" t="s">
        <v>67</v>
      </c>
      <c r="R38" t="s">
        <v>54</v>
      </c>
      <c r="S38" t="s">
        <v>55</v>
      </c>
      <c r="T38">
        <v>6</v>
      </c>
      <c r="U38">
        <v>2</v>
      </c>
      <c r="V38" t="s">
        <v>56</v>
      </c>
      <c r="W38">
        <v>0</v>
      </c>
      <c r="X38">
        <v>218.33</v>
      </c>
      <c r="Y38">
        <v>19.59</v>
      </c>
      <c r="Z38">
        <v>1.47</v>
      </c>
      <c r="AA38">
        <v>239.39</v>
      </c>
      <c r="AB38" t="s">
        <v>54</v>
      </c>
      <c r="AC38" t="s">
        <v>143</v>
      </c>
      <c r="AD38" t="s">
        <v>48</v>
      </c>
      <c r="AE38">
        <v>0</v>
      </c>
      <c r="AF38">
        <v>3.74</v>
      </c>
      <c r="AG38" t="s">
        <v>59</v>
      </c>
      <c r="AH38">
        <v>876053</v>
      </c>
      <c r="AI38" t="s">
        <v>60</v>
      </c>
      <c r="AJ38" t="s">
        <v>60</v>
      </c>
      <c r="AK38" t="s">
        <v>54</v>
      </c>
      <c r="AL38">
        <v>2024</v>
      </c>
      <c r="AM38" s="6" t="s">
        <v>147</v>
      </c>
      <c r="AN38" s="7">
        <v>109.16</v>
      </c>
      <c r="AO38" s="8">
        <f t="shared" si="0"/>
        <v>204.67499999999998</v>
      </c>
      <c r="AP38" s="8">
        <f t="shared" si="1"/>
        <v>227.39392499999997</v>
      </c>
      <c r="AQ38" s="9">
        <f t="shared" si="2"/>
        <v>331.55303249999997</v>
      </c>
    </row>
    <row r="39" spans="1:43" x14ac:dyDescent="0.25">
      <c r="A39">
        <v>20</v>
      </c>
      <c r="B39">
        <v>2</v>
      </c>
      <c r="C39">
        <v>2024</v>
      </c>
      <c r="D39" t="s">
        <v>43</v>
      </c>
      <c r="E39" t="s">
        <v>140</v>
      </c>
      <c r="F39" t="s">
        <v>141</v>
      </c>
      <c r="G39">
        <v>5</v>
      </c>
      <c r="H39">
        <v>1791882490001</v>
      </c>
      <c r="I39" t="s">
        <v>46</v>
      </c>
      <c r="J39" t="s">
        <v>65</v>
      </c>
      <c r="K39" t="s">
        <v>48</v>
      </c>
      <c r="L39" t="s">
        <v>49</v>
      </c>
      <c r="M39" t="s">
        <v>50</v>
      </c>
      <c r="N39" t="s">
        <v>51</v>
      </c>
      <c r="O39">
        <v>4009320000</v>
      </c>
      <c r="P39" t="s">
        <v>142</v>
      </c>
      <c r="Q39" t="s">
        <v>67</v>
      </c>
      <c r="R39" t="s">
        <v>54</v>
      </c>
      <c r="S39" t="s">
        <v>55</v>
      </c>
      <c r="T39">
        <v>6</v>
      </c>
      <c r="U39">
        <v>1</v>
      </c>
      <c r="V39" t="s">
        <v>56</v>
      </c>
      <c r="W39">
        <v>0</v>
      </c>
      <c r="X39">
        <v>136.49</v>
      </c>
      <c r="Y39">
        <v>12.25</v>
      </c>
      <c r="Z39">
        <v>0.92</v>
      </c>
      <c r="AA39">
        <v>149.66</v>
      </c>
      <c r="AB39" t="s">
        <v>54</v>
      </c>
      <c r="AC39" t="s">
        <v>143</v>
      </c>
      <c r="AD39" t="s">
        <v>48</v>
      </c>
      <c r="AE39">
        <v>0</v>
      </c>
      <c r="AF39">
        <v>1.87</v>
      </c>
      <c r="AG39" t="s">
        <v>59</v>
      </c>
      <c r="AH39">
        <v>876053</v>
      </c>
      <c r="AI39" t="s">
        <v>60</v>
      </c>
      <c r="AJ39" t="s">
        <v>60</v>
      </c>
      <c r="AK39" t="s">
        <v>54</v>
      </c>
      <c r="AL39">
        <v>2024</v>
      </c>
      <c r="AM39" s="6" t="s">
        <v>148</v>
      </c>
      <c r="AN39" s="7">
        <v>136.49</v>
      </c>
      <c r="AO39" s="8">
        <f t="shared" si="0"/>
        <v>255.91875000000002</v>
      </c>
      <c r="AP39" s="8">
        <f t="shared" si="1"/>
        <v>284.32573124999999</v>
      </c>
      <c r="AQ39" s="9">
        <f t="shared" si="2"/>
        <v>414.56278312500001</v>
      </c>
    </row>
    <row r="40" spans="1:43" x14ac:dyDescent="0.25">
      <c r="A40">
        <v>12</v>
      </c>
      <c r="B40">
        <v>6</v>
      </c>
      <c r="C40">
        <v>2024</v>
      </c>
      <c r="D40" t="s">
        <v>43</v>
      </c>
      <c r="E40" t="s">
        <v>96</v>
      </c>
      <c r="F40" t="s">
        <v>97</v>
      </c>
      <c r="G40">
        <v>6</v>
      </c>
      <c r="H40">
        <v>1791882490001</v>
      </c>
      <c r="I40" t="s">
        <v>46</v>
      </c>
      <c r="J40" t="s">
        <v>65</v>
      </c>
      <c r="K40" t="s">
        <v>48</v>
      </c>
      <c r="L40" t="s">
        <v>49</v>
      </c>
      <c r="M40" t="s">
        <v>50</v>
      </c>
      <c r="N40" t="s">
        <v>51</v>
      </c>
      <c r="O40">
        <v>4009320000</v>
      </c>
      <c r="P40" t="s">
        <v>142</v>
      </c>
      <c r="Q40" t="s">
        <v>67</v>
      </c>
      <c r="R40" t="s">
        <v>54</v>
      </c>
      <c r="S40" t="s">
        <v>55</v>
      </c>
      <c r="T40">
        <v>7</v>
      </c>
      <c r="U40">
        <v>1</v>
      </c>
      <c r="V40" t="s">
        <v>56</v>
      </c>
      <c r="W40">
        <v>0</v>
      </c>
      <c r="X40">
        <v>80.319999999999993</v>
      </c>
      <c r="Y40">
        <v>6.97</v>
      </c>
      <c r="Z40">
        <v>0.54</v>
      </c>
      <c r="AA40">
        <v>87.83</v>
      </c>
      <c r="AB40" t="s">
        <v>57</v>
      </c>
      <c r="AC40" t="s">
        <v>94</v>
      </c>
      <c r="AD40" t="s">
        <v>48</v>
      </c>
      <c r="AE40">
        <v>0</v>
      </c>
      <c r="AF40">
        <v>1.8</v>
      </c>
      <c r="AG40" t="s">
        <v>59</v>
      </c>
      <c r="AH40" t="s">
        <v>98</v>
      </c>
      <c r="AI40" t="s">
        <v>60</v>
      </c>
      <c r="AJ40" t="s">
        <v>60</v>
      </c>
      <c r="AK40" t="s">
        <v>54</v>
      </c>
      <c r="AL40">
        <v>2024</v>
      </c>
      <c r="AM40" s="6" t="s">
        <v>149</v>
      </c>
      <c r="AN40" s="7">
        <v>80.319999999999993</v>
      </c>
      <c r="AO40" s="8">
        <f t="shared" si="0"/>
        <v>150.6</v>
      </c>
      <c r="AP40" s="8">
        <f t="shared" si="1"/>
        <v>167.31659999999999</v>
      </c>
      <c r="AQ40" s="9">
        <f t="shared" si="2"/>
        <v>243.95693999999997</v>
      </c>
    </row>
    <row r="41" spans="1:43" x14ac:dyDescent="0.25">
      <c r="A41">
        <v>12</v>
      </c>
      <c r="B41">
        <v>6</v>
      </c>
      <c r="C41">
        <v>2024</v>
      </c>
      <c r="D41" t="s">
        <v>43</v>
      </c>
      <c r="E41" t="s">
        <v>96</v>
      </c>
      <c r="F41" t="s">
        <v>97</v>
      </c>
      <c r="G41">
        <v>7</v>
      </c>
      <c r="H41">
        <v>1791882490001</v>
      </c>
      <c r="I41" t="s">
        <v>46</v>
      </c>
      <c r="J41" t="s">
        <v>65</v>
      </c>
      <c r="K41" t="s">
        <v>48</v>
      </c>
      <c r="L41" t="s">
        <v>49</v>
      </c>
      <c r="M41" t="s">
        <v>50</v>
      </c>
      <c r="N41" t="s">
        <v>51</v>
      </c>
      <c r="O41">
        <v>4009320000</v>
      </c>
      <c r="P41" t="s">
        <v>142</v>
      </c>
      <c r="Q41" t="s">
        <v>67</v>
      </c>
      <c r="R41" t="s">
        <v>54</v>
      </c>
      <c r="S41" t="s">
        <v>55</v>
      </c>
      <c r="T41">
        <v>7</v>
      </c>
      <c r="U41">
        <v>1</v>
      </c>
      <c r="V41" t="s">
        <v>56</v>
      </c>
      <c r="W41">
        <v>0</v>
      </c>
      <c r="X41">
        <v>82.39</v>
      </c>
      <c r="Y41">
        <v>7.14</v>
      </c>
      <c r="Z41">
        <v>0.56000000000000005</v>
      </c>
      <c r="AA41">
        <v>90.09</v>
      </c>
      <c r="AB41" t="s">
        <v>57</v>
      </c>
      <c r="AC41" t="s">
        <v>94</v>
      </c>
      <c r="AD41" t="s">
        <v>48</v>
      </c>
      <c r="AE41">
        <v>0</v>
      </c>
      <c r="AF41">
        <v>1.8</v>
      </c>
      <c r="AG41" t="s">
        <v>59</v>
      </c>
      <c r="AH41" t="s">
        <v>98</v>
      </c>
      <c r="AI41" t="s">
        <v>60</v>
      </c>
      <c r="AJ41" t="s">
        <v>60</v>
      </c>
      <c r="AK41" t="s">
        <v>54</v>
      </c>
      <c r="AL41">
        <v>2024</v>
      </c>
      <c r="AM41" s="6" t="s">
        <v>150</v>
      </c>
      <c r="AN41" s="7">
        <v>82.39</v>
      </c>
      <c r="AO41" s="8">
        <f t="shared" si="0"/>
        <v>154.48124999999999</v>
      </c>
      <c r="AP41" s="8">
        <f t="shared" si="1"/>
        <v>171.62866874999997</v>
      </c>
      <c r="AQ41" s="9">
        <f t="shared" si="2"/>
        <v>250.24417687499997</v>
      </c>
    </row>
    <row r="42" spans="1:43" x14ac:dyDescent="0.25">
      <c r="A42">
        <v>20</v>
      </c>
      <c r="B42">
        <v>2</v>
      </c>
      <c r="C42">
        <v>2024</v>
      </c>
      <c r="D42" t="s">
        <v>43</v>
      </c>
      <c r="E42" t="s">
        <v>140</v>
      </c>
      <c r="F42" t="s">
        <v>141</v>
      </c>
      <c r="G42">
        <v>6</v>
      </c>
      <c r="H42">
        <v>1791882490001</v>
      </c>
      <c r="I42" t="s">
        <v>46</v>
      </c>
      <c r="J42" t="s">
        <v>65</v>
      </c>
      <c r="K42" t="s">
        <v>48</v>
      </c>
      <c r="L42" t="s">
        <v>49</v>
      </c>
      <c r="M42" t="s">
        <v>50</v>
      </c>
      <c r="N42" t="s">
        <v>51</v>
      </c>
      <c r="O42">
        <v>4009320000</v>
      </c>
      <c r="P42" t="s">
        <v>142</v>
      </c>
      <c r="Q42" t="s">
        <v>67</v>
      </c>
      <c r="R42" t="s">
        <v>54</v>
      </c>
      <c r="S42" t="s">
        <v>55</v>
      </c>
      <c r="T42">
        <v>6</v>
      </c>
      <c r="U42">
        <v>1</v>
      </c>
      <c r="V42" t="s">
        <v>56</v>
      </c>
      <c r="W42">
        <v>0</v>
      </c>
      <c r="X42">
        <v>100.16</v>
      </c>
      <c r="Y42">
        <v>8.99</v>
      </c>
      <c r="Z42">
        <v>0.67</v>
      </c>
      <c r="AA42">
        <v>109.82</v>
      </c>
      <c r="AB42" t="s">
        <v>54</v>
      </c>
      <c r="AC42" t="s">
        <v>143</v>
      </c>
      <c r="AD42" t="s">
        <v>48</v>
      </c>
      <c r="AE42">
        <v>0</v>
      </c>
      <c r="AF42">
        <v>1.87</v>
      </c>
      <c r="AG42" t="s">
        <v>59</v>
      </c>
      <c r="AH42">
        <v>876053</v>
      </c>
      <c r="AI42" t="s">
        <v>60</v>
      </c>
      <c r="AJ42" t="s">
        <v>60</v>
      </c>
      <c r="AK42" t="s">
        <v>54</v>
      </c>
      <c r="AL42">
        <v>2024</v>
      </c>
      <c r="AM42" s="6" t="s">
        <v>151</v>
      </c>
      <c r="AN42" s="7">
        <v>100.16</v>
      </c>
      <c r="AO42" s="8">
        <f t="shared" si="0"/>
        <v>187.79999999999998</v>
      </c>
      <c r="AP42" s="8">
        <f t="shared" si="1"/>
        <v>208.64579999999998</v>
      </c>
      <c r="AQ42" s="9">
        <f t="shared" si="2"/>
        <v>304.21721999999994</v>
      </c>
    </row>
    <row r="43" spans="1:43" x14ac:dyDescent="0.25">
      <c r="A43">
        <v>17</v>
      </c>
      <c r="B43">
        <v>5</v>
      </c>
      <c r="C43">
        <v>2024</v>
      </c>
      <c r="D43" t="s">
        <v>43</v>
      </c>
      <c r="E43" t="s">
        <v>79</v>
      </c>
      <c r="F43" t="s">
        <v>80</v>
      </c>
      <c r="G43">
        <v>3</v>
      </c>
      <c r="H43">
        <v>1791882490001</v>
      </c>
      <c r="I43" t="s">
        <v>46</v>
      </c>
      <c r="J43" t="s">
        <v>65</v>
      </c>
      <c r="K43" t="s">
        <v>48</v>
      </c>
      <c r="L43" t="s">
        <v>49</v>
      </c>
      <c r="M43" t="s">
        <v>50</v>
      </c>
      <c r="N43" t="s">
        <v>51</v>
      </c>
      <c r="O43">
        <v>4009320000</v>
      </c>
      <c r="P43" t="s">
        <v>142</v>
      </c>
      <c r="Q43" t="s">
        <v>67</v>
      </c>
      <c r="R43" t="s">
        <v>54</v>
      </c>
      <c r="S43" t="s">
        <v>55</v>
      </c>
      <c r="T43">
        <v>6</v>
      </c>
      <c r="U43">
        <v>1</v>
      </c>
      <c r="V43" t="s">
        <v>56</v>
      </c>
      <c r="W43">
        <v>0</v>
      </c>
      <c r="X43">
        <v>103.83</v>
      </c>
      <c r="Y43">
        <v>10.02</v>
      </c>
      <c r="Z43">
        <v>0.69</v>
      </c>
      <c r="AA43">
        <v>114.54</v>
      </c>
      <c r="AB43" t="s">
        <v>57</v>
      </c>
      <c r="AC43" t="s">
        <v>81</v>
      </c>
      <c r="AD43" t="s">
        <v>48</v>
      </c>
      <c r="AE43">
        <v>0</v>
      </c>
      <c r="AF43">
        <v>1.08</v>
      </c>
      <c r="AG43" t="s">
        <v>82</v>
      </c>
      <c r="AH43">
        <v>471463</v>
      </c>
      <c r="AI43" t="s">
        <v>60</v>
      </c>
      <c r="AJ43" t="s">
        <v>60</v>
      </c>
      <c r="AK43" t="s">
        <v>54</v>
      </c>
      <c r="AL43">
        <v>2024</v>
      </c>
      <c r="AM43" s="6" t="s">
        <v>151</v>
      </c>
      <c r="AN43" s="7">
        <v>103.83</v>
      </c>
      <c r="AO43" s="8">
        <f t="shared" si="0"/>
        <v>194.68125000000001</v>
      </c>
      <c r="AP43" s="8">
        <f t="shared" si="1"/>
        <v>216.29086875000002</v>
      </c>
      <c r="AQ43" s="9">
        <f t="shared" si="2"/>
        <v>315.36415687499999</v>
      </c>
    </row>
    <row r="44" spans="1:43" x14ac:dyDescent="0.25">
      <c r="A44">
        <v>10</v>
      </c>
      <c r="B44">
        <v>10</v>
      </c>
      <c r="C44">
        <v>2024</v>
      </c>
      <c r="D44" t="s">
        <v>43</v>
      </c>
      <c r="E44" t="s">
        <v>44</v>
      </c>
      <c r="F44" t="s">
        <v>45</v>
      </c>
      <c r="G44">
        <v>4</v>
      </c>
      <c r="H44">
        <v>1791882490001</v>
      </c>
      <c r="I44" t="s">
        <v>46</v>
      </c>
      <c r="J44" t="s">
        <v>65</v>
      </c>
      <c r="K44" t="s">
        <v>48</v>
      </c>
      <c r="L44" t="s">
        <v>49</v>
      </c>
      <c r="M44" t="s">
        <v>50</v>
      </c>
      <c r="N44" t="s">
        <v>51</v>
      </c>
      <c r="O44">
        <v>4009320000</v>
      </c>
      <c r="P44" t="s">
        <v>152</v>
      </c>
      <c r="Q44" t="s">
        <v>67</v>
      </c>
      <c r="R44" t="s">
        <v>54</v>
      </c>
      <c r="S44" t="s">
        <v>55</v>
      </c>
      <c r="T44">
        <v>7</v>
      </c>
      <c r="U44">
        <v>1</v>
      </c>
      <c r="V44" t="s">
        <v>56</v>
      </c>
      <c r="W44">
        <v>0</v>
      </c>
      <c r="X44">
        <v>37.6</v>
      </c>
      <c r="Y44">
        <v>6.57</v>
      </c>
      <c r="Z44">
        <v>0.27</v>
      </c>
      <c r="AA44">
        <v>44.44</v>
      </c>
      <c r="AB44" t="s">
        <v>57</v>
      </c>
      <c r="AC44" t="s">
        <v>58</v>
      </c>
      <c r="AD44" t="s">
        <v>48</v>
      </c>
      <c r="AE44">
        <v>0</v>
      </c>
      <c r="AF44">
        <v>0.41</v>
      </c>
      <c r="AG44" t="s">
        <v>59</v>
      </c>
      <c r="AH44">
        <v>179772</v>
      </c>
      <c r="AI44" t="s">
        <v>60</v>
      </c>
      <c r="AJ44" t="s">
        <v>60</v>
      </c>
      <c r="AK44" t="s">
        <v>54</v>
      </c>
      <c r="AL44">
        <v>2024</v>
      </c>
      <c r="AM44" s="6" t="s">
        <v>153</v>
      </c>
      <c r="AN44" s="7">
        <v>37.6</v>
      </c>
      <c r="AO44" s="8">
        <f t="shared" si="0"/>
        <v>70.5</v>
      </c>
      <c r="AP44" s="8">
        <f t="shared" si="1"/>
        <v>78.325500000000005</v>
      </c>
      <c r="AQ44" s="9">
        <f t="shared" si="2"/>
        <v>114.20294999999999</v>
      </c>
    </row>
    <row r="45" spans="1:43" x14ac:dyDescent="0.25">
      <c r="A45">
        <v>10</v>
      </c>
      <c r="B45">
        <v>10</v>
      </c>
      <c r="C45">
        <v>2024</v>
      </c>
      <c r="D45" t="s">
        <v>43</v>
      </c>
      <c r="E45" t="s">
        <v>44</v>
      </c>
      <c r="F45" t="s">
        <v>45</v>
      </c>
      <c r="G45">
        <v>7</v>
      </c>
      <c r="H45">
        <v>1791882490001</v>
      </c>
      <c r="I45" t="s">
        <v>46</v>
      </c>
      <c r="J45" t="s">
        <v>65</v>
      </c>
      <c r="K45" t="s">
        <v>48</v>
      </c>
      <c r="L45" t="s">
        <v>49</v>
      </c>
      <c r="M45" t="s">
        <v>50</v>
      </c>
      <c r="N45" t="s">
        <v>51</v>
      </c>
      <c r="O45">
        <v>4009320000</v>
      </c>
      <c r="P45" t="s">
        <v>152</v>
      </c>
      <c r="Q45" t="s">
        <v>67</v>
      </c>
      <c r="R45" t="s">
        <v>54</v>
      </c>
      <c r="S45" t="s">
        <v>55</v>
      </c>
      <c r="T45">
        <v>7</v>
      </c>
      <c r="U45">
        <v>1</v>
      </c>
      <c r="V45" t="s">
        <v>56</v>
      </c>
      <c r="W45">
        <v>0</v>
      </c>
      <c r="X45">
        <v>45.41</v>
      </c>
      <c r="Y45">
        <v>7.93</v>
      </c>
      <c r="Z45">
        <v>0.33</v>
      </c>
      <c r="AA45">
        <v>53.68</v>
      </c>
      <c r="AB45" t="s">
        <v>57</v>
      </c>
      <c r="AC45" t="s">
        <v>58</v>
      </c>
      <c r="AD45" t="s">
        <v>48</v>
      </c>
      <c r="AE45">
        <v>0</v>
      </c>
      <c r="AF45">
        <v>0.49</v>
      </c>
      <c r="AG45" t="s">
        <v>59</v>
      </c>
      <c r="AH45">
        <v>179772</v>
      </c>
      <c r="AI45" t="s">
        <v>60</v>
      </c>
      <c r="AJ45" t="s">
        <v>60</v>
      </c>
      <c r="AK45" t="s">
        <v>54</v>
      </c>
      <c r="AL45">
        <v>2024</v>
      </c>
      <c r="AM45" s="6" t="s">
        <v>153</v>
      </c>
      <c r="AN45" s="7">
        <v>45.41</v>
      </c>
      <c r="AO45" s="8">
        <f t="shared" si="0"/>
        <v>85.143749999999997</v>
      </c>
      <c r="AP45" s="8">
        <f t="shared" si="1"/>
        <v>94.594706250000002</v>
      </c>
      <c r="AQ45" s="9">
        <f t="shared" si="2"/>
        <v>137.92436062499999</v>
      </c>
    </row>
    <row r="46" spans="1:43" x14ac:dyDescent="0.25">
      <c r="A46">
        <v>10</v>
      </c>
      <c r="B46">
        <v>10</v>
      </c>
      <c r="C46">
        <v>2024</v>
      </c>
      <c r="D46" t="s">
        <v>43</v>
      </c>
      <c r="E46" t="s">
        <v>44</v>
      </c>
      <c r="F46" t="s">
        <v>45</v>
      </c>
      <c r="G46">
        <v>5</v>
      </c>
      <c r="H46">
        <v>1791882490001</v>
      </c>
      <c r="I46" t="s">
        <v>46</v>
      </c>
      <c r="J46" t="s">
        <v>65</v>
      </c>
      <c r="K46" t="s">
        <v>48</v>
      </c>
      <c r="L46" t="s">
        <v>49</v>
      </c>
      <c r="M46" t="s">
        <v>50</v>
      </c>
      <c r="N46" t="s">
        <v>51</v>
      </c>
      <c r="O46">
        <v>4009320000</v>
      </c>
      <c r="P46" t="s">
        <v>152</v>
      </c>
      <c r="Q46" t="s">
        <v>67</v>
      </c>
      <c r="R46" t="s">
        <v>54</v>
      </c>
      <c r="S46" t="s">
        <v>55</v>
      </c>
      <c r="T46">
        <v>7</v>
      </c>
      <c r="U46">
        <v>1</v>
      </c>
      <c r="V46" t="s">
        <v>56</v>
      </c>
      <c r="W46">
        <v>0</v>
      </c>
      <c r="X46">
        <v>47.76</v>
      </c>
      <c r="Y46">
        <v>8.35</v>
      </c>
      <c r="Z46">
        <v>0.34</v>
      </c>
      <c r="AA46">
        <v>56.46</v>
      </c>
      <c r="AB46" t="s">
        <v>57</v>
      </c>
      <c r="AC46" t="s">
        <v>58</v>
      </c>
      <c r="AD46" t="s">
        <v>48</v>
      </c>
      <c r="AE46">
        <v>0</v>
      </c>
      <c r="AF46">
        <v>0.51</v>
      </c>
      <c r="AG46" t="s">
        <v>59</v>
      </c>
      <c r="AH46">
        <v>179772</v>
      </c>
      <c r="AI46" t="s">
        <v>60</v>
      </c>
      <c r="AJ46" t="s">
        <v>60</v>
      </c>
      <c r="AK46" t="s">
        <v>54</v>
      </c>
      <c r="AL46">
        <v>2024</v>
      </c>
      <c r="AM46" s="6" t="s">
        <v>154</v>
      </c>
      <c r="AN46" s="7">
        <v>47.76</v>
      </c>
      <c r="AO46" s="8">
        <f t="shared" si="0"/>
        <v>89.55</v>
      </c>
      <c r="AP46" s="8">
        <f t="shared" si="1"/>
        <v>99.490049999999997</v>
      </c>
      <c r="AQ46" s="9">
        <f t="shared" si="2"/>
        <v>145.06204499999998</v>
      </c>
    </row>
    <row r="47" spans="1:43" x14ac:dyDescent="0.25">
      <c r="A47">
        <v>20</v>
      </c>
      <c r="B47">
        <v>2</v>
      </c>
      <c r="C47">
        <v>2024</v>
      </c>
      <c r="D47" t="s">
        <v>43</v>
      </c>
      <c r="E47" t="s">
        <v>140</v>
      </c>
      <c r="F47" t="s">
        <v>141</v>
      </c>
      <c r="G47">
        <v>7</v>
      </c>
      <c r="H47">
        <v>1791882490001</v>
      </c>
      <c r="I47" t="s">
        <v>46</v>
      </c>
      <c r="J47" t="s">
        <v>65</v>
      </c>
      <c r="K47" t="s">
        <v>48</v>
      </c>
      <c r="L47" t="s">
        <v>49</v>
      </c>
      <c r="M47" t="s">
        <v>50</v>
      </c>
      <c r="N47" t="s">
        <v>51</v>
      </c>
      <c r="O47">
        <v>4009320000</v>
      </c>
      <c r="P47" t="s">
        <v>142</v>
      </c>
      <c r="Q47" t="s">
        <v>67</v>
      </c>
      <c r="R47" t="s">
        <v>54</v>
      </c>
      <c r="S47" t="s">
        <v>55</v>
      </c>
      <c r="T47">
        <v>6</v>
      </c>
      <c r="U47">
        <v>1</v>
      </c>
      <c r="V47" t="s">
        <v>56</v>
      </c>
      <c r="W47">
        <v>0</v>
      </c>
      <c r="X47">
        <v>69.680000000000007</v>
      </c>
      <c r="Y47">
        <v>6.25</v>
      </c>
      <c r="Z47">
        <v>0.47</v>
      </c>
      <c r="AA47">
        <v>76.39</v>
      </c>
      <c r="AB47" t="s">
        <v>54</v>
      </c>
      <c r="AC47" t="s">
        <v>143</v>
      </c>
      <c r="AD47" t="s">
        <v>48</v>
      </c>
      <c r="AE47">
        <v>0</v>
      </c>
      <c r="AF47">
        <v>1.87</v>
      </c>
      <c r="AG47" t="s">
        <v>59</v>
      </c>
      <c r="AH47">
        <v>876053</v>
      </c>
      <c r="AI47" t="s">
        <v>60</v>
      </c>
      <c r="AJ47" t="s">
        <v>60</v>
      </c>
      <c r="AK47" t="s">
        <v>54</v>
      </c>
      <c r="AL47">
        <v>2024</v>
      </c>
      <c r="AM47" s="6" t="s">
        <v>155</v>
      </c>
      <c r="AN47" s="7">
        <v>69.680000000000007</v>
      </c>
      <c r="AO47" s="8">
        <f t="shared" si="0"/>
        <v>130.65</v>
      </c>
      <c r="AP47" s="8">
        <f t="shared" si="1"/>
        <v>145.15215000000001</v>
      </c>
      <c r="AQ47" s="9">
        <f t="shared" si="2"/>
        <v>211.63993500000001</v>
      </c>
    </row>
    <row r="48" spans="1:43" x14ac:dyDescent="0.25">
      <c r="A48">
        <v>17</v>
      </c>
      <c r="B48">
        <v>5</v>
      </c>
      <c r="C48">
        <v>2024</v>
      </c>
      <c r="D48" t="s">
        <v>43</v>
      </c>
      <c r="E48" t="s">
        <v>79</v>
      </c>
      <c r="F48" t="s">
        <v>80</v>
      </c>
      <c r="G48">
        <v>4</v>
      </c>
      <c r="H48">
        <v>1791882490001</v>
      </c>
      <c r="I48" t="s">
        <v>46</v>
      </c>
      <c r="J48" t="s">
        <v>65</v>
      </c>
      <c r="K48" t="s">
        <v>48</v>
      </c>
      <c r="L48" t="s">
        <v>49</v>
      </c>
      <c r="M48" t="s">
        <v>50</v>
      </c>
      <c r="N48" t="s">
        <v>51</v>
      </c>
      <c r="O48">
        <v>4009320000</v>
      </c>
      <c r="P48" t="s">
        <v>142</v>
      </c>
      <c r="Q48" t="s">
        <v>67</v>
      </c>
      <c r="R48" t="s">
        <v>54</v>
      </c>
      <c r="S48" t="s">
        <v>55</v>
      </c>
      <c r="T48">
        <v>6</v>
      </c>
      <c r="U48">
        <v>1</v>
      </c>
      <c r="V48" t="s">
        <v>56</v>
      </c>
      <c r="W48">
        <v>0</v>
      </c>
      <c r="X48">
        <v>72.23</v>
      </c>
      <c r="Y48">
        <v>6.97</v>
      </c>
      <c r="Z48">
        <v>0.48</v>
      </c>
      <c r="AA48">
        <v>79.69</v>
      </c>
      <c r="AB48" t="s">
        <v>57</v>
      </c>
      <c r="AC48" t="s">
        <v>81</v>
      </c>
      <c r="AD48" t="s">
        <v>48</v>
      </c>
      <c r="AE48">
        <v>0</v>
      </c>
      <c r="AF48">
        <v>1.08</v>
      </c>
      <c r="AG48" t="s">
        <v>82</v>
      </c>
      <c r="AH48">
        <v>471463</v>
      </c>
      <c r="AI48" t="s">
        <v>60</v>
      </c>
      <c r="AJ48" t="s">
        <v>60</v>
      </c>
      <c r="AK48" t="s">
        <v>54</v>
      </c>
      <c r="AL48">
        <v>2024</v>
      </c>
      <c r="AM48" s="6" t="s">
        <v>155</v>
      </c>
      <c r="AN48" s="7">
        <v>72.23</v>
      </c>
      <c r="AO48" s="8">
        <f t="shared" si="0"/>
        <v>135.43125000000001</v>
      </c>
      <c r="AP48" s="8">
        <f t="shared" si="1"/>
        <v>150.46411875000001</v>
      </c>
      <c r="AQ48" s="9">
        <f t="shared" si="2"/>
        <v>219.385081875</v>
      </c>
    </row>
    <row r="49" spans="1:43" x14ac:dyDescent="0.25">
      <c r="A49">
        <v>20</v>
      </c>
      <c r="B49">
        <v>2</v>
      </c>
      <c r="C49">
        <v>2024</v>
      </c>
      <c r="D49" t="s">
        <v>43</v>
      </c>
      <c r="E49" t="s">
        <v>140</v>
      </c>
      <c r="F49" t="s">
        <v>141</v>
      </c>
      <c r="G49">
        <v>8</v>
      </c>
      <c r="H49">
        <v>1791882490001</v>
      </c>
      <c r="I49" t="s">
        <v>46</v>
      </c>
      <c r="J49" t="s">
        <v>65</v>
      </c>
      <c r="K49" t="s">
        <v>48</v>
      </c>
      <c r="L49" t="s">
        <v>49</v>
      </c>
      <c r="M49" t="s">
        <v>50</v>
      </c>
      <c r="N49" t="s">
        <v>51</v>
      </c>
      <c r="O49">
        <v>4009320000</v>
      </c>
      <c r="P49" t="s">
        <v>142</v>
      </c>
      <c r="Q49" t="s">
        <v>67</v>
      </c>
      <c r="R49" t="s">
        <v>54</v>
      </c>
      <c r="S49" t="s">
        <v>55</v>
      </c>
      <c r="T49">
        <v>6</v>
      </c>
      <c r="U49">
        <v>1</v>
      </c>
      <c r="V49" t="s">
        <v>56</v>
      </c>
      <c r="W49">
        <v>0</v>
      </c>
      <c r="X49">
        <v>78.94</v>
      </c>
      <c r="Y49">
        <v>7.08</v>
      </c>
      <c r="Z49">
        <v>0.53</v>
      </c>
      <c r="AA49">
        <v>86.55</v>
      </c>
      <c r="AB49" t="s">
        <v>54</v>
      </c>
      <c r="AC49" t="s">
        <v>143</v>
      </c>
      <c r="AD49" t="s">
        <v>48</v>
      </c>
      <c r="AE49">
        <v>0</v>
      </c>
      <c r="AF49">
        <v>1.87</v>
      </c>
      <c r="AG49" t="s">
        <v>59</v>
      </c>
      <c r="AH49">
        <v>876053</v>
      </c>
      <c r="AI49" t="s">
        <v>60</v>
      </c>
      <c r="AJ49" t="s">
        <v>60</v>
      </c>
      <c r="AK49" t="s">
        <v>54</v>
      </c>
      <c r="AL49">
        <v>2024</v>
      </c>
      <c r="AM49" s="6" t="s">
        <v>156</v>
      </c>
      <c r="AN49" s="7">
        <v>78.94</v>
      </c>
      <c r="AO49" s="8">
        <f t="shared" si="0"/>
        <v>148.01249999999999</v>
      </c>
      <c r="AP49" s="8">
        <f t="shared" si="1"/>
        <v>164.44188749999998</v>
      </c>
      <c r="AQ49" s="9">
        <f t="shared" si="2"/>
        <v>239.76544874999996</v>
      </c>
    </row>
    <row r="50" spans="1:43" x14ac:dyDescent="0.25">
      <c r="A50">
        <v>10</v>
      </c>
      <c r="B50">
        <v>10</v>
      </c>
      <c r="C50">
        <v>2024</v>
      </c>
      <c r="D50" t="s">
        <v>43</v>
      </c>
      <c r="E50" t="s">
        <v>44</v>
      </c>
      <c r="F50" t="s">
        <v>45</v>
      </c>
      <c r="G50">
        <v>8</v>
      </c>
      <c r="H50">
        <v>1791882490001</v>
      </c>
      <c r="I50" t="s">
        <v>46</v>
      </c>
      <c r="J50" t="s">
        <v>65</v>
      </c>
      <c r="K50" t="s">
        <v>48</v>
      </c>
      <c r="L50" t="s">
        <v>49</v>
      </c>
      <c r="M50" t="s">
        <v>50</v>
      </c>
      <c r="N50" t="s">
        <v>51</v>
      </c>
      <c r="O50">
        <v>4009320000</v>
      </c>
      <c r="P50" t="s">
        <v>152</v>
      </c>
      <c r="Q50" t="s">
        <v>67</v>
      </c>
      <c r="R50" t="s">
        <v>54</v>
      </c>
      <c r="S50" t="s">
        <v>55</v>
      </c>
      <c r="T50">
        <v>7</v>
      </c>
      <c r="U50">
        <v>1</v>
      </c>
      <c r="V50" t="s">
        <v>56</v>
      </c>
      <c r="W50">
        <v>0</v>
      </c>
      <c r="X50">
        <v>60.37</v>
      </c>
      <c r="Y50">
        <v>10.55</v>
      </c>
      <c r="Z50">
        <v>0.44</v>
      </c>
      <c r="AA50">
        <v>71.349999999999994</v>
      </c>
      <c r="AB50" t="s">
        <v>57</v>
      </c>
      <c r="AC50" t="s">
        <v>58</v>
      </c>
      <c r="AD50" t="s">
        <v>48</v>
      </c>
      <c r="AE50">
        <v>0</v>
      </c>
      <c r="AF50">
        <v>0.65</v>
      </c>
      <c r="AG50" t="s">
        <v>59</v>
      </c>
      <c r="AH50">
        <v>179772</v>
      </c>
      <c r="AI50" t="s">
        <v>60</v>
      </c>
      <c r="AJ50" t="s">
        <v>60</v>
      </c>
      <c r="AK50" t="s">
        <v>54</v>
      </c>
      <c r="AL50">
        <v>2024</v>
      </c>
      <c r="AM50" s="6" t="s">
        <v>157</v>
      </c>
      <c r="AN50" s="7">
        <v>60.37</v>
      </c>
      <c r="AO50" s="8">
        <f t="shared" si="0"/>
        <v>113.19374999999999</v>
      </c>
      <c r="AP50" s="8">
        <f t="shared" si="1"/>
        <v>125.75825624999999</v>
      </c>
      <c r="AQ50" s="9">
        <f t="shared" si="2"/>
        <v>183.36255562499997</v>
      </c>
    </row>
    <row r="51" spans="1:43" x14ac:dyDescent="0.25">
      <c r="A51">
        <v>17</v>
      </c>
      <c r="B51">
        <v>5</v>
      </c>
      <c r="C51">
        <v>2024</v>
      </c>
      <c r="D51" t="s">
        <v>43</v>
      </c>
      <c r="E51" t="s">
        <v>79</v>
      </c>
      <c r="F51" t="s">
        <v>80</v>
      </c>
      <c r="G51">
        <v>5</v>
      </c>
      <c r="H51">
        <v>1791882490001</v>
      </c>
      <c r="I51" t="s">
        <v>46</v>
      </c>
      <c r="J51" t="s">
        <v>65</v>
      </c>
      <c r="K51" t="s">
        <v>48</v>
      </c>
      <c r="L51" t="s">
        <v>49</v>
      </c>
      <c r="M51" t="s">
        <v>50</v>
      </c>
      <c r="N51" t="s">
        <v>51</v>
      </c>
      <c r="O51">
        <v>4009320000</v>
      </c>
      <c r="P51" t="s">
        <v>142</v>
      </c>
      <c r="Q51" t="s">
        <v>67</v>
      </c>
      <c r="R51" t="s">
        <v>54</v>
      </c>
      <c r="S51" t="s">
        <v>55</v>
      </c>
      <c r="T51">
        <v>6</v>
      </c>
      <c r="U51">
        <v>1</v>
      </c>
      <c r="V51" t="s">
        <v>56</v>
      </c>
      <c r="W51">
        <v>0</v>
      </c>
      <c r="X51">
        <v>154.62</v>
      </c>
      <c r="Y51">
        <v>14.93</v>
      </c>
      <c r="Z51">
        <v>1.03</v>
      </c>
      <c r="AA51">
        <v>170.57</v>
      </c>
      <c r="AB51" t="s">
        <v>57</v>
      </c>
      <c r="AC51" t="s">
        <v>81</v>
      </c>
      <c r="AD51" t="s">
        <v>48</v>
      </c>
      <c r="AE51">
        <v>0</v>
      </c>
      <c r="AF51">
        <v>1.08</v>
      </c>
      <c r="AG51" t="s">
        <v>82</v>
      </c>
      <c r="AH51">
        <v>471463</v>
      </c>
      <c r="AI51" t="s">
        <v>60</v>
      </c>
      <c r="AJ51" t="s">
        <v>60</v>
      </c>
      <c r="AK51" t="s">
        <v>54</v>
      </c>
      <c r="AL51">
        <v>2024</v>
      </c>
      <c r="AM51" s="6" t="s">
        <v>158</v>
      </c>
      <c r="AN51" s="7">
        <v>154.62</v>
      </c>
      <c r="AO51" s="8">
        <f t="shared" si="0"/>
        <v>289.91250000000002</v>
      </c>
      <c r="AP51" s="8">
        <f t="shared" si="1"/>
        <v>322.09278750000004</v>
      </c>
      <c r="AQ51" s="9">
        <f t="shared" si="2"/>
        <v>469.62925875000002</v>
      </c>
    </row>
    <row r="52" spans="1:43" x14ac:dyDescent="0.25">
      <c r="A52">
        <v>10</v>
      </c>
      <c r="B52">
        <v>10</v>
      </c>
      <c r="C52">
        <v>2024</v>
      </c>
      <c r="D52" t="s">
        <v>43</v>
      </c>
      <c r="E52" t="s">
        <v>44</v>
      </c>
      <c r="F52" t="s">
        <v>45</v>
      </c>
      <c r="G52">
        <v>6</v>
      </c>
      <c r="H52">
        <v>1791882490001</v>
      </c>
      <c r="I52" t="s">
        <v>46</v>
      </c>
      <c r="J52" t="s">
        <v>48</v>
      </c>
      <c r="K52" t="s">
        <v>48</v>
      </c>
      <c r="L52" t="s">
        <v>49</v>
      </c>
      <c r="M52" t="s">
        <v>50</v>
      </c>
      <c r="N52" t="s">
        <v>51</v>
      </c>
      <c r="O52">
        <v>4009320000</v>
      </c>
      <c r="P52" t="s">
        <v>152</v>
      </c>
      <c r="Q52" t="s">
        <v>67</v>
      </c>
      <c r="R52" t="s">
        <v>54</v>
      </c>
      <c r="S52" t="s">
        <v>55</v>
      </c>
      <c r="T52">
        <v>7</v>
      </c>
      <c r="U52">
        <v>1</v>
      </c>
      <c r="V52" t="s">
        <v>56</v>
      </c>
      <c r="W52">
        <v>0</v>
      </c>
      <c r="X52">
        <v>68.37</v>
      </c>
      <c r="Y52">
        <v>11.95</v>
      </c>
      <c r="Z52">
        <v>0.49</v>
      </c>
      <c r="AA52">
        <v>80.81</v>
      </c>
      <c r="AB52" t="s">
        <v>57</v>
      </c>
      <c r="AC52" t="s">
        <v>58</v>
      </c>
      <c r="AD52" t="s">
        <v>48</v>
      </c>
      <c r="AE52">
        <v>0</v>
      </c>
      <c r="AF52">
        <v>0.74</v>
      </c>
      <c r="AG52" t="s">
        <v>59</v>
      </c>
      <c r="AH52">
        <v>179772</v>
      </c>
      <c r="AI52" t="s">
        <v>60</v>
      </c>
      <c r="AJ52" t="s">
        <v>60</v>
      </c>
      <c r="AK52" t="s">
        <v>54</v>
      </c>
      <c r="AL52">
        <v>2024</v>
      </c>
      <c r="AM52" s="6" t="s">
        <v>159</v>
      </c>
      <c r="AN52" s="7">
        <v>68.37</v>
      </c>
      <c r="AO52" s="8">
        <f t="shared" si="0"/>
        <v>128.19375000000002</v>
      </c>
      <c r="AP52" s="8">
        <f t="shared" si="1"/>
        <v>142.42325625000004</v>
      </c>
      <c r="AQ52" s="9">
        <f t="shared" si="2"/>
        <v>207.66105562500002</v>
      </c>
    </row>
    <row r="53" spans="1:43" x14ac:dyDescent="0.25">
      <c r="A53">
        <v>17</v>
      </c>
      <c r="B53">
        <v>5</v>
      </c>
      <c r="C53">
        <v>2024</v>
      </c>
      <c r="D53" t="s">
        <v>43</v>
      </c>
      <c r="E53" t="s">
        <v>79</v>
      </c>
      <c r="F53" t="s">
        <v>80</v>
      </c>
      <c r="G53">
        <v>6</v>
      </c>
      <c r="H53">
        <v>1791882490001</v>
      </c>
      <c r="I53" t="s">
        <v>46</v>
      </c>
      <c r="J53" t="s">
        <v>65</v>
      </c>
      <c r="K53" t="s">
        <v>48</v>
      </c>
      <c r="L53" t="s">
        <v>49</v>
      </c>
      <c r="M53" t="s">
        <v>50</v>
      </c>
      <c r="N53" t="s">
        <v>51</v>
      </c>
      <c r="O53">
        <v>4009320000</v>
      </c>
      <c r="P53" t="s">
        <v>142</v>
      </c>
      <c r="Q53" t="s">
        <v>67</v>
      </c>
      <c r="R53" t="s">
        <v>54</v>
      </c>
      <c r="S53" t="s">
        <v>55</v>
      </c>
      <c r="T53">
        <v>6</v>
      </c>
      <c r="U53">
        <v>1</v>
      </c>
      <c r="V53" t="s">
        <v>56</v>
      </c>
      <c r="W53">
        <v>0</v>
      </c>
      <c r="X53">
        <v>151.24</v>
      </c>
      <c r="Y53">
        <v>14.6</v>
      </c>
      <c r="Z53">
        <v>1.01</v>
      </c>
      <c r="AA53">
        <v>166.85</v>
      </c>
      <c r="AB53" t="s">
        <v>57</v>
      </c>
      <c r="AC53" t="s">
        <v>81</v>
      </c>
      <c r="AD53" t="s">
        <v>48</v>
      </c>
      <c r="AE53">
        <v>0</v>
      </c>
      <c r="AF53">
        <v>1.08</v>
      </c>
      <c r="AG53" t="s">
        <v>82</v>
      </c>
      <c r="AH53">
        <v>471463</v>
      </c>
      <c r="AI53" t="s">
        <v>60</v>
      </c>
      <c r="AJ53" t="s">
        <v>60</v>
      </c>
      <c r="AK53" t="s">
        <v>54</v>
      </c>
      <c r="AL53">
        <v>2024</v>
      </c>
      <c r="AM53" s="6" t="s">
        <v>160</v>
      </c>
      <c r="AN53" s="7">
        <v>151.24</v>
      </c>
      <c r="AO53" s="8">
        <f t="shared" si="0"/>
        <v>283.57500000000005</v>
      </c>
      <c r="AP53" s="8">
        <f t="shared" si="1"/>
        <v>315.05182500000006</v>
      </c>
      <c r="AQ53" s="9">
        <f t="shared" si="2"/>
        <v>459.36314250000004</v>
      </c>
    </row>
    <row r="54" spans="1:43" x14ac:dyDescent="0.25">
      <c r="A54">
        <v>20</v>
      </c>
      <c r="B54">
        <v>2</v>
      </c>
      <c r="C54">
        <v>2024</v>
      </c>
      <c r="D54" t="s">
        <v>43</v>
      </c>
      <c r="E54" t="s">
        <v>140</v>
      </c>
      <c r="F54" t="s">
        <v>141</v>
      </c>
      <c r="G54">
        <v>9</v>
      </c>
      <c r="H54">
        <v>1791882490001</v>
      </c>
      <c r="I54" t="s">
        <v>46</v>
      </c>
      <c r="J54" t="s">
        <v>65</v>
      </c>
      <c r="K54" t="s">
        <v>48</v>
      </c>
      <c r="L54" t="s">
        <v>49</v>
      </c>
      <c r="M54" t="s">
        <v>50</v>
      </c>
      <c r="N54" t="s">
        <v>51</v>
      </c>
      <c r="O54">
        <v>4009320000</v>
      </c>
      <c r="P54" t="s">
        <v>142</v>
      </c>
      <c r="Q54" t="s">
        <v>67</v>
      </c>
      <c r="R54" t="s">
        <v>54</v>
      </c>
      <c r="S54" t="s">
        <v>55</v>
      </c>
      <c r="T54">
        <v>6</v>
      </c>
      <c r="U54">
        <v>2</v>
      </c>
      <c r="V54" t="s">
        <v>56</v>
      </c>
      <c r="W54">
        <v>0</v>
      </c>
      <c r="X54">
        <v>93.93</v>
      </c>
      <c r="Y54">
        <v>8.43</v>
      </c>
      <c r="Z54">
        <v>0.63</v>
      </c>
      <c r="AA54">
        <v>102.99</v>
      </c>
      <c r="AB54" t="s">
        <v>54</v>
      </c>
      <c r="AC54" t="s">
        <v>143</v>
      </c>
      <c r="AD54" t="s">
        <v>48</v>
      </c>
      <c r="AE54">
        <v>0</v>
      </c>
      <c r="AF54">
        <v>3.74</v>
      </c>
      <c r="AG54" t="s">
        <v>59</v>
      </c>
      <c r="AH54">
        <v>876053</v>
      </c>
      <c r="AI54" t="s">
        <v>60</v>
      </c>
      <c r="AJ54" t="s">
        <v>60</v>
      </c>
      <c r="AK54" t="s">
        <v>54</v>
      </c>
      <c r="AL54">
        <v>2024</v>
      </c>
      <c r="AM54" s="6" t="s">
        <v>161</v>
      </c>
      <c r="AN54" s="7">
        <v>46.96</v>
      </c>
      <c r="AO54" s="8">
        <f t="shared" si="0"/>
        <v>88.05</v>
      </c>
      <c r="AP54" s="8">
        <f t="shared" si="1"/>
        <v>97.823549999999997</v>
      </c>
      <c r="AQ54" s="9">
        <f t="shared" si="2"/>
        <v>142.632195</v>
      </c>
    </row>
    <row r="55" spans="1:43" x14ac:dyDescent="0.25">
      <c r="A55">
        <v>20</v>
      </c>
      <c r="B55">
        <v>2</v>
      </c>
      <c r="C55">
        <v>2024</v>
      </c>
      <c r="D55" t="s">
        <v>43</v>
      </c>
      <c r="E55" t="s">
        <v>140</v>
      </c>
      <c r="F55" t="s">
        <v>141</v>
      </c>
      <c r="G55">
        <v>10</v>
      </c>
      <c r="H55">
        <v>1791882490001</v>
      </c>
      <c r="I55" t="s">
        <v>46</v>
      </c>
      <c r="J55" t="s">
        <v>65</v>
      </c>
      <c r="K55" t="s">
        <v>48</v>
      </c>
      <c r="L55" t="s">
        <v>49</v>
      </c>
      <c r="M55" t="s">
        <v>50</v>
      </c>
      <c r="N55" t="s">
        <v>51</v>
      </c>
      <c r="O55">
        <v>4009320000</v>
      </c>
      <c r="P55" t="s">
        <v>142</v>
      </c>
      <c r="Q55" t="s">
        <v>67</v>
      </c>
      <c r="R55" t="s">
        <v>54</v>
      </c>
      <c r="S55" t="s">
        <v>55</v>
      </c>
      <c r="T55">
        <v>6</v>
      </c>
      <c r="U55">
        <v>2</v>
      </c>
      <c r="V55" t="s">
        <v>56</v>
      </c>
      <c r="W55">
        <v>0</v>
      </c>
      <c r="X55">
        <v>268.17</v>
      </c>
      <c r="Y55">
        <v>24.07</v>
      </c>
      <c r="Z55">
        <v>1.8</v>
      </c>
      <c r="AA55">
        <v>294.04000000000002</v>
      </c>
      <c r="AB55" t="s">
        <v>54</v>
      </c>
      <c r="AC55" t="s">
        <v>143</v>
      </c>
      <c r="AD55" t="s">
        <v>48</v>
      </c>
      <c r="AE55">
        <v>0</v>
      </c>
      <c r="AF55">
        <v>3.74</v>
      </c>
      <c r="AG55" t="s">
        <v>59</v>
      </c>
      <c r="AH55">
        <v>876053</v>
      </c>
      <c r="AI55" t="s">
        <v>60</v>
      </c>
      <c r="AJ55" t="s">
        <v>60</v>
      </c>
      <c r="AK55" t="s">
        <v>54</v>
      </c>
      <c r="AL55">
        <v>2024</v>
      </c>
      <c r="AM55" s="6" t="s">
        <v>162</v>
      </c>
      <c r="AN55" s="7">
        <v>134.09</v>
      </c>
      <c r="AO55" s="8">
        <f t="shared" si="0"/>
        <v>251.41875000000002</v>
      </c>
      <c r="AP55" s="8">
        <f t="shared" si="1"/>
        <v>279.32623125000003</v>
      </c>
      <c r="AQ55" s="9">
        <f t="shared" si="2"/>
        <v>407.27323312499999</v>
      </c>
    </row>
    <row r="56" spans="1:43" x14ac:dyDescent="0.25">
      <c r="A56">
        <v>20</v>
      </c>
      <c r="B56">
        <v>2</v>
      </c>
      <c r="C56">
        <v>2024</v>
      </c>
      <c r="D56" t="s">
        <v>43</v>
      </c>
      <c r="E56" t="s">
        <v>140</v>
      </c>
      <c r="F56" t="s">
        <v>141</v>
      </c>
      <c r="G56">
        <v>11</v>
      </c>
      <c r="H56">
        <v>1791882490001</v>
      </c>
      <c r="I56" t="s">
        <v>46</v>
      </c>
      <c r="J56" t="s">
        <v>65</v>
      </c>
      <c r="K56" t="s">
        <v>48</v>
      </c>
      <c r="L56" t="s">
        <v>49</v>
      </c>
      <c r="M56" t="s">
        <v>50</v>
      </c>
      <c r="N56" t="s">
        <v>51</v>
      </c>
      <c r="O56">
        <v>4009320000</v>
      </c>
      <c r="P56" t="s">
        <v>142</v>
      </c>
      <c r="Q56" t="s">
        <v>67</v>
      </c>
      <c r="R56" t="s">
        <v>54</v>
      </c>
      <c r="S56" t="s">
        <v>55</v>
      </c>
      <c r="T56">
        <v>6</v>
      </c>
      <c r="U56">
        <v>3</v>
      </c>
      <c r="V56" t="s">
        <v>56</v>
      </c>
      <c r="W56">
        <v>0</v>
      </c>
      <c r="X56">
        <v>402.26</v>
      </c>
      <c r="Y56">
        <v>36.1</v>
      </c>
      <c r="Z56">
        <v>2.7</v>
      </c>
      <c r="AA56">
        <v>441.06</v>
      </c>
      <c r="AB56" t="s">
        <v>54</v>
      </c>
      <c r="AC56" t="s">
        <v>143</v>
      </c>
      <c r="AD56" t="s">
        <v>48</v>
      </c>
      <c r="AE56">
        <v>0</v>
      </c>
      <c r="AF56">
        <v>5.61</v>
      </c>
      <c r="AG56" t="s">
        <v>59</v>
      </c>
      <c r="AH56">
        <v>876053</v>
      </c>
      <c r="AI56" t="s">
        <v>60</v>
      </c>
      <c r="AJ56" t="s">
        <v>60</v>
      </c>
      <c r="AK56" t="s">
        <v>54</v>
      </c>
      <c r="AL56">
        <v>2024</v>
      </c>
      <c r="AM56" s="6" t="s">
        <v>162</v>
      </c>
      <c r="AN56" s="7">
        <v>134.09</v>
      </c>
      <c r="AO56" s="8">
        <f t="shared" si="0"/>
        <v>251.41875000000002</v>
      </c>
      <c r="AP56" s="8">
        <f t="shared" si="1"/>
        <v>279.32623125000003</v>
      </c>
      <c r="AQ56" s="9">
        <f t="shared" si="2"/>
        <v>407.27323312499999</v>
      </c>
    </row>
    <row r="57" spans="1:43" x14ac:dyDescent="0.25">
      <c r="A57">
        <v>10</v>
      </c>
      <c r="B57">
        <v>10</v>
      </c>
      <c r="C57">
        <v>2024</v>
      </c>
      <c r="D57" t="s">
        <v>43</v>
      </c>
      <c r="E57" t="s">
        <v>44</v>
      </c>
      <c r="F57" t="s">
        <v>45</v>
      </c>
      <c r="G57">
        <v>9</v>
      </c>
      <c r="H57">
        <v>1791882490001</v>
      </c>
      <c r="I57" t="s">
        <v>46</v>
      </c>
      <c r="J57" t="s">
        <v>48</v>
      </c>
      <c r="K57" t="s">
        <v>48</v>
      </c>
      <c r="L57" t="s">
        <v>49</v>
      </c>
      <c r="M57" t="s">
        <v>50</v>
      </c>
      <c r="N57" t="s">
        <v>51</v>
      </c>
      <c r="O57">
        <v>4009320000</v>
      </c>
      <c r="P57" t="s">
        <v>152</v>
      </c>
      <c r="Q57" t="s">
        <v>67</v>
      </c>
      <c r="R57" t="s">
        <v>54</v>
      </c>
      <c r="S57" t="s">
        <v>55</v>
      </c>
      <c r="T57">
        <v>7</v>
      </c>
      <c r="U57">
        <v>1</v>
      </c>
      <c r="V57" t="s">
        <v>56</v>
      </c>
      <c r="W57">
        <v>0</v>
      </c>
      <c r="X57">
        <v>172.62</v>
      </c>
      <c r="Y57">
        <v>30.16</v>
      </c>
      <c r="Z57">
        <v>1.24</v>
      </c>
      <c r="AA57">
        <v>204.02</v>
      </c>
      <c r="AB57" t="s">
        <v>57</v>
      </c>
      <c r="AC57" t="s">
        <v>58</v>
      </c>
      <c r="AD57" t="s">
        <v>48</v>
      </c>
      <c r="AE57">
        <v>0</v>
      </c>
      <c r="AF57">
        <v>1.86</v>
      </c>
      <c r="AG57" t="s">
        <v>59</v>
      </c>
      <c r="AH57">
        <v>179772</v>
      </c>
      <c r="AI57" t="s">
        <v>60</v>
      </c>
      <c r="AJ57" t="s">
        <v>60</v>
      </c>
      <c r="AK57" t="s">
        <v>54</v>
      </c>
      <c r="AL57">
        <v>2024</v>
      </c>
      <c r="AM57" s="6" t="s">
        <v>163</v>
      </c>
      <c r="AN57" s="7">
        <v>172.62</v>
      </c>
      <c r="AO57" s="8">
        <f t="shared" si="0"/>
        <v>323.66250000000002</v>
      </c>
      <c r="AP57" s="8">
        <f t="shared" si="1"/>
        <v>359.58903750000002</v>
      </c>
      <c r="AQ57" s="9">
        <f t="shared" si="2"/>
        <v>524.30088375000003</v>
      </c>
    </row>
    <row r="58" spans="1:43" x14ac:dyDescent="0.25">
      <c r="A58">
        <v>13</v>
      </c>
      <c r="B58">
        <v>3</v>
      </c>
      <c r="C58">
        <v>2024</v>
      </c>
      <c r="D58" t="s">
        <v>43</v>
      </c>
      <c r="E58" t="s">
        <v>69</v>
      </c>
      <c r="F58" t="s">
        <v>70</v>
      </c>
      <c r="G58">
        <v>2</v>
      </c>
      <c r="H58">
        <v>1791882490001</v>
      </c>
      <c r="I58" t="s">
        <v>46</v>
      </c>
      <c r="J58" t="s">
        <v>133</v>
      </c>
      <c r="K58" t="s">
        <v>48</v>
      </c>
      <c r="L58" t="s">
        <v>49</v>
      </c>
      <c r="M58" t="s">
        <v>50</v>
      </c>
      <c r="N58" t="s">
        <v>51</v>
      </c>
      <c r="O58">
        <v>7307990099</v>
      </c>
      <c r="P58" t="s">
        <v>66</v>
      </c>
      <c r="Q58" t="s">
        <v>164</v>
      </c>
      <c r="R58" t="s">
        <v>54</v>
      </c>
      <c r="S58" t="s">
        <v>55</v>
      </c>
      <c r="T58">
        <v>11</v>
      </c>
      <c r="U58">
        <v>1</v>
      </c>
      <c r="V58" t="s">
        <v>56</v>
      </c>
      <c r="W58">
        <v>0</v>
      </c>
      <c r="X58">
        <v>4.03</v>
      </c>
      <c r="Y58">
        <v>0.53</v>
      </c>
      <c r="Z58">
        <v>0.03</v>
      </c>
      <c r="AA58">
        <v>4.58</v>
      </c>
      <c r="AB58" t="s">
        <v>54</v>
      </c>
      <c r="AC58" t="s">
        <v>71</v>
      </c>
      <c r="AD58" t="s">
        <v>48</v>
      </c>
      <c r="AE58">
        <v>0</v>
      </c>
      <c r="AF58">
        <v>2.04</v>
      </c>
      <c r="AG58" t="s">
        <v>59</v>
      </c>
      <c r="AH58">
        <v>895279</v>
      </c>
      <c r="AI58" t="s">
        <v>60</v>
      </c>
      <c r="AJ58" t="s">
        <v>60</v>
      </c>
      <c r="AK58" t="s">
        <v>54</v>
      </c>
      <c r="AL58">
        <v>2024</v>
      </c>
      <c r="AM58" s="6" t="s">
        <v>165</v>
      </c>
      <c r="AN58" s="7">
        <v>4.03</v>
      </c>
      <c r="AO58" s="8">
        <f t="shared" si="0"/>
        <v>7.5562500000000004</v>
      </c>
      <c r="AP58" s="8">
        <f t="shared" si="1"/>
        <v>8.3949937500000011</v>
      </c>
      <c r="AQ58" s="9">
        <f t="shared" si="2"/>
        <v>12.240369375</v>
      </c>
    </row>
    <row r="59" spans="1:43" x14ac:dyDescent="0.25">
      <c r="A59">
        <v>8</v>
      </c>
      <c r="B59">
        <v>7</v>
      </c>
      <c r="C59">
        <v>2024</v>
      </c>
      <c r="D59" t="s">
        <v>43</v>
      </c>
      <c r="E59" t="s">
        <v>75</v>
      </c>
      <c r="F59" t="s">
        <v>76</v>
      </c>
      <c r="G59">
        <v>2</v>
      </c>
      <c r="H59">
        <v>1791882490001</v>
      </c>
      <c r="I59" t="s">
        <v>46</v>
      </c>
      <c r="J59" t="s">
        <v>166</v>
      </c>
      <c r="K59" t="s">
        <v>48</v>
      </c>
      <c r="L59" t="s">
        <v>49</v>
      </c>
      <c r="M59" t="s">
        <v>50</v>
      </c>
      <c r="N59" t="s">
        <v>51</v>
      </c>
      <c r="O59">
        <v>7307990092</v>
      </c>
      <c r="P59" t="s">
        <v>167</v>
      </c>
      <c r="Q59" t="s">
        <v>164</v>
      </c>
      <c r="R59" t="s">
        <v>54</v>
      </c>
      <c r="S59" t="s">
        <v>55</v>
      </c>
      <c r="T59">
        <v>8</v>
      </c>
      <c r="U59">
        <v>1</v>
      </c>
      <c r="V59" t="s">
        <v>56</v>
      </c>
      <c r="W59">
        <v>0</v>
      </c>
      <c r="X59">
        <v>7.25</v>
      </c>
      <c r="Y59">
        <v>0.61</v>
      </c>
      <c r="Z59">
        <v>0.05</v>
      </c>
      <c r="AA59">
        <v>7.91</v>
      </c>
      <c r="AB59" t="s">
        <v>57</v>
      </c>
      <c r="AC59" t="s">
        <v>77</v>
      </c>
      <c r="AD59" t="s">
        <v>48</v>
      </c>
      <c r="AE59">
        <v>0</v>
      </c>
      <c r="AF59">
        <v>0.05</v>
      </c>
      <c r="AG59" t="s">
        <v>59</v>
      </c>
      <c r="AH59">
        <v>107711</v>
      </c>
      <c r="AI59" t="s">
        <v>60</v>
      </c>
      <c r="AJ59" t="s">
        <v>78</v>
      </c>
      <c r="AK59" t="s">
        <v>54</v>
      </c>
      <c r="AL59">
        <v>2024</v>
      </c>
      <c r="AM59" s="6" t="s">
        <v>168</v>
      </c>
      <c r="AN59" s="7">
        <v>7.25</v>
      </c>
      <c r="AO59" s="8">
        <f t="shared" si="0"/>
        <v>13.59375</v>
      </c>
      <c r="AP59" s="8">
        <f t="shared" si="1"/>
        <v>15.102656249999999</v>
      </c>
      <c r="AQ59" s="9">
        <f t="shared" si="2"/>
        <v>22.020515624999998</v>
      </c>
    </row>
    <row r="60" spans="1:43" x14ac:dyDescent="0.25">
      <c r="A60">
        <v>8</v>
      </c>
      <c r="B60">
        <v>7</v>
      </c>
      <c r="C60">
        <v>2024</v>
      </c>
      <c r="D60" t="s">
        <v>43</v>
      </c>
      <c r="E60" t="s">
        <v>75</v>
      </c>
      <c r="F60" t="s">
        <v>76</v>
      </c>
      <c r="G60">
        <v>2</v>
      </c>
      <c r="H60">
        <v>1791882490001</v>
      </c>
      <c r="I60" t="s">
        <v>46</v>
      </c>
      <c r="J60" t="s">
        <v>166</v>
      </c>
      <c r="K60" t="s">
        <v>48</v>
      </c>
      <c r="L60" t="s">
        <v>49</v>
      </c>
      <c r="M60" t="s">
        <v>50</v>
      </c>
      <c r="N60" t="s">
        <v>51</v>
      </c>
      <c r="O60">
        <v>7307990092</v>
      </c>
      <c r="P60" t="s">
        <v>167</v>
      </c>
      <c r="Q60" t="s">
        <v>164</v>
      </c>
      <c r="R60" t="s">
        <v>54</v>
      </c>
      <c r="S60" t="s">
        <v>55</v>
      </c>
      <c r="T60">
        <v>8</v>
      </c>
      <c r="U60">
        <v>1</v>
      </c>
      <c r="V60" t="s">
        <v>56</v>
      </c>
      <c r="W60">
        <v>0</v>
      </c>
      <c r="X60">
        <v>7.25</v>
      </c>
      <c r="Y60">
        <v>0.61</v>
      </c>
      <c r="Z60">
        <v>0.05</v>
      </c>
      <c r="AA60">
        <v>7.91</v>
      </c>
      <c r="AB60" t="s">
        <v>57</v>
      </c>
      <c r="AC60" t="s">
        <v>77</v>
      </c>
      <c r="AD60" t="s">
        <v>48</v>
      </c>
      <c r="AE60">
        <v>0</v>
      </c>
      <c r="AF60">
        <v>0.05</v>
      </c>
      <c r="AG60" t="s">
        <v>59</v>
      </c>
      <c r="AH60">
        <v>107711</v>
      </c>
      <c r="AI60" t="s">
        <v>60</v>
      </c>
      <c r="AJ60" t="s">
        <v>78</v>
      </c>
      <c r="AK60" t="s">
        <v>54</v>
      </c>
      <c r="AL60">
        <v>2024</v>
      </c>
      <c r="AM60" s="6" t="s">
        <v>168</v>
      </c>
      <c r="AN60" s="7">
        <v>7.25</v>
      </c>
      <c r="AO60" s="8">
        <f t="shared" si="0"/>
        <v>13.59375</v>
      </c>
      <c r="AP60" s="8">
        <f t="shared" si="1"/>
        <v>15.102656249999999</v>
      </c>
      <c r="AQ60" s="9">
        <f t="shared" si="2"/>
        <v>22.020515624999998</v>
      </c>
    </row>
    <row r="61" spans="1:43" x14ac:dyDescent="0.25">
      <c r="A61">
        <v>15</v>
      </c>
      <c r="B61">
        <v>4</v>
      </c>
      <c r="C61">
        <v>2024</v>
      </c>
      <c r="D61" t="s">
        <v>43</v>
      </c>
      <c r="E61" t="s">
        <v>63</v>
      </c>
      <c r="F61" t="s">
        <v>64</v>
      </c>
      <c r="G61">
        <v>7</v>
      </c>
      <c r="H61">
        <v>1791882490001</v>
      </c>
      <c r="I61" t="s">
        <v>46</v>
      </c>
      <c r="J61" t="s">
        <v>133</v>
      </c>
      <c r="K61" t="s">
        <v>48</v>
      </c>
      <c r="L61" t="s">
        <v>49</v>
      </c>
      <c r="M61" t="s">
        <v>50</v>
      </c>
      <c r="N61" t="s">
        <v>51</v>
      </c>
      <c r="O61">
        <v>7412200000</v>
      </c>
      <c r="P61" t="s">
        <v>169</v>
      </c>
      <c r="Q61" t="s">
        <v>170</v>
      </c>
      <c r="R61" t="s">
        <v>54</v>
      </c>
      <c r="S61" t="s">
        <v>55</v>
      </c>
      <c r="T61">
        <v>6</v>
      </c>
      <c r="U61">
        <v>1</v>
      </c>
      <c r="V61" t="s">
        <v>56</v>
      </c>
      <c r="W61">
        <v>0</v>
      </c>
      <c r="X61">
        <v>6.44</v>
      </c>
      <c r="Y61">
        <v>0.68</v>
      </c>
      <c r="Z61">
        <v>0.04</v>
      </c>
      <c r="AA61">
        <v>7.16</v>
      </c>
      <c r="AB61" t="s">
        <v>57</v>
      </c>
      <c r="AC61" t="s">
        <v>58</v>
      </c>
      <c r="AD61" t="s">
        <v>48</v>
      </c>
      <c r="AE61">
        <v>0</v>
      </c>
      <c r="AF61">
        <v>0.06</v>
      </c>
      <c r="AG61" t="s">
        <v>59</v>
      </c>
      <c r="AH61">
        <v>443965</v>
      </c>
      <c r="AI61" t="s">
        <v>60</v>
      </c>
      <c r="AJ61" t="s">
        <v>60</v>
      </c>
      <c r="AK61" t="s">
        <v>54</v>
      </c>
      <c r="AL61">
        <v>2024</v>
      </c>
      <c r="AM61" s="6" t="s">
        <v>171</v>
      </c>
      <c r="AN61" s="7">
        <v>6.44</v>
      </c>
      <c r="AO61" s="8">
        <f t="shared" si="0"/>
        <v>12.075000000000001</v>
      </c>
      <c r="AP61" s="8">
        <f t="shared" si="1"/>
        <v>13.415325000000001</v>
      </c>
      <c r="AQ61" s="9">
        <f t="shared" si="2"/>
        <v>19.560292499999999</v>
      </c>
    </row>
    <row r="62" spans="1:43" x14ac:dyDescent="0.25">
      <c r="A62">
        <v>15</v>
      </c>
      <c r="B62">
        <v>4</v>
      </c>
      <c r="C62">
        <v>2024</v>
      </c>
      <c r="D62" t="s">
        <v>43</v>
      </c>
      <c r="E62" t="s">
        <v>63</v>
      </c>
      <c r="F62" t="s">
        <v>64</v>
      </c>
      <c r="G62">
        <v>8</v>
      </c>
      <c r="H62">
        <v>1791882490001</v>
      </c>
      <c r="I62" t="s">
        <v>46</v>
      </c>
      <c r="J62" t="s">
        <v>133</v>
      </c>
      <c r="K62" t="s">
        <v>48</v>
      </c>
      <c r="L62" t="s">
        <v>49</v>
      </c>
      <c r="M62" t="s">
        <v>50</v>
      </c>
      <c r="N62" t="s">
        <v>51</v>
      </c>
      <c r="O62">
        <v>7412200000</v>
      </c>
      <c r="P62" t="s">
        <v>169</v>
      </c>
      <c r="Q62" t="s">
        <v>172</v>
      </c>
      <c r="R62" t="s">
        <v>54</v>
      </c>
      <c r="S62" t="s">
        <v>55</v>
      </c>
      <c r="T62">
        <v>6</v>
      </c>
      <c r="U62">
        <v>1</v>
      </c>
      <c r="V62" t="s">
        <v>56</v>
      </c>
      <c r="W62">
        <v>0</v>
      </c>
      <c r="X62">
        <v>5.94</v>
      </c>
      <c r="Y62">
        <v>0.63</v>
      </c>
      <c r="Z62">
        <v>0.04</v>
      </c>
      <c r="AA62">
        <v>6.61</v>
      </c>
      <c r="AB62" t="s">
        <v>57</v>
      </c>
      <c r="AC62" t="s">
        <v>58</v>
      </c>
      <c r="AD62" t="s">
        <v>48</v>
      </c>
      <c r="AE62">
        <v>0</v>
      </c>
      <c r="AF62">
        <v>0.06</v>
      </c>
      <c r="AG62" t="s">
        <v>59</v>
      </c>
      <c r="AH62">
        <v>443965</v>
      </c>
      <c r="AI62" t="s">
        <v>60</v>
      </c>
      <c r="AJ62" t="s">
        <v>60</v>
      </c>
      <c r="AK62" t="s">
        <v>54</v>
      </c>
      <c r="AL62">
        <v>2024</v>
      </c>
      <c r="AM62" s="6" t="s">
        <v>173</v>
      </c>
      <c r="AN62" s="7">
        <v>5.94</v>
      </c>
      <c r="AO62" s="8">
        <f t="shared" si="0"/>
        <v>11.137500000000001</v>
      </c>
      <c r="AP62" s="8">
        <f t="shared" si="1"/>
        <v>12.373762500000002</v>
      </c>
      <c r="AQ62" s="9">
        <f t="shared" si="2"/>
        <v>18.04163625</v>
      </c>
    </row>
    <row r="63" spans="1:43" x14ac:dyDescent="0.25">
      <c r="A63">
        <v>1</v>
      </c>
      <c r="B63">
        <v>2</v>
      </c>
      <c r="C63">
        <v>2024</v>
      </c>
      <c r="D63" t="s">
        <v>43</v>
      </c>
      <c r="E63" t="s">
        <v>174</v>
      </c>
      <c r="F63" t="s">
        <v>175</v>
      </c>
      <c r="G63">
        <v>2</v>
      </c>
      <c r="H63">
        <v>1791882490001</v>
      </c>
      <c r="I63" t="s">
        <v>46</v>
      </c>
      <c r="J63" t="s">
        <v>65</v>
      </c>
      <c r="K63" t="s">
        <v>48</v>
      </c>
      <c r="L63" t="s">
        <v>49</v>
      </c>
      <c r="M63" t="s">
        <v>50</v>
      </c>
      <c r="N63" t="s">
        <v>51</v>
      </c>
      <c r="O63">
        <v>7419809090</v>
      </c>
      <c r="P63" t="s">
        <v>103</v>
      </c>
      <c r="Q63" t="s">
        <v>176</v>
      </c>
      <c r="R63" t="s">
        <v>54</v>
      </c>
      <c r="S63" t="s">
        <v>55</v>
      </c>
      <c r="T63">
        <v>5</v>
      </c>
      <c r="U63">
        <v>2</v>
      </c>
      <c r="V63" t="s">
        <v>135</v>
      </c>
      <c r="W63">
        <v>0</v>
      </c>
      <c r="X63">
        <v>6.93</v>
      </c>
      <c r="Y63">
        <v>0.51</v>
      </c>
      <c r="Z63">
        <v>0.04</v>
      </c>
      <c r="AA63">
        <v>7.49</v>
      </c>
      <c r="AB63" t="s">
        <v>54</v>
      </c>
      <c r="AC63" t="s">
        <v>94</v>
      </c>
      <c r="AD63" t="s">
        <v>48</v>
      </c>
      <c r="AE63">
        <v>0</v>
      </c>
      <c r="AF63">
        <v>3.97</v>
      </c>
      <c r="AG63" t="s">
        <v>59</v>
      </c>
      <c r="AH63">
        <v>863266</v>
      </c>
      <c r="AI63" t="s">
        <v>60</v>
      </c>
      <c r="AJ63" t="s">
        <v>60</v>
      </c>
      <c r="AK63" t="s">
        <v>54</v>
      </c>
      <c r="AL63">
        <v>2023</v>
      </c>
      <c r="AM63" s="6" t="s">
        <v>177</v>
      </c>
      <c r="AN63" s="7">
        <v>3.46</v>
      </c>
      <c r="AO63" s="8">
        <f t="shared" si="0"/>
        <v>6.4874999999999998</v>
      </c>
      <c r="AP63" s="8">
        <f t="shared" si="1"/>
        <v>7.2076124999999998</v>
      </c>
      <c r="AQ63" s="9">
        <f t="shared" si="2"/>
        <v>10.509101249999999</v>
      </c>
    </row>
    <row r="64" spans="1:43" x14ac:dyDescent="0.25">
      <c r="A64">
        <v>28</v>
      </c>
      <c r="B64">
        <v>8</v>
      </c>
      <c r="C64">
        <v>2024</v>
      </c>
      <c r="D64" t="s">
        <v>43</v>
      </c>
      <c r="E64" t="s">
        <v>91</v>
      </c>
      <c r="F64" t="s">
        <v>92</v>
      </c>
      <c r="G64">
        <v>5</v>
      </c>
      <c r="H64">
        <v>1791882490001</v>
      </c>
      <c r="I64" t="s">
        <v>46</v>
      </c>
      <c r="J64" t="s">
        <v>178</v>
      </c>
      <c r="K64" t="s">
        <v>48</v>
      </c>
      <c r="L64" t="s">
        <v>49</v>
      </c>
      <c r="M64" t="s">
        <v>50</v>
      </c>
      <c r="N64" t="s">
        <v>51</v>
      </c>
      <c r="O64">
        <v>3926903000</v>
      </c>
      <c r="P64" t="s">
        <v>179</v>
      </c>
      <c r="Q64" t="s">
        <v>110</v>
      </c>
      <c r="R64" t="s">
        <v>54</v>
      </c>
      <c r="S64" t="s">
        <v>55</v>
      </c>
      <c r="T64">
        <v>8</v>
      </c>
      <c r="U64">
        <v>1</v>
      </c>
      <c r="V64" t="s">
        <v>135</v>
      </c>
      <c r="W64">
        <v>0</v>
      </c>
      <c r="X64">
        <v>1.36</v>
      </c>
      <c r="Y64">
        <v>0.15</v>
      </c>
      <c r="Z64">
        <v>0.01</v>
      </c>
      <c r="AA64">
        <v>1.52</v>
      </c>
      <c r="AB64" t="s">
        <v>57</v>
      </c>
      <c r="AC64" t="s">
        <v>94</v>
      </c>
      <c r="AD64" t="s">
        <v>48</v>
      </c>
      <c r="AE64">
        <v>0</v>
      </c>
      <c r="AF64">
        <v>0.02</v>
      </c>
      <c r="AG64" t="s">
        <v>59</v>
      </c>
      <c r="AH64">
        <v>150511</v>
      </c>
      <c r="AI64" t="s">
        <v>60</v>
      </c>
      <c r="AJ64" t="s">
        <v>60</v>
      </c>
      <c r="AK64" t="s">
        <v>54</v>
      </c>
      <c r="AL64">
        <v>2024</v>
      </c>
      <c r="AM64" s="6" t="s">
        <v>180</v>
      </c>
      <c r="AN64" s="7">
        <v>1.36</v>
      </c>
      <c r="AO64" s="8">
        <f t="shared" si="0"/>
        <v>2.5500000000000003</v>
      </c>
      <c r="AP64" s="8">
        <f t="shared" si="1"/>
        <v>2.8330500000000001</v>
      </c>
      <c r="AQ64" s="9">
        <f t="shared" si="2"/>
        <v>4.1307450000000001</v>
      </c>
    </row>
    <row r="65" spans="1:43" x14ac:dyDescent="0.25">
      <c r="A65">
        <v>2</v>
      </c>
      <c r="B65">
        <v>1</v>
      </c>
      <c r="C65">
        <v>2024</v>
      </c>
      <c r="D65" t="s">
        <v>43</v>
      </c>
      <c r="E65" t="s">
        <v>181</v>
      </c>
      <c r="F65" t="s">
        <v>182</v>
      </c>
      <c r="G65">
        <v>1</v>
      </c>
      <c r="H65">
        <v>1791882490001</v>
      </c>
      <c r="I65" t="s">
        <v>46</v>
      </c>
      <c r="J65" t="s">
        <v>183</v>
      </c>
      <c r="K65" t="s">
        <v>48</v>
      </c>
      <c r="L65" t="s">
        <v>49</v>
      </c>
      <c r="M65" t="s">
        <v>50</v>
      </c>
      <c r="N65" t="s">
        <v>51</v>
      </c>
      <c r="O65">
        <v>3926904000</v>
      </c>
      <c r="P65" t="s">
        <v>184</v>
      </c>
      <c r="Q65" t="s">
        <v>185</v>
      </c>
      <c r="R65" t="s">
        <v>54</v>
      </c>
      <c r="S65" t="s">
        <v>55</v>
      </c>
      <c r="T65">
        <v>8</v>
      </c>
      <c r="U65">
        <v>2</v>
      </c>
      <c r="V65" t="s">
        <v>135</v>
      </c>
      <c r="W65">
        <v>0.21</v>
      </c>
      <c r="X65">
        <v>3.12</v>
      </c>
      <c r="Y65">
        <v>0.63</v>
      </c>
      <c r="Z65">
        <v>0.02</v>
      </c>
      <c r="AA65">
        <v>3.78</v>
      </c>
      <c r="AB65" t="s">
        <v>57</v>
      </c>
      <c r="AC65" t="s">
        <v>81</v>
      </c>
      <c r="AD65" t="s">
        <v>48</v>
      </c>
      <c r="AE65">
        <v>0</v>
      </c>
      <c r="AF65">
        <v>6.48</v>
      </c>
      <c r="AG65" t="s">
        <v>59</v>
      </c>
      <c r="AH65">
        <v>413505</v>
      </c>
      <c r="AI65" t="s">
        <v>60</v>
      </c>
      <c r="AJ65" t="s">
        <v>60</v>
      </c>
      <c r="AK65" t="s">
        <v>54</v>
      </c>
      <c r="AL65">
        <v>2023</v>
      </c>
      <c r="AM65" s="6" t="s">
        <v>186</v>
      </c>
      <c r="AN65" s="7">
        <v>1.56</v>
      </c>
      <c r="AO65" s="8">
        <f t="shared" si="0"/>
        <v>2.9250000000000003</v>
      </c>
      <c r="AP65" s="8">
        <f t="shared" si="1"/>
        <v>3.2496750000000003</v>
      </c>
      <c r="AQ65" s="9">
        <f t="shared" si="2"/>
        <v>4.7382074999999997</v>
      </c>
    </row>
    <row r="66" spans="1:43" x14ac:dyDescent="0.25">
      <c r="A66">
        <v>20</v>
      </c>
      <c r="B66">
        <v>2</v>
      </c>
      <c r="C66">
        <v>2024</v>
      </c>
      <c r="D66" t="s">
        <v>43</v>
      </c>
      <c r="E66" t="s">
        <v>140</v>
      </c>
      <c r="F66" t="s">
        <v>141</v>
      </c>
      <c r="G66">
        <v>12</v>
      </c>
      <c r="H66">
        <v>1791882490001</v>
      </c>
      <c r="I66" t="s">
        <v>46</v>
      </c>
      <c r="J66" t="s">
        <v>183</v>
      </c>
      <c r="K66" t="s">
        <v>48</v>
      </c>
      <c r="L66" t="s">
        <v>49</v>
      </c>
      <c r="M66" t="s">
        <v>50</v>
      </c>
      <c r="N66" t="s">
        <v>51</v>
      </c>
      <c r="O66">
        <v>3926909000</v>
      </c>
      <c r="P66" t="s">
        <v>66</v>
      </c>
      <c r="Q66" t="s">
        <v>187</v>
      </c>
      <c r="R66" t="s">
        <v>54</v>
      </c>
      <c r="S66" t="s">
        <v>55</v>
      </c>
      <c r="T66">
        <v>6</v>
      </c>
      <c r="U66">
        <v>2</v>
      </c>
      <c r="V66" t="s">
        <v>135</v>
      </c>
      <c r="W66">
        <v>0.05</v>
      </c>
      <c r="X66">
        <v>3.11</v>
      </c>
      <c r="Y66">
        <v>0.28000000000000003</v>
      </c>
      <c r="Z66">
        <v>0.02</v>
      </c>
      <c r="AA66">
        <v>3.4</v>
      </c>
      <c r="AB66" t="s">
        <v>54</v>
      </c>
      <c r="AC66" t="s">
        <v>143</v>
      </c>
      <c r="AD66" t="s">
        <v>48</v>
      </c>
      <c r="AE66">
        <v>0</v>
      </c>
      <c r="AF66">
        <v>3.74</v>
      </c>
      <c r="AG66" t="s">
        <v>59</v>
      </c>
      <c r="AH66">
        <v>876053</v>
      </c>
      <c r="AI66" t="s">
        <v>60</v>
      </c>
      <c r="AJ66" t="s">
        <v>60</v>
      </c>
      <c r="AK66" t="s">
        <v>54</v>
      </c>
      <c r="AL66">
        <v>2024</v>
      </c>
      <c r="AM66" s="6" t="s">
        <v>186</v>
      </c>
      <c r="AN66" s="7">
        <v>1.55</v>
      </c>
      <c r="AO66" s="8">
        <f t="shared" ref="AO66:AO88" si="3">SUM(AN66)*1.875</f>
        <v>2.90625</v>
      </c>
      <c r="AP66" s="8">
        <f t="shared" ref="AP66:AP88" si="4">SUM(AO66)*1.111</f>
        <v>3.2288437499999998</v>
      </c>
      <c r="AQ66" s="9">
        <f t="shared" si="2"/>
        <v>4.707834375</v>
      </c>
    </row>
    <row r="67" spans="1:43" x14ac:dyDescent="0.25">
      <c r="A67">
        <v>12</v>
      </c>
      <c r="B67">
        <v>6</v>
      </c>
      <c r="C67">
        <v>2024</v>
      </c>
      <c r="D67" t="s">
        <v>43</v>
      </c>
      <c r="E67" t="s">
        <v>96</v>
      </c>
      <c r="F67" t="s">
        <v>97</v>
      </c>
      <c r="G67">
        <v>8</v>
      </c>
      <c r="H67">
        <v>1791882490001</v>
      </c>
      <c r="I67" t="s">
        <v>46</v>
      </c>
      <c r="J67" t="s">
        <v>133</v>
      </c>
      <c r="K67" t="s">
        <v>48</v>
      </c>
      <c r="L67" t="s">
        <v>49</v>
      </c>
      <c r="M67" t="s">
        <v>50</v>
      </c>
      <c r="N67" t="s">
        <v>51</v>
      </c>
      <c r="O67">
        <v>3926904000</v>
      </c>
      <c r="P67" t="s">
        <v>188</v>
      </c>
      <c r="Q67" t="s">
        <v>185</v>
      </c>
      <c r="R67" t="s">
        <v>54</v>
      </c>
      <c r="S67" t="s">
        <v>55</v>
      </c>
      <c r="T67">
        <v>7</v>
      </c>
      <c r="U67">
        <v>4</v>
      </c>
      <c r="V67" t="s">
        <v>135</v>
      </c>
      <c r="W67">
        <v>3.37</v>
      </c>
      <c r="X67">
        <v>55.09</v>
      </c>
      <c r="Y67">
        <v>4.78</v>
      </c>
      <c r="Z67">
        <v>0.37</v>
      </c>
      <c r="AA67">
        <v>60.24</v>
      </c>
      <c r="AB67" t="s">
        <v>57</v>
      </c>
      <c r="AC67" t="s">
        <v>94</v>
      </c>
      <c r="AD67" t="s">
        <v>48</v>
      </c>
      <c r="AE67">
        <v>0</v>
      </c>
      <c r="AF67">
        <v>7.2</v>
      </c>
      <c r="AG67" t="s">
        <v>59</v>
      </c>
      <c r="AH67" t="s">
        <v>98</v>
      </c>
      <c r="AI67" t="s">
        <v>60</v>
      </c>
      <c r="AJ67" t="s">
        <v>60</v>
      </c>
      <c r="AK67" t="s">
        <v>54</v>
      </c>
      <c r="AL67">
        <v>2024</v>
      </c>
      <c r="AM67" s="6" t="s">
        <v>189</v>
      </c>
      <c r="AN67" s="7">
        <v>13.77</v>
      </c>
      <c r="AO67" s="8">
        <f t="shared" si="3"/>
        <v>25.818749999999998</v>
      </c>
      <c r="AP67" s="8">
        <f t="shared" si="4"/>
        <v>28.684631249999999</v>
      </c>
      <c r="AQ67" s="9">
        <f t="shared" ref="AQ67:AQ130" si="5">SUM(AO67)*1.6199</f>
        <v>41.823793124999995</v>
      </c>
    </row>
    <row r="68" spans="1:43" x14ac:dyDescent="0.25">
      <c r="A68">
        <v>19</v>
      </c>
      <c r="B68">
        <v>8</v>
      </c>
      <c r="C68">
        <v>2024</v>
      </c>
      <c r="D68" t="s">
        <v>43</v>
      </c>
      <c r="E68" t="s">
        <v>84</v>
      </c>
      <c r="F68" t="s">
        <v>85</v>
      </c>
      <c r="G68">
        <v>6</v>
      </c>
      <c r="H68">
        <v>1791882490001</v>
      </c>
      <c r="I68" t="s">
        <v>46</v>
      </c>
      <c r="J68" t="s">
        <v>133</v>
      </c>
      <c r="K68" t="s">
        <v>48</v>
      </c>
      <c r="L68" t="s">
        <v>49</v>
      </c>
      <c r="M68" t="s">
        <v>50</v>
      </c>
      <c r="N68" t="s">
        <v>51</v>
      </c>
      <c r="O68">
        <v>4016930000</v>
      </c>
      <c r="P68" t="s">
        <v>188</v>
      </c>
      <c r="Q68" t="s">
        <v>185</v>
      </c>
      <c r="R68" t="s">
        <v>54</v>
      </c>
      <c r="S68" t="s">
        <v>55</v>
      </c>
      <c r="T68">
        <v>6</v>
      </c>
      <c r="U68">
        <v>4</v>
      </c>
      <c r="V68" t="s">
        <v>135</v>
      </c>
      <c r="W68">
        <v>0</v>
      </c>
      <c r="X68">
        <v>2.16</v>
      </c>
      <c r="Y68">
        <v>0.28000000000000003</v>
      </c>
      <c r="Z68">
        <v>0.01</v>
      </c>
      <c r="AA68">
        <v>2.46</v>
      </c>
      <c r="AB68" t="s">
        <v>57</v>
      </c>
      <c r="AC68" t="s">
        <v>58</v>
      </c>
      <c r="AD68" t="s">
        <v>48</v>
      </c>
      <c r="AE68">
        <v>0</v>
      </c>
      <c r="AF68">
        <v>5.58</v>
      </c>
      <c r="AG68" t="s">
        <v>59</v>
      </c>
      <c r="AH68">
        <v>144527</v>
      </c>
      <c r="AI68" t="s">
        <v>60</v>
      </c>
      <c r="AJ68" t="s">
        <v>60</v>
      </c>
      <c r="AK68" t="s">
        <v>54</v>
      </c>
      <c r="AL68">
        <v>2024</v>
      </c>
      <c r="AM68" s="6" t="s">
        <v>190</v>
      </c>
      <c r="AN68" s="7">
        <v>0.54</v>
      </c>
      <c r="AO68" s="8">
        <f t="shared" si="3"/>
        <v>1.0125000000000002</v>
      </c>
      <c r="AP68" s="8">
        <f t="shared" si="4"/>
        <v>1.1248875000000003</v>
      </c>
      <c r="AQ68" s="9">
        <f t="shared" si="5"/>
        <v>1.6401487500000003</v>
      </c>
    </row>
    <row r="69" spans="1:43" x14ac:dyDescent="0.25">
      <c r="A69">
        <v>16</v>
      </c>
      <c r="B69">
        <v>1</v>
      </c>
      <c r="C69">
        <v>2024</v>
      </c>
      <c r="D69" t="s">
        <v>43</v>
      </c>
      <c r="E69" t="s">
        <v>191</v>
      </c>
      <c r="F69" t="s">
        <v>192</v>
      </c>
      <c r="G69">
        <v>1</v>
      </c>
      <c r="H69">
        <v>1791882490001</v>
      </c>
      <c r="I69" t="s">
        <v>46</v>
      </c>
      <c r="J69" t="s">
        <v>183</v>
      </c>
      <c r="K69" t="s">
        <v>48</v>
      </c>
      <c r="L69" t="s">
        <v>49</v>
      </c>
      <c r="M69" t="s">
        <v>50</v>
      </c>
      <c r="N69" t="s">
        <v>51</v>
      </c>
      <c r="O69">
        <v>3926904000</v>
      </c>
      <c r="P69" t="s">
        <v>184</v>
      </c>
      <c r="Q69" t="s">
        <v>185</v>
      </c>
      <c r="R69" t="s">
        <v>54</v>
      </c>
      <c r="S69" t="s">
        <v>55</v>
      </c>
      <c r="T69">
        <v>11</v>
      </c>
      <c r="U69">
        <v>1</v>
      </c>
      <c r="V69" t="s">
        <v>135</v>
      </c>
      <c r="W69">
        <v>2.81</v>
      </c>
      <c r="X69">
        <v>46.73</v>
      </c>
      <c r="Y69">
        <v>3.07</v>
      </c>
      <c r="Z69">
        <v>0.3</v>
      </c>
      <c r="AA69">
        <v>50.1</v>
      </c>
      <c r="AB69" t="s">
        <v>57</v>
      </c>
      <c r="AC69" t="s">
        <v>81</v>
      </c>
      <c r="AD69" t="s">
        <v>48</v>
      </c>
      <c r="AE69">
        <v>0</v>
      </c>
      <c r="AF69">
        <v>2.86</v>
      </c>
      <c r="AG69" t="s">
        <v>59</v>
      </c>
      <c r="AH69">
        <v>850332</v>
      </c>
      <c r="AI69" t="s">
        <v>60</v>
      </c>
      <c r="AJ69" t="s">
        <v>60</v>
      </c>
      <c r="AK69" t="s">
        <v>54</v>
      </c>
      <c r="AL69">
        <v>2023</v>
      </c>
      <c r="AM69" s="6" t="s">
        <v>193</v>
      </c>
      <c r="AN69" s="7">
        <v>46.73</v>
      </c>
      <c r="AO69" s="8">
        <f t="shared" si="3"/>
        <v>87.618749999999991</v>
      </c>
      <c r="AP69" s="8">
        <f t="shared" si="4"/>
        <v>97.344431249999985</v>
      </c>
      <c r="AQ69" s="9">
        <f t="shared" si="5"/>
        <v>141.93361312499997</v>
      </c>
    </row>
    <row r="70" spans="1:43" x14ac:dyDescent="0.25">
      <c r="A70">
        <v>16</v>
      </c>
      <c r="B70">
        <v>1</v>
      </c>
      <c r="C70">
        <v>2024</v>
      </c>
      <c r="D70" t="s">
        <v>43</v>
      </c>
      <c r="E70" t="s">
        <v>191</v>
      </c>
      <c r="F70" t="s">
        <v>192</v>
      </c>
      <c r="G70">
        <v>2</v>
      </c>
      <c r="H70">
        <v>1791882490001</v>
      </c>
      <c r="I70" t="s">
        <v>46</v>
      </c>
      <c r="J70" t="s">
        <v>183</v>
      </c>
      <c r="K70" t="s">
        <v>48</v>
      </c>
      <c r="L70" t="s">
        <v>49</v>
      </c>
      <c r="M70" t="s">
        <v>50</v>
      </c>
      <c r="N70" t="s">
        <v>51</v>
      </c>
      <c r="O70">
        <v>3926904000</v>
      </c>
      <c r="P70" t="s">
        <v>184</v>
      </c>
      <c r="Q70" t="s">
        <v>185</v>
      </c>
      <c r="R70" t="s">
        <v>54</v>
      </c>
      <c r="S70" t="s">
        <v>55</v>
      </c>
      <c r="T70">
        <v>11</v>
      </c>
      <c r="U70">
        <v>2</v>
      </c>
      <c r="V70" t="s">
        <v>135</v>
      </c>
      <c r="W70">
        <v>0.54</v>
      </c>
      <c r="X70">
        <v>9.01</v>
      </c>
      <c r="Y70">
        <v>0.59</v>
      </c>
      <c r="Z70">
        <v>0.06</v>
      </c>
      <c r="AA70">
        <v>9.66</v>
      </c>
      <c r="AB70" t="s">
        <v>57</v>
      </c>
      <c r="AC70" t="s">
        <v>81</v>
      </c>
      <c r="AD70" t="s">
        <v>48</v>
      </c>
      <c r="AE70">
        <v>0</v>
      </c>
      <c r="AF70">
        <v>5.71</v>
      </c>
      <c r="AG70" t="s">
        <v>59</v>
      </c>
      <c r="AH70">
        <v>850332</v>
      </c>
      <c r="AI70" t="s">
        <v>60</v>
      </c>
      <c r="AJ70" t="s">
        <v>60</v>
      </c>
      <c r="AK70" t="s">
        <v>54</v>
      </c>
      <c r="AL70">
        <v>2023</v>
      </c>
      <c r="AM70" s="6" t="s">
        <v>194</v>
      </c>
      <c r="AN70" s="7">
        <v>4.51</v>
      </c>
      <c r="AO70" s="8">
        <f t="shared" si="3"/>
        <v>8.4562499999999989</v>
      </c>
      <c r="AP70" s="8">
        <f t="shared" si="4"/>
        <v>9.3948937499999978</v>
      </c>
      <c r="AQ70" s="9">
        <f t="shared" si="5"/>
        <v>13.698279374999997</v>
      </c>
    </row>
    <row r="71" spans="1:43" x14ac:dyDescent="0.25">
      <c r="A71">
        <v>28</v>
      </c>
      <c r="B71">
        <v>8</v>
      </c>
      <c r="C71">
        <v>2024</v>
      </c>
      <c r="D71" t="s">
        <v>43</v>
      </c>
      <c r="E71" t="s">
        <v>91</v>
      </c>
      <c r="F71" t="s">
        <v>92</v>
      </c>
      <c r="G71">
        <v>7</v>
      </c>
      <c r="H71">
        <v>1791882490001</v>
      </c>
      <c r="I71" t="s">
        <v>46</v>
      </c>
      <c r="J71" t="s">
        <v>183</v>
      </c>
      <c r="K71" t="s">
        <v>48</v>
      </c>
      <c r="L71" t="s">
        <v>49</v>
      </c>
      <c r="M71" t="s">
        <v>50</v>
      </c>
      <c r="N71" t="s">
        <v>51</v>
      </c>
      <c r="O71">
        <v>3926904000</v>
      </c>
      <c r="P71" t="s">
        <v>188</v>
      </c>
      <c r="Q71" t="s">
        <v>185</v>
      </c>
      <c r="R71" t="s">
        <v>54</v>
      </c>
      <c r="S71" t="s">
        <v>55</v>
      </c>
      <c r="T71">
        <v>8</v>
      </c>
      <c r="U71">
        <v>1</v>
      </c>
      <c r="V71" t="s">
        <v>135</v>
      </c>
      <c r="W71">
        <v>0.21</v>
      </c>
      <c r="X71">
        <v>3.37</v>
      </c>
      <c r="Y71">
        <v>0.37</v>
      </c>
      <c r="Z71">
        <v>0.02</v>
      </c>
      <c r="AA71">
        <v>3.77</v>
      </c>
      <c r="AB71" t="s">
        <v>57</v>
      </c>
      <c r="AC71" t="s">
        <v>94</v>
      </c>
      <c r="AD71" t="s">
        <v>48</v>
      </c>
      <c r="AE71">
        <v>0</v>
      </c>
      <c r="AF71">
        <v>0.04</v>
      </c>
      <c r="AG71" t="s">
        <v>59</v>
      </c>
      <c r="AH71">
        <v>150511</v>
      </c>
      <c r="AI71" t="s">
        <v>60</v>
      </c>
      <c r="AJ71" t="s">
        <v>60</v>
      </c>
      <c r="AK71" t="s">
        <v>54</v>
      </c>
      <c r="AL71">
        <v>2024</v>
      </c>
      <c r="AM71" s="6" t="s">
        <v>195</v>
      </c>
      <c r="AN71" s="7">
        <v>3.37</v>
      </c>
      <c r="AO71" s="8">
        <f t="shared" si="3"/>
        <v>6.3187500000000005</v>
      </c>
      <c r="AP71" s="8">
        <f t="shared" si="4"/>
        <v>7.0201312500000004</v>
      </c>
      <c r="AQ71" s="9">
        <f t="shared" si="5"/>
        <v>10.235743125000001</v>
      </c>
    </row>
    <row r="72" spans="1:43" x14ac:dyDescent="0.25">
      <c r="A72">
        <v>13</v>
      </c>
      <c r="B72">
        <v>3</v>
      </c>
      <c r="C72">
        <v>2024</v>
      </c>
      <c r="D72" t="s">
        <v>43</v>
      </c>
      <c r="E72" t="s">
        <v>69</v>
      </c>
      <c r="F72" t="s">
        <v>70</v>
      </c>
      <c r="G72">
        <v>3</v>
      </c>
      <c r="H72">
        <v>1791882490001</v>
      </c>
      <c r="I72" t="s">
        <v>46</v>
      </c>
      <c r="J72" t="s">
        <v>183</v>
      </c>
      <c r="K72" t="s">
        <v>48</v>
      </c>
      <c r="L72" t="s">
        <v>49</v>
      </c>
      <c r="M72" t="s">
        <v>50</v>
      </c>
      <c r="N72" t="s">
        <v>51</v>
      </c>
      <c r="O72">
        <v>3926904000</v>
      </c>
      <c r="P72" t="s">
        <v>188</v>
      </c>
      <c r="Q72" t="s">
        <v>185</v>
      </c>
      <c r="R72" t="s">
        <v>54</v>
      </c>
      <c r="S72" t="s">
        <v>55</v>
      </c>
      <c r="T72">
        <v>11</v>
      </c>
      <c r="U72">
        <v>1</v>
      </c>
      <c r="V72" t="s">
        <v>135</v>
      </c>
      <c r="W72">
        <v>0.09</v>
      </c>
      <c r="X72">
        <v>1.39</v>
      </c>
      <c r="Y72">
        <v>0.18</v>
      </c>
      <c r="Z72">
        <v>0.01</v>
      </c>
      <c r="AA72">
        <v>1.58</v>
      </c>
      <c r="AB72" t="s">
        <v>54</v>
      </c>
      <c r="AC72" t="s">
        <v>71</v>
      </c>
      <c r="AD72" t="s">
        <v>48</v>
      </c>
      <c r="AE72">
        <v>0</v>
      </c>
      <c r="AF72">
        <v>2.04</v>
      </c>
      <c r="AG72" t="s">
        <v>59</v>
      </c>
      <c r="AH72">
        <v>895279</v>
      </c>
      <c r="AI72" t="s">
        <v>60</v>
      </c>
      <c r="AJ72" t="s">
        <v>60</v>
      </c>
      <c r="AK72" t="s">
        <v>54</v>
      </c>
      <c r="AL72">
        <v>2024</v>
      </c>
      <c r="AM72" s="6" t="s">
        <v>196</v>
      </c>
      <c r="AN72" s="7">
        <v>1.39</v>
      </c>
      <c r="AO72" s="8">
        <f t="shared" si="3"/>
        <v>2.6062499999999997</v>
      </c>
      <c r="AP72" s="8">
        <f t="shared" si="4"/>
        <v>2.8955437499999999</v>
      </c>
      <c r="AQ72" s="9">
        <f t="shared" si="5"/>
        <v>4.2218643749999991</v>
      </c>
    </row>
    <row r="73" spans="1:43" x14ac:dyDescent="0.25">
      <c r="A73">
        <v>19</v>
      </c>
      <c r="B73">
        <v>8</v>
      </c>
      <c r="C73">
        <v>2024</v>
      </c>
      <c r="D73" t="s">
        <v>43</v>
      </c>
      <c r="E73" t="s">
        <v>84</v>
      </c>
      <c r="F73" t="s">
        <v>85</v>
      </c>
      <c r="G73">
        <v>7</v>
      </c>
      <c r="H73">
        <v>1791882490001</v>
      </c>
      <c r="I73" t="s">
        <v>46</v>
      </c>
      <c r="J73" t="s">
        <v>197</v>
      </c>
      <c r="K73" t="s">
        <v>48</v>
      </c>
      <c r="L73" t="s">
        <v>49</v>
      </c>
      <c r="M73" t="s">
        <v>50</v>
      </c>
      <c r="N73" t="s">
        <v>51</v>
      </c>
      <c r="O73">
        <v>4016930000</v>
      </c>
      <c r="P73" t="s">
        <v>188</v>
      </c>
      <c r="Q73" t="s">
        <v>185</v>
      </c>
      <c r="R73" t="s">
        <v>54</v>
      </c>
      <c r="S73" t="s">
        <v>55</v>
      </c>
      <c r="T73">
        <v>6</v>
      </c>
      <c r="U73">
        <v>1</v>
      </c>
      <c r="V73" t="s">
        <v>135</v>
      </c>
      <c r="W73">
        <v>0</v>
      </c>
      <c r="X73">
        <v>2.17</v>
      </c>
      <c r="Y73">
        <v>0.28000000000000003</v>
      </c>
      <c r="Z73">
        <v>0.01</v>
      </c>
      <c r="AA73">
        <v>2.4700000000000002</v>
      </c>
      <c r="AB73" t="s">
        <v>57</v>
      </c>
      <c r="AC73" t="s">
        <v>58</v>
      </c>
      <c r="AD73" t="s">
        <v>48</v>
      </c>
      <c r="AE73">
        <v>0</v>
      </c>
      <c r="AF73">
        <v>1.39</v>
      </c>
      <c r="AG73" t="s">
        <v>59</v>
      </c>
      <c r="AH73">
        <v>144527</v>
      </c>
      <c r="AI73" t="s">
        <v>60</v>
      </c>
      <c r="AJ73" t="s">
        <v>60</v>
      </c>
      <c r="AK73" t="s">
        <v>54</v>
      </c>
      <c r="AL73">
        <v>2024</v>
      </c>
      <c r="AM73" s="6" t="s">
        <v>198</v>
      </c>
      <c r="AN73" s="7">
        <v>2.17</v>
      </c>
      <c r="AO73" s="8">
        <f t="shared" si="3"/>
        <v>4.0687499999999996</v>
      </c>
      <c r="AP73" s="8">
        <f t="shared" si="4"/>
        <v>4.5203812499999998</v>
      </c>
      <c r="AQ73" s="9">
        <f t="shared" si="5"/>
        <v>6.590968124999999</v>
      </c>
    </row>
    <row r="74" spans="1:43" x14ac:dyDescent="0.25">
      <c r="A74">
        <v>19</v>
      </c>
      <c r="B74">
        <v>8</v>
      </c>
      <c r="C74">
        <v>2024</v>
      </c>
      <c r="D74" t="s">
        <v>43</v>
      </c>
      <c r="E74" t="s">
        <v>84</v>
      </c>
      <c r="F74" t="s">
        <v>85</v>
      </c>
      <c r="G74">
        <v>8</v>
      </c>
      <c r="H74">
        <v>1791882490001</v>
      </c>
      <c r="I74" t="s">
        <v>46</v>
      </c>
      <c r="J74" t="s">
        <v>133</v>
      </c>
      <c r="K74" t="s">
        <v>48</v>
      </c>
      <c r="L74" t="s">
        <v>49</v>
      </c>
      <c r="M74" t="s">
        <v>50</v>
      </c>
      <c r="N74" t="s">
        <v>51</v>
      </c>
      <c r="O74">
        <v>4016930000</v>
      </c>
      <c r="P74" t="s">
        <v>188</v>
      </c>
      <c r="Q74" t="s">
        <v>185</v>
      </c>
      <c r="R74" t="s">
        <v>54</v>
      </c>
      <c r="S74" t="s">
        <v>55</v>
      </c>
      <c r="T74">
        <v>6</v>
      </c>
      <c r="U74">
        <v>1</v>
      </c>
      <c r="V74" t="s">
        <v>135</v>
      </c>
      <c r="W74">
        <v>0</v>
      </c>
      <c r="X74">
        <v>2.0699999999999998</v>
      </c>
      <c r="Y74">
        <v>0.27</v>
      </c>
      <c r="Z74">
        <v>0.01</v>
      </c>
      <c r="AA74">
        <v>2.35</v>
      </c>
      <c r="AB74" t="s">
        <v>57</v>
      </c>
      <c r="AC74" t="s">
        <v>58</v>
      </c>
      <c r="AD74" t="s">
        <v>48</v>
      </c>
      <c r="AE74">
        <v>0</v>
      </c>
      <c r="AF74">
        <v>1.39</v>
      </c>
      <c r="AG74" t="s">
        <v>59</v>
      </c>
      <c r="AH74">
        <v>144527</v>
      </c>
      <c r="AI74" t="s">
        <v>60</v>
      </c>
      <c r="AJ74" t="s">
        <v>60</v>
      </c>
      <c r="AK74" t="s">
        <v>54</v>
      </c>
      <c r="AL74">
        <v>2024</v>
      </c>
      <c r="AM74" s="6" t="s">
        <v>199</v>
      </c>
      <c r="AN74" s="7">
        <v>2.0699999999999998</v>
      </c>
      <c r="AO74" s="8">
        <f t="shared" si="3"/>
        <v>3.8812499999999996</v>
      </c>
      <c r="AP74" s="8">
        <f t="shared" si="4"/>
        <v>4.3120687499999999</v>
      </c>
      <c r="AQ74" s="9">
        <f t="shared" si="5"/>
        <v>6.2872368749999987</v>
      </c>
    </row>
    <row r="75" spans="1:43" x14ac:dyDescent="0.25">
      <c r="A75">
        <v>28</v>
      </c>
      <c r="B75">
        <v>8</v>
      </c>
      <c r="C75">
        <v>2024</v>
      </c>
      <c r="D75" t="s">
        <v>43</v>
      </c>
      <c r="E75" t="s">
        <v>91</v>
      </c>
      <c r="F75" t="s">
        <v>92</v>
      </c>
      <c r="G75">
        <v>6</v>
      </c>
      <c r="H75">
        <v>1791882490001</v>
      </c>
      <c r="I75" t="s">
        <v>46</v>
      </c>
      <c r="J75" t="s">
        <v>183</v>
      </c>
      <c r="K75" t="s">
        <v>48</v>
      </c>
      <c r="L75" t="s">
        <v>49</v>
      </c>
      <c r="M75" t="s">
        <v>50</v>
      </c>
      <c r="N75" t="s">
        <v>51</v>
      </c>
      <c r="O75">
        <v>3926904000</v>
      </c>
      <c r="P75" t="s">
        <v>188</v>
      </c>
      <c r="Q75" t="s">
        <v>185</v>
      </c>
      <c r="R75" t="s">
        <v>54</v>
      </c>
      <c r="S75" t="s">
        <v>55</v>
      </c>
      <c r="T75">
        <v>8</v>
      </c>
      <c r="U75">
        <v>2</v>
      </c>
      <c r="V75" t="s">
        <v>135</v>
      </c>
      <c r="W75">
        <v>0.32</v>
      </c>
      <c r="X75">
        <v>5.19</v>
      </c>
      <c r="Y75">
        <v>0.56999999999999995</v>
      </c>
      <c r="Z75">
        <v>0.04</v>
      </c>
      <c r="AA75">
        <v>5.8</v>
      </c>
      <c r="AB75" t="s">
        <v>57</v>
      </c>
      <c r="AC75" t="s">
        <v>94</v>
      </c>
      <c r="AD75" t="s">
        <v>48</v>
      </c>
      <c r="AE75">
        <v>0</v>
      </c>
      <c r="AF75">
        <v>0.06</v>
      </c>
      <c r="AG75" t="s">
        <v>59</v>
      </c>
      <c r="AH75">
        <v>150511</v>
      </c>
      <c r="AI75" t="s">
        <v>60</v>
      </c>
      <c r="AJ75" t="s">
        <v>60</v>
      </c>
      <c r="AK75" t="s">
        <v>54</v>
      </c>
      <c r="AL75">
        <v>2024</v>
      </c>
      <c r="AM75" s="6" t="s">
        <v>200</v>
      </c>
      <c r="AN75" s="7">
        <v>2.6</v>
      </c>
      <c r="AO75" s="8">
        <f t="shared" si="3"/>
        <v>4.875</v>
      </c>
      <c r="AP75" s="8">
        <f t="shared" si="4"/>
        <v>5.4161250000000001</v>
      </c>
      <c r="AQ75" s="9">
        <f t="shared" si="5"/>
        <v>7.8970124999999998</v>
      </c>
    </row>
    <row r="76" spans="1:43" x14ac:dyDescent="0.25">
      <c r="A76">
        <v>28</v>
      </c>
      <c r="B76">
        <v>8</v>
      </c>
      <c r="C76">
        <v>2024</v>
      </c>
      <c r="D76" t="s">
        <v>43</v>
      </c>
      <c r="E76" t="s">
        <v>91</v>
      </c>
      <c r="F76" t="s">
        <v>92</v>
      </c>
      <c r="G76">
        <v>8</v>
      </c>
      <c r="H76">
        <v>1791882490001</v>
      </c>
      <c r="I76" t="s">
        <v>46</v>
      </c>
      <c r="J76" t="s">
        <v>48</v>
      </c>
      <c r="K76" t="s">
        <v>48</v>
      </c>
      <c r="L76" t="s">
        <v>49</v>
      </c>
      <c r="M76" t="s">
        <v>50</v>
      </c>
      <c r="N76" t="s">
        <v>51</v>
      </c>
      <c r="O76">
        <v>7307990099</v>
      </c>
      <c r="P76" t="s">
        <v>66</v>
      </c>
      <c r="Q76" t="s">
        <v>201</v>
      </c>
      <c r="R76" t="s">
        <v>54</v>
      </c>
      <c r="S76" t="s">
        <v>55</v>
      </c>
      <c r="T76">
        <v>8</v>
      </c>
      <c r="U76">
        <v>1</v>
      </c>
      <c r="V76" t="s">
        <v>56</v>
      </c>
      <c r="W76">
        <v>0</v>
      </c>
      <c r="X76">
        <v>4.92</v>
      </c>
      <c r="Y76">
        <v>0.54</v>
      </c>
      <c r="Z76">
        <v>0.03</v>
      </c>
      <c r="AA76">
        <v>5.49</v>
      </c>
      <c r="AB76" t="s">
        <v>57</v>
      </c>
      <c r="AC76" t="s">
        <v>94</v>
      </c>
      <c r="AD76" t="s">
        <v>48</v>
      </c>
      <c r="AE76">
        <v>0</v>
      </c>
      <c r="AF76">
        <v>0.06</v>
      </c>
      <c r="AG76" t="s">
        <v>59</v>
      </c>
      <c r="AH76">
        <v>150511</v>
      </c>
      <c r="AI76" t="s">
        <v>60</v>
      </c>
      <c r="AJ76" t="s">
        <v>60</v>
      </c>
      <c r="AK76" t="s">
        <v>54</v>
      </c>
      <c r="AL76">
        <v>2024</v>
      </c>
      <c r="AM76" s="6" t="s">
        <v>202</v>
      </c>
      <c r="AN76" s="7">
        <v>4.92</v>
      </c>
      <c r="AO76" s="8">
        <f t="shared" si="3"/>
        <v>9.2249999999999996</v>
      </c>
      <c r="AP76" s="8">
        <f t="shared" si="4"/>
        <v>10.248975</v>
      </c>
      <c r="AQ76" s="9">
        <f t="shared" si="5"/>
        <v>14.943577499999998</v>
      </c>
    </row>
    <row r="77" spans="1:43" x14ac:dyDescent="0.25">
      <c r="A77">
        <v>20</v>
      </c>
      <c r="B77">
        <v>2</v>
      </c>
      <c r="C77">
        <v>2024</v>
      </c>
      <c r="D77" t="s">
        <v>43</v>
      </c>
      <c r="E77" t="s">
        <v>140</v>
      </c>
      <c r="F77" t="s">
        <v>141</v>
      </c>
      <c r="G77">
        <v>13</v>
      </c>
      <c r="H77">
        <v>1791882490001</v>
      </c>
      <c r="I77" t="s">
        <v>46</v>
      </c>
      <c r="J77" t="s">
        <v>133</v>
      </c>
      <c r="K77" t="s">
        <v>48</v>
      </c>
      <c r="L77" t="s">
        <v>49</v>
      </c>
      <c r="M77" t="s">
        <v>50</v>
      </c>
      <c r="N77" t="s">
        <v>51</v>
      </c>
      <c r="O77">
        <v>8481300000</v>
      </c>
      <c r="P77" t="s">
        <v>203</v>
      </c>
      <c r="Q77" t="s">
        <v>204</v>
      </c>
      <c r="R77" t="s">
        <v>54</v>
      </c>
      <c r="S77" t="s">
        <v>55</v>
      </c>
      <c r="T77">
        <v>6</v>
      </c>
      <c r="U77">
        <v>1</v>
      </c>
      <c r="V77" t="s">
        <v>135</v>
      </c>
      <c r="W77">
        <v>0</v>
      </c>
      <c r="X77">
        <v>9.94</v>
      </c>
      <c r="Y77">
        <v>0.89</v>
      </c>
      <c r="Z77">
        <v>7.0000000000000007E-2</v>
      </c>
      <c r="AA77">
        <v>10.9</v>
      </c>
      <c r="AB77" t="s">
        <v>54</v>
      </c>
      <c r="AC77" t="s">
        <v>143</v>
      </c>
      <c r="AD77" t="s">
        <v>48</v>
      </c>
      <c r="AE77">
        <v>0</v>
      </c>
      <c r="AF77">
        <v>1.87</v>
      </c>
      <c r="AG77" t="s">
        <v>59</v>
      </c>
      <c r="AH77">
        <v>876053</v>
      </c>
      <c r="AI77" t="s">
        <v>60</v>
      </c>
      <c r="AJ77" t="s">
        <v>60</v>
      </c>
      <c r="AK77" t="s">
        <v>54</v>
      </c>
      <c r="AL77">
        <v>2024</v>
      </c>
      <c r="AM77" s="6" t="s">
        <v>205</v>
      </c>
      <c r="AN77" s="7">
        <v>9.94</v>
      </c>
      <c r="AO77" s="8">
        <f t="shared" si="3"/>
        <v>18.637499999999999</v>
      </c>
      <c r="AP77" s="8">
        <f t="shared" si="4"/>
        <v>20.706262499999998</v>
      </c>
      <c r="AQ77" s="9">
        <f t="shared" si="5"/>
        <v>30.190886249999998</v>
      </c>
    </row>
    <row r="78" spans="1:43" x14ac:dyDescent="0.25">
      <c r="A78">
        <v>20</v>
      </c>
      <c r="B78">
        <v>2</v>
      </c>
      <c r="C78">
        <v>2024</v>
      </c>
      <c r="D78" t="s">
        <v>43</v>
      </c>
      <c r="E78" t="s">
        <v>140</v>
      </c>
      <c r="F78" t="s">
        <v>141</v>
      </c>
      <c r="G78">
        <v>14</v>
      </c>
      <c r="H78">
        <v>1791882490001</v>
      </c>
      <c r="I78" t="s">
        <v>46</v>
      </c>
      <c r="J78" t="s">
        <v>133</v>
      </c>
      <c r="K78" t="s">
        <v>48</v>
      </c>
      <c r="L78" t="s">
        <v>49</v>
      </c>
      <c r="M78" t="s">
        <v>50</v>
      </c>
      <c r="N78" t="s">
        <v>51</v>
      </c>
      <c r="O78">
        <v>8481300000</v>
      </c>
      <c r="P78" t="s">
        <v>203</v>
      </c>
      <c r="Q78" t="s">
        <v>204</v>
      </c>
      <c r="R78" t="s">
        <v>54</v>
      </c>
      <c r="S78" t="s">
        <v>55</v>
      </c>
      <c r="T78">
        <v>6</v>
      </c>
      <c r="U78">
        <v>6</v>
      </c>
      <c r="V78" t="s">
        <v>135</v>
      </c>
      <c r="W78">
        <v>0</v>
      </c>
      <c r="X78">
        <v>59.65</v>
      </c>
      <c r="Y78">
        <v>5.35</v>
      </c>
      <c r="Z78">
        <v>0.4</v>
      </c>
      <c r="AA78">
        <v>65.400000000000006</v>
      </c>
      <c r="AB78" t="s">
        <v>54</v>
      </c>
      <c r="AC78" t="s">
        <v>143</v>
      </c>
      <c r="AD78" t="s">
        <v>48</v>
      </c>
      <c r="AE78">
        <v>0</v>
      </c>
      <c r="AF78">
        <v>11.23</v>
      </c>
      <c r="AG78" t="s">
        <v>59</v>
      </c>
      <c r="AH78">
        <v>876053</v>
      </c>
      <c r="AI78" t="s">
        <v>60</v>
      </c>
      <c r="AJ78" t="s">
        <v>60</v>
      </c>
      <c r="AK78" t="s">
        <v>54</v>
      </c>
      <c r="AL78">
        <v>2024</v>
      </c>
      <c r="AM78" s="6" t="s">
        <v>205</v>
      </c>
      <c r="AN78" s="7">
        <v>9.94</v>
      </c>
      <c r="AO78" s="8">
        <f t="shared" si="3"/>
        <v>18.637499999999999</v>
      </c>
      <c r="AP78" s="8">
        <f t="shared" si="4"/>
        <v>20.706262499999998</v>
      </c>
      <c r="AQ78" s="9">
        <f t="shared" si="5"/>
        <v>30.190886249999998</v>
      </c>
    </row>
    <row r="79" spans="1:43" x14ac:dyDescent="0.25">
      <c r="A79">
        <v>3</v>
      </c>
      <c r="B79">
        <v>4</v>
      </c>
      <c r="C79">
        <v>2024</v>
      </c>
      <c r="D79" t="s">
        <v>43</v>
      </c>
      <c r="E79" t="s">
        <v>73</v>
      </c>
      <c r="F79" t="s">
        <v>74</v>
      </c>
      <c r="G79">
        <v>4</v>
      </c>
      <c r="H79">
        <v>1791882490001</v>
      </c>
      <c r="I79" t="s">
        <v>46</v>
      </c>
      <c r="J79" t="s">
        <v>133</v>
      </c>
      <c r="K79" t="s">
        <v>48</v>
      </c>
      <c r="L79" t="s">
        <v>49</v>
      </c>
      <c r="M79" t="s">
        <v>50</v>
      </c>
      <c r="N79" t="s">
        <v>51</v>
      </c>
      <c r="O79">
        <v>8481300000</v>
      </c>
      <c r="P79" t="s">
        <v>203</v>
      </c>
      <c r="Q79" t="s">
        <v>204</v>
      </c>
      <c r="R79" t="s">
        <v>54</v>
      </c>
      <c r="S79" t="s">
        <v>55</v>
      </c>
      <c r="T79">
        <v>6</v>
      </c>
      <c r="U79">
        <v>5</v>
      </c>
      <c r="V79" t="s">
        <v>135</v>
      </c>
      <c r="W79">
        <v>0</v>
      </c>
      <c r="X79">
        <v>53.09</v>
      </c>
      <c r="Y79">
        <v>6.2</v>
      </c>
      <c r="Z79">
        <v>0.35</v>
      </c>
      <c r="AA79">
        <v>59.64</v>
      </c>
      <c r="AB79" t="s">
        <v>57</v>
      </c>
      <c r="AC79" t="s">
        <v>58</v>
      </c>
      <c r="AD79" t="s">
        <v>48</v>
      </c>
      <c r="AE79">
        <v>0</v>
      </c>
      <c r="AF79">
        <v>6.66</v>
      </c>
      <c r="AG79" t="s">
        <v>59</v>
      </c>
      <c r="AH79">
        <v>438183</v>
      </c>
      <c r="AI79" t="s">
        <v>60</v>
      </c>
      <c r="AJ79" t="s">
        <v>60</v>
      </c>
      <c r="AK79" t="s">
        <v>54</v>
      </c>
      <c r="AL79">
        <v>2024</v>
      </c>
      <c r="AM79" s="6" t="s">
        <v>205</v>
      </c>
      <c r="AN79" s="7">
        <v>10.62</v>
      </c>
      <c r="AO79" s="8">
        <f t="shared" si="3"/>
        <v>19.912499999999998</v>
      </c>
      <c r="AP79" s="8">
        <f t="shared" si="4"/>
        <v>22.122787499999998</v>
      </c>
      <c r="AQ79" s="9">
        <f t="shared" si="5"/>
        <v>32.256258749999994</v>
      </c>
    </row>
    <row r="80" spans="1:43" x14ac:dyDescent="0.25">
      <c r="A80">
        <v>20</v>
      </c>
      <c r="B80">
        <v>2</v>
      </c>
      <c r="C80">
        <v>2024</v>
      </c>
      <c r="D80" t="s">
        <v>43</v>
      </c>
      <c r="E80" t="s">
        <v>140</v>
      </c>
      <c r="F80" t="s">
        <v>141</v>
      </c>
      <c r="G80">
        <v>15</v>
      </c>
      <c r="H80">
        <v>1791882490001</v>
      </c>
      <c r="I80" t="s">
        <v>46</v>
      </c>
      <c r="J80" t="s">
        <v>65</v>
      </c>
      <c r="K80" t="s">
        <v>48</v>
      </c>
      <c r="L80" t="s">
        <v>49</v>
      </c>
      <c r="M80" t="s">
        <v>50</v>
      </c>
      <c r="N80" t="s">
        <v>51</v>
      </c>
      <c r="O80">
        <v>8481400090</v>
      </c>
      <c r="P80" t="s">
        <v>103</v>
      </c>
      <c r="Q80" t="s">
        <v>206</v>
      </c>
      <c r="R80" t="s">
        <v>54</v>
      </c>
      <c r="S80" t="s">
        <v>55</v>
      </c>
      <c r="T80">
        <v>6</v>
      </c>
      <c r="U80">
        <v>1</v>
      </c>
      <c r="V80" t="s">
        <v>135</v>
      </c>
      <c r="W80">
        <v>0</v>
      </c>
      <c r="X80">
        <v>33.79</v>
      </c>
      <c r="Y80">
        <v>3.03</v>
      </c>
      <c r="Z80">
        <v>0.23</v>
      </c>
      <c r="AA80">
        <v>37.049999999999997</v>
      </c>
      <c r="AB80" t="s">
        <v>54</v>
      </c>
      <c r="AC80" t="s">
        <v>143</v>
      </c>
      <c r="AD80" t="s">
        <v>48</v>
      </c>
      <c r="AE80">
        <v>0</v>
      </c>
      <c r="AF80">
        <v>1.87</v>
      </c>
      <c r="AG80" t="s">
        <v>59</v>
      </c>
      <c r="AH80">
        <v>876053</v>
      </c>
      <c r="AI80" t="s">
        <v>60</v>
      </c>
      <c r="AJ80" t="s">
        <v>60</v>
      </c>
      <c r="AK80" t="s">
        <v>54</v>
      </c>
      <c r="AL80">
        <v>2024</v>
      </c>
      <c r="AM80" s="6" t="s">
        <v>207</v>
      </c>
      <c r="AN80" s="7">
        <v>33.79</v>
      </c>
      <c r="AO80" s="8">
        <f t="shared" si="3"/>
        <v>63.356249999999996</v>
      </c>
      <c r="AP80" s="8">
        <f t="shared" si="4"/>
        <v>70.388793749999991</v>
      </c>
      <c r="AQ80" s="9">
        <f t="shared" si="5"/>
        <v>102.63078937499999</v>
      </c>
    </row>
    <row r="81" spans="1:43" x14ac:dyDescent="0.25">
      <c r="A81">
        <v>1</v>
      </c>
      <c r="B81">
        <v>2</v>
      </c>
      <c r="C81">
        <v>2024</v>
      </c>
      <c r="D81" t="s">
        <v>43</v>
      </c>
      <c r="E81" t="s">
        <v>174</v>
      </c>
      <c r="F81" t="s">
        <v>175</v>
      </c>
      <c r="G81">
        <v>3</v>
      </c>
      <c r="H81">
        <v>1791882490001</v>
      </c>
      <c r="I81" t="s">
        <v>46</v>
      </c>
      <c r="J81" t="s">
        <v>65</v>
      </c>
      <c r="K81" t="s">
        <v>48</v>
      </c>
      <c r="L81" t="s">
        <v>49</v>
      </c>
      <c r="M81" t="s">
        <v>50</v>
      </c>
      <c r="N81" t="s">
        <v>51</v>
      </c>
      <c r="O81">
        <v>8481400090</v>
      </c>
      <c r="P81" t="s">
        <v>103</v>
      </c>
      <c r="Q81" t="s">
        <v>208</v>
      </c>
      <c r="R81" t="s">
        <v>54</v>
      </c>
      <c r="S81" t="s">
        <v>55</v>
      </c>
      <c r="T81">
        <v>5</v>
      </c>
      <c r="U81">
        <v>3</v>
      </c>
      <c r="V81" t="s">
        <v>135</v>
      </c>
      <c r="W81">
        <v>0</v>
      </c>
      <c r="X81">
        <v>1693.98</v>
      </c>
      <c r="Y81">
        <v>125.93</v>
      </c>
      <c r="Z81">
        <v>10.119999999999999</v>
      </c>
      <c r="AA81">
        <v>1830.03</v>
      </c>
      <c r="AB81" t="s">
        <v>54</v>
      </c>
      <c r="AC81" t="s">
        <v>94</v>
      </c>
      <c r="AD81" t="s">
        <v>48</v>
      </c>
      <c r="AE81">
        <v>0</v>
      </c>
      <c r="AF81">
        <v>5.95</v>
      </c>
      <c r="AG81" t="s">
        <v>59</v>
      </c>
      <c r="AH81">
        <v>863266</v>
      </c>
      <c r="AI81" t="s">
        <v>60</v>
      </c>
      <c r="AJ81" t="s">
        <v>60</v>
      </c>
      <c r="AK81" t="s">
        <v>54</v>
      </c>
      <c r="AL81">
        <v>2023</v>
      </c>
      <c r="AM81" s="6" t="s">
        <v>209</v>
      </c>
      <c r="AN81" s="7">
        <v>564.66</v>
      </c>
      <c r="AO81" s="8">
        <f t="shared" si="3"/>
        <v>1058.7375</v>
      </c>
      <c r="AP81" s="8">
        <f t="shared" si="4"/>
        <v>1176.2573625</v>
      </c>
      <c r="AQ81" s="9">
        <f t="shared" si="5"/>
        <v>1715.0488762499999</v>
      </c>
    </row>
    <row r="82" spans="1:43" x14ac:dyDescent="0.25">
      <c r="A82">
        <v>15</v>
      </c>
      <c r="B82">
        <v>4</v>
      </c>
      <c r="C82">
        <v>2024</v>
      </c>
      <c r="D82" t="s">
        <v>43</v>
      </c>
      <c r="E82" t="s">
        <v>63</v>
      </c>
      <c r="F82" t="s">
        <v>64</v>
      </c>
      <c r="G82">
        <v>9</v>
      </c>
      <c r="H82">
        <v>1791882490001</v>
      </c>
      <c r="I82" t="s">
        <v>46</v>
      </c>
      <c r="J82" t="s">
        <v>118</v>
      </c>
      <c r="K82" t="s">
        <v>48</v>
      </c>
      <c r="L82" t="s">
        <v>49</v>
      </c>
      <c r="M82" t="s">
        <v>50</v>
      </c>
      <c r="N82" t="s">
        <v>51</v>
      </c>
      <c r="O82">
        <v>8481808000</v>
      </c>
      <c r="P82" t="s">
        <v>210</v>
      </c>
      <c r="Q82" t="s">
        <v>211</v>
      </c>
      <c r="R82" t="s">
        <v>54</v>
      </c>
      <c r="S82" t="s">
        <v>55</v>
      </c>
      <c r="T82">
        <v>6</v>
      </c>
      <c r="U82">
        <v>1</v>
      </c>
      <c r="V82" t="s">
        <v>135</v>
      </c>
      <c r="W82">
        <v>0</v>
      </c>
      <c r="X82">
        <v>71.81</v>
      </c>
      <c r="Y82">
        <v>7.56</v>
      </c>
      <c r="Z82">
        <v>0.48</v>
      </c>
      <c r="AA82">
        <v>79.849999999999994</v>
      </c>
      <c r="AB82" t="s">
        <v>57</v>
      </c>
      <c r="AC82" t="s">
        <v>58</v>
      </c>
      <c r="AD82" t="s">
        <v>48</v>
      </c>
      <c r="AE82">
        <v>0</v>
      </c>
      <c r="AF82">
        <v>0.69</v>
      </c>
      <c r="AG82" t="s">
        <v>59</v>
      </c>
      <c r="AH82">
        <v>443965</v>
      </c>
      <c r="AI82" t="s">
        <v>60</v>
      </c>
      <c r="AJ82" t="s">
        <v>60</v>
      </c>
      <c r="AK82" t="s">
        <v>54</v>
      </c>
      <c r="AL82">
        <v>2024</v>
      </c>
      <c r="AM82" s="6" t="s">
        <v>212</v>
      </c>
      <c r="AN82" s="7">
        <v>71.81</v>
      </c>
      <c r="AO82" s="8">
        <f t="shared" si="3"/>
        <v>134.64375000000001</v>
      </c>
      <c r="AP82" s="8">
        <f t="shared" si="4"/>
        <v>149.58920625000002</v>
      </c>
      <c r="AQ82" s="9">
        <f t="shared" si="5"/>
        <v>218.10941062500001</v>
      </c>
    </row>
    <row r="83" spans="1:43" x14ac:dyDescent="0.25">
      <c r="A83">
        <v>2</v>
      </c>
      <c r="B83">
        <v>1</v>
      </c>
      <c r="C83">
        <v>2024</v>
      </c>
      <c r="D83" t="s">
        <v>43</v>
      </c>
      <c r="E83" t="s">
        <v>181</v>
      </c>
      <c r="F83" t="s">
        <v>182</v>
      </c>
      <c r="G83">
        <v>2</v>
      </c>
      <c r="H83">
        <v>1791882490001</v>
      </c>
      <c r="I83" t="s">
        <v>46</v>
      </c>
      <c r="J83" t="s">
        <v>65</v>
      </c>
      <c r="K83" t="s">
        <v>48</v>
      </c>
      <c r="L83" t="s">
        <v>49</v>
      </c>
      <c r="M83" t="s">
        <v>50</v>
      </c>
      <c r="N83" t="s">
        <v>51</v>
      </c>
      <c r="O83">
        <v>8536690090</v>
      </c>
      <c r="P83" t="s">
        <v>213</v>
      </c>
      <c r="Q83" t="s">
        <v>214</v>
      </c>
      <c r="R83" t="s">
        <v>54</v>
      </c>
      <c r="S83" t="s">
        <v>55</v>
      </c>
      <c r="T83">
        <v>8</v>
      </c>
      <c r="U83">
        <v>1</v>
      </c>
      <c r="V83" t="s">
        <v>135</v>
      </c>
      <c r="W83">
        <v>6.52</v>
      </c>
      <c r="X83">
        <v>107.77</v>
      </c>
      <c r="Y83">
        <v>21.9</v>
      </c>
      <c r="Z83">
        <v>0.69</v>
      </c>
      <c r="AA83">
        <v>130.35</v>
      </c>
      <c r="AB83" t="s">
        <v>57</v>
      </c>
      <c r="AC83" t="s">
        <v>81</v>
      </c>
      <c r="AD83" t="s">
        <v>48</v>
      </c>
      <c r="AE83">
        <v>0</v>
      </c>
      <c r="AF83">
        <v>3.24</v>
      </c>
      <c r="AG83" t="s">
        <v>59</v>
      </c>
      <c r="AH83">
        <v>413505</v>
      </c>
      <c r="AI83" t="s">
        <v>60</v>
      </c>
      <c r="AJ83" t="s">
        <v>60</v>
      </c>
      <c r="AK83" t="s">
        <v>54</v>
      </c>
      <c r="AL83">
        <v>2023</v>
      </c>
      <c r="AM83" s="6" t="s">
        <v>215</v>
      </c>
      <c r="AN83" s="7">
        <v>107.77</v>
      </c>
      <c r="AO83" s="8">
        <f t="shared" si="3"/>
        <v>202.06874999999999</v>
      </c>
      <c r="AP83" s="8">
        <f t="shared" si="4"/>
        <v>224.49838124999999</v>
      </c>
      <c r="AQ83" s="9">
        <f t="shared" si="5"/>
        <v>327.33116812499998</v>
      </c>
    </row>
    <row r="84" spans="1:43" x14ac:dyDescent="0.25">
      <c r="A84">
        <v>16</v>
      </c>
      <c r="B84">
        <v>12</v>
      </c>
      <c r="C84">
        <v>2024</v>
      </c>
      <c r="D84" t="s">
        <v>43</v>
      </c>
      <c r="E84" t="s">
        <v>128</v>
      </c>
      <c r="F84" t="s">
        <v>129</v>
      </c>
      <c r="G84">
        <v>2</v>
      </c>
      <c r="H84">
        <v>1791882490001</v>
      </c>
      <c r="I84" t="s">
        <v>46</v>
      </c>
      <c r="J84" t="s">
        <v>65</v>
      </c>
      <c r="K84" t="s">
        <v>48</v>
      </c>
      <c r="L84" t="s">
        <v>49</v>
      </c>
      <c r="M84" t="s">
        <v>50</v>
      </c>
      <c r="N84" t="s">
        <v>51</v>
      </c>
      <c r="O84">
        <v>8536690090</v>
      </c>
      <c r="P84" t="s">
        <v>213</v>
      </c>
      <c r="Q84" t="s">
        <v>214</v>
      </c>
      <c r="R84" t="s">
        <v>54</v>
      </c>
      <c r="S84" t="s">
        <v>55</v>
      </c>
      <c r="T84">
        <v>9</v>
      </c>
      <c r="U84">
        <v>1</v>
      </c>
      <c r="V84" t="s">
        <v>135</v>
      </c>
      <c r="W84">
        <v>6.45</v>
      </c>
      <c r="X84">
        <v>113.33</v>
      </c>
      <c r="Y84">
        <v>14.84</v>
      </c>
      <c r="Z84">
        <v>0.78</v>
      </c>
      <c r="AA84">
        <v>128.94999999999999</v>
      </c>
      <c r="AB84" t="s">
        <v>57</v>
      </c>
      <c r="AC84" t="s">
        <v>131</v>
      </c>
      <c r="AD84" t="s">
        <v>48</v>
      </c>
      <c r="AE84">
        <v>0</v>
      </c>
      <c r="AF84">
        <v>1.99</v>
      </c>
      <c r="AG84" t="s">
        <v>59</v>
      </c>
      <c r="AH84">
        <v>325395</v>
      </c>
      <c r="AI84" t="s">
        <v>60</v>
      </c>
      <c r="AJ84" t="s">
        <v>78</v>
      </c>
      <c r="AK84" t="s">
        <v>54</v>
      </c>
      <c r="AL84">
        <v>2024</v>
      </c>
      <c r="AM84" s="6" t="s">
        <v>215</v>
      </c>
      <c r="AN84" s="7">
        <v>113.33</v>
      </c>
      <c r="AO84" s="8">
        <f t="shared" si="3"/>
        <v>212.49375000000001</v>
      </c>
      <c r="AP84" s="8">
        <f t="shared" si="4"/>
        <v>236.08055625</v>
      </c>
      <c r="AQ84" s="9">
        <f t="shared" si="5"/>
        <v>344.21862562499996</v>
      </c>
    </row>
    <row r="85" spans="1:43" x14ac:dyDescent="0.25">
      <c r="A85">
        <v>2</v>
      </c>
      <c r="B85">
        <v>1</v>
      </c>
      <c r="C85">
        <v>2024</v>
      </c>
      <c r="D85" t="s">
        <v>43</v>
      </c>
      <c r="E85" t="s">
        <v>181</v>
      </c>
      <c r="F85" t="s">
        <v>182</v>
      </c>
      <c r="G85">
        <v>3</v>
      </c>
      <c r="H85">
        <v>1791882490001</v>
      </c>
      <c r="I85" t="s">
        <v>46</v>
      </c>
      <c r="J85" t="s">
        <v>65</v>
      </c>
      <c r="K85" t="s">
        <v>48</v>
      </c>
      <c r="L85" t="s">
        <v>49</v>
      </c>
      <c r="M85" t="s">
        <v>50</v>
      </c>
      <c r="N85" t="s">
        <v>51</v>
      </c>
      <c r="O85">
        <v>8536690090</v>
      </c>
      <c r="P85" t="s">
        <v>213</v>
      </c>
      <c r="Q85" t="s">
        <v>214</v>
      </c>
      <c r="R85" t="s">
        <v>54</v>
      </c>
      <c r="S85" t="s">
        <v>55</v>
      </c>
      <c r="T85">
        <v>8</v>
      </c>
      <c r="U85">
        <v>1</v>
      </c>
      <c r="V85" t="s">
        <v>135</v>
      </c>
      <c r="W85">
        <v>5.25</v>
      </c>
      <c r="X85">
        <v>86.74</v>
      </c>
      <c r="Y85">
        <v>17.62</v>
      </c>
      <c r="Z85">
        <v>0.56000000000000005</v>
      </c>
      <c r="AA85">
        <v>104.92</v>
      </c>
      <c r="AB85" t="s">
        <v>57</v>
      </c>
      <c r="AC85" t="s">
        <v>81</v>
      </c>
      <c r="AD85" t="s">
        <v>48</v>
      </c>
      <c r="AE85">
        <v>0</v>
      </c>
      <c r="AF85">
        <v>3.24</v>
      </c>
      <c r="AG85" t="s">
        <v>59</v>
      </c>
      <c r="AH85">
        <v>413505</v>
      </c>
      <c r="AI85" t="s">
        <v>60</v>
      </c>
      <c r="AJ85" t="s">
        <v>60</v>
      </c>
      <c r="AK85" t="s">
        <v>54</v>
      </c>
      <c r="AL85">
        <v>2023</v>
      </c>
      <c r="AM85" s="6" t="s">
        <v>216</v>
      </c>
      <c r="AN85" s="7">
        <v>86.74</v>
      </c>
      <c r="AO85" s="8">
        <f t="shared" si="3"/>
        <v>162.63749999999999</v>
      </c>
      <c r="AP85" s="8">
        <f t="shared" si="4"/>
        <v>180.69026249999999</v>
      </c>
      <c r="AQ85" s="9">
        <f t="shared" si="5"/>
        <v>263.45648624999995</v>
      </c>
    </row>
    <row r="86" spans="1:43" x14ac:dyDescent="0.25">
      <c r="A86">
        <v>16</v>
      </c>
      <c r="B86">
        <v>12</v>
      </c>
      <c r="C86">
        <v>2024</v>
      </c>
      <c r="D86" t="s">
        <v>43</v>
      </c>
      <c r="E86" t="s">
        <v>128</v>
      </c>
      <c r="F86" t="s">
        <v>129</v>
      </c>
      <c r="G86">
        <v>3</v>
      </c>
      <c r="H86">
        <v>1791882490001</v>
      </c>
      <c r="I86" t="s">
        <v>46</v>
      </c>
      <c r="J86" t="s">
        <v>65</v>
      </c>
      <c r="K86" t="s">
        <v>48</v>
      </c>
      <c r="L86" t="s">
        <v>49</v>
      </c>
      <c r="M86" t="s">
        <v>50</v>
      </c>
      <c r="N86" t="s">
        <v>51</v>
      </c>
      <c r="O86">
        <v>8536690090</v>
      </c>
      <c r="P86" t="s">
        <v>213</v>
      </c>
      <c r="Q86" t="s">
        <v>214</v>
      </c>
      <c r="R86" t="s">
        <v>54</v>
      </c>
      <c r="S86" t="s">
        <v>55</v>
      </c>
      <c r="T86">
        <v>9</v>
      </c>
      <c r="U86">
        <v>1</v>
      </c>
      <c r="V86" t="s">
        <v>135</v>
      </c>
      <c r="W86">
        <v>5.14</v>
      </c>
      <c r="X86">
        <v>90.33</v>
      </c>
      <c r="Y86">
        <v>11.83</v>
      </c>
      <c r="Z86">
        <v>0.62</v>
      </c>
      <c r="AA86">
        <v>102.78</v>
      </c>
      <c r="AB86" t="s">
        <v>57</v>
      </c>
      <c r="AC86" t="s">
        <v>131</v>
      </c>
      <c r="AD86" t="s">
        <v>48</v>
      </c>
      <c r="AE86">
        <v>0</v>
      </c>
      <c r="AF86">
        <v>1.99</v>
      </c>
      <c r="AG86" t="s">
        <v>59</v>
      </c>
      <c r="AH86">
        <v>325395</v>
      </c>
      <c r="AI86" t="s">
        <v>60</v>
      </c>
      <c r="AJ86" t="s">
        <v>78</v>
      </c>
      <c r="AK86" t="s">
        <v>54</v>
      </c>
      <c r="AL86">
        <v>2024</v>
      </c>
      <c r="AM86" s="6" t="s">
        <v>216</v>
      </c>
      <c r="AN86" s="7">
        <v>90.33</v>
      </c>
      <c r="AO86" s="8">
        <f t="shared" si="3"/>
        <v>169.36875000000001</v>
      </c>
      <c r="AP86" s="8">
        <f t="shared" si="4"/>
        <v>188.16868124999999</v>
      </c>
      <c r="AQ86" s="9">
        <f t="shared" si="5"/>
        <v>274.36043812499997</v>
      </c>
    </row>
    <row r="87" spans="1:43" x14ac:dyDescent="0.25">
      <c r="A87">
        <v>19</v>
      </c>
      <c r="B87">
        <v>8</v>
      </c>
      <c r="C87">
        <v>2024</v>
      </c>
      <c r="D87" t="s">
        <v>43</v>
      </c>
      <c r="E87" t="s">
        <v>84</v>
      </c>
      <c r="F87" t="s">
        <v>85</v>
      </c>
      <c r="G87">
        <v>10</v>
      </c>
      <c r="H87">
        <v>1791882490001</v>
      </c>
      <c r="I87" t="s">
        <v>46</v>
      </c>
      <c r="J87" t="s">
        <v>65</v>
      </c>
      <c r="K87" t="s">
        <v>48</v>
      </c>
      <c r="L87" t="s">
        <v>49</v>
      </c>
      <c r="M87" t="s">
        <v>50</v>
      </c>
      <c r="N87" t="s">
        <v>51</v>
      </c>
      <c r="O87">
        <v>8481805900</v>
      </c>
      <c r="P87" t="s">
        <v>103</v>
      </c>
      <c r="Q87" t="s">
        <v>217</v>
      </c>
      <c r="R87" t="s">
        <v>54</v>
      </c>
      <c r="S87" t="s">
        <v>55</v>
      </c>
      <c r="T87">
        <v>6</v>
      </c>
      <c r="U87">
        <v>10</v>
      </c>
      <c r="V87" t="s">
        <v>135</v>
      </c>
      <c r="W87">
        <v>0</v>
      </c>
      <c r="X87">
        <v>386.13</v>
      </c>
      <c r="Y87">
        <v>49.82</v>
      </c>
      <c r="Z87">
        <v>2.64</v>
      </c>
      <c r="AA87">
        <v>438.6</v>
      </c>
      <c r="AB87" t="s">
        <v>57</v>
      </c>
      <c r="AC87" t="s">
        <v>58</v>
      </c>
      <c r="AD87" t="s">
        <v>48</v>
      </c>
      <c r="AE87">
        <v>0</v>
      </c>
      <c r="AF87">
        <v>13.95</v>
      </c>
      <c r="AG87" t="s">
        <v>59</v>
      </c>
      <c r="AH87">
        <v>144527</v>
      </c>
      <c r="AI87" t="s">
        <v>60</v>
      </c>
      <c r="AJ87" t="s">
        <v>60</v>
      </c>
      <c r="AK87" t="s">
        <v>54</v>
      </c>
      <c r="AL87">
        <v>2024</v>
      </c>
      <c r="AM87" s="6" t="s">
        <v>218</v>
      </c>
      <c r="AN87" s="7">
        <v>38.61</v>
      </c>
      <c r="AO87" s="8">
        <f t="shared" si="3"/>
        <v>72.393749999999997</v>
      </c>
      <c r="AP87" s="8">
        <f t="shared" si="4"/>
        <v>80.429456250000001</v>
      </c>
      <c r="AQ87" s="9">
        <f t="shared" si="5"/>
        <v>117.27063562499998</v>
      </c>
    </row>
    <row r="88" spans="1:43" x14ac:dyDescent="0.25">
      <c r="A88">
        <v>13</v>
      </c>
      <c r="B88">
        <v>3</v>
      </c>
      <c r="C88">
        <v>2024</v>
      </c>
      <c r="D88" t="s">
        <v>43</v>
      </c>
      <c r="E88" t="s">
        <v>69</v>
      </c>
      <c r="F88" t="s">
        <v>70</v>
      </c>
      <c r="G88">
        <v>4</v>
      </c>
      <c r="H88">
        <v>1791882490001</v>
      </c>
      <c r="I88" t="s">
        <v>46</v>
      </c>
      <c r="J88" t="s">
        <v>65</v>
      </c>
      <c r="K88" t="s">
        <v>48</v>
      </c>
      <c r="L88" t="s">
        <v>49</v>
      </c>
      <c r="M88" t="s">
        <v>50</v>
      </c>
      <c r="N88" t="s">
        <v>51</v>
      </c>
      <c r="O88">
        <v>9025199000</v>
      </c>
      <c r="P88" t="s">
        <v>66</v>
      </c>
      <c r="Q88" t="s">
        <v>219</v>
      </c>
      <c r="R88" t="s">
        <v>54</v>
      </c>
      <c r="S88" t="s">
        <v>55</v>
      </c>
      <c r="T88">
        <v>11</v>
      </c>
      <c r="U88">
        <v>5</v>
      </c>
      <c r="V88" t="s">
        <v>135</v>
      </c>
      <c r="W88">
        <v>0</v>
      </c>
      <c r="X88">
        <v>155.01</v>
      </c>
      <c r="Y88">
        <v>20.3</v>
      </c>
      <c r="Z88">
        <v>1.04</v>
      </c>
      <c r="AA88">
        <v>176.36</v>
      </c>
      <c r="AB88" t="s">
        <v>54</v>
      </c>
      <c r="AC88" t="s">
        <v>71</v>
      </c>
      <c r="AD88" t="s">
        <v>48</v>
      </c>
      <c r="AE88">
        <v>0</v>
      </c>
      <c r="AF88">
        <v>10.19</v>
      </c>
      <c r="AG88" t="s">
        <v>59</v>
      </c>
      <c r="AH88">
        <v>895279</v>
      </c>
      <c r="AI88" t="s">
        <v>60</v>
      </c>
      <c r="AJ88" t="s">
        <v>60</v>
      </c>
      <c r="AK88" t="s">
        <v>54</v>
      </c>
      <c r="AL88">
        <v>2024</v>
      </c>
      <c r="AM88" s="6" t="s">
        <v>220</v>
      </c>
      <c r="AN88" s="7">
        <v>31</v>
      </c>
      <c r="AO88" s="8">
        <f t="shared" si="3"/>
        <v>58.125</v>
      </c>
      <c r="AP88" s="8">
        <f t="shared" si="4"/>
        <v>64.576875000000001</v>
      </c>
      <c r="AQ88" s="9">
        <f t="shared" si="5"/>
        <v>94.15668749999999</v>
      </c>
    </row>
    <row r="89" spans="1:43" x14ac:dyDescent="0.25">
      <c r="A89">
        <v>17</v>
      </c>
      <c r="B89">
        <v>5</v>
      </c>
      <c r="C89">
        <v>2024</v>
      </c>
      <c r="D89" t="s">
        <v>43</v>
      </c>
      <c r="E89" t="s">
        <v>79</v>
      </c>
      <c r="F89" t="s">
        <v>80</v>
      </c>
      <c r="G89">
        <v>7</v>
      </c>
      <c r="H89">
        <v>1791882490001</v>
      </c>
      <c r="I89" t="s">
        <v>46</v>
      </c>
      <c r="J89" t="s">
        <v>65</v>
      </c>
      <c r="K89" t="s">
        <v>48</v>
      </c>
      <c r="L89" t="s">
        <v>49</v>
      </c>
      <c r="M89" t="s">
        <v>50</v>
      </c>
      <c r="N89" t="s">
        <v>51</v>
      </c>
      <c r="O89">
        <v>9025199000</v>
      </c>
      <c r="P89" t="s">
        <v>66</v>
      </c>
      <c r="Q89" t="s">
        <v>219</v>
      </c>
      <c r="R89" t="s">
        <v>54</v>
      </c>
      <c r="S89" t="s">
        <v>55</v>
      </c>
      <c r="T89">
        <v>6</v>
      </c>
      <c r="U89">
        <v>5</v>
      </c>
      <c r="V89" t="s">
        <v>135</v>
      </c>
      <c r="W89">
        <v>0</v>
      </c>
      <c r="X89">
        <v>153.43</v>
      </c>
      <c r="Y89">
        <v>14.81</v>
      </c>
      <c r="Z89">
        <v>1.02</v>
      </c>
      <c r="AA89">
        <v>169.27</v>
      </c>
      <c r="AB89" t="s">
        <v>57</v>
      </c>
      <c r="AC89" t="s">
        <v>81</v>
      </c>
      <c r="AD89" t="s">
        <v>48</v>
      </c>
      <c r="AE89">
        <v>0</v>
      </c>
      <c r="AF89">
        <v>5.41</v>
      </c>
      <c r="AG89" t="s">
        <v>82</v>
      </c>
      <c r="AH89">
        <v>471463</v>
      </c>
      <c r="AI89" t="s">
        <v>60</v>
      </c>
      <c r="AJ89" t="s">
        <v>60</v>
      </c>
      <c r="AK89" t="s">
        <v>54</v>
      </c>
      <c r="AL89">
        <v>2024</v>
      </c>
      <c r="AM89" s="6" t="s">
        <v>220</v>
      </c>
      <c r="AN89" s="7">
        <v>30.69</v>
      </c>
      <c r="AO89" s="8">
        <f>SUM(AN89)*1.875</f>
        <v>57.543750000000003</v>
      </c>
      <c r="AP89" s="8">
        <f>SUM(AO89)*1.111</f>
        <v>63.931106249999999</v>
      </c>
      <c r="AQ89" s="9">
        <f t="shared" si="5"/>
        <v>93.215120624999997</v>
      </c>
    </row>
    <row r="90" spans="1:43" x14ac:dyDescent="0.25">
      <c r="A90">
        <v>16</v>
      </c>
      <c r="B90">
        <v>12</v>
      </c>
      <c r="C90">
        <v>2024</v>
      </c>
      <c r="D90" t="s">
        <v>43</v>
      </c>
      <c r="E90" t="s">
        <v>128</v>
      </c>
      <c r="F90" t="s">
        <v>129</v>
      </c>
      <c r="G90">
        <v>4</v>
      </c>
      <c r="H90">
        <v>1791882490001</v>
      </c>
      <c r="I90" t="s">
        <v>46</v>
      </c>
      <c r="J90" t="s">
        <v>65</v>
      </c>
      <c r="K90" t="s">
        <v>48</v>
      </c>
      <c r="L90" t="s">
        <v>49</v>
      </c>
      <c r="M90" t="s">
        <v>50</v>
      </c>
      <c r="N90" t="s">
        <v>51</v>
      </c>
      <c r="O90">
        <v>9025199000</v>
      </c>
      <c r="P90" t="s">
        <v>221</v>
      </c>
      <c r="Q90" t="s">
        <v>219</v>
      </c>
      <c r="R90" t="s">
        <v>54</v>
      </c>
      <c r="S90" t="s">
        <v>55</v>
      </c>
      <c r="T90">
        <v>9</v>
      </c>
      <c r="U90">
        <v>5</v>
      </c>
      <c r="V90" t="s">
        <v>135</v>
      </c>
      <c r="W90">
        <v>0</v>
      </c>
      <c r="X90">
        <v>154.85</v>
      </c>
      <c r="Y90">
        <v>20.28</v>
      </c>
      <c r="Z90">
        <v>1.06</v>
      </c>
      <c r="AA90">
        <v>176.19</v>
      </c>
      <c r="AB90" t="s">
        <v>57</v>
      </c>
      <c r="AC90" t="s">
        <v>131</v>
      </c>
      <c r="AD90" t="s">
        <v>48</v>
      </c>
      <c r="AE90">
        <v>0</v>
      </c>
      <c r="AF90">
        <v>9.94</v>
      </c>
      <c r="AG90" t="s">
        <v>59</v>
      </c>
      <c r="AH90">
        <v>325395</v>
      </c>
      <c r="AI90" t="s">
        <v>60</v>
      </c>
      <c r="AJ90" t="s">
        <v>78</v>
      </c>
      <c r="AK90" t="s">
        <v>54</v>
      </c>
      <c r="AL90">
        <v>2024</v>
      </c>
      <c r="AM90" s="6" t="s">
        <v>220</v>
      </c>
      <c r="AN90" s="7">
        <v>30.97</v>
      </c>
      <c r="AO90" s="8">
        <f t="shared" ref="AO90:AO153" si="6">SUM(AN90)*1.875</f>
        <v>58.068749999999994</v>
      </c>
      <c r="AP90" s="8">
        <f t="shared" ref="AP90:AP153" si="7">SUM(AO90)*1.111</f>
        <v>64.51438125</v>
      </c>
      <c r="AQ90" s="9">
        <f t="shared" si="5"/>
        <v>94.065568124999984</v>
      </c>
    </row>
    <row r="91" spans="1:43" x14ac:dyDescent="0.25">
      <c r="A91">
        <v>26</v>
      </c>
      <c r="B91">
        <v>12</v>
      </c>
      <c r="C91">
        <v>2024</v>
      </c>
      <c r="D91" t="s">
        <v>43</v>
      </c>
      <c r="E91" t="s">
        <v>222</v>
      </c>
      <c r="F91" t="s">
        <v>223</v>
      </c>
      <c r="G91">
        <v>1</v>
      </c>
      <c r="H91">
        <v>1791882490001</v>
      </c>
      <c r="I91" t="s">
        <v>46</v>
      </c>
      <c r="J91" t="s">
        <v>65</v>
      </c>
      <c r="K91" t="s">
        <v>48</v>
      </c>
      <c r="L91" t="s">
        <v>49</v>
      </c>
      <c r="M91" t="s">
        <v>50</v>
      </c>
      <c r="N91" t="s">
        <v>224</v>
      </c>
      <c r="O91">
        <v>9025199000</v>
      </c>
      <c r="P91" t="s">
        <v>221</v>
      </c>
      <c r="Q91" t="s">
        <v>219</v>
      </c>
      <c r="R91" t="s">
        <v>54</v>
      </c>
      <c r="S91" t="s">
        <v>55</v>
      </c>
      <c r="T91">
        <v>8</v>
      </c>
      <c r="U91">
        <v>4</v>
      </c>
      <c r="V91" t="s">
        <v>135</v>
      </c>
      <c r="W91">
        <v>0</v>
      </c>
      <c r="X91">
        <v>125.35</v>
      </c>
      <c r="Y91">
        <v>25.96</v>
      </c>
      <c r="Z91">
        <v>1.25</v>
      </c>
      <c r="AA91">
        <v>152.57</v>
      </c>
      <c r="AB91" t="s">
        <v>57</v>
      </c>
      <c r="AC91" t="s">
        <v>225</v>
      </c>
      <c r="AD91" t="s">
        <v>48</v>
      </c>
      <c r="AE91">
        <v>0</v>
      </c>
      <c r="AF91">
        <v>8.24</v>
      </c>
      <c r="AG91" t="s">
        <v>59</v>
      </c>
      <c r="AH91">
        <v>341996</v>
      </c>
      <c r="AI91" t="s">
        <v>60</v>
      </c>
      <c r="AJ91" t="s">
        <v>60</v>
      </c>
      <c r="AK91" t="s">
        <v>54</v>
      </c>
      <c r="AL91">
        <v>2024</v>
      </c>
      <c r="AM91" s="6" t="s">
        <v>220</v>
      </c>
      <c r="AN91" s="7">
        <v>31.34</v>
      </c>
      <c r="AO91" s="8">
        <f t="shared" si="6"/>
        <v>58.762500000000003</v>
      </c>
      <c r="AP91" s="8">
        <f t="shared" si="7"/>
        <v>65.285137500000005</v>
      </c>
      <c r="AQ91" s="9">
        <f t="shared" si="5"/>
        <v>95.189373750000001</v>
      </c>
    </row>
    <row r="92" spans="1:43" x14ac:dyDescent="0.25">
      <c r="A92">
        <v>19</v>
      </c>
      <c r="B92">
        <v>8</v>
      </c>
      <c r="C92">
        <v>2024</v>
      </c>
      <c r="D92" t="s">
        <v>43</v>
      </c>
      <c r="E92" t="s">
        <v>84</v>
      </c>
      <c r="F92" t="s">
        <v>85</v>
      </c>
      <c r="G92">
        <v>9</v>
      </c>
      <c r="H92">
        <v>1791882490001</v>
      </c>
      <c r="I92" t="s">
        <v>46</v>
      </c>
      <c r="J92" t="s">
        <v>65</v>
      </c>
      <c r="K92" t="s">
        <v>48</v>
      </c>
      <c r="L92" t="s">
        <v>49</v>
      </c>
      <c r="M92" t="s">
        <v>50</v>
      </c>
      <c r="N92" t="s">
        <v>51</v>
      </c>
      <c r="O92">
        <v>9025199000</v>
      </c>
      <c r="P92" t="s">
        <v>66</v>
      </c>
      <c r="Q92" t="s">
        <v>226</v>
      </c>
      <c r="R92" t="s">
        <v>54</v>
      </c>
      <c r="S92" t="s">
        <v>55</v>
      </c>
      <c r="T92">
        <v>6</v>
      </c>
      <c r="U92">
        <v>2</v>
      </c>
      <c r="V92" t="s">
        <v>135</v>
      </c>
      <c r="W92">
        <v>0</v>
      </c>
      <c r="X92">
        <v>77.86</v>
      </c>
      <c r="Y92">
        <v>10.050000000000001</v>
      </c>
      <c r="Z92">
        <v>0.53</v>
      </c>
      <c r="AA92">
        <v>88.44</v>
      </c>
      <c r="AB92" t="s">
        <v>57</v>
      </c>
      <c r="AC92" t="s">
        <v>58</v>
      </c>
      <c r="AD92" t="s">
        <v>48</v>
      </c>
      <c r="AE92">
        <v>0</v>
      </c>
      <c r="AF92">
        <v>2.79</v>
      </c>
      <c r="AG92" t="s">
        <v>59</v>
      </c>
      <c r="AH92">
        <v>144527</v>
      </c>
      <c r="AI92" t="s">
        <v>60</v>
      </c>
      <c r="AJ92" t="s">
        <v>60</v>
      </c>
      <c r="AK92" t="s">
        <v>54</v>
      </c>
      <c r="AL92">
        <v>2024</v>
      </c>
      <c r="AM92" s="6" t="s">
        <v>227</v>
      </c>
      <c r="AN92" s="7">
        <v>38.93</v>
      </c>
      <c r="AO92" s="8">
        <f t="shared" si="6"/>
        <v>72.993750000000006</v>
      </c>
      <c r="AP92" s="8">
        <f t="shared" si="7"/>
        <v>81.096056250000004</v>
      </c>
      <c r="AQ92" s="9">
        <f t="shared" si="5"/>
        <v>118.242575625</v>
      </c>
    </row>
    <row r="93" spans="1:43" x14ac:dyDescent="0.25">
      <c r="A93">
        <v>3</v>
      </c>
      <c r="B93">
        <v>4</v>
      </c>
      <c r="C93">
        <v>2024</v>
      </c>
      <c r="D93" t="s">
        <v>43</v>
      </c>
      <c r="E93" t="s">
        <v>73</v>
      </c>
      <c r="F93" t="s">
        <v>74</v>
      </c>
      <c r="G93">
        <v>5</v>
      </c>
      <c r="H93">
        <v>1791882490001</v>
      </c>
      <c r="I93" t="s">
        <v>46</v>
      </c>
      <c r="J93" t="s">
        <v>133</v>
      </c>
      <c r="K93" t="s">
        <v>48</v>
      </c>
      <c r="L93" t="s">
        <v>49</v>
      </c>
      <c r="M93" t="s">
        <v>50</v>
      </c>
      <c r="N93" t="s">
        <v>51</v>
      </c>
      <c r="O93">
        <v>8481805900</v>
      </c>
      <c r="P93" t="s">
        <v>103</v>
      </c>
      <c r="Q93" t="s">
        <v>228</v>
      </c>
      <c r="R93" t="s">
        <v>54</v>
      </c>
      <c r="S93" t="s">
        <v>55</v>
      </c>
      <c r="T93">
        <v>6</v>
      </c>
      <c r="U93">
        <v>2</v>
      </c>
      <c r="V93" t="s">
        <v>135</v>
      </c>
      <c r="W93">
        <v>0</v>
      </c>
      <c r="X93">
        <v>150.49</v>
      </c>
      <c r="Y93">
        <v>17.579999999999998</v>
      </c>
      <c r="Z93">
        <v>0.99</v>
      </c>
      <c r="AA93">
        <v>169.05</v>
      </c>
      <c r="AB93" t="s">
        <v>57</v>
      </c>
      <c r="AC93" t="s">
        <v>58</v>
      </c>
      <c r="AD93" t="s">
        <v>48</v>
      </c>
      <c r="AE93">
        <v>0</v>
      </c>
      <c r="AF93">
        <v>2.67</v>
      </c>
      <c r="AG93" t="s">
        <v>59</v>
      </c>
      <c r="AH93">
        <v>438183</v>
      </c>
      <c r="AI93" t="s">
        <v>60</v>
      </c>
      <c r="AJ93" t="s">
        <v>60</v>
      </c>
      <c r="AK93" t="s">
        <v>54</v>
      </c>
      <c r="AL93">
        <v>2024</v>
      </c>
      <c r="AM93" s="6" t="s">
        <v>229</v>
      </c>
      <c r="AN93" s="7">
        <v>75.239999999999995</v>
      </c>
      <c r="AO93" s="8">
        <f t="shared" si="6"/>
        <v>141.07499999999999</v>
      </c>
      <c r="AP93" s="8">
        <f t="shared" si="7"/>
        <v>156.73432499999998</v>
      </c>
      <c r="AQ93" s="9">
        <f t="shared" si="5"/>
        <v>228.52739249999996</v>
      </c>
    </row>
    <row r="94" spans="1:43" x14ac:dyDescent="0.25">
      <c r="A94">
        <v>3</v>
      </c>
      <c r="B94">
        <v>4</v>
      </c>
      <c r="C94">
        <v>2024</v>
      </c>
      <c r="D94" t="s">
        <v>43</v>
      </c>
      <c r="E94" t="s">
        <v>73</v>
      </c>
      <c r="F94" t="s">
        <v>74</v>
      </c>
      <c r="G94">
        <v>6</v>
      </c>
      <c r="H94">
        <v>1791882490001</v>
      </c>
      <c r="I94" t="s">
        <v>46</v>
      </c>
      <c r="J94" t="s">
        <v>133</v>
      </c>
      <c r="K94" t="s">
        <v>48</v>
      </c>
      <c r="L94" t="s">
        <v>49</v>
      </c>
      <c r="M94" t="s">
        <v>50</v>
      </c>
      <c r="N94" t="s">
        <v>51</v>
      </c>
      <c r="O94">
        <v>8481805900</v>
      </c>
      <c r="P94" t="s">
        <v>103</v>
      </c>
      <c r="Q94" t="s">
        <v>228</v>
      </c>
      <c r="R94" t="s">
        <v>54</v>
      </c>
      <c r="S94" t="s">
        <v>55</v>
      </c>
      <c r="T94">
        <v>6</v>
      </c>
      <c r="U94">
        <v>2</v>
      </c>
      <c r="V94" t="s">
        <v>135</v>
      </c>
      <c r="W94">
        <v>0</v>
      </c>
      <c r="X94">
        <v>203.98</v>
      </c>
      <c r="Y94">
        <v>23.83</v>
      </c>
      <c r="Z94">
        <v>1.33</v>
      </c>
      <c r="AA94">
        <v>229.14</v>
      </c>
      <c r="AB94" t="s">
        <v>57</v>
      </c>
      <c r="AC94" t="s">
        <v>58</v>
      </c>
      <c r="AD94" t="s">
        <v>48</v>
      </c>
      <c r="AE94">
        <v>0</v>
      </c>
      <c r="AF94">
        <v>2.67</v>
      </c>
      <c r="AG94" t="s">
        <v>59</v>
      </c>
      <c r="AH94">
        <v>438183</v>
      </c>
      <c r="AI94" t="s">
        <v>60</v>
      </c>
      <c r="AJ94" t="s">
        <v>60</v>
      </c>
      <c r="AK94" t="s">
        <v>54</v>
      </c>
      <c r="AL94">
        <v>2024</v>
      </c>
      <c r="AM94" s="6" t="s">
        <v>230</v>
      </c>
      <c r="AN94" s="7">
        <v>101.99</v>
      </c>
      <c r="AO94" s="8">
        <f t="shared" si="6"/>
        <v>191.23124999999999</v>
      </c>
      <c r="AP94" s="8">
        <f t="shared" si="7"/>
        <v>212.45791874999998</v>
      </c>
      <c r="AQ94" s="9">
        <f t="shared" si="5"/>
        <v>309.77550187499997</v>
      </c>
    </row>
    <row r="95" spans="1:43" x14ac:dyDescent="0.25">
      <c r="A95">
        <v>17</v>
      </c>
      <c r="B95">
        <v>5</v>
      </c>
      <c r="C95">
        <v>2024</v>
      </c>
      <c r="D95" t="s">
        <v>43</v>
      </c>
      <c r="E95" t="s">
        <v>79</v>
      </c>
      <c r="F95" t="s">
        <v>80</v>
      </c>
      <c r="G95">
        <v>8</v>
      </c>
      <c r="H95">
        <v>1791882490001</v>
      </c>
      <c r="I95" t="s">
        <v>46</v>
      </c>
      <c r="J95" t="s">
        <v>133</v>
      </c>
      <c r="K95" t="s">
        <v>48</v>
      </c>
      <c r="L95" t="s">
        <v>49</v>
      </c>
      <c r="M95" t="s">
        <v>50</v>
      </c>
      <c r="N95" t="s">
        <v>51</v>
      </c>
      <c r="O95">
        <v>8481805900</v>
      </c>
      <c r="P95" t="s">
        <v>103</v>
      </c>
      <c r="Q95" t="s">
        <v>228</v>
      </c>
      <c r="R95" t="s">
        <v>54</v>
      </c>
      <c r="S95" t="s">
        <v>55</v>
      </c>
      <c r="T95">
        <v>6</v>
      </c>
      <c r="U95">
        <v>2</v>
      </c>
      <c r="V95" t="s">
        <v>135</v>
      </c>
      <c r="W95">
        <v>0</v>
      </c>
      <c r="X95">
        <v>198.2</v>
      </c>
      <c r="Y95">
        <v>19.13</v>
      </c>
      <c r="Z95">
        <v>1.32</v>
      </c>
      <c r="AA95">
        <v>218.65</v>
      </c>
      <c r="AB95" t="s">
        <v>57</v>
      </c>
      <c r="AC95" t="s">
        <v>81</v>
      </c>
      <c r="AD95" t="s">
        <v>48</v>
      </c>
      <c r="AE95">
        <v>0</v>
      </c>
      <c r="AF95">
        <v>2.16</v>
      </c>
      <c r="AG95" t="s">
        <v>82</v>
      </c>
      <c r="AH95">
        <v>471463</v>
      </c>
      <c r="AI95" t="s">
        <v>60</v>
      </c>
      <c r="AJ95" t="s">
        <v>60</v>
      </c>
      <c r="AK95" t="s">
        <v>54</v>
      </c>
      <c r="AL95">
        <v>2024</v>
      </c>
      <c r="AM95" s="6" t="s">
        <v>230</v>
      </c>
      <c r="AN95" s="7">
        <v>99.1</v>
      </c>
      <c r="AO95" s="8">
        <f t="shared" si="6"/>
        <v>185.8125</v>
      </c>
      <c r="AP95" s="8">
        <f t="shared" si="7"/>
        <v>206.43768750000001</v>
      </c>
      <c r="AQ95" s="9">
        <f t="shared" si="5"/>
        <v>300.99766875</v>
      </c>
    </row>
    <row r="96" spans="1:43" x14ac:dyDescent="0.25">
      <c r="A96">
        <v>17</v>
      </c>
      <c r="B96">
        <v>5</v>
      </c>
      <c r="C96">
        <v>2024</v>
      </c>
      <c r="D96" t="s">
        <v>43</v>
      </c>
      <c r="E96" t="s">
        <v>79</v>
      </c>
      <c r="F96" t="s">
        <v>80</v>
      </c>
      <c r="G96">
        <v>9</v>
      </c>
      <c r="H96">
        <v>1791882490001</v>
      </c>
      <c r="I96" t="s">
        <v>46</v>
      </c>
      <c r="J96" t="s">
        <v>133</v>
      </c>
      <c r="K96" t="s">
        <v>48</v>
      </c>
      <c r="L96" t="s">
        <v>49</v>
      </c>
      <c r="M96" t="s">
        <v>50</v>
      </c>
      <c r="N96" t="s">
        <v>51</v>
      </c>
      <c r="O96">
        <v>8481805900</v>
      </c>
      <c r="P96" t="s">
        <v>103</v>
      </c>
      <c r="Q96" t="s">
        <v>228</v>
      </c>
      <c r="R96" t="s">
        <v>54</v>
      </c>
      <c r="S96" t="s">
        <v>55</v>
      </c>
      <c r="T96">
        <v>6</v>
      </c>
      <c r="U96">
        <v>3</v>
      </c>
      <c r="V96" t="s">
        <v>135</v>
      </c>
      <c r="W96">
        <v>0</v>
      </c>
      <c r="X96">
        <v>395.02</v>
      </c>
      <c r="Y96">
        <v>38.14</v>
      </c>
      <c r="Z96">
        <v>2.63</v>
      </c>
      <c r="AA96">
        <v>435.79</v>
      </c>
      <c r="AB96" t="s">
        <v>57</v>
      </c>
      <c r="AC96" t="s">
        <v>81</v>
      </c>
      <c r="AD96" t="s">
        <v>48</v>
      </c>
      <c r="AE96">
        <v>0</v>
      </c>
      <c r="AF96">
        <v>3.24</v>
      </c>
      <c r="AG96" t="s">
        <v>82</v>
      </c>
      <c r="AH96">
        <v>471463</v>
      </c>
      <c r="AI96" t="s">
        <v>60</v>
      </c>
      <c r="AJ96" t="s">
        <v>60</v>
      </c>
      <c r="AK96" t="s">
        <v>54</v>
      </c>
      <c r="AL96">
        <v>2024</v>
      </c>
      <c r="AM96" s="6" t="s">
        <v>231</v>
      </c>
      <c r="AN96" s="7">
        <v>131.66999999999999</v>
      </c>
      <c r="AO96" s="8">
        <f t="shared" si="6"/>
        <v>246.88124999999997</v>
      </c>
      <c r="AP96" s="8">
        <f t="shared" si="7"/>
        <v>274.28506874999994</v>
      </c>
      <c r="AQ96" s="9">
        <f t="shared" si="5"/>
        <v>399.92293687499989</v>
      </c>
    </row>
    <row r="97" spans="1:43" x14ac:dyDescent="0.25">
      <c r="A97">
        <v>2</v>
      </c>
      <c r="B97">
        <v>1</v>
      </c>
      <c r="C97">
        <v>2024</v>
      </c>
      <c r="D97" t="s">
        <v>43</v>
      </c>
      <c r="E97" t="s">
        <v>181</v>
      </c>
      <c r="F97" t="s">
        <v>182</v>
      </c>
      <c r="G97">
        <v>4</v>
      </c>
      <c r="H97">
        <v>1791882490001</v>
      </c>
      <c r="I97" t="s">
        <v>46</v>
      </c>
      <c r="J97" t="s">
        <v>133</v>
      </c>
      <c r="K97" t="s">
        <v>48</v>
      </c>
      <c r="L97" t="s">
        <v>49</v>
      </c>
      <c r="M97" t="s">
        <v>50</v>
      </c>
      <c r="N97" t="s">
        <v>51</v>
      </c>
      <c r="O97">
        <v>8481805900</v>
      </c>
      <c r="P97" t="s">
        <v>232</v>
      </c>
      <c r="Q97" t="s">
        <v>228</v>
      </c>
      <c r="R97" t="s">
        <v>54</v>
      </c>
      <c r="S97" t="s">
        <v>55</v>
      </c>
      <c r="T97">
        <v>8</v>
      </c>
      <c r="U97">
        <v>3</v>
      </c>
      <c r="V97" t="s">
        <v>135</v>
      </c>
      <c r="W97">
        <v>0</v>
      </c>
      <c r="X97">
        <v>195.15</v>
      </c>
      <c r="Y97">
        <v>39.65</v>
      </c>
      <c r="Z97">
        <v>1.25</v>
      </c>
      <c r="AA97">
        <v>236.05</v>
      </c>
      <c r="AB97" t="s">
        <v>57</v>
      </c>
      <c r="AC97" t="s">
        <v>81</v>
      </c>
      <c r="AD97" t="s">
        <v>48</v>
      </c>
      <c r="AE97">
        <v>0</v>
      </c>
      <c r="AF97">
        <v>9.7200000000000006</v>
      </c>
      <c r="AG97" t="s">
        <v>59</v>
      </c>
      <c r="AH97">
        <v>413505</v>
      </c>
      <c r="AI97" t="s">
        <v>60</v>
      </c>
      <c r="AJ97" t="s">
        <v>60</v>
      </c>
      <c r="AK97" t="s">
        <v>54</v>
      </c>
      <c r="AL97">
        <v>2023</v>
      </c>
      <c r="AM97" s="6" t="s">
        <v>233</v>
      </c>
      <c r="AN97" s="7">
        <v>65.05</v>
      </c>
      <c r="AO97" s="8">
        <f t="shared" si="6"/>
        <v>121.96875</v>
      </c>
      <c r="AP97" s="8">
        <f t="shared" si="7"/>
        <v>135.50728125000001</v>
      </c>
      <c r="AQ97" s="9">
        <f t="shared" si="5"/>
        <v>197.57717812499999</v>
      </c>
    </row>
    <row r="98" spans="1:43" x14ac:dyDescent="0.25">
      <c r="A98">
        <v>13</v>
      </c>
      <c r="B98">
        <v>3</v>
      </c>
      <c r="C98">
        <v>2024</v>
      </c>
      <c r="D98" t="s">
        <v>43</v>
      </c>
      <c r="E98" t="s">
        <v>69</v>
      </c>
      <c r="F98" t="s">
        <v>70</v>
      </c>
      <c r="G98">
        <v>5</v>
      </c>
      <c r="H98">
        <v>1791882490001</v>
      </c>
      <c r="I98" t="s">
        <v>46</v>
      </c>
      <c r="J98" t="s">
        <v>133</v>
      </c>
      <c r="K98" t="s">
        <v>48</v>
      </c>
      <c r="L98" t="s">
        <v>49</v>
      </c>
      <c r="M98" t="s">
        <v>50</v>
      </c>
      <c r="N98" t="s">
        <v>51</v>
      </c>
      <c r="O98">
        <v>8481805900</v>
      </c>
      <c r="P98" t="s">
        <v>103</v>
      </c>
      <c r="Q98" t="s">
        <v>228</v>
      </c>
      <c r="R98" t="s">
        <v>54</v>
      </c>
      <c r="S98" t="s">
        <v>55</v>
      </c>
      <c r="T98">
        <v>11</v>
      </c>
      <c r="U98">
        <v>3</v>
      </c>
      <c r="V98" t="s">
        <v>135</v>
      </c>
      <c r="W98">
        <v>0</v>
      </c>
      <c r="X98">
        <v>203.45</v>
      </c>
      <c r="Y98">
        <v>26.64</v>
      </c>
      <c r="Z98">
        <v>1.37</v>
      </c>
      <c r="AA98">
        <v>231.46</v>
      </c>
      <c r="AB98" t="s">
        <v>54</v>
      </c>
      <c r="AC98" t="s">
        <v>71</v>
      </c>
      <c r="AD98" t="s">
        <v>48</v>
      </c>
      <c r="AE98">
        <v>0</v>
      </c>
      <c r="AF98">
        <v>6.12</v>
      </c>
      <c r="AG98" t="s">
        <v>59</v>
      </c>
      <c r="AH98">
        <v>895279</v>
      </c>
      <c r="AI98" t="s">
        <v>60</v>
      </c>
      <c r="AJ98" t="s">
        <v>60</v>
      </c>
      <c r="AK98" t="s">
        <v>54</v>
      </c>
      <c r="AL98">
        <v>2024</v>
      </c>
      <c r="AM98" s="6" t="s">
        <v>233</v>
      </c>
      <c r="AN98" s="7">
        <v>67.819999999999993</v>
      </c>
      <c r="AO98" s="8">
        <f t="shared" si="6"/>
        <v>127.16249999999999</v>
      </c>
      <c r="AP98" s="8">
        <f t="shared" si="7"/>
        <v>141.27753749999999</v>
      </c>
      <c r="AQ98" s="9">
        <f t="shared" si="5"/>
        <v>205.99053374999997</v>
      </c>
    </row>
    <row r="99" spans="1:43" x14ac:dyDescent="0.25">
      <c r="A99">
        <v>11</v>
      </c>
      <c r="B99">
        <v>7</v>
      </c>
      <c r="C99">
        <v>2024</v>
      </c>
      <c r="D99" t="s">
        <v>43</v>
      </c>
      <c r="E99" t="s">
        <v>116</v>
      </c>
      <c r="F99" t="s">
        <v>117</v>
      </c>
      <c r="G99">
        <v>2</v>
      </c>
      <c r="H99">
        <v>1791882490001</v>
      </c>
      <c r="I99" t="s">
        <v>46</v>
      </c>
      <c r="J99" t="s">
        <v>133</v>
      </c>
      <c r="K99" t="s">
        <v>48</v>
      </c>
      <c r="L99" t="s">
        <v>119</v>
      </c>
      <c r="M99" t="s">
        <v>120</v>
      </c>
      <c r="N99" t="s">
        <v>121</v>
      </c>
      <c r="O99">
        <v>8481805900</v>
      </c>
      <c r="P99" t="s">
        <v>103</v>
      </c>
      <c r="Q99" t="s">
        <v>228</v>
      </c>
      <c r="R99" t="s">
        <v>54</v>
      </c>
      <c r="S99" t="s">
        <v>55</v>
      </c>
      <c r="T99">
        <v>9</v>
      </c>
      <c r="U99">
        <v>4</v>
      </c>
      <c r="V99" t="s">
        <v>135</v>
      </c>
      <c r="W99">
        <v>0</v>
      </c>
      <c r="X99">
        <v>269.57</v>
      </c>
      <c r="Y99">
        <v>24.28</v>
      </c>
      <c r="Z99">
        <v>1.81</v>
      </c>
      <c r="AA99">
        <v>295.66000000000003</v>
      </c>
      <c r="AB99" t="s">
        <v>124</v>
      </c>
      <c r="AC99" t="s">
        <v>125</v>
      </c>
      <c r="AD99" t="s">
        <v>48</v>
      </c>
      <c r="AE99">
        <v>0</v>
      </c>
      <c r="AF99">
        <v>8.07</v>
      </c>
      <c r="AG99" t="s">
        <v>59</v>
      </c>
      <c r="AH99">
        <v>486256</v>
      </c>
      <c r="AI99" t="s">
        <v>60</v>
      </c>
      <c r="AJ99" t="s">
        <v>78</v>
      </c>
      <c r="AK99" t="s">
        <v>54</v>
      </c>
      <c r="AL99">
        <v>2024</v>
      </c>
      <c r="AM99" s="6" t="s">
        <v>233</v>
      </c>
      <c r="AN99" s="7">
        <v>67.39</v>
      </c>
      <c r="AO99" s="8">
        <f t="shared" si="6"/>
        <v>126.35625</v>
      </c>
      <c r="AP99" s="8">
        <f t="shared" si="7"/>
        <v>140.38179375000001</v>
      </c>
      <c r="AQ99" s="9">
        <f t="shared" si="5"/>
        <v>204.684489375</v>
      </c>
    </row>
    <row r="100" spans="1:43" x14ac:dyDescent="0.25">
      <c r="A100">
        <v>8</v>
      </c>
      <c r="B100">
        <v>7</v>
      </c>
      <c r="C100">
        <v>2024</v>
      </c>
      <c r="D100" t="s">
        <v>43</v>
      </c>
      <c r="E100" t="s">
        <v>75</v>
      </c>
      <c r="F100" t="s">
        <v>76</v>
      </c>
      <c r="G100">
        <v>3</v>
      </c>
      <c r="H100">
        <v>1791882490001</v>
      </c>
      <c r="I100" t="s">
        <v>46</v>
      </c>
      <c r="J100" t="s">
        <v>65</v>
      </c>
      <c r="K100" t="s">
        <v>48</v>
      </c>
      <c r="L100" t="s">
        <v>49</v>
      </c>
      <c r="M100" t="s">
        <v>50</v>
      </c>
      <c r="N100" t="s">
        <v>51</v>
      </c>
      <c r="O100">
        <v>8481805900</v>
      </c>
      <c r="P100" t="s">
        <v>103</v>
      </c>
      <c r="Q100" t="s">
        <v>228</v>
      </c>
      <c r="R100" t="s">
        <v>54</v>
      </c>
      <c r="S100" t="s">
        <v>55</v>
      </c>
      <c r="T100">
        <v>8</v>
      </c>
      <c r="U100">
        <v>5</v>
      </c>
      <c r="V100" t="s">
        <v>135</v>
      </c>
      <c r="W100">
        <v>0</v>
      </c>
      <c r="X100">
        <v>667.35</v>
      </c>
      <c r="Y100">
        <v>57</v>
      </c>
      <c r="Z100">
        <v>4.34</v>
      </c>
      <c r="AA100">
        <v>728.69</v>
      </c>
      <c r="AB100" t="s">
        <v>57</v>
      </c>
      <c r="AC100" t="s">
        <v>77</v>
      </c>
      <c r="AD100" t="s">
        <v>48</v>
      </c>
      <c r="AE100">
        <v>0</v>
      </c>
      <c r="AF100">
        <v>4.42</v>
      </c>
      <c r="AG100" t="s">
        <v>59</v>
      </c>
      <c r="AH100">
        <v>107711</v>
      </c>
      <c r="AI100" t="s">
        <v>60</v>
      </c>
      <c r="AJ100" t="s">
        <v>78</v>
      </c>
      <c r="AK100" t="s">
        <v>54</v>
      </c>
      <c r="AL100">
        <v>2024</v>
      </c>
      <c r="AM100" s="6" t="s">
        <v>234</v>
      </c>
      <c r="AN100" s="7">
        <v>133.47</v>
      </c>
      <c r="AO100" s="8">
        <f t="shared" si="6"/>
        <v>250.25624999999999</v>
      </c>
      <c r="AP100" s="8">
        <f t="shared" si="7"/>
        <v>278.03469374999997</v>
      </c>
      <c r="AQ100" s="9">
        <f t="shared" si="5"/>
        <v>405.39009937499998</v>
      </c>
    </row>
    <row r="101" spans="1:43" x14ac:dyDescent="0.25">
      <c r="A101">
        <v>8</v>
      </c>
      <c r="B101">
        <v>7</v>
      </c>
      <c r="C101">
        <v>2024</v>
      </c>
      <c r="D101" t="s">
        <v>43</v>
      </c>
      <c r="E101" t="s">
        <v>75</v>
      </c>
      <c r="F101" t="s">
        <v>76</v>
      </c>
      <c r="G101">
        <v>3</v>
      </c>
      <c r="H101">
        <v>1791882490001</v>
      </c>
      <c r="I101" t="s">
        <v>46</v>
      </c>
      <c r="J101" t="s">
        <v>65</v>
      </c>
      <c r="K101" t="s">
        <v>48</v>
      </c>
      <c r="L101" t="s">
        <v>49</v>
      </c>
      <c r="M101" t="s">
        <v>50</v>
      </c>
      <c r="N101" t="s">
        <v>51</v>
      </c>
      <c r="O101">
        <v>8481805900</v>
      </c>
      <c r="P101" t="s">
        <v>103</v>
      </c>
      <c r="Q101" t="s">
        <v>228</v>
      </c>
      <c r="R101" t="s">
        <v>54</v>
      </c>
      <c r="S101" t="s">
        <v>55</v>
      </c>
      <c r="T101">
        <v>8</v>
      </c>
      <c r="U101">
        <v>5</v>
      </c>
      <c r="V101" t="s">
        <v>135</v>
      </c>
      <c r="W101">
        <v>0</v>
      </c>
      <c r="X101">
        <v>667.35</v>
      </c>
      <c r="Y101">
        <v>57</v>
      </c>
      <c r="Z101">
        <v>4.34</v>
      </c>
      <c r="AA101">
        <v>728.69</v>
      </c>
      <c r="AB101" t="s">
        <v>57</v>
      </c>
      <c r="AC101" t="s">
        <v>77</v>
      </c>
      <c r="AD101" t="s">
        <v>48</v>
      </c>
      <c r="AE101">
        <v>0</v>
      </c>
      <c r="AF101">
        <v>4.42</v>
      </c>
      <c r="AG101" t="s">
        <v>59</v>
      </c>
      <c r="AH101">
        <v>107711</v>
      </c>
      <c r="AI101" t="s">
        <v>60</v>
      </c>
      <c r="AJ101" t="s">
        <v>78</v>
      </c>
      <c r="AK101" t="s">
        <v>54</v>
      </c>
      <c r="AL101">
        <v>2024</v>
      </c>
      <c r="AM101" s="6" t="s">
        <v>234</v>
      </c>
      <c r="AN101" s="7">
        <v>133.47</v>
      </c>
      <c r="AO101" s="8">
        <f t="shared" si="6"/>
        <v>250.25624999999999</v>
      </c>
      <c r="AP101" s="8">
        <f t="shared" si="7"/>
        <v>278.03469374999997</v>
      </c>
      <c r="AQ101" s="9">
        <f t="shared" si="5"/>
        <v>405.39009937499998</v>
      </c>
    </row>
    <row r="102" spans="1:43" x14ac:dyDescent="0.25">
      <c r="A102">
        <v>12</v>
      </c>
      <c r="B102">
        <v>6</v>
      </c>
      <c r="C102">
        <v>2024</v>
      </c>
      <c r="D102" t="s">
        <v>43</v>
      </c>
      <c r="E102" t="s">
        <v>96</v>
      </c>
      <c r="F102" t="s">
        <v>97</v>
      </c>
      <c r="G102">
        <v>9</v>
      </c>
      <c r="H102">
        <v>1791882490001</v>
      </c>
      <c r="I102" t="s">
        <v>46</v>
      </c>
      <c r="J102" t="s">
        <v>65</v>
      </c>
      <c r="K102" t="s">
        <v>48</v>
      </c>
      <c r="L102" t="s">
        <v>49</v>
      </c>
      <c r="M102" t="s">
        <v>50</v>
      </c>
      <c r="N102" t="s">
        <v>51</v>
      </c>
      <c r="O102">
        <v>8481805900</v>
      </c>
      <c r="P102" t="s">
        <v>103</v>
      </c>
      <c r="Q102" t="s">
        <v>235</v>
      </c>
      <c r="R102" t="s">
        <v>54</v>
      </c>
      <c r="S102" t="s">
        <v>55</v>
      </c>
      <c r="T102">
        <v>7</v>
      </c>
      <c r="U102">
        <v>3</v>
      </c>
      <c r="V102" t="s">
        <v>135</v>
      </c>
      <c r="W102">
        <v>0</v>
      </c>
      <c r="X102">
        <v>143.35</v>
      </c>
      <c r="Y102">
        <v>12.43</v>
      </c>
      <c r="Z102">
        <v>0.96</v>
      </c>
      <c r="AA102">
        <v>156.74</v>
      </c>
      <c r="AB102" t="s">
        <v>57</v>
      </c>
      <c r="AC102" t="s">
        <v>94</v>
      </c>
      <c r="AD102" t="s">
        <v>48</v>
      </c>
      <c r="AE102">
        <v>0</v>
      </c>
      <c r="AF102">
        <v>5.4</v>
      </c>
      <c r="AG102" t="s">
        <v>59</v>
      </c>
      <c r="AH102" t="s">
        <v>98</v>
      </c>
      <c r="AI102" t="s">
        <v>60</v>
      </c>
      <c r="AJ102" t="s">
        <v>60</v>
      </c>
      <c r="AK102" t="s">
        <v>54</v>
      </c>
      <c r="AL102">
        <v>2024</v>
      </c>
      <c r="AM102" s="6" t="s">
        <v>236</v>
      </c>
      <c r="AN102" s="7">
        <v>47.78</v>
      </c>
      <c r="AO102" s="8">
        <f t="shared" si="6"/>
        <v>89.587500000000006</v>
      </c>
      <c r="AP102" s="8">
        <f t="shared" si="7"/>
        <v>99.531712500000012</v>
      </c>
      <c r="AQ102" s="9">
        <f t="shared" si="5"/>
        <v>145.12279125000001</v>
      </c>
    </row>
    <row r="103" spans="1:43" x14ac:dyDescent="0.25">
      <c r="A103">
        <v>15</v>
      </c>
      <c r="B103">
        <v>4</v>
      </c>
      <c r="C103">
        <v>2024</v>
      </c>
      <c r="D103" t="s">
        <v>43</v>
      </c>
      <c r="E103" t="s">
        <v>63</v>
      </c>
      <c r="F103" t="s">
        <v>64</v>
      </c>
      <c r="G103">
        <v>10</v>
      </c>
      <c r="H103">
        <v>1791882490001</v>
      </c>
      <c r="I103" t="s">
        <v>46</v>
      </c>
      <c r="J103" t="s">
        <v>65</v>
      </c>
      <c r="K103" t="s">
        <v>48</v>
      </c>
      <c r="L103" t="s">
        <v>49</v>
      </c>
      <c r="M103" t="s">
        <v>50</v>
      </c>
      <c r="N103" t="s">
        <v>51</v>
      </c>
      <c r="O103">
        <v>9032899000</v>
      </c>
      <c r="P103" t="s">
        <v>66</v>
      </c>
      <c r="Q103" t="s">
        <v>237</v>
      </c>
      <c r="R103" t="s">
        <v>54</v>
      </c>
      <c r="S103" t="s">
        <v>55</v>
      </c>
      <c r="T103">
        <v>6</v>
      </c>
      <c r="U103">
        <v>2</v>
      </c>
      <c r="V103" t="s">
        <v>135</v>
      </c>
      <c r="W103">
        <v>0</v>
      </c>
      <c r="X103">
        <v>145.44999999999999</v>
      </c>
      <c r="Y103">
        <v>15.31</v>
      </c>
      <c r="Z103">
        <v>0.98</v>
      </c>
      <c r="AA103">
        <v>161.74</v>
      </c>
      <c r="AB103" t="s">
        <v>57</v>
      </c>
      <c r="AC103" t="s">
        <v>58</v>
      </c>
      <c r="AD103" t="s">
        <v>48</v>
      </c>
      <c r="AE103">
        <v>0</v>
      </c>
      <c r="AF103">
        <v>1.39</v>
      </c>
      <c r="AG103" t="s">
        <v>59</v>
      </c>
      <c r="AH103">
        <v>443965</v>
      </c>
      <c r="AI103" t="s">
        <v>60</v>
      </c>
      <c r="AJ103" t="s">
        <v>60</v>
      </c>
      <c r="AK103" t="s">
        <v>54</v>
      </c>
      <c r="AL103">
        <v>2024</v>
      </c>
      <c r="AM103" s="6" t="s">
        <v>238</v>
      </c>
      <c r="AN103" s="7">
        <v>72.72</v>
      </c>
      <c r="AO103" s="8">
        <f t="shared" si="6"/>
        <v>136.35</v>
      </c>
      <c r="AP103" s="8">
        <f t="shared" si="7"/>
        <v>151.48484999999999</v>
      </c>
      <c r="AQ103" s="9">
        <f t="shared" si="5"/>
        <v>220.87336499999998</v>
      </c>
    </row>
    <row r="104" spans="1:43" x14ac:dyDescent="0.25">
      <c r="A104">
        <v>10</v>
      </c>
      <c r="B104">
        <v>10</v>
      </c>
      <c r="C104">
        <v>2024</v>
      </c>
      <c r="D104" t="s">
        <v>43</v>
      </c>
      <c r="E104" t="s">
        <v>44</v>
      </c>
      <c r="F104" t="s">
        <v>45</v>
      </c>
      <c r="G104">
        <v>10</v>
      </c>
      <c r="H104">
        <v>1791882490001</v>
      </c>
      <c r="I104" t="s">
        <v>46</v>
      </c>
      <c r="J104" t="s">
        <v>65</v>
      </c>
      <c r="K104" t="s">
        <v>48</v>
      </c>
      <c r="L104" t="s">
        <v>49</v>
      </c>
      <c r="M104" t="s">
        <v>50</v>
      </c>
      <c r="N104" t="s">
        <v>51</v>
      </c>
      <c r="O104">
        <v>9032899000</v>
      </c>
      <c r="P104" t="s">
        <v>52</v>
      </c>
      <c r="Q104" t="s">
        <v>237</v>
      </c>
      <c r="R104" t="s">
        <v>54</v>
      </c>
      <c r="S104" t="s">
        <v>55</v>
      </c>
      <c r="T104">
        <v>7</v>
      </c>
      <c r="U104">
        <v>1</v>
      </c>
      <c r="V104" t="s">
        <v>135</v>
      </c>
      <c r="W104">
        <v>0</v>
      </c>
      <c r="X104">
        <v>133</v>
      </c>
      <c r="Y104">
        <v>23.24</v>
      </c>
      <c r="Z104">
        <v>0.96</v>
      </c>
      <c r="AA104">
        <v>157.19999999999999</v>
      </c>
      <c r="AB104" t="s">
        <v>57</v>
      </c>
      <c r="AC104" t="s">
        <v>58</v>
      </c>
      <c r="AD104" t="s">
        <v>48</v>
      </c>
      <c r="AE104">
        <v>0</v>
      </c>
      <c r="AF104">
        <v>1.43</v>
      </c>
      <c r="AG104" t="s">
        <v>59</v>
      </c>
      <c r="AH104">
        <v>179772</v>
      </c>
      <c r="AI104" t="s">
        <v>60</v>
      </c>
      <c r="AJ104" t="s">
        <v>60</v>
      </c>
      <c r="AK104" t="s">
        <v>54</v>
      </c>
      <c r="AL104">
        <v>2024</v>
      </c>
      <c r="AM104" s="6" t="s">
        <v>239</v>
      </c>
      <c r="AN104" s="7">
        <v>133</v>
      </c>
      <c r="AO104" s="8">
        <f t="shared" si="6"/>
        <v>249.375</v>
      </c>
      <c r="AP104" s="8">
        <f t="shared" si="7"/>
        <v>277.05562500000002</v>
      </c>
      <c r="AQ104" s="9">
        <f t="shared" si="5"/>
        <v>403.96256249999999</v>
      </c>
    </row>
    <row r="105" spans="1:43" x14ac:dyDescent="0.25">
      <c r="A105">
        <v>20</v>
      </c>
      <c r="B105">
        <v>2</v>
      </c>
      <c r="C105">
        <v>2024</v>
      </c>
      <c r="D105" t="s">
        <v>43</v>
      </c>
      <c r="E105" t="s">
        <v>140</v>
      </c>
      <c r="F105" t="s">
        <v>141</v>
      </c>
      <c r="G105">
        <v>16</v>
      </c>
      <c r="H105">
        <v>1791882490001</v>
      </c>
      <c r="I105" t="s">
        <v>46</v>
      </c>
      <c r="J105" t="s">
        <v>65</v>
      </c>
      <c r="K105" t="s">
        <v>48</v>
      </c>
      <c r="L105" t="s">
        <v>49</v>
      </c>
      <c r="M105" t="s">
        <v>50</v>
      </c>
      <c r="N105" t="s">
        <v>51</v>
      </c>
      <c r="O105">
        <v>9032899000</v>
      </c>
      <c r="P105" t="s">
        <v>66</v>
      </c>
      <c r="Q105" t="s">
        <v>240</v>
      </c>
      <c r="R105" t="s">
        <v>54</v>
      </c>
      <c r="S105" t="s">
        <v>55</v>
      </c>
      <c r="T105">
        <v>6</v>
      </c>
      <c r="U105">
        <v>1</v>
      </c>
      <c r="V105" t="s">
        <v>135</v>
      </c>
      <c r="W105">
        <v>0</v>
      </c>
      <c r="X105">
        <v>115.53</v>
      </c>
      <c r="Y105">
        <v>10.37</v>
      </c>
      <c r="Z105">
        <v>0.78</v>
      </c>
      <c r="AA105">
        <v>126.67</v>
      </c>
      <c r="AB105" t="s">
        <v>54</v>
      </c>
      <c r="AC105" t="s">
        <v>143</v>
      </c>
      <c r="AD105" t="s">
        <v>48</v>
      </c>
      <c r="AE105">
        <v>0</v>
      </c>
      <c r="AF105">
        <v>1.87</v>
      </c>
      <c r="AG105" t="s">
        <v>59</v>
      </c>
      <c r="AH105">
        <v>876053</v>
      </c>
      <c r="AI105" t="s">
        <v>60</v>
      </c>
      <c r="AJ105" t="s">
        <v>60</v>
      </c>
      <c r="AK105" t="s">
        <v>54</v>
      </c>
      <c r="AL105">
        <v>2024</v>
      </c>
      <c r="AM105" s="6" t="s">
        <v>241</v>
      </c>
      <c r="AN105" s="7">
        <v>115.53</v>
      </c>
      <c r="AO105" s="8">
        <f t="shared" si="6"/>
        <v>216.61875000000001</v>
      </c>
      <c r="AP105" s="8">
        <f t="shared" si="7"/>
        <v>240.66343125</v>
      </c>
      <c r="AQ105" s="9">
        <f t="shared" si="5"/>
        <v>350.90071312499998</v>
      </c>
    </row>
    <row r="106" spans="1:43" x14ac:dyDescent="0.25">
      <c r="A106">
        <v>10</v>
      </c>
      <c r="B106">
        <v>10</v>
      </c>
      <c r="C106">
        <v>2024</v>
      </c>
      <c r="D106" t="s">
        <v>43</v>
      </c>
      <c r="E106" t="s">
        <v>44</v>
      </c>
      <c r="F106" t="s">
        <v>45</v>
      </c>
      <c r="G106">
        <v>11</v>
      </c>
      <c r="H106">
        <v>1791882490001</v>
      </c>
      <c r="I106" t="s">
        <v>46</v>
      </c>
      <c r="J106" t="s">
        <v>65</v>
      </c>
      <c r="K106" t="s">
        <v>48</v>
      </c>
      <c r="L106" t="s">
        <v>49</v>
      </c>
      <c r="M106" t="s">
        <v>50</v>
      </c>
      <c r="N106" t="s">
        <v>51</v>
      </c>
      <c r="O106">
        <v>9032899000</v>
      </c>
      <c r="P106" t="s">
        <v>52</v>
      </c>
      <c r="Q106" t="s">
        <v>237</v>
      </c>
      <c r="R106" t="s">
        <v>54</v>
      </c>
      <c r="S106" t="s">
        <v>55</v>
      </c>
      <c r="T106">
        <v>7</v>
      </c>
      <c r="U106">
        <v>1</v>
      </c>
      <c r="V106" t="s">
        <v>135</v>
      </c>
      <c r="W106">
        <v>0</v>
      </c>
      <c r="X106">
        <v>107.55</v>
      </c>
      <c r="Y106">
        <v>18.79</v>
      </c>
      <c r="Z106">
        <v>0.77</v>
      </c>
      <c r="AA106">
        <v>127.11</v>
      </c>
      <c r="AB106" t="s">
        <v>57</v>
      </c>
      <c r="AC106" t="s">
        <v>58</v>
      </c>
      <c r="AD106" t="s">
        <v>48</v>
      </c>
      <c r="AE106">
        <v>0</v>
      </c>
      <c r="AF106">
        <v>1.1599999999999999</v>
      </c>
      <c r="AG106" t="s">
        <v>59</v>
      </c>
      <c r="AH106">
        <v>179772</v>
      </c>
      <c r="AI106" t="s">
        <v>60</v>
      </c>
      <c r="AJ106" t="s">
        <v>60</v>
      </c>
      <c r="AK106" t="s">
        <v>54</v>
      </c>
      <c r="AL106">
        <v>2024</v>
      </c>
      <c r="AM106" s="6" t="s">
        <v>242</v>
      </c>
      <c r="AN106" s="7">
        <v>107.55</v>
      </c>
      <c r="AO106" s="8">
        <f t="shared" si="6"/>
        <v>201.65625</v>
      </c>
      <c r="AP106" s="8">
        <f t="shared" si="7"/>
        <v>224.04009375000001</v>
      </c>
      <c r="AQ106" s="9">
        <f t="shared" si="5"/>
        <v>326.66295937499996</v>
      </c>
    </row>
    <row r="107" spans="1:43" x14ac:dyDescent="0.25">
      <c r="A107">
        <v>20</v>
      </c>
      <c r="B107">
        <v>2</v>
      </c>
      <c r="C107">
        <v>2024</v>
      </c>
      <c r="D107" t="s">
        <v>43</v>
      </c>
      <c r="E107" t="s">
        <v>140</v>
      </c>
      <c r="F107" t="s">
        <v>141</v>
      </c>
      <c r="G107">
        <v>17</v>
      </c>
      <c r="H107">
        <v>1791882490001</v>
      </c>
      <c r="I107" t="s">
        <v>46</v>
      </c>
      <c r="J107" t="s">
        <v>166</v>
      </c>
      <c r="K107" t="s">
        <v>48</v>
      </c>
      <c r="L107" t="s">
        <v>49</v>
      </c>
      <c r="M107" t="s">
        <v>50</v>
      </c>
      <c r="N107" t="s">
        <v>51</v>
      </c>
      <c r="O107">
        <v>8481805900</v>
      </c>
      <c r="P107" t="s">
        <v>103</v>
      </c>
      <c r="Q107" t="s">
        <v>228</v>
      </c>
      <c r="R107" t="s">
        <v>54</v>
      </c>
      <c r="S107" t="s">
        <v>55</v>
      </c>
      <c r="T107">
        <v>6</v>
      </c>
      <c r="U107">
        <v>4</v>
      </c>
      <c r="V107" t="s">
        <v>135</v>
      </c>
      <c r="W107">
        <v>0</v>
      </c>
      <c r="X107">
        <v>411.49</v>
      </c>
      <c r="Y107">
        <v>36.93</v>
      </c>
      <c r="Z107">
        <v>2.77</v>
      </c>
      <c r="AA107">
        <v>451.18</v>
      </c>
      <c r="AB107" t="s">
        <v>54</v>
      </c>
      <c r="AC107" t="s">
        <v>143</v>
      </c>
      <c r="AD107" t="s">
        <v>48</v>
      </c>
      <c r="AE107">
        <v>0</v>
      </c>
      <c r="AF107">
        <v>7.49</v>
      </c>
      <c r="AG107" t="s">
        <v>59</v>
      </c>
      <c r="AH107">
        <v>876053</v>
      </c>
      <c r="AI107" t="s">
        <v>60</v>
      </c>
      <c r="AJ107" t="s">
        <v>60</v>
      </c>
      <c r="AK107" t="s">
        <v>54</v>
      </c>
      <c r="AL107">
        <v>2024</v>
      </c>
      <c r="AM107" s="6" t="s">
        <v>243</v>
      </c>
      <c r="AN107" s="7">
        <v>102.87</v>
      </c>
      <c r="AO107" s="8">
        <f t="shared" si="6"/>
        <v>192.88125000000002</v>
      </c>
      <c r="AP107" s="8">
        <f t="shared" si="7"/>
        <v>214.29106875000002</v>
      </c>
      <c r="AQ107" s="9">
        <f t="shared" si="5"/>
        <v>312.448336875</v>
      </c>
    </row>
    <row r="108" spans="1:43" x14ac:dyDescent="0.25">
      <c r="A108">
        <v>10</v>
      </c>
      <c r="B108">
        <v>10</v>
      </c>
      <c r="C108">
        <v>2024</v>
      </c>
      <c r="D108" t="s">
        <v>43</v>
      </c>
      <c r="E108" t="s">
        <v>44</v>
      </c>
      <c r="F108" t="s">
        <v>45</v>
      </c>
      <c r="G108">
        <v>12</v>
      </c>
      <c r="H108">
        <v>1791882490001</v>
      </c>
      <c r="I108" t="s">
        <v>46</v>
      </c>
      <c r="J108" t="s">
        <v>166</v>
      </c>
      <c r="K108" t="s">
        <v>48</v>
      </c>
      <c r="L108" t="s">
        <v>49</v>
      </c>
      <c r="M108" t="s">
        <v>50</v>
      </c>
      <c r="N108" t="s">
        <v>51</v>
      </c>
      <c r="O108">
        <v>8481805900</v>
      </c>
      <c r="P108" t="s">
        <v>52</v>
      </c>
      <c r="Q108" t="s">
        <v>228</v>
      </c>
      <c r="R108" t="s">
        <v>54</v>
      </c>
      <c r="S108" t="s">
        <v>55</v>
      </c>
      <c r="T108">
        <v>7</v>
      </c>
      <c r="U108">
        <v>4</v>
      </c>
      <c r="V108" t="s">
        <v>135</v>
      </c>
      <c r="W108">
        <v>0</v>
      </c>
      <c r="X108">
        <v>385.38</v>
      </c>
      <c r="Y108">
        <v>67.33</v>
      </c>
      <c r="Z108">
        <v>2.78</v>
      </c>
      <c r="AA108">
        <v>455.49</v>
      </c>
      <c r="AB108" t="s">
        <v>57</v>
      </c>
      <c r="AC108" t="s">
        <v>58</v>
      </c>
      <c r="AD108" t="s">
        <v>48</v>
      </c>
      <c r="AE108">
        <v>0</v>
      </c>
      <c r="AF108">
        <v>4.16</v>
      </c>
      <c r="AG108" t="s">
        <v>59</v>
      </c>
      <c r="AH108">
        <v>179772</v>
      </c>
      <c r="AI108" t="s">
        <v>60</v>
      </c>
      <c r="AJ108" t="s">
        <v>60</v>
      </c>
      <c r="AK108" t="s">
        <v>54</v>
      </c>
      <c r="AL108">
        <v>2024</v>
      </c>
      <c r="AM108" s="6" t="s">
        <v>243</v>
      </c>
      <c r="AN108" s="7">
        <v>96.35</v>
      </c>
      <c r="AO108" s="8">
        <f t="shared" si="6"/>
        <v>180.65625</v>
      </c>
      <c r="AP108" s="8">
        <f t="shared" si="7"/>
        <v>200.70909374999999</v>
      </c>
      <c r="AQ108" s="9">
        <f t="shared" si="5"/>
        <v>292.64505937499996</v>
      </c>
    </row>
    <row r="109" spans="1:43" x14ac:dyDescent="0.25">
      <c r="A109">
        <v>3</v>
      </c>
      <c r="B109">
        <v>4</v>
      </c>
      <c r="C109">
        <v>2024</v>
      </c>
      <c r="D109" t="s">
        <v>43</v>
      </c>
      <c r="E109" t="s">
        <v>73</v>
      </c>
      <c r="F109" t="s">
        <v>74</v>
      </c>
      <c r="G109">
        <v>7</v>
      </c>
      <c r="H109">
        <v>1791882490001</v>
      </c>
      <c r="I109" t="s">
        <v>46</v>
      </c>
      <c r="J109" t="s">
        <v>65</v>
      </c>
      <c r="K109" t="s">
        <v>48</v>
      </c>
      <c r="L109" t="s">
        <v>49</v>
      </c>
      <c r="M109" t="s">
        <v>50</v>
      </c>
      <c r="N109" t="s">
        <v>51</v>
      </c>
      <c r="O109">
        <v>8481805900</v>
      </c>
      <c r="P109" t="s">
        <v>103</v>
      </c>
      <c r="Q109" t="s">
        <v>228</v>
      </c>
      <c r="R109" t="s">
        <v>54</v>
      </c>
      <c r="S109" t="s">
        <v>55</v>
      </c>
      <c r="T109">
        <v>6</v>
      </c>
      <c r="U109">
        <v>1</v>
      </c>
      <c r="V109" t="s">
        <v>135</v>
      </c>
      <c r="W109">
        <v>0</v>
      </c>
      <c r="X109">
        <v>39.78</v>
      </c>
      <c r="Y109">
        <v>4.6500000000000004</v>
      </c>
      <c r="Z109">
        <v>0.26</v>
      </c>
      <c r="AA109">
        <v>44.69</v>
      </c>
      <c r="AB109" t="s">
        <v>57</v>
      </c>
      <c r="AC109" t="s">
        <v>58</v>
      </c>
      <c r="AD109" t="s">
        <v>48</v>
      </c>
      <c r="AE109">
        <v>0</v>
      </c>
      <c r="AF109">
        <v>1.33</v>
      </c>
      <c r="AG109" t="s">
        <v>59</v>
      </c>
      <c r="AH109">
        <v>438183</v>
      </c>
      <c r="AI109" t="s">
        <v>60</v>
      </c>
      <c r="AJ109" t="s">
        <v>60</v>
      </c>
      <c r="AK109" t="s">
        <v>54</v>
      </c>
      <c r="AL109">
        <v>2024</v>
      </c>
      <c r="AM109" s="6" t="s">
        <v>244</v>
      </c>
      <c r="AN109" s="7">
        <v>39.78</v>
      </c>
      <c r="AO109" s="8">
        <f t="shared" si="6"/>
        <v>74.587500000000006</v>
      </c>
      <c r="AP109" s="8">
        <f t="shared" si="7"/>
        <v>82.866712500000006</v>
      </c>
      <c r="AQ109" s="9">
        <f t="shared" si="5"/>
        <v>120.82429125</v>
      </c>
    </row>
    <row r="110" spans="1:43" x14ac:dyDescent="0.25">
      <c r="A110">
        <v>15</v>
      </c>
      <c r="B110">
        <v>4</v>
      </c>
      <c r="C110">
        <v>2024</v>
      </c>
      <c r="D110" t="s">
        <v>43</v>
      </c>
      <c r="E110" t="s">
        <v>63</v>
      </c>
      <c r="F110" t="s">
        <v>64</v>
      </c>
      <c r="G110">
        <v>11</v>
      </c>
      <c r="H110">
        <v>1791882490001</v>
      </c>
      <c r="I110" t="s">
        <v>46</v>
      </c>
      <c r="J110" t="s">
        <v>65</v>
      </c>
      <c r="K110" t="s">
        <v>48</v>
      </c>
      <c r="L110" t="s">
        <v>49</v>
      </c>
      <c r="M110" t="s">
        <v>50</v>
      </c>
      <c r="N110" t="s">
        <v>51</v>
      </c>
      <c r="O110">
        <v>8481805900</v>
      </c>
      <c r="P110" t="s">
        <v>103</v>
      </c>
      <c r="Q110" t="s">
        <v>228</v>
      </c>
      <c r="R110" t="s">
        <v>54</v>
      </c>
      <c r="S110" t="s">
        <v>55</v>
      </c>
      <c r="T110">
        <v>6</v>
      </c>
      <c r="U110">
        <v>10</v>
      </c>
      <c r="V110" t="s">
        <v>135</v>
      </c>
      <c r="W110">
        <v>0</v>
      </c>
      <c r="X110">
        <v>386.23</v>
      </c>
      <c r="Y110">
        <v>40.65</v>
      </c>
      <c r="Z110">
        <v>2.59</v>
      </c>
      <c r="AA110">
        <v>429.48</v>
      </c>
      <c r="AB110" t="s">
        <v>57</v>
      </c>
      <c r="AC110" t="s">
        <v>58</v>
      </c>
      <c r="AD110" t="s">
        <v>48</v>
      </c>
      <c r="AE110">
        <v>0</v>
      </c>
      <c r="AF110">
        <v>3.7</v>
      </c>
      <c r="AG110" t="s">
        <v>59</v>
      </c>
      <c r="AH110">
        <v>443965</v>
      </c>
      <c r="AI110" t="s">
        <v>60</v>
      </c>
      <c r="AJ110" t="s">
        <v>60</v>
      </c>
      <c r="AK110" t="s">
        <v>54</v>
      </c>
      <c r="AL110">
        <v>2024</v>
      </c>
      <c r="AM110" s="6" t="s">
        <v>244</v>
      </c>
      <c r="AN110" s="7">
        <v>38.619999999999997</v>
      </c>
      <c r="AO110" s="8">
        <f t="shared" si="6"/>
        <v>72.412499999999994</v>
      </c>
      <c r="AP110" s="8">
        <f t="shared" si="7"/>
        <v>80.450287499999988</v>
      </c>
      <c r="AQ110" s="9">
        <f t="shared" si="5"/>
        <v>117.30100874999998</v>
      </c>
    </row>
    <row r="111" spans="1:43" x14ac:dyDescent="0.25">
      <c r="A111">
        <v>17</v>
      </c>
      <c r="B111">
        <v>5</v>
      </c>
      <c r="C111">
        <v>2024</v>
      </c>
      <c r="D111" t="s">
        <v>43</v>
      </c>
      <c r="E111" t="s">
        <v>79</v>
      </c>
      <c r="F111" t="s">
        <v>80</v>
      </c>
      <c r="G111">
        <v>10</v>
      </c>
      <c r="H111">
        <v>1791882490001</v>
      </c>
      <c r="I111" t="s">
        <v>46</v>
      </c>
      <c r="J111" t="s">
        <v>65</v>
      </c>
      <c r="K111" t="s">
        <v>48</v>
      </c>
      <c r="L111" t="s">
        <v>49</v>
      </c>
      <c r="M111" t="s">
        <v>50</v>
      </c>
      <c r="N111" t="s">
        <v>51</v>
      </c>
      <c r="O111">
        <v>8481805900</v>
      </c>
      <c r="P111" t="s">
        <v>103</v>
      </c>
      <c r="Q111" t="s">
        <v>228</v>
      </c>
      <c r="R111" t="s">
        <v>54</v>
      </c>
      <c r="S111" t="s">
        <v>55</v>
      </c>
      <c r="T111">
        <v>6</v>
      </c>
      <c r="U111">
        <v>10</v>
      </c>
      <c r="V111" t="s">
        <v>135</v>
      </c>
      <c r="W111">
        <v>0</v>
      </c>
      <c r="X111">
        <v>386.55</v>
      </c>
      <c r="Y111">
        <v>37.32</v>
      </c>
      <c r="Z111">
        <v>2.57</v>
      </c>
      <c r="AA111">
        <v>426.44</v>
      </c>
      <c r="AB111" t="s">
        <v>57</v>
      </c>
      <c r="AC111" t="s">
        <v>81</v>
      </c>
      <c r="AD111" t="s">
        <v>48</v>
      </c>
      <c r="AE111">
        <v>0</v>
      </c>
      <c r="AF111">
        <v>10.82</v>
      </c>
      <c r="AG111" t="s">
        <v>82</v>
      </c>
      <c r="AH111">
        <v>471463</v>
      </c>
      <c r="AI111" t="s">
        <v>60</v>
      </c>
      <c r="AJ111" t="s">
        <v>60</v>
      </c>
      <c r="AK111" t="s">
        <v>54</v>
      </c>
      <c r="AL111">
        <v>2024</v>
      </c>
      <c r="AM111" s="6" t="s">
        <v>244</v>
      </c>
      <c r="AN111" s="7">
        <v>38.65</v>
      </c>
      <c r="AO111" s="8">
        <f t="shared" si="6"/>
        <v>72.46875</v>
      </c>
      <c r="AP111" s="8">
        <f t="shared" si="7"/>
        <v>80.512781250000003</v>
      </c>
      <c r="AQ111" s="9">
        <f t="shared" si="5"/>
        <v>117.392128125</v>
      </c>
    </row>
    <row r="112" spans="1:43" x14ac:dyDescent="0.25">
      <c r="A112">
        <v>16</v>
      </c>
      <c r="B112">
        <v>12</v>
      </c>
      <c r="C112">
        <v>2024</v>
      </c>
      <c r="D112" t="s">
        <v>43</v>
      </c>
      <c r="E112" t="s">
        <v>128</v>
      </c>
      <c r="F112" t="s">
        <v>129</v>
      </c>
      <c r="G112">
        <v>5</v>
      </c>
      <c r="H112">
        <v>1791882490001</v>
      </c>
      <c r="I112" t="s">
        <v>46</v>
      </c>
      <c r="J112" t="s">
        <v>166</v>
      </c>
      <c r="K112" t="s">
        <v>48</v>
      </c>
      <c r="L112" t="s">
        <v>49</v>
      </c>
      <c r="M112" t="s">
        <v>50</v>
      </c>
      <c r="N112" t="s">
        <v>51</v>
      </c>
      <c r="O112">
        <v>9032899000</v>
      </c>
      <c r="P112" t="s">
        <v>52</v>
      </c>
      <c r="Q112" t="s">
        <v>245</v>
      </c>
      <c r="R112" t="s">
        <v>54</v>
      </c>
      <c r="S112" t="s">
        <v>55</v>
      </c>
      <c r="T112">
        <v>9</v>
      </c>
      <c r="U112">
        <v>2</v>
      </c>
      <c r="V112" t="s">
        <v>135</v>
      </c>
      <c r="W112">
        <v>0</v>
      </c>
      <c r="X112">
        <v>168.87</v>
      </c>
      <c r="Y112">
        <v>22.12</v>
      </c>
      <c r="Z112">
        <v>1.1599999999999999</v>
      </c>
      <c r="AA112">
        <v>192.15</v>
      </c>
      <c r="AB112" t="s">
        <v>57</v>
      </c>
      <c r="AC112" t="s">
        <v>131</v>
      </c>
      <c r="AD112" t="s">
        <v>48</v>
      </c>
      <c r="AE112">
        <v>0</v>
      </c>
      <c r="AF112">
        <v>3.98</v>
      </c>
      <c r="AG112" t="s">
        <v>59</v>
      </c>
      <c r="AH112">
        <v>325395</v>
      </c>
      <c r="AI112" t="s">
        <v>60</v>
      </c>
      <c r="AJ112" t="s">
        <v>78</v>
      </c>
      <c r="AK112" t="s">
        <v>54</v>
      </c>
      <c r="AL112">
        <v>2024</v>
      </c>
      <c r="AM112" s="6" t="s">
        <v>246</v>
      </c>
      <c r="AN112" s="7">
        <v>84.44</v>
      </c>
      <c r="AO112" s="8">
        <f t="shared" si="6"/>
        <v>158.32499999999999</v>
      </c>
      <c r="AP112" s="8">
        <f t="shared" si="7"/>
        <v>175.89907499999998</v>
      </c>
      <c r="AQ112" s="9">
        <f t="shared" si="5"/>
        <v>256.47066749999999</v>
      </c>
    </row>
    <row r="113" spans="1:43" x14ac:dyDescent="0.25">
      <c r="A113">
        <v>10</v>
      </c>
      <c r="B113">
        <v>10</v>
      </c>
      <c r="C113">
        <v>2024</v>
      </c>
      <c r="D113" t="s">
        <v>43</v>
      </c>
      <c r="E113" t="s">
        <v>44</v>
      </c>
      <c r="F113" t="s">
        <v>45</v>
      </c>
      <c r="G113">
        <v>13</v>
      </c>
      <c r="H113">
        <v>1791882490001</v>
      </c>
      <c r="I113" t="s">
        <v>46</v>
      </c>
      <c r="J113" t="s">
        <v>247</v>
      </c>
      <c r="K113" t="s">
        <v>48</v>
      </c>
      <c r="L113" t="s">
        <v>49</v>
      </c>
      <c r="M113" t="s">
        <v>50</v>
      </c>
      <c r="N113" t="s">
        <v>51</v>
      </c>
      <c r="O113">
        <v>8504319000</v>
      </c>
      <c r="P113" t="s">
        <v>52</v>
      </c>
      <c r="Q113" t="s">
        <v>248</v>
      </c>
      <c r="R113" t="s">
        <v>54</v>
      </c>
      <c r="S113" t="s">
        <v>55</v>
      </c>
      <c r="T113">
        <v>7</v>
      </c>
      <c r="U113">
        <v>1</v>
      </c>
      <c r="V113" t="s">
        <v>135</v>
      </c>
      <c r="W113">
        <v>0</v>
      </c>
      <c r="X113">
        <v>492.17</v>
      </c>
      <c r="Y113">
        <v>85.99</v>
      </c>
      <c r="Z113">
        <v>3.55</v>
      </c>
      <c r="AA113">
        <v>581.72</v>
      </c>
      <c r="AB113" t="s">
        <v>57</v>
      </c>
      <c r="AC113" t="s">
        <v>58</v>
      </c>
      <c r="AD113" t="s">
        <v>48</v>
      </c>
      <c r="AE113">
        <v>0</v>
      </c>
      <c r="AF113">
        <v>5.31</v>
      </c>
      <c r="AG113" t="s">
        <v>59</v>
      </c>
      <c r="AH113">
        <v>179772</v>
      </c>
      <c r="AI113" t="s">
        <v>60</v>
      </c>
      <c r="AJ113" t="s">
        <v>60</v>
      </c>
      <c r="AK113" t="s">
        <v>54</v>
      </c>
      <c r="AL113">
        <v>2024</v>
      </c>
      <c r="AM113" s="6" t="s">
        <v>249</v>
      </c>
      <c r="AN113" s="7">
        <v>492.17</v>
      </c>
      <c r="AO113" s="8">
        <f t="shared" si="6"/>
        <v>922.81875000000002</v>
      </c>
      <c r="AP113" s="8">
        <f t="shared" si="7"/>
        <v>1025.2516312499999</v>
      </c>
      <c r="AQ113" s="9">
        <f t="shared" si="5"/>
        <v>1494.8740931249999</v>
      </c>
    </row>
    <row r="114" spans="1:43" x14ac:dyDescent="0.25">
      <c r="A114">
        <v>10</v>
      </c>
      <c r="B114">
        <v>10</v>
      </c>
      <c r="C114">
        <v>2024</v>
      </c>
      <c r="D114" t="s">
        <v>43</v>
      </c>
      <c r="E114" t="s">
        <v>44</v>
      </c>
      <c r="F114" t="s">
        <v>45</v>
      </c>
      <c r="G114">
        <v>14</v>
      </c>
      <c r="H114">
        <v>1791882490001</v>
      </c>
      <c r="I114" t="s">
        <v>46</v>
      </c>
      <c r="J114" t="s">
        <v>247</v>
      </c>
      <c r="K114" t="s">
        <v>48</v>
      </c>
      <c r="L114" t="s">
        <v>49</v>
      </c>
      <c r="M114" t="s">
        <v>50</v>
      </c>
      <c r="N114" t="s">
        <v>51</v>
      </c>
      <c r="O114">
        <v>8504319000</v>
      </c>
      <c r="P114" t="s">
        <v>52</v>
      </c>
      <c r="Q114" t="s">
        <v>248</v>
      </c>
      <c r="R114" t="s">
        <v>54</v>
      </c>
      <c r="S114" t="s">
        <v>55</v>
      </c>
      <c r="T114">
        <v>7</v>
      </c>
      <c r="U114">
        <v>1</v>
      </c>
      <c r="V114" t="s">
        <v>135</v>
      </c>
      <c r="W114">
        <v>0</v>
      </c>
      <c r="X114">
        <v>150.49</v>
      </c>
      <c r="Y114">
        <v>26.29</v>
      </c>
      <c r="Z114">
        <v>1.0900000000000001</v>
      </c>
      <c r="AA114">
        <v>177.86</v>
      </c>
      <c r="AB114" t="s">
        <v>57</v>
      </c>
      <c r="AC114" t="s">
        <v>58</v>
      </c>
      <c r="AD114" t="s">
        <v>48</v>
      </c>
      <c r="AE114">
        <v>0</v>
      </c>
      <c r="AF114">
        <v>1.62</v>
      </c>
      <c r="AG114" t="s">
        <v>59</v>
      </c>
      <c r="AH114">
        <v>179772</v>
      </c>
      <c r="AI114" t="s">
        <v>60</v>
      </c>
      <c r="AJ114" t="s">
        <v>60</v>
      </c>
      <c r="AK114" t="s">
        <v>54</v>
      </c>
      <c r="AL114">
        <v>2024</v>
      </c>
      <c r="AM114" s="6" t="s">
        <v>250</v>
      </c>
      <c r="AN114" s="7">
        <v>150.49</v>
      </c>
      <c r="AO114" s="8">
        <f t="shared" si="6"/>
        <v>282.16875000000005</v>
      </c>
      <c r="AP114" s="8">
        <f t="shared" si="7"/>
        <v>313.48948125000004</v>
      </c>
      <c r="AQ114" s="9">
        <f t="shared" si="5"/>
        <v>457.08515812500002</v>
      </c>
    </row>
    <row r="115" spans="1:43" x14ac:dyDescent="0.25">
      <c r="A115">
        <v>11</v>
      </c>
      <c r="B115">
        <v>7</v>
      </c>
      <c r="C115">
        <v>2024</v>
      </c>
      <c r="D115" t="s">
        <v>43</v>
      </c>
      <c r="E115" t="s">
        <v>116</v>
      </c>
      <c r="F115" t="s">
        <v>117</v>
      </c>
      <c r="G115">
        <v>3</v>
      </c>
      <c r="H115">
        <v>1791882490001</v>
      </c>
      <c r="I115" t="s">
        <v>46</v>
      </c>
      <c r="J115" t="s">
        <v>65</v>
      </c>
      <c r="K115" t="s">
        <v>48</v>
      </c>
      <c r="L115" t="s">
        <v>119</v>
      </c>
      <c r="M115" t="s">
        <v>120</v>
      </c>
      <c r="N115" t="s">
        <v>121</v>
      </c>
      <c r="O115">
        <v>8481805900</v>
      </c>
      <c r="P115" t="s">
        <v>103</v>
      </c>
      <c r="Q115" t="s">
        <v>228</v>
      </c>
      <c r="R115" t="s">
        <v>54</v>
      </c>
      <c r="S115" t="s">
        <v>55</v>
      </c>
      <c r="T115">
        <v>9</v>
      </c>
      <c r="U115">
        <v>2</v>
      </c>
      <c r="V115" t="s">
        <v>135</v>
      </c>
      <c r="W115">
        <v>0</v>
      </c>
      <c r="X115">
        <v>353.84</v>
      </c>
      <c r="Y115">
        <v>31.86</v>
      </c>
      <c r="Z115">
        <v>2.38</v>
      </c>
      <c r="AA115">
        <v>388.08</v>
      </c>
      <c r="AB115" t="s">
        <v>124</v>
      </c>
      <c r="AC115" t="s">
        <v>125</v>
      </c>
      <c r="AD115" t="s">
        <v>48</v>
      </c>
      <c r="AE115">
        <v>0</v>
      </c>
      <c r="AF115">
        <v>4.03</v>
      </c>
      <c r="AG115" t="s">
        <v>59</v>
      </c>
      <c r="AH115">
        <v>486256</v>
      </c>
      <c r="AI115" t="s">
        <v>60</v>
      </c>
      <c r="AJ115" t="s">
        <v>78</v>
      </c>
      <c r="AK115" t="s">
        <v>54</v>
      </c>
      <c r="AL115">
        <v>2024</v>
      </c>
      <c r="AM115" s="6" t="s">
        <v>251</v>
      </c>
      <c r="AN115" s="7">
        <v>176.92</v>
      </c>
      <c r="AO115" s="8">
        <f t="shared" si="6"/>
        <v>331.72499999999997</v>
      </c>
      <c r="AP115" s="8">
        <f t="shared" si="7"/>
        <v>368.54647499999993</v>
      </c>
      <c r="AQ115" s="9">
        <f t="shared" si="5"/>
        <v>537.3613274999999</v>
      </c>
    </row>
    <row r="116" spans="1:43" x14ac:dyDescent="0.25">
      <c r="A116">
        <v>16</v>
      </c>
      <c r="B116">
        <v>12</v>
      </c>
      <c r="C116">
        <v>2024</v>
      </c>
      <c r="D116" t="s">
        <v>43</v>
      </c>
      <c r="E116" t="s">
        <v>128</v>
      </c>
      <c r="F116" t="s">
        <v>129</v>
      </c>
      <c r="G116">
        <v>6</v>
      </c>
      <c r="H116">
        <v>1791882490001</v>
      </c>
      <c r="I116" t="s">
        <v>46</v>
      </c>
      <c r="J116" t="s">
        <v>65</v>
      </c>
      <c r="K116" t="s">
        <v>48</v>
      </c>
      <c r="L116" t="s">
        <v>49</v>
      </c>
      <c r="M116" t="s">
        <v>50</v>
      </c>
      <c r="N116" t="s">
        <v>51</v>
      </c>
      <c r="O116">
        <v>8481805900</v>
      </c>
      <c r="P116" t="s">
        <v>52</v>
      </c>
      <c r="Q116" t="s">
        <v>217</v>
      </c>
      <c r="R116" t="s">
        <v>54</v>
      </c>
      <c r="S116" t="s">
        <v>55</v>
      </c>
      <c r="T116">
        <v>9</v>
      </c>
      <c r="U116">
        <v>1</v>
      </c>
      <c r="V116" t="s">
        <v>135</v>
      </c>
      <c r="W116">
        <v>0</v>
      </c>
      <c r="X116">
        <v>172.69</v>
      </c>
      <c r="Y116">
        <v>22.62</v>
      </c>
      <c r="Z116">
        <v>1.18</v>
      </c>
      <c r="AA116">
        <v>196.49</v>
      </c>
      <c r="AB116" t="s">
        <v>57</v>
      </c>
      <c r="AC116" t="s">
        <v>131</v>
      </c>
      <c r="AD116" t="s">
        <v>48</v>
      </c>
      <c r="AE116">
        <v>0</v>
      </c>
      <c r="AF116">
        <v>1.99</v>
      </c>
      <c r="AG116" t="s">
        <v>59</v>
      </c>
      <c r="AH116">
        <v>325395</v>
      </c>
      <c r="AI116" t="s">
        <v>60</v>
      </c>
      <c r="AJ116" t="s">
        <v>78</v>
      </c>
      <c r="AK116" t="s">
        <v>54</v>
      </c>
      <c r="AL116">
        <v>2024</v>
      </c>
      <c r="AM116" s="6" t="s">
        <v>252</v>
      </c>
      <c r="AN116" s="7">
        <v>172.69</v>
      </c>
      <c r="AO116" s="8">
        <f t="shared" si="6"/>
        <v>323.79374999999999</v>
      </c>
      <c r="AP116" s="8">
        <f t="shared" si="7"/>
        <v>359.73485625000001</v>
      </c>
      <c r="AQ116" s="9">
        <f t="shared" si="5"/>
        <v>524.5134956249999</v>
      </c>
    </row>
    <row r="117" spans="1:43" x14ac:dyDescent="0.25">
      <c r="A117">
        <v>28</v>
      </c>
      <c r="B117">
        <v>8</v>
      </c>
      <c r="C117">
        <v>2024</v>
      </c>
      <c r="D117" t="s">
        <v>43</v>
      </c>
      <c r="E117" t="s">
        <v>91</v>
      </c>
      <c r="F117" t="s">
        <v>92</v>
      </c>
      <c r="G117">
        <v>9</v>
      </c>
      <c r="H117">
        <v>1791882490001</v>
      </c>
      <c r="I117" t="s">
        <v>46</v>
      </c>
      <c r="J117" t="s">
        <v>65</v>
      </c>
      <c r="K117" t="s">
        <v>48</v>
      </c>
      <c r="L117" t="s">
        <v>49</v>
      </c>
      <c r="M117" t="s">
        <v>50</v>
      </c>
      <c r="N117" t="s">
        <v>51</v>
      </c>
      <c r="O117">
        <v>8421392000</v>
      </c>
      <c r="P117" t="s">
        <v>253</v>
      </c>
      <c r="Q117" t="s">
        <v>254</v>
      </c>
      <c r="R117" t="s">
        <v>54</v>
      </c>
      <c r="S117" t="s">
        <v>55</v>
      </c>
      <c r="T117">
        <v>8</v>
      </c>
      <c r="U117">
        <v>2</v>
      </c>
      <c r="V117" t="s">
        <v>135</v>
      </c>
      <c r="W117">
        <v>0</v>
      </c>
      <c r="X117">
        <v>239.56</v>
      </c>
      <c r="Y117">
        <v>26.47</v>
      </c>
      <c r="Z117">
        <v>1.61</v>
      </c>
      <c r="AA117">
        <v>267.64</v>
      </c>
      <c r="AB117" t="s">
        <v>57</v>
      </c>
      <c r="AC117" t="s">
        <v>94</v>
      </c>
      <c r="AD117" t="s">
        <v>48</v>
      </c>
      <c r="AE117">
        <v>0</v>
      </c>
      <c r="AF117">
        <v>2.76</v>
      </c>
      <c r="AG117" t="s">
        <v>59</v>
      </c>
      <c r="AH117">
        <v>150511</v>
      </c>
      <c r="AI117" t="s">
        <v>60</v>
      </c>
      <c r="AJ117" t="s">
        <v>60</v>
      </c>
      <c r="AK117" t="s">
        <v>54</v>
      </c>
      <c r="AL117">
        <v>2024</v>
      </c>
      <c r="AM117" s="6" t="s">
        <v>255</v>
      </c>
      <c r="AN117" s="7">
        <v>119.78</v>
      </c>
      <c r="AO117" s="8">
        <f t="shared" si="6"/>
        <v>224.58750000000001</v>
      </c>
      <c r="AP117" s="8">
        <f t="shared" si="7"/>
        <v>249.51671250000001</v>
      </c>
      <c r="AQ117" s="9">
        <f t="shared" si="5"/>
        <v>363.80929125</v>
      </c>
    </row>
    <row r="118" spans="1:43" x14ac:dyDescent="0.25">
      <c r="A118">
        <v>16</v>
      </c>
      <c r="B118">
        <v>12</v>
      </c>
      <c r="C118">
        <v>2024</v>
      </c>
      <c r="D118" t="s">
        <v>43</v>
      </c>
      <c r="E118" t="s">
        <v>128</v>
      </c>
      <c r="F118" t="s">
        <v>129</v>
      </c>
      <c r="G118">
        <v>7</v>
      </c>
      <c r="H118">
        <v>1791882490001</v>
      </c>
      <c r="I118" t="s">
        <v>46</v>
      </c>
      <c r="J118" t="s">
        <v>65</v>
      </c>
      <c r="K118" t="s">
        <v>48</v>
      </c>
      <c r="L118" t="s">
        <v>49</v>
      </c>
      <c r="M118" t="s">
        <v>50</v>
      </c>
      <c r="N118" t="s">
        <v>51</v>
      </c>
      <c r="O118">
        <v>9026200000</v>
      </c>
      <c r="P118" t="s">
        <v>256</v>
      </c>
      <c r="Q118" t="s">
        <v>226</v>
      </c>
      <c r="R118" t="s">
        <v>54</v>
      </c>
      <c r="S118" t="s">
        <v>55</v>
      </c>
      <c r="T118">
        <v>9</v>
      </c>
      <c r="U118">
        <v>1</v>
      </c>
      <c r="V118" t="s">
        <v>135</v>
      </c>
      <c r="W118">
        <v>0</v>
      </c>
      <c r="X118">
        <v>250.17</v>
      </c>
      <c r="Y118">
        <v>32.76</v>
      </c>
      <c r="Z118">
        <v>1.72</v>
      </c>
      <c r="AA118">
        <v>284.64999999999998</v>
      </c>
      <c r="AB118" t="s">
        <v>57</v>
      </c>
      <c r="AC118" t="s">
        <v>131</v>
      </c>
      <c r="AD118" t="s">
        <v>48</v>
      </c>
      <c r="AE118">
        <v>0</v>
      </c>
      <c r="AF118">
        <v>1.99</v>
      </c>
      <c r="AG118" t="s">
        <v>59</v>
      </c>
      <c r="AH118">
        <v>325395</v>
      </c>
      <c r="AI118" t="s">
        <v>60</v>
      </c>
      <c r="AJ118" t="s">
        <v>78</v>
      </c>
      <c r="AK118" t="s">
        <v>54</v>
      </c>
      <c r="AL118">
        <v>2024</v>
      </c>
      <c r="AM118" s="6" t="s">
        <v>257</v>
      </c>
      <c r="AN118" s="7">
        <v>250.17</v>
      </c>
      <c r="AO118" s="8">
        <f t="shared" si="6"/>
        <v>469.06874999999997</v>
      </c>
      <c r="AP118" s="8">
        <f t="shared" si="7"/>
        <v>521.13538124999991</v>
      </c>
      <c r="AQ118" s="9">
        <f t="shared" si="5"/>
        <v>759.84446812499993</v>
      </c>
    </row>
    <row r="119" spans="1:43" x14ac:dyDescent="0.25">
      <c r="A119">
        <v>10</v>
      </c>
      <c r="B119">
        <v>10</v>
      </c>
      <c r="C119">
        <v>2024</v>
      </c>
      <c r="D119" t="s">
        <v>43</v>
      </c>
      <c r="E119" t="s">
        <v>44</v>
      </c>
      <c r="F119" t="s">
        <v>45</v>
      </c>
      <c r="G119">
        <v>15</v>
      </c>
      <c r="H119">
        <v>1791882490001</v>
      </c>
      <c r="I119" t="s">
        <v>46</v>
      </c>
      <c r="J119" t="s">
        <v>106</v>
      </c>
      <c r="K119" t="s">
        <v>48</v>
      </c>
      <c r="L119" t="s">
        <v>49</v>
      </c>
      <c r="M119" t="s">
        <v>50</v>
      </c>
      <c r="N119" t="s">
        <v>51</v>
      </c>
      <c r="O119">
        <v>8481400090</v>
      </c>
      <c r="P119" t="s">
        <v>232</v>
      </c>
      <c r="Q119" t="s">
        <v>206</v>
      </c>
      <c r="R119" t="s">
        <v>54</v>
      </c>
      <c r="S119" t="s">
        <v>55</v>
      </c>
      <c r="T119">
        <v>7</v>
      </c>
      <c r="U119">
        <v>1</v>
      </c>
      <c r="V119" t="s">
        <v>135</v>
      </c>
      <c r="W119">
        <v>0</v>
      </c>
      <c r="X119">
        <v>133.1</v>
      </c>
      <c r="Y119">
        <v>23.26</v>
      </c>
      <c r="Z119">
        <v>0.96</v>
      </c>
      <c r="AA119">
        <v>157.32</v>
      </c>
      <c r="AB119" t="s">
        <v>57</v>
      </c>
      <c r="AC119" t="s">
        <v>58</v>
      </c>
      <c r="AD119" t="s">
        <v>48</v>
      </c>
      <c r="AE119">
        <v>0</v>
      </c>
      <c r="AF119">
        <v>1.44</v>
      </c>
      <c r="AG119" t="s">
        <v>59</v>
      </c>
      <c r="AH119">
        <v>179772</v>
      </c>
      <c r="AI119" t="s">
        <v>60</v>
      </c>
      <c r="AJ119" t="s">
        <v>60</v>
      </c>
      <c r="AK119" t="s">
        <v>54</v>
      </c>
      <c r="AL119">
        <v>2024</v>
      </c>
      <c r="AM119" s="6" t="s">
        <v>258</v>
      </c>
      <c r="AN119" s="7">
        <v>133.1</v>
      </c>
      <c r="AO119" s="8">
        <f t="shared" si="6"/>
        <v>249.5625</v>
      </c>
      <c r="AP119" s="8">
        <f t="shared" si="7"/>
        <v>277.2639375</v>
      </c>
      <c r="AQ119" s="9">
        <f t="shared" si="5"/>
        <v>404.26629374999999</v>
      </c>
    </row>
    <row r="120" spans="1:43" x14ac:dyDescent="0.25">
      <c r="A120">
        <v>16</v>
      </c>
      <c r="B120">
        <v>12</v>
      </c>
      <c r="C120">
        <v>2024</v>
      </c>
      <c r="D120" t="s">
        <v>43</v>
      </c>
      <c r="E120" t="s">
        <v>128</v>
      </c>
      <c r="F120" t="s">
        <v>129</v>
      </c>
      <c r="G120">
        <v>8</v>
      </c>
      <c r="H120">
        <v>1791882490001</v>
      </c>
      <c r="I120" t="s">
        <v>46</v>
      </c>
      <c r="J120" t="s">
        <v>259</v>
      </c>
      <c r="K120" t="s">
        <v>48</v>
      </c>
      <c r="L120" t="s">
        <v>49</v>
      </c>
      <c r="M120" t="s">
        <v>50</v>
      </c>
      <c r="N120" t="s">
        <v>51</v>
      </c>
      <c r="O120">
        <v>8481400090</v>
      </c>
      <c r="P120" t="s">
        <v>232</v>
      </c>
      <c r="Q120" t="s">
        <v>206</v>
      </c>
      <c r="R120" t="s">
        <v>54</v>
      </c>
      <c r="S120" t="s">
        <v>55</v>
      </c>
      <c r="T120">
        <v>9</v>
      </c>
      <c r="U120">
        <v>1</v>
      </c>
      <c r="V120" t="s">
        <v>135</v>
      </c>
      <c r="W120">
        <v>0</v>
      </c>
      <c r="X120">
        <v>272.24</v>
      </c>
      <c r="Y120">
        <v>35.65</v>
      </c>
      <c r="Z120">
        <v>1.87</v>
      </c>
      <c r="AA120">
        <v>309.76</v>
      </c>
      <c r="AB120" t="s">
        <v>57</v>
      </c>
      <c r="AC120" t="s">
        <v>131</v>
      </c>
      <c r="AD120" t="s">
        <v>48</v>
      </c>
      <c r="AE120">
        <v>0</v>
      </c>
      <c r="AF120">
        <v>1.99</v>
      </c>
      <c r="AG120" t="s">
        <v>59</v>
      </c>
      <c r="AH120">
        <v>325395</v>
      </c>
      <c r="AI120" t="s">
        <v>60</v>
      </c>
      <c r="AJ120" t="s">
        <v>78</v>
      </c>
      <c r="AK120" t="s">
        <v>54</v>
      </c>
      <c r="AL120">
        <v>2024</v>
      </c>
      <c r="AM120" s="6" t="s">
        <v>260</v>
      </c>
      <c r="AN120" s="7">
        <v>272.24</v>
      </c>
      <c r="AO120" s="8">
        <f t="shared" si="6"/>
        <v>510.45000000000005</v>
      </c>
      <c r="AP120" s="8">
        <f t="shared" si="7"/>
        <v>567.10995000000003</v>
      </c>
      <c r="AQ120" s="9">
        <f t="shared" si="5"/>
        <v>826.87795500000004</v>
      </c>
    </row>
    <row r="121" spans="1:43" x14ac:dyDescent="0.25">
      <c r="A121">
        <v>17</v>
      </c>
      <c r="B121">
        <v>5</v>
      </c>
      <c r="C121">
        <v>2024</v>
      </c>
      <c r="D121" t="s">
        <v>43</v>
      </c>
      <c r="E121" t="s">
        <v>79</v>
      </c>
      <c r="F121" t="s">
        <v>80</v>
      </c>
      <c r="G121">
        <v>11</v>
      </c>
      <c r="H121">
        <v>1791882490001</v>
      </c>
      <c r="I121" t="s">
        <v>46</v>
      </c>
      <c r="J121" t="s">
        <v>65</v>
      </c>
      <c r="K121" t="s">
        <v>48</v>
      </c>
      <c r="L121" t="s">
        <v>49</v>
      </c>
      <c r="M121" t="s">
        <v>50</v>
      </c>
      <c r="N121" t="s">
        <v>51</v>
      </c>
      <c r="O121">
        <v>8421392000</v>
      </c>
      <c r="P121" t="s">
        <v>253</v>
      </c>
      <c r="Q121" t="s">
        <v>261</v>
      </c>
      <c r="R121" t="s">
        <v>54</v>
      </c>
      <c r="S121" t="s">
        <v>55</v>
      </c>
      <c r="T121">
        <v>6</v>
      </c>
      <c r="U121">
        <v>2</v>
      </c>
      <c r="V121" t="s">
        <v>135</v>
      </c>
      <c r="W121">
        <v>0</v>
      </c>
      <c r="X121">
        <v>612.71</v>
      </c>
      <c r="Y121">
        <v>59.15</v>
      </c>
      <c r="Z121">
        <v>4.08</v>
      </c>
      <c r="AA121">
        <v>675.94</v>
      </c>
      <c r="AB121" t="s">
        <v>57</v>
      </c>
      <c r="AC121" t="s">
        <v>81</v>
      </c>
      <c r="AD121" t="s">
        <v>48</v>
      </c>
      <c r="AE121">
        <v>0</v>
      </c>
      <c r="AF121">
        <v>2.16</v>
      </c>
      <c r="AG121" t="s">
        <v>82</v>
      </c>
      <c r="AH121">
        <v>471463</v>
      </c>
      <c r="AI121" t="s">
        <v>60</v>
      </c>
      <c r="AJ121" t="s">
        <v>60</v>
      </c>
      <c r="AK121" t="s">
        <v>54</v>
      </c>
      <c r="AL121">
        <v>2024</v>
      </c>
      <c r="AM121" s="6" t="s">
        <v>262</v>
      </c>
      <c r="AN121" s="7">
        <v>306.36</v>
      </c>
      <c r="AO121" s="8">
        <f t="shared" si="6"/>
        <v>574.42500000000007</v>
      </c>
      <c r="AP121" s="8">
        <f t="shared" si="7"/>
        <v>638.18617500000005</v>
      </c>
      <c r="AQ121" s="9">
        <f t="shared" si="5"/>
        <v>930.51105750000011</v>
      </c>
    </row>
    <row r="122" spans="1:43" x14ac:dyDescent="0.25">
      <c r="A122">
        <v>13</v>
      </c>
      <c r="B122">
        <v>3</v>
      </c>
      <c r="C122">
        <v>2024</v>
      </c>
      <c r="D122" t="s">
        <v>43</v>
      </c>
      <c r="E122" t="s">
        <v>69</v>
      </c>
      <c r="F122" t="s">
        <v>70</v>
      </c>
      <c r="G122">
        <v>6</v>
      </c>
      <c r="H122">
        <v>1791882490001</v>
      </c>
      <c r="I122" t="s">
        <v>46</v>
      </c>
      <c r="J122" t="s">
        <v>263</v>
      </c>
      <c r="K122" t="s">
        <v>48</v>
      </c>
      <c r="L122" t="s">
        <v>49</v>
      </c>
      <c r="M122" t="s">
        <v>50</v>
      </c>
      <c r="N122" t="s">
        <v>51</v>
      </c>
      <c r="O122">
        <v>3926909000</v>
      </c>
      <c r="P122" t="s">
        <v>66</v>
      </c>
      <c r="Q122" t="s">
        <v>264</v>
      </c>
      <c r="R122" t="s">
        <v>54</v>
      </c>
      <c r="S122" t="s">
        <v>55</v>
      </c>
      <c r="T122">
        <v>11</v>
      </c>
      <c r="U122">
        <v>4</v>
      </c>
      <c r="V122" t="s">
        <v>135</v>
      </c>
      <c r="W122">
        <v>0.21</v>
      </c>
      <c r="X122">
        <v>13.42</v>
      </c>
      <c r="Y122">
        <v>1.76</v>
      </c>
      <c r="Z122">
        <v>0.09</v>
      </c>
      <c r="AA122">
        <v>15.26</v>
      </c>
      <c r="AB122" t="s">
        <v>54</v>
      </c>
      <c r="AC122" t="s">
        <v>71</v>
      </c>
      <c r="AD122" t="s">
        <v>48</v>
      </c>
      <c r="AE122">
        <v>0</v>
      </c>
      <c r="AF122">
        <v>8.16</v>
      </c>
      <c r="AG122" t="s">
        <v>59</v>
      </c>
      <c r="AH122">
        <v>895279</v>
      </c>
      <c r="AI122" t="s">
        <v>60</v>
      </c>
      <c r="AJ122" t="s">
        <v>60</v>
      </c>
      <c r="AK122" t="s">
        <v>54</v>
      </c>
      <c r="AL122">
        <v>2024</v>
      </c>
      <c r="AM122" s="6" t="s">
        <v>265</v>
      </c>
      <c r="AN122" s="7">
        <v>3.35</v>
      </c>
      <c r="AO122" s="8">
        <f t="shared" si="6"/>
        <v>6.28125</v>
      </c>
      <c r="AP122" s="8">
        <f t="shared" si="7"/>
        <v>6.9784687500000002</v>
      </c>
      <c r="AQ122" s="9">
        <f t="shared" si="5"/>
        <v>10.174996875</v>
      </c>
    </row>
    <row r="123" spans="1:43" x14ac:dyDescent="0.25">
      <c r="A123">
        <v>13</v>
      </c>
      <c r="B123">
        <v>3</v>
      </c>
      <c r="C123">
        <v>2024</v>
      </c>
      <c r="D123" t="s">
        <v>43</v>
      </c>
      <c r="E123" t="s">
        <v>69</v>
      </c>
      <c r="F123" t="s">
        <v>70</v>
      </c>
      <c r="G123">
        <v>7</v>
      </c>
      <c r="H123">
        <v>1791882490001</v>
      </c>
      <c r="I123" t="s">
        <v>46</v>
      </c>
      <c r="J123" t="s">
        <v>48</v>
      </c>
      <c r="K123" t="s">
        <v>48</v>
      </c>
      <c r="L123" t="s">
        <v>49</v>
      </c>
      <c r="M123" t="s">
        <v>50</v>
      </c>
      <c r="N123" t="s">
        <v>51</v>
      </c>
      <c r="O123">
        <v>4016930000</v>
      </c>
      <c r="P123" t="s">
        <v>188</v>
      </c>
      <c r="Q123" t="s">
        <v>266</v>
      </c>
      <c r="R123" t="s">
        <v>54</v>
      </c>
      <c r="S123" t="s">
        <v>55</v>
      </c>
      <c r="T123">
        <v>11</v>
      </c>
      <c r="U123">
        <v>1</v>
      </c>
      <c r="V123" t="s">
        <v>135</v>
      </c>
      <c r="W123">
        <v>0</v>
      </c>
      <c r="X123">
        <v>70.459999999999994</v>
      </c>
      <c r="Y123">
        <v>9.23</v>
      </c>
      <c r="Z123">
        <v>0.47</v>
      </c>
      <c r="AA123">
        <v>80.16</v>
      </c>
      <c r="AB123" t="s">
        <v>54</v>
      </c>
      <c r="AC123" t="s">
        <v>71</v>
      </c>
      <c r="AD123" t="s">
        <v>48</v>
      </c>
      <c r="AE123">
        <v>0</v>
      </c>
      <c r="AF123">
        <v>2.04</v>
      </c>
      <c r="AG123" t="s">
        <v>59</v>
      </c>
      <c r="AH123">
        <v>895279</v>
      </c>
      <c r="AI123" t="s">
        <v>60</v>
      </c>
      <c r="AJ123" t="s">
        <v>60</v>
      </c>
      <c r="AK123" t="s">
        <v>54</v>
      </c>
      <c r="AL123">
        <v>2024</v>
      </c>
      <c r="AM123" s="6" t="s">
        <v>267</v>
      </c>
      <c r="AN123" s="7">
        <v>70.459999999999994</v>
      </c>
      <c r="AO123" s="8">
        <f t="shared" si="6"/>
        <v>132.11249999999998</v>
      </c>
      <c r="AP123" s="8">
        <f t="shared" si="7"/>
        <v>146.77698749999999</v>
      </c>
      <c r="AQ123" s="9">
        <f t="shared" si="5"/>
        <v>214.00903874999995</v>
      </c>
    </row>
    <row r="124" spans="1:43" x14ac:dyDescent="0.25">
      <c r="A124">
        <v>12</v>
      </c>
      <c r="B124">
        <v>6</v>
      </c>
      <c r="C124">
        <v>2024</v>
      </c>
      <c r="D124" t="s">
        <v>43</v>
      </c>
      <c r="E124" t="s">
        <v>96</v>
      </c>
      <c r="F124" t="s">
        <v>97</v>
      </c>
      <c r="G124">
        <v>10</v>
      </c>
      <c r="H124">
        <v>1791882490001</v>
      </c>
      <c r="I124" t="s">
        <v>46</v>
      </c>
      <c r="J124" t="s">
        <v>65</v>
      </c>
      <c r="K124" t="s">
        <v>48</v>
      </c>
      <c r="L124" t="s">
        <v>49</v>
      </c>
      <c r="M124" t="s">
        <v>50</v>
      </c>
      <c r="N124" t="s">
        <v>51</v>
      </c>
      <c r="O124">
        <v>8421999000</v>
      </c>
      <c r="P124" t="s">
        <v>66</v>
      </c>
      <c r="Q124" t="s">
        <v>268</v>
      </c>
      <c r="R124" t="s">
        <v>54</v>
      </c>
      <c r="S124" t="s">
        <v>55</v>
      </c>
      <c r="T124">
        <v>7</v>
      </c>
      <c r="U124">
        <v>10</v>
      </c>
      <c r="V124" t="s">
        <v>135</v>
      </c>
      <c r="W124">
        <v>0</v>
      </c>
      <c r="X124">
        <v>271.02999999999997</v>
      </c>
      <c r="Y124">
        <v>23.5</v>
      </c>
      <c r="Z124">
        <v>1.82</v>
      </c>
      <c r="AA124">
        <v>296.36</v>
      </c>
      <c r="AB124" t="s">
        <v>57</v>
      </c>
      <c r="AC124" t="s">
        <v>94</v>
      </c>
      <c r="AD124" t="s">
        <v>48</v>
      </c>
      <c r="AE124">
        <v>0</v>
      </c>
      <c r="AF124">
        <v>18</v>
      </c>
      <c r="AG124" t="s">
        <v>59</v>
      </c>
      <c r="AH124" t="s">
        <v>98</v>
      </c>
      <c r="AI124" t="s">
        <v>60</v>
      </c>
      <c r="AJ124" t="s">
        <v>60</v>
      </c>
      <c r="AK124" t="s">
        <v>54</v>
      </c>
      <c r="AL124">
        <v>2024</v>
      </c>
      <c r="AM124" s="6" t="s">
        <v>269</v>
      </c>
      <c r="AN124" s="7">
        <v>27.1</v>
      </c>
      <c r="AO124" s="8">
        <f t="shared" si="6"/>
        <v>50.8125</v>
      </c>
      <c r="AP124" s="8">
        <f t="shared" si="7"/>
        <v>56.452687499999996</v>
      </c>
      <c r="AQ124" s="9">
        <f t="shared" si="5"/>
        <v>82.311168749999993</v>
      </c>
    </row>
    <row r="125" spans="1:43" x14ac:dyDescent="0.25">
      <c r="A125">
        <v>26</v>
      </c>
      <c r="B125">
        <v>12</v>
      </c>
      <c r="C125">
        <v>2024</v>
      </c>
      <c r="D125" t="s">
        <v>43</v>
      </c>
      <c r="E125" t="s">
        <v>222</v>
      </c>
      <c r="F125" t="s">
        <v>223</v>
      </c>
      <c r="G125">
        <v>2</v>
      </c>
      <c r="H125">
        <v>1791882490001</v>
      </c>
      <c r="I125" t="s">
        <v>46</v>
      </c>
      <c r="J125" t="s">
        <v>65</v>
      </c>
      <c r="K125" t="s">
        <v>48</v>
      </c>
      <c r="L125" t="s">
        <v>49</v>
      </c>
      <c r="M125" t="s">
        <v>50</v>
      </c>
      <c r="N125" t="s">
        <v>224</v>
      </c>
      <c r="O125">
        <v>8421999000</v>
      </c>
      <c r="P125" t="s">
        <v>52</v>
      </c>
      <c r="Q125" t="s">
        <v>254</v>
      </c>
      <c r="R125" t="s">
        <v>54</v>
      </c>
      <c r="S125" t="s">
        <v>55</v>
      </c>
      <c r="T125">
        <v>8</v>
      </c>
      <c r="U125">
        <v>3</v>
      </c>
      <c r="V125" t="s">
        <v>135</v>
      </c>
      <c r="W125">
        <v>0</v>
      </c>
      <c r="X125">
        <v>82.4</v>
      </c>
      <c r="Y125">
        <v>17.07</v>
      </c>
      <c r="Z125">
        <v>0.82</v>
      </c>
      <c r="AA125">
        <v>100.29</v>
      </c>
      <c r="AB125" t="s">
        <v>57</v>
      </c>
      <c r="AC125" t="s">
        <v>225</v>
      </c>
      <c r="AD125" t="s">
        <v>48</v>
      </c>
      <c r="AE125">
        <v>0</v>
      </c>
      <c r="AF125">
        <v>6.18</v>
      </c>
      <c r="AG125" t="s">
        <v>59</v>
      </c>
      <c r="AH125">
        <v>341996</v>
      </c>
      <c r="AI125" t="s">
        <v>60</v>
      </c>
      <c r="AJ125" t="s">
        <v>60</v>
      </c>
      <c r="AK125" t="s">
        <v>54</v>
      </c>
      <c r="AL125">
        <v>2024</v>
      </c>
      <c r="AM125" s="6" t="s">
        <v>269</v>
      </c>
      <c r="AN125" s="7">
        <v>27.47</v>
      </c>
      <c r="AO125" s="8">
        <f t="shared" si="6"/>
        <v>51.506249999999994</v>
      </c>
      <c r="AP125" s="8">
        <f t="shared" si="7"/>
        <v>57.223443749999994</v>
      </c>
      <c r="AQ125" s="9">
        <f t="shared" si="5"/>
        <v>83.434974374999982</v>
      </c>
    </row>
    <row r="126" spans="1:43" x14ac:dyDescent="0.25">
      <c r="A126">
        <v>8</v>
      </c>
      <c r="B126">
        <v>7</v>
      </c>
      <c r="C126">
        <v>2024</v>
      </c>
      <c r="D126" t="s">
        <v>43</v>
      </c>
      <c r="E126" t="s">
        <v>75</v>
      </c>
      <c r="F126" t="s">
        <v>76</v>
      </c>
      <c r="G126">
        <v>5</v>
      </c>
      <c r="H126">
        <v>1791882490001</v>
      </c>
      <c r="I126" t="s">
        <v>46</v>
      </c>
      <c r="J126" t="s">
        <v>48</v>
      </c>
      <c r="K126" t="s">
        <v>48</v>
      </c>
      <c r="L126" t="s">
        <v>49</v>
      </c>
      <c r="M126" t="s">
        <v>50</v>
      </c>
      <c r="N126" t="s">
        <v>51</v>
      </c>
      <c r="O126">
        <v>4016999000</v>
      </c>
      <c r="P126" t="s">
        <v>103</v>
      </c>
      <c r="Q126" t="s">
        <v>270</v>
      </c>
      <c r="R126" t="s">
        <v>54</v>
      </c>
      <c r="S126" t="s">
        <v>55</v>
      </c>
      <c r="T126">
        <v>8</v>
      </c>
      <c r="U126">
        <v>1</v>
      </c>
      <c r="V126" t="s">
        <v>135</v>
      </c>
      <c r="W126">
        <v>0</v>
      </c>
      <c r="X126">
        <v>50.74</v>
      </c>
      <c r="Y126">
        <v>4.34</v>
      </c>
      <c r="Z126">
        <v>0.33</v>
      </c>
      <c r="AA126">
        <v>55.41</v>
      </c>
      <c r="AB126" t="s">
        <v>57</v>
      </c>
      <c r="AC126" t="s">
        <v>77</v>
      </c>
      <c r="AD126" t="s">
        <v>48</v>
      </c>
      <c r="AE126">
        <v>0</v>
      </c>
      <c r="AF126">
        <v>0.34</v>
      </c>
      <c r="AG126" t="s">
        <v>59</v>
      </c>
      <c r="AH126">
        <v>107711</v>
      </c>
      <c r="AI126" t="s">
        <v>60</v>
      </c>
      <c r="AJ126" t="s">
        <v>78</v>
      </c>
      <c r="AK126" t="s">
        <v>54</v>
      </c>
      <c r="AL126">
        <v>2024</v>
      </c>
      <c r="AM126" s="6" t="s">
        <v>271</v>
      </c>
      <c r="AN126" s="7">
        <v>50.74</v>
      </c>
      <c r="AO126" s="8">
        <f t="shared" si="6"/>
        <v>95.137500000000003</v>
      </c>
      <c r="AP126" s="8">
        <f t="shared" si="7"/>
        <v>105.6977625</v>
      </c>
      <c r="AQ126" s="9">
        <f t="shared" si="5"/>
        <v>154.11323625</v>
      </c>
    </row>
    <row r="127" spans="1:43" x14ac:dyDescent="0.25">
      <c r="A127">
        <v>8</v>
      </c>
      <c r="B127">
        <v>7</v>
      </c>
      <c r="C127">
        <v>2024</v>
      </c>
      <c r="D127" t="s">
        <v>43</v>
      </c>
      <c r="E127" t="s">
        <v>75</v>
      </c>
      <c r="F127" t="s">
        <v>76</v>
      </c>
      <c r="G127">
        <v>5</v>
      </c>
      <c r="H127">
        <v>1791882490001</v>
      </c>
      <c r="I127" t="s">
        <v>46</v>
      </c>
      <c r="J127" t="s">
        <v>48</v>
      </c>
      <c r="K127" t="s">
        <v>48</v>
      </c>
      <c r="L127" t="s">
        <v>49</v>
      </c>
      <c r="M127" t="s">
        <v>50</v>
      </c>
      <c r="N127" t="s">
        <v>51</v>
      </c>
      <c r="O127">
        <v>4016999000</v>
      </c>
      <c r="P127" t="s">
        <v>103</v>
      </c>
      <c r="Q127" t="s">
        <v>270</v>
      </c>
      <c r="R127" t="s">
        <v>54</v>
      </c>
      <c r="S127" t="s">
        <v>55</v>
      </c>
      <c r="T127">
        <v>8</v>
      </c>
      <c r="U127">
        <v>1</v>
      </c>
      <c r="V127" t="s">
        <v>135</v>
      </c>
      <c r="W127">
        <v>0</v>
      </c>
      <c r="X127">
        <v>50.74</v>
      </c>
      <c r="Y127">
        <v>4.34</v>
      </c>
      <c r="Z127">
        <v>0.33</v>
      </c>
      <c r="AA127">
        <v>55.41</v>
      </c>
      <c r="AB127" t="s">
        <v>57</v>
      </c>
      <c r="AC127" t="s">
        <v>77</v>
      </c>
      <c r="AD127" t="s">
        <v>48</v>
      </c>
      <c r="AE127">
        <v>0</v>
      </c>
      <c r="AF127">
        <v>0.34</v>
      </c>
      <c r="AG127" t="s">
        <v>59</v>
      </c>
      <c r="AH127">
        <v>107711</v>
      </c>
      <c r="AI127" t="s">
        <v>60</v>
      </c>
      <c r="AJ127" t="s">
        <v>78</v>
      </c>
      <c r="AK127" t="s">
        <v>54</v>
      </c>
      <c r="AL127">
        <v>2024</v>
      </c>
      <c r="AM127" s="6" t="s">
        <v>271</v>
      </c>
      <c r="AN127" s="7">
        <v>50.74</v>
      </c>
      <c r="AO127" s="8">
        <f t="shared" si="6"/>
        <v>95.137500000000003</v>
      </c>
      <c r="AP127" s="8">
        <f t="shared" si="7"/>
        <v>105.6977625</v>
      </c>
      <c r="AQ127" s="9">
        <f t="shared" si="5"/>
        <v>154.11323625</v>
      </c>
    </row>
    <row r="128" spans="1:43" x14ac:dyDescent="0.25">
      <c r="A128">
        <v>20</v>
      </c>
      <c r="B128">
        <v>2</v>
      </c>
      <c r="C128">
        <v>2024</v>
      </c>
      <c r="D128" t="s">
        <v>43</v>
      </c>
      <c r="E128" t="s">
        <v>140</v>
      </c>
      <c r="F128" t="s">
        <v>141</v>
      </c>
      <c r="G128">
        <v>18</v>
      </c>
      <c r="H128">
        <v>1791882490001</v>
      </c>
      <c r="I128" t="s">
        <v>46</v>
      </c>
      <c r="J128" t="s">
        <v>48</v>
      </c>
      <c r="K128" t="s">
        <v>48</v>
      </c>
      <c r="L128" t="s">
        <v>49</v>
      </c>
      <c r="M128" t="s">
        <v>50</v>
      </c>
      <c r="N128" t="s">
        <v>51</v>
      </c>
      <c r="O128">
        <v>7326909090</v>
      </c>
      <c r="P128" t="s">
        <v>103</v>
      </c>
      <c r="Q128" t="s">
        <v>272</v>
      </c>
      <c r="R128" t="s">
        <v>54</v>
      </c>
      <c r="S128" t="s">
        <v>55</v>
      </c>
      <c r="T128">
        <v>6</v>
      </c>
      <c r="U128">
        <v>1</v>
      </c>
      <c r="V128" t="s">
        <v>135</v>
      </c>
      <c r="W128">
        <v>13.46</v>
      </c>
      <c r="X128">
        <v>219.22</v>
      </c>
      <c r="Y128">
        <v>19.670000000000002</v>
      </c>
      <c r="Z128">
        <v>1.47</v>
      </c>
      <c r="AA128">
        <v>240.37</v>
      </c>
      <c r="AB128" t="s">
        <v>54</v>
      </c>
      <c r="AC128" t="s">
        <v>143</v>
      </c>
      <c r="AD128" t="s">
        <v>48</v>
      </c>
      <c r="AE128">
        <v>0</v>
      </c>
      <c r="AF128">
        <v>1.87</v>
      </c>
      <c r="AG128" t="s">
        <v>59</v>
      </c>
      <c r="AH128">
        <v>876053</v>
      </c>
      <c r="AI128" t="s">
        <v>60</v>
      </c>
      <c r="AJ128" t="s">
        <v>60</v>
      </c>
      <c r="AK128" t="s">
        <v>54</v>
      </c>
      <c r="AL128">
        <v>2024</v>
      </c>
      <c r="AM128" s="6" t="s">
        <v>273</v>
      </c>
      <c r="AN128" s="7">
        <v>219.22</v>
      </c>
      <c r="AO128" s="8">
        <f t="shared" si="6"/>
        <v>411.03750000000002</v>
      </c>
      <c r="AP128" s="8">
        <f t="shared" si="7"/>
        <v>456.66266250000001</v>
      </c>
      <c r="AQ128" s="9">
        <f t="shared" si="5"/>
        <v>665.83964624999999</v>
      </c>
    </row>
    <row r="129" spans="1:43" x14ac:dyDescent="0.25">
      <c r="A129">
        <v>12</v>
      </c>
      <c r="B129">
        <v>6</v>
      </c>
      <c r="C129">
        <v>2024</v>
      </c>
      <c r="D129" t="s">
        <v>43</v>
      </c>
      <c r="E129" t="s">
        <v>96</v>
      </c>
      <c r="F129" t="s">
        <v>97</v>
      </c>
      <c r="G129">
        <v>11</v>
      </c>
      <c r="H129">
        <v>1791882490001</v>
      </c>
      <c r="I129" t="s">
        <v>46</v>
      </c>
      <c r="J129" t="s">
        <v>48</v>
      </c>
      <c r="K129" t="s">
        <v>48</v>
      </c>
      <c r="L129" t="s">
        <v>49</v>
      </c>
      <c r="M129" t="s">
        <v>50</v>
      </c>
      <c r="N129" t="s">
        <v>51</v>
      </c>
      <c r="O129">
        <v>7326909090</v>
      </c>
      <c r="P129" t="s">
        <v>103</v>
      </c>
      <c r="Q129" t="s">
        <v>274</v>
      </c>
      <c r="R129" t="s">
        <v>54</v>
      </c>
      <c r="S129" t="s">
        <v>55</v>
      </c>
      <c r="T129">
        <v>7</v>
      </c>
      <c r="U129">
        <v>8</v>
      </c>
      <c r="V129" t="s">
        <v>135</v>
      </c>
      <c r="W129">
        <v>77.680000000000007</v>
      </c>
      <c r="X129">
        <v>1268.6600000000001</v>
      </c>
      <c r="Y129">
        <v>110.03</v>
      </c>
      <c r="Z129">
        <v>8.5399999999999991</v>
      </c>
      <c r="AA129">
        <v>1387.23</v>
      </c>
      <c r="AB129" t="s">
        <v>57</v>
      </c>
      <c r="AC129" t="s">
        <v>94</v>
      </c>
      <c r="AD129" t="s">
        <v>48</v>
      </c>
      <c r="AE129">
        <v>0</v>
      </c>
      <c r="AF129">
        <v>14.4</v>
      </c>
      <c r="AG129" t="s">
        <v>59</v>
      </c>
      <c r="AH129" t="s">
        <v>98</v>
      </c>
      <c r="AI129" t="s">
        <v>60</v>
      </c>
      <c r="AJ129" t="s">
        <v>60</v>
      </c>
      <c r="AK129" t="s">
        <v>54</v>
      </c>
      <c r="AL129">
        <v>2024</v>
      </c>
      <c r="AM129" s="6" t="s">
        <v>275</v>
      </c>
      <c r="AN129" s="7">
        <v>158.58000000000001</v>
      </c>
      <c r="AO129" s="8">
        <f t="shared" si="6"/>
        <v>297.33750000000003</v>
      </c>
      <c r="AP129" s="8">
        <f t="shared" si="7"/>
        <v>330.34196250000002</v>
      </c>
      <c r="AQ129" s="9">
        <f t="shared" si="5"/>
        <v>481.65701625000003</v>
      </c>
    </row>
    <row r="130" spans="1:43" x14ac:dyDescent="0.25">
      <c r="A130">
        <v>8</v>
      </c>
      <c r="B130">
        <v>7</v>
      </c>
      <c r="C130">
        <v>2024</v>
      </c>
      <c r="D130" t="s">
        <v>43</v>
      </c>
      <c r="E130" t="s">
        <v>75</v>
      </c>
      <c r="F130" t="s">
        <v>76</v>
      </c>
      <c r="G130">
        <v>6</v>
      </c>
      <c r="H130">
        <v>1791882490001</v>
      </c>
      <c r="I130" t="s">
        <v>46</v>
      </c>
      <c r="J130" t="s">
        <v>48</v>
      </c>
      <c r="K130" t="s">
        <v>48</v>
      </c>
      <c r="L130" t="s">
        <v>49</v>
      </c>
      <c r="M130" t="s">
        <v>50</v>
      </c>
      <c r="N130" t="s">
        <v>51</v>
      </c>
      <c r="O130">
        <v>7326909090</v>
      </c>
      <c r="P130" t="s">
        <v>103</v>
      </c>
      <c r="Q130" t="s">
        <v>276</v>
      </c>
      <c r="R130" t="s">
        <v>54</v>
      </c>
      <c r="S130" t="s">
        <v>55</v>
      </c>
      <c r="T130">
        <v>8</v>
      </c>
      <c r="U130">
        <v>2</v>
      </c>
      <c r="V130" t="s">
        <v>135</v>
      </c>
      <c r="W130">
        <v>46.65</v>
      </c>
      <c r="X130">
        <v>762.92</v>
      </c>
      <c r="Y130">
        <v>65.17</v>
      </c>
      <c r="Z130">
        <v>4.96</v>
      </c>
      <c r="AA130">
        <v>833.05</v>
      </c>
      <c r="AB130" t="s">
        <v>57</v>
      </c>
      <c r="AC130" t="s">
        <v>77</v>
      </c>
      <c r="AD130" t="s">
        <v>48</v>
      </c>
      <c r="AE130">
        <v>0</v>
      </c>
      <c r="AF130">
        <v>5.05</v>
      </c>
      <c r="AG130" t="s">
        <v>59</v>
      </c>
      <c r="AH130">
        <v>107711</v>
      </c>
      <c r="AI130" t="s">
        <v>60</v>
      </c>
      <c r="AJ130" t="s">
        <v>78</v>
      </c>
      <c r="AK130" t="s">
        <v>54</v>
      </c>
      <c r="AL130">
        <v>2024</v>
      </c>
      <c r="AM130" s="6" t="s">
        <v>277</v>
      </c>
      <c r="AN130" s="7">
        <v>381.46</v>
      </c>
      <c r="AO130" s="8">
        <f t="shared" si="6"/>
        <v>715.23749999999995</v>
      </c>
      <c r="AP130" s="8">
        <f t="shared" si="7"/>
        <v>794.62886249999997</v>
      </c>
      <c r="AQ130" s="9">
        <f t="shared" si="5"/>
        <v>1158.6132262499998</v>
      </c>
    </row>
    <row r="131" spans="1:43" x14ac:dyDescent="0.25">
      <c r="A131">
        <v>8</v>
      </c>
      <c r="B131">
        <v>7</v>
      </c>
      <c r="C131">
        <v>2024</v>
      </c>
      <c r="D131" t="s">
        <v>43</v>
      </c>
      <c r="E131" t="s">
        <v>75</v>
      </c>
      <c r="F131" t="s">
        <v>76</v>
      </c>
      <c r="G131">
        <v>6</v>
      </c>
      <c r="H131">
        <v>1791882490001</v>
      </c>
      <c r="I131" t="s">
        <v>46</v>
      </c>
      <c r="J131" t="s">
        <v>48</v>
      </c>
      <c r="K131" t="s">
        <v>48</v>
      </c>
      <c r="L131" t="s">
        <v>49</v>
      </c>
      <c r="M131" t="s">
        <v>50</v>
      </c>
      <c r="N131" t="s">
        <v>51</v>
      </c>
      <c r="O131">
        <v>7326909090</v>
      </c>
      <c r="P131" t="s">
        <v>103</v>
      </c>
      <c r="Q131" t="s">
        <v>276</v>
      </c>
      <c r="R131" t="s">
        <v>54</v>
      </c>
      <c r="S131" t="s">
        <v>55</v>
      </c>
      <c r="T131">
        <v>8</v>
      </c>
      <c r="U131">
        <v>2</v>
      </c>
      <c r="V131" t="s">
        <v>135</v>
      </c>
      <c r="W131">
        <v>46.65</v>
      </c>
      <c r="X131">
        <v>762.92</v>
      </c>
      <c r="Y131">
        <v>65.17</v>
      </c>
      <c r="Z131">
        <v>4.96</v>
      </c>
      <c r="AA131">
        <v>833.05</v>
      </c>
      <c r="AB131" t="s">
        <v>57</v>
      </c>
      <c r="AC131" t="s">
        <v>77</v>
      </c>
      <c r="AD131" t="s">
        <v>48</v>
      </c>
      <c r="AE131">
        <v>0</v>
      </c>
      <c r="AF131">
        <v>5.05</v>
      </c>
      <c r="AG131" t="s">
        <v>59</v>
      </c>
      <c r="AH131">
        <v>107711</v>
      </c>
      <c r="AI131" t="s">
        <v>60</v>
      </c>
      <c r="AJ131" t="s">
        <v>78</v>
      </c>
      <c r="AK131" t="s">
        <v>54</v>
      </c>
      <c r="AL131">
        <v>2024</v>
      </c>
      <c r="AM131" s="6" t="s">
        <v>277</v>
      </c>
      <c r="AN131" s="7">
        <v>381.46</v>
      </c>
      <c r="AO131" s="8">
        <f t="shared" si="6"/>
        <v>715.23749999999995</v>
      </c>
      <c r="AP131" s="8">
        <f t="shared" si="7"/>
        <v>794.62886249999997</v>
      </c>
      <c r="AQ131" s="9">
        <f t="shared" ref="AQ131:AQ194" si="8">SUM(AO131)*1.6199</f>
        <v>1158.6132262499998</v>
      </c>
    </row>
    <row r="132" spans="1:43" x14ac:dyDescent="0.25">
      <c r="A132">
        <v>12</v>
      </c>
      <c r="B132">
        <v>6</v>
      </c>
      <c r="C132">
        <v>2024</v>
      </c>
      <c r="D132" t="s">
        <v>43</v>
      </c>
      <c r="E132" t="s">
        <v>96</v>
      </c>
      <c r="F132" t="s">
        <v>97</v>
      </c>
      <c r="G132">
        <v>12</v>
      </c>
      <c r="H132">
        <v>1791882490001</v>
      </c>
      <c r="I132" t="s">
        <v>46</v>
      </c>
      <c r="J132" t="s">
        <v>118</v>
      </c>
      <c r="K132" t="s">
        <v>48</v>
      </c>
      <c r="L132" t="s">
        <v>49</v>
      </c>
      <c r="M132" t="s">
        <v>50</v>
      </c>
      <c r="N132" t="s">
        <v>51</v>
      </c>
      <c r="O132">
        <v>7325990099</v>
      </c>
      <c r="P132" t="s">
        <v>103</v>
      </c>
      <c r="Q132" t="s">
        <v>278</v>
      </c>
      <c r="R132" t="s">
        <v>54</v>
      </c>
      <c r="S132" t="s">
        <v>55</v>
      </c>
      <c r="T132">
        <v>7</v>
      </c>
      <c r="U132">
        <v>2</v>
      </c>
      <c r="V132" t="s">
        <v>135</v>
      </c>
      <c r="W132">
        <v>0</v>
      </c>
      <c r="X132">
        <v>151.36000000000001</v>
      </c>
      <c r="Y132">
        <v>13.13</v>
      </c>
      <c r="Z132">
        <v>1.02</v>
      </c>
      <c r="AA132">
        <v>165.5</v>
      </c>
      <c r="AB132" t="s">
        <v>57</v>
      </c>
      <c r="AC132" t="s">
        <v>94</v>
      </c>
      <c r="AD132" t="s">
        <v>48</v>
      </c>
      <c r="AE132">
        <v>0</v>
      </c>
      <c r="AF132">
        <v>3.6</v>
      </c>
      <c r="AG132" t="s">
        <v>59</v>
      </c>
      <c r="AH132" t="s">
        <v>98</v>
      </c>
      <c r="AI132" t="s">
        <v>60</v>
      </c>
      <c r="AJ132" t="s">
        <v>60</v>
      </c>
      <c r="AK132" t="s">
        <v>54</v>
      </c>
      <c r="AL132">
        <v>2024</v>
      </c>
      <c r="AM132" s="6" t="s">
        <v>279</v>
      </c>
      <c r="AN132" s="7">
        <v>75.680000000000007</v>
      </c>
      <c r="AO132" s="8">
        <f t="shared" si="6"/>
        <v>141.9</v>
      </c>
      <c r="AP132" s="8">
        <f t="shared" si="7"/>
        <v>157.65090000000001</v>
      </c>
      <c r="AQ132" s="9">
        <f t="shared" si="8"/>
        <v>229.86381</v>
      </c>
    </row>
    <row r="133" spans="1:43" x14ac:dyDescent="0.25">
      <c r="A133">
        <v>8</v>
      </c>
      <c r="B133">
        <v>7</v>
      </c>
      <c r="C133">
        <v>2024</v>
      </c>
      <c r="D133" t="s">
        <v>43</v>
      </c>
      <c r="E133" t="s">
        <v>75</v>
      </c>
      <c r="F133" t="s">
        <v>76</v>
      </c>
      <c r="G133">
        <v>7</v>
      </c>
      <c r="H133">
        <v>1791882490001</v>
      </c>
      <c r="I133" t="s">
        <v>46</v>
      </c>
      <c r="J133" t="s">
        <v>48</v>
      </c>
      <c r="K133" t="s">
        <v>48</v>
      </c>
      <c r="L133" t="s">
        <v>49</v>
      </c>
      <c r="M133" t="s">
        <v>50</v>
      </c>
      <c r="N133" t="s">
        <v>51</v>
      </c>
      <c r="O133">
        <v>8481909090</v>
      </c>
      <c r="P133" t="s">
        <v>103</v>
      </c>
      <c r="Q133" t="s">
        <v>280</v>
      </c>
      <c r="R133" t="s">
        <v>54</v>
      </c>
      <c r="S133" t="s">
        <v>55</v>
      </c>
      <c r="T133">
        <v>8</v>
      </c>
      <c r="U133">
        <v>1</v>
      </c>
      <c r="V133" t="s">
        <v>135</v>
      </c>
      <c r="W133">
        <v>0</v>
      </c>
      <c r="X133">
        <v>222.81</v>
      </c>
      <c r="Y133">
        <v>19.03</v>
      </c>
      <c r="Z133">
        <v>1.45</v>
      </c>
      <c r="AA133">
        <v>243.29</v>
      </c>
      <c r="AB133" t="s">
        <v>57</v>
      </c>
      <c r="AC133" t="s">
        <v>77</v>
      </c>
      <c r="AD133" t="s">
        <v>48</v>
      </c>
      <c r="AE133">
        <v>0</v>
      </c>
      <c r="AF133">
        <v>1.47</v>
      </c>
      <c r="AG133" t="s">
        <v>59</v>
      </c>
      <c r="AH133">
        <v>107711</v>
      </c>
      <c r="AI133" t="s">
        <v>60</v>
      </c>
      <c r="AJ133" t="s">
        <v>78</v>
      </c>
      <c r="AK133" t="s">
        <v>54</v>
      </c>
      <c r="AL133">
        <v>2024</v>
      </c>
      <c r="AM133" s="6" t="s">
        <v>281</v>
      </c>
      <c r="AN133" s="7">
        <v>222.81</v>
      </c>
      <c r="AO133" s="8">
        <f t="shared" si="6"/>
        <v>417.76875000000001</v>
      </c>
      <c r="AP133" s="8">
        <f t="shared" si="7"/>
        <v>464.14108125000001</v>
      </c>
      <c r="AQ133" s="9">
        <f t="shared" si="8"/>
        <v>676.74359812499995</v>
      </c>
    </row>
    <row r="134" spans="1:43" x14ac:dyDescent="0.25">
      <c r="A134">
        <v>8</v>
      </c>
      <c r="B134">
        <v>7</v>
      </c>
      <c r="C134">
        <v>2024</v>
      </c>
      <c r="D134" t="s">
        <v>43</v>
      </c>
      <c r="E134" t="s">
        <v>75</v>
      </c>
      <c r="F134" t="s">
        <v>76</v>
      </c>
      <c r="G134">
        <v>7</v>
      </c>
      <c r="H134">
        <v>1791882490001</v>
      </c>
      <c r="I134" t="s">
        <v>46</v>
      </c>
      <c r="J134" t="s">
        <v>48</v>
      </c>
      <c r="K134" t="s">
        <v>48</v>
      </c>
      <c r="L134" t="s">
        <v>49</v>
      </c>
      <c r="M134" t="s">
        <v>50</v>
      </c>
      <c r="N134" t="s">
        <v>51</v>
      </c>
      <c r="O134">
        <v>8481909090</v>
      </c>
      <c r="P134" t="s">
        <v>103</v>
      </c>
      <c r="Q134" t="s">
        <v>280</v>
      </c>
      <c r="R134" t="s">
        <v>54</v>
      </c>
      <c r="S134" t="s">
        <v>55</v>
      </c>
      <c r="T134">
        <v>8</v>
      </c>
      <c r="U134">
        <v>1</v>
      </c>
      <c r="V134" t="s">
        <v>135</v>
      </c>
      <c r="W134">
        <v>0</v>
      </c>
      <c r="X134">
        <v>222.81</v>
      </c>
      <c r="Y134">
        <v>19.03</v>
      </c>
      <c r="Z134">
        <v>1.45</v>
      </c>
      <c r="AA134">
        <v>243.29</v>
      </c>
      <c r="AB134" t="s">
        <v>57</v>
      </c>
      <c r="AC134" t="s">
        <v>77</v>
      </c>
      <c r="AD134" t="s">
        <v>48</v>
      </c>
      <c r="AE134">
        <v>0</v>
      </c>
      <c r="AF134">
        <v>1.47</v>
      </c>
      <c r="AG134" t="s">
        <v>59</v>
      </c>
      <c r="AH134">
        <v>107711</v>
      </c>
      <c r="AI134" t="s">
        <v>60</v>
      </c>
      <c r="AJ134" t="s">
        <v>78</v>
      </c>
      <c r="AK134" t="s">
        <v>54</v>
      </c>
      <c r="AL134">
        <v>2024</v>
      </c>
      <c r="AM134" s="6" t="s">
        <v>281</v>
      </c>
      <c r="AN134" s="7">
        <v>222.81</v>
      </c>
      <c r="AO134" s="8">
        <f t="shared" si="6"/>
        <v>417.76875000000001</v>
      </c>
      <c r="AP134" s="8">
        <f t="shared" si="7"/>
        <v>464.14108125000001</v>
      </c>
      <c r="AQ134" s="9">
        <f t="shared" si="8"/>
        <v>676.74359812499995</v>
      </c>
    </row>
    <row r="135" spans="1:43" x14ac:dyDescent="0.25">
      <c r="A135">
        <v>2</v>
      </c>
      <c r="B135">
        <v>1</v>
      </c>
      <c r="C135">
        <v>2024</v>
      </c>
      <c r="D135" t="s">
        <v>43</v>
      </c>
      <c r="E135" t="s">
        <v>181</v>
      </c>
      <c r="F135" t="s">
        <v>182</v>
      </c>
      <c r="G135">
        <v>5</v>
      </c>
      <c r="H135">
        <v>1791882490001</v>
      </c>
      <c r="I135" t="s">
        <v>46</v>
      </c>
      <c r="J135" t="s">
        <v>133</v>
      </c>
      <c r="K135" t="s">
        <v>48</v>
      </c>
      <c r="L135" t="s">
        <v>49</v>
      </c>
      <c r="M135" t="s">
        <v>50</v>
      </c>
      <c r="N135" t="s">
        <v>51</v>
      </c>
      <c r="O135">
        <v>8481909090</v>
      </c>
      <c r="P135" t="s">
        <v>232</v>
      </c>
      <c r="Q135" t="s">
        <v>282</v>
      </c>
      <c r="R135" t="s">
        <v>54</v>
      </c>
      <c r="S135" t="s">
        <v>55</v>
      </c>
      <c r="T135">
        <v>8</v>
      </c>
      <c r="U135">
        <v>1</v>
      </c>
      <c r="V135" t="s">
        <v>135</v>
      </c>
      <c r="W135">
        <v>0</v>
      </c>
      <c r="X135">
        <v>208.75</v>
      </c>
      <c r="Y135">
        <v>42.41</v>
      </c>
      <c r="Z135">
        <v>1.34</v>
      </c>
      <c r="AA135">
        <v>252.5</v>
      </c>
      <c r="AB135" t="s">
        <v>57</v>
      </c>
      <c r="AC135" t="s">
        <v>81</v>
      </c>
      <c r="AD135" t="s">
        <v>48</v>
      </c>
      <c r="AE135">
        <v>0</v>
      </c>
      <c r="AF135">
        <v>3.24</v>
      </c>
      <c r="AG135" t="s">
        <v>59</v>
      </c>
      <c r="AH135">
        <v>413505</v>
      </c>
      <c r="AI135" t="s">
        <v>60</v>
      </c>
      <c r="AJ135" t="s">
        <v>60</v>
      </c>
      <c r="AK135" t="s">
        <v>54</v>
      </c>
      <c r="AL135">
        <v>2023</v>
      </c>
      <c r="AM135" s="6" t="s">
        <v>283</v>
      </c>
      <c r="AN135" s="7">
        <v>208.75</v>
      </c>
      <c r="AO135" s="8">
        <f t="shared" si="6"/>
        <v>391.40625</v>
      </c>
      <c r="AP135" s="8">
        <f t="shared" si="7"/>
        <v>434.85234374999999</v>
      </c>
      <c r="AQ135" s="9">
        <f t="shared" si="8"/>
        <v>634.03898437499993</v>
      </c>
    </row>
    <row r="136" spans="1:43" x14ac:dyDescent="0.25">
      <c r="A136">
        <v>26</v>
      </c>
      <c r="B136">
        <v>12</v>
      </c>
      <c r="C136">
        <v>2024</v>
      </c>
      <c r="D136" t="s">
        <v>43</v>
      </c>
      <c r="E136" t="s">
        <v>222</v>
      </c>
      <c r="F136" t="s">
        <v>223</v>
      </c>
      <c r="G136">
        <v>3</v>
      </c>
      <c r="H136">
        <v>1791882490001</v>
      </c>
      <c r="I136" t="s">
        <v>46</v>
      </c>
      <c r="J136" t="s">
        <v>133</v>
      </c>
      <c r="K136" t="s">
        <v>48</v>
      </c>
      <c r="L136" t="s">
        <v>49</v>
      </c>
      <c r="M136" t="s">
        <v>50</v>
      </c>
      <c r="N136" t="s">
        <v>224</v>
      </c>
      <c r="O136">
        <v>8481909090</v>
      </c>
      <c r="P136" t="s">
        <v>284</v>
      </c>
      <c r="Q136" t="s">
        <v>285</v>
      </c>
      <c r="R136" t="s">
        <v>54</v>
      </c>
      <c r="S136" t="s">
        <v>55</v>
      </c>
      <c r="T136">
        <v>8</v>
      </c>
      <c r="U136">
        <v>1</v>
      </c>
      <c r="V136" t="s">
        <v>135</v>
      </c>
      <c r="W136">
        <v>0</v>
      </c>
      <c r="X136">
        <v>233.27</v>
      </c>
      <c r="Y136">
        <v>48.31</v>
      </c>
      <c r="Z136">
        <v>2.33</v>
      </c>
      <c r="AA136">
        <v>283.92</v>
      </c>
      <c r="AB136" t="s">
        <v>57</v>
      </c>
      <c r="AC136" t="s">
        <v>225</v>
      </c>
      <c r="AD136" t="s">
        <v>48</v>
      </c>
      <c r="AE136">
        <v>0</v>
      </c>
      <c r="AF136">
        <v>2.06</v>
      </c>
      <c r="AG136" t="s">
        <v>59</v>
      </c>
      <c r="AH136">
        <v>341996</v>
      </c>
      <c r="AI136" t="s">
        <v>60</v>
      </c>
      <c r="AJ136" t="s">
        <v>60</v>
      </c>
      <c r="AK136" t="s">
        <v>54</v>
      </c>
      <c r="AL136">
        <v>2024</v>
      </c>
      <c r="AM136" s="6" t="s">
        <v>283</v>
      </c>
      <c r="AN136" s="7">
        <v>233.27</v>
      </c>
      <c r="AO136" s="8">
        <f t="shared" si="6"/>
        <v>437.38125000000002</v>
      </c>
      <c r="AP136" s="8">
        <f t="shared" si="7"/>
        <v>485.93056875000002</v>
      </c>
      <c r="AQ136" s="9">
        <f t="shared" si="8"/>
        <v>708.51388687500003</v>
      </c>
    </row>
    <row r="137" spans="1:43" x14ac:dyDescent="0.25">
      <c r="A137">
        <v>13</v>
      </c>
      <c r="B137">
        <v>3</v>
      </c>
      <c r="C137">
        <v>2024</v>
      </c>
      <c r="D137" t="s">
        <v>43</v>
      </c>
      <c r="E137" t="s">
        <v>69</v>
      </c>
      <c r="F137" t="s">
        <v>70</v>
      </c>
      <c r="G137">
        <v>8</v>
      </c>
      <c r="H137">
        <v>1791882490001</v>
      </c>
      <c r="I137" t="s">
        <v>46</v>
      </c>
      <c r="J137" t="s">
        <v>48</v>
      </c>
      <c r="K137" t="s">
        <v>48</v>
      </c>
      <c r="L137" t="s">
        <v>49</v>
      </c>
      <c r="M137" t="s">
        <v>50</v>
      </c>
      <c r="N137" t="s">
        <v>51</v>
      </c>
      <c r="O137">
        <v>7318290000</v>
      </c>
      <c r="P137" t="s">
        <v>286</v>
      </c>
      <c r="Q137" t="s">
        <v>287</v>
      </c>
      <c r="R137" t="s">
        <v>54</v>
      </c>
      <c r="S137" t="s">
        <v>55</v>
      </c>
      <c r="T137">
        <v>11</v>
      </c>
      <c r="U137">
        <v>1</v>
      </c>
      <c r="V137" t="s">
        <v>56</v>
      </c>
      <c r="W137">
        <v>0</v>
      </c>
      <c r="X137">
        <v>95.18</v>
      </c>
      <c r="Y137">
        <v>12.46</v>
      </c>
      <c r="Z137">
        <v>0.64</v>
      </c>
      <c r="AA137">
        <v>108.28</v>
      </c>
      <c r="AB137" t="s">
        <v>54</v>
      </c>
      <c r="AC137" t="s">
        <v>71</v>
      </c>
      <c r="AD137" t="s">
        <v>48</v>
      </c>
      <c r="AE137">
        <v>0</v>
      </c>
      <c r="AF137">
        <v>2.04</v>
      </c>
      <c r="AG137" t="s">
        <v>59</v>
      </c>
      <c r="AH137">
        <v>895279</v>
      </c>
      <c r="AI137" t="s">
        <v>60</v>
      </c>
      <c r="AJ137" t="s">
        <v>60</v>
      </c>
      <c r="AK137" t="s">
        <v>54</v>
      </c>
      <c r="AL137">
        <v>2024</v>
      </c>
      <c r="AM137" s="6" t="s">
        <v>288</v>
      </c>
      <c r="AN137" s="7">
        <v>95.18</v>
      </c>
      <c r="AO137" s="8">
        <f t="shared" si="6"/>
        <v>178.46250000000001</v>
      </c>
      <c r="AP137" s="8">
        <f t="shared" si="7"/>
        <v>198.2718375</v>
      </c>
      <c r="AQ137" s="9">
        <f t="shared" si="8"/>
        <v>289.09140374999998</v>
      </c>
    </row>
    <row r="138" spans="1:43" x14ac:dyDescent="0.25">
      <c r="A138">
        <v>8</v>
      </c>
      <c r="B138">
        <v>7</v>
      </c>
      <c r="C138">
        <v>2024</v>
      </c>
      <c r="D138" t="s">
        <v>43</v>
      </c>
      <c r="E138" t="s">
        <v>75</v>
      </c>
      <c r="F138" t="s">
        <v>76</v>
      </c>
      <c r="G138">
        <v>8</v>
      </c>
      <c r="H138">
        <v>1791882490001</v>
      </c>
      <c r="I138" t="s">
        <v>46</v>
      </c>
      <c r="J138" t="s">
        <v>48</v>
      </c>
      <c r="K138" t="s">
        <v>48</v>
      </c>
      <c r="L138" t="s">
        <v>49</v>
      </c>
      <c r="M138" t="s">
        <v>50</v>
      </c>
      <c r="N138" t="s">
        <v>51</v>
      </c>
      <c r="O138">
        <v>8481909090</v>
      </c>
      <c r="P138" t="s">
        <v>103</v>
      </c>
      <c r="Q138" t="s">
        <v>280</v>
      </c>
      <c r="R138" t="s">
        <v>54</v>
      </c>
      <c r="S138" t="s">
        <v>55</v>
      </c>
      <c r="T138">
        <v>8</v>
      </c>
      <c r="U138">
        <v>2</v>
      </c>
      <c r="V138" t="s">
        <v>135</v>
      </c>
      <c r="W138">
        <v>0</v>
      </c>
      <c r="X138">
        <v>195.44</v>
      </c>
      <c r="Y138">
        <v>16.690000000000001</v>
      </c>
      <c r="Z138">
        <v>1.27</v>
      </c>
      <c r="AA138">
        <v>213.4</v>
      </c>
      <c r="AB138" t="s">
        <v>57</v>
      </c>
      <c r="AC138" t="s">
        <v>77</v>
      </c>
      <c r="AD138" t="s">
        <v>48</v>
      </c>
      <c r="AE138">
        <v>0</v>
      </c>
      <c r="AF138">
        <v>1.29</v>
      </c>
      <c r="AG138" t="s">
        <v>59</v>
      </c>
      <c r="AH138">
        <v>107711</v>
      </c>
      <c r="AI138" t="s">
        <v>60</v>
      </c>
      <c r="AJ138" t="s">
        <v>78</v>
      </c>
      <c r="AK138" t="s">
        <v>54</v>
      </c>
      <c r="AL138">
        <v>2024</v>
      </c>
      <c r="AM138" s="6" t="s">
        <v>288</v>
      </c>
      <c r="AN138" s="7">
        <v>97.72</v>
      </c>
      <c r="AO138" s="8">
        <f t="shared" si="6"/>
        <v>183.22499999999999</v>
      </c>
      <c r="AP138" s="8">
        <f t="shared" si="7"/>
        <v>203.56297499999999</v>
      </c>
      <c r="AQ138" s="9">
        <f t="shared" si="8"/>
        <v>296.80617749999999</v>
      </c>
    </row>
    <row r="139" spans="1:43" x14ac:dyDescent="0.25">
      <c r="A139">
        <v>8</v>
      </c>
      <c r="B139">
        <v>7</v>
      </c>
      <c r="C139">
        <v>2024</v>
      </c>
      <c r="D139" t="s">
        <v>43</v>
      </c>
      <c r="E139" t="s">
        <v>75</v>
      </c>
      <c r="F139" t="s">
        <v>76</v>
      </c>
      <c r="G139">
        <v>8</v>
      </c>
      <c r="H139">
        <v>1791882490001</v>
      </c>
      <c r="I139" t="s">
        <v>46</v>
      </c>
      <c r="J139" t="s">
        <v>48</v>
      </c>
      <c r="K139" t="s">
        <v>48</v>
      </c>
      <c r="L139" t="s">
        <v>49</v>
      </c>
      <c r="M139" t="s">
        <v>50</v>
      </c>
      <c r="N139" t="s">
        <v>51</v>
      </c>
      <c r="O139">
        <v>8481909090</v>
      </c>
      <c r="P139" t="s">
        <v>103</v>
      </c>
      <c r="Q139" t="s">
        <v>280</v>
      </c>
      <c r="R139" t="s">
        <v>54</v>
      </c>
      <c r="S139" t="s">
        <v>55</v>
      </c>
      <c r="T139">
        <v>8</v>
      </c>
      <c r="U139">
        <v>2</v>
      </c>
      <c r="V139" t="s">
        <v>135</v>
      </c>
      <c r="W139">
        <v>0</v>
      </c>
      <c r="X139">
        <v>195.44</v>
      </c>
      <c r="Y139">
        <v>16.690000000000001</v>
      </c>
      <c r="Z139">
        <v>1.27</v>
      </c>
      <c r="AA139">
        <v>213.4</v>
      </c>
      <c r="AB139" t="s">
        <v>57</v>
      </c>
      <c r="AC139" t="s">
        <v>77</v>
      </c>
      <c r="AD139" t="s">
        <v>48</v>
      </c>
      <c r="AE139">
        <v>0</v>
      </c>
      <c r="AF139">
        <v>1.29</v>
      </c>
      <c r="AG139" t="s">
        <v>59</v>
      </c>
      <c r="AH139">
        <v>107711</v>
      </c>
      <c r="AI139" t="s">
        <v>60</v>
      </c>
      <c r="AJ139" t="s">
        <v>78</v>
      </c>
      <c r="AK139" t="s">
        <v>54</v>
      </c>
      <c r="AL139">
        <v>2024</v>
      </c>
      <c r="AM139" s="6" t="s">
        <v>288</v>
      </c>
      <c r="AN139" s="7">
        <v>97.72</v>
      </c>
      <c r="AO139" s="8">
        <f t="shared" si="6"/>
        <v>183.22499999999999</v>
      </c>
      <c r="AP139" s="8">
        <f t="shared" si="7"/>
        <v>203.56297499999999</v>
      </c>
      <c r="AQ139" s="9">
        <f t="shared" si="8"/>
        <v>296.80617749999999</v>
      </c>
    </row>
    <row r="140" spans="1:43" x14ac:dyDescent="0.25">
      <c r="A140">
        <v>19</v>
      </c>
      <c r="B140">
        <v>8</v>
      </c>
      <c r="C140">
        <v>2024</v>
      </c>
      <c r="D140" t="s">
        <v>43</v>
      </c>
      <c r="E140" t="s">
        <v>84</v>
      </c>
      <c r="F140" t="s">
        <v>85</v>
      </c>
      <c r="G140">
        <v>11</v>
      </c>
      <c r="H140">
        <v>1791882490001</v>
      </c>
      <c r="I140" t="s">
        <v>46</v>
      </c>
      <c r="J140" t="s">
        <v>48</v>
      </c>
      <c r="K140" t="s">
        <v>48</v>
      </c>
      <c r="L140" t="s">
        <v>49</v>
      </c>
      <c r="M140" t="s">
        <v>50</v>
      </c>
      <c r="N140" t="s">
        <v>51</v>
      </c>
      <c r="O140">
        <v>7318290000</v>
      </c>
      <c r="P140" t="s">
        <v>286</v>
      </c>
      <c r="Q140" t="s">
        <v>287</v>
      </c>
      <c r="R140" t="s">
        <v>54</v>
      </c>
      <c r="S140" t="s">
        <v>55</v>
      </c>
      <c r="T140">
        <v>6</v>
      </c>
      <c r="U140">
        <v>1</v>
      </c>
      <c r="V140" t="s">
        <v>56</v>
      </c>
      <c r="W140">
        <v>8.02</v>
      </c>
      <c r="X140">
        <v>94.1</v>
      </c>
      <c r="Y140">
        <v>12.14</v>
      </c>
      <c r="Z140">
        <v>0.64</v>
      </c>
      <c r="AA140">
        <v>106.89</v>
      </c>
      <c r="AB140" t="s">
        <v>57</v>
      </c>
      <c r="AC140" t="s">
        <v>58</v>
      </c>
      <c r="AD140" t="s">
        <v>48</v>
      </c>
      <c r="AE140">
        <v>0</v>
      </c>
      <c r="AF140">
        <v>1.39</v>
      </c>
      <c r="AG140" t="s">
        <v>59</v>
      </c>
      <c r="AH140">
        <v>144527</v>
      </c>
      <c r="AI140" t="s">
        <v>60</v>
      </c>
      <c r="AJ140" t="s">
        <v>60</v>
      </c>
      <c r="AK140" t="s">
        <v>54</v>
      </c>
      <c r="AL140">
        <v>2024</v>
      </c>
      <c r="AM140" s="6" t="s">
        <v>288</v>
      </c>
      <c r="AN140" s="7">
        <v>94.1</v>
      </c>
      <c r="AO140" s="8">
        <f t="shared" si="6"/>
        <v>176.4375</v>
      </c>
      <c r="AP140" s="8">
        <f t="shared" si="7"/>
        <v>196.0220625</v>
      </c>
      <c r="AQ140" s="9">
        <f t="shared" si="8"/>
        <v>285.81110624999997</v>
      </c>
    </row>
    <row r="141" spans="1:43" x14ac:dyDescent="0.25">
      <c r="A141">
        <v>26</v>
      </c>
      <c r="B141">
        <v>12</v>
      </c>
      <c r="C141">
        <v>2024</v>
      </c>
      <c r="D141" t="s">
        <v>43</v>
      </c>
      <c r="E141" t="s">
        <v>222</v>
      </c>
      <c r="F141" t="s">
        <v>223</v>
      </c>
      <c r="G141">
        <v>4</v>
      </c>
      <c r="H141">
        <v>1791882490001</v>
      </c>
      <c r="I141" t="s">
        <v>46</v>
      </c>
      <c r="J141" t="s">
        <v>48</v>
      </c>
      <c r="K141" t="s">
        <v>48</v>
      </c>
      <c r="L141" t="s">
        <v>49</v>
      </c>
      <c r="M141" t="s">
        <v>50</v>
      </c>
      <c r="N141" t="s">
        <v>224</v>
      </c>
      <c r="O141">
        <v>8484900000</v>
      </c>
      <c r="P141" t="s">
        <v>221</v>
      </c>
      <c r="Q141" t="s">
        <v>289</v>
      </c>
      <c r="R141" t="s">
        <v>54</v>
      </c>
      <c r="S141" t="s">
        <v>55</v>
      </c>
      <c r="T141">
        <v>8</v>
      </c>
      <c r="U141">
        <v>1</v>
      </c>
      <c r="V141" t="s">
        <v>135</v>
      </c>
      <c r="W141">
        <v>0</v>
      </c>
      <c r="X141">
        <v>103.83</v>
      </c>
      <c r="Y141">
        <v>21.5</v>
      </c>
      <c r="Z141">
        <v>1.04</v>
      </c>
      <c r="AA141">
        <v>126.37</v>
      </c>
      <c r="AB141" t="s">
        <v>57</v>
      </c>
      <c r="AC141" t="s">
        <v>225</v>
      </c>
      <c r="AD141" t="s">
        <v>48</v>
      </c>
      <c r="AE141">
        <v>0</v>
      </c>
      <c r="AF141">
        <v>2.06</v>
      </c>
      <c r="AG141" t="s">
        <v>59</v>
      </c>
      <c r="AH141">
        <v>341996</v>
      </c>
      <c r="AI141" t="s">
        <v>60</v>
      </c>
      <c r="AJ141" t="s">
        <v>60</v>
      </c>
      <c r="AK141" t="s">
        <v>54</v>
      </c>
      <c r="AL141">
        <v>2024</v>
      </c>
      <c r="AM141" s="6" t="s">
        <v>290</v>
      </c>
      <c r="AN141" s="7">
        <v>103.83</v>
      </c>
      <c r="AO141" s="8">
        <f t="shared" si="6"/>
        <v>194.68125000000001</v>
      </c>
      <c r="AP141" s="8">
        <f t="shared" si="7"/>
        <v>216.29086875000002</v>
      </c>
      <c r="AQ141" s="9">
        <f t="shared" si="8"/>
        <v>315.36415687499999</v>
      </c>
    </row>
    <row r="142" spans="1:43" x14ac:dyDescent="0.25">
      <c r="A142">
        <v>19</v>
      </c>
      <c r="B142">
        <v>8</v>
      </c>
      <c r="C142">
        <v>2024</v>
      </c>
      <c r="D142" t="s">
        <v>43</v>
      </c>
      <c r="E142" t="s">
        <v>84</v>
      </c>
      <c r="F142" t="s">
        <v>85</v>
      </c>
      <c r="G142">
        <v>12</v>
      </c>
      <c r="H142">
        <v>1791882490001</v>
      </c>
      <c r="I142" t="s">
        <v>46</v>
      </c>
      <c r="J142" t="s">
        <v>48</v>
      </c>
      <c r="K142" t="s">
        <v>48</v>
      </c>
      <c r="L142" t="s">
        <v>49</v>
      </c>
      <c r="M142" t="s">
        <v>50</v>
      </c>
      <c r="N142" t="s">
        <v>51</v>
      </c>
      <c r="O142">
        <v>8481809990</v>
      </c>
      <c r="P142" t="s">
        <v>103</v>
      </c>
      <c r="Q142" t="s">
        <v>291</v>
      </c>
      <c r="R142" t="s">
        <v>54</v>
      </c>
      <c r="S142" t="s">
        <v>55</v>
      </c>
      <c r="T142">
        <v>6</v>
      </c>
      <c r="U142">
        <v>2</v>
      </c>
      <c r="V142" t="s">
        <v>135</v>
      </c>
      <c r="W142">
        <v>0</v>
      </c>
      <c r="X142">
        <v>1198.58</v>
      </c>
      <c r="Y142">
        <v>154.65</v>
      </c>
      <c r="Z142">
        <v>8.1999999999999993</v>
      </c>
      <c r="AA142">
        <v>1361.43</v>
      </c>
      <c r="AB142" t="s">
        <v>57</v>
      </c>
      <c r="AC142" t="s">
        <v>58</v>
      </c>
      <c r="AD142" t="s">
        <v>48</v>
      </c>
      <c r="AE142">
        <v>0</v>
      </c>
      <c r="AF142">
        <v>2.79</v>
      </c>
      <c r="AG142" t="s">
        <v>59</v>
      </c>
      <c r="AH142">
        <v>144527</v>
      </c>
      <c r="AI142" t="s">
        <v>60</v>
      </c>
      <c r="AJ142" t="s">
        <v>60</v>
      </c>
      <c r="AK142" t="s">
        <v>54</v>
      </c>
      <c r="AL142">
        <v>2024</v>
      </c>
      <c r="AM142" s="6" t="s">
        <v>292</v>
      </c>
      <c r="AN142" s="7">
        <v>599.29</v>
      </c>
      <c r="AO142" s="8">
        <f t="shared" si="6"/>
        <v>1123.6687499999998</v>
      </c>
      <c r="AP142" s="8">
        <f t="shared" si="7"/>
        <v>1248.3959812499997</v>
      </c>
      <c r="AQ142" s="9">
        <f t="shared" si="8"/>
        <v>1820.2310081249996</v>
      </c>
    </row>
    <row r="143" spans="1:43" x14ac:dyDescent="0.25">
      <c r="A143">
        <v>28</v>
      </c>
      <c r="B143">
        <v>8</v>
      </c>
      <c r="C143">
        <v>2024</v>
      </c>
      <c r="D143" t="s">
        <v>43</v>
      </c>
      <c r="E143" t="s">
        <v>91</v>
      </c>
      <c r="F143" t="s">
        <v>92</v>
      </c>
      <c r="G143">
        <v>10</v>
      </c>
      <c r="H143">
        <v>1791882490001</v>
      </c>
      <c r="I143" t="s">
        <v>46</v>
      </c>
      <c r="J143" t="s">
        <v>48</v>
      </c>
      <c r="K143" t="s">
        <v>48</v>
      </c>
      <c r="L143" t="s">
        <v>49</v>
      </c>
      <c r="M143" t="s">
        <v>50</v>
      </c>
      <c r="N143" t="s">
        <v>51</v>
      </c>
      <c r="O143">
        <v>8481809990</v>
      </c>
      <c r="P143" t="s">
        <v>103</v>
      </c>
      <c r="Q143" t="s">
        <v>291</v>
      </c>
      <c r="R143" t="s">
        <v>54</v>
      </c>
      <c r="S143" t="s">
        <v>55</v>
      </c>
      <c r="T143">
        <v>8</v>
      </c>
      <c r="U143">
        <v>2</v>
      </c>
      <c r="V143" t="s">
        <v>135</v>
      </c>
      <c r="W143">
        <v>0</v>
      </c>
      <c r="X143">
        <v>1195.93</v>
      </c>
      <c r="Y143">
        <v>132.13999999999999</v>
      </c>
      <c r="Z143">
        <v>8.0500000000000007</v>
      </c>
      <c r="AA143">
        <v>1336.11</v>
      </c>
      <c r="AB143" t="s">
        <v>57</v>
      </c>
      <c r="AC143" t="s">
        <v>94</v>
      </c>
      <c r="AD143" t="s">
        <v>48</v>
      </c>
      <c r="AE143">
        <v>0</v>
      </c>
      <c r="AF143">
        <v>13.76</v>
      </c>
      <c r="AG143" t="s">
        <v>59</v>
      </c>
      <c r="AH143">
        <v>150511</v>
      </c>
      <c r="AI143" t="s">
        <v>60</v>
      </c>
      <c r="AJ143" t="s">
        <v>60</v>
      </c>
      <c r="AK143" t="s">
        <v>54</v>
      </c>
      <c r="AL143">
        <v>2024</v>
      </c>
      <c r="AM143" s="6" t="s">
        <v>292</v>
      </c>
      <c r="AN143" s="7">
        <v>597.96</v>
      </c>
      <c r="AO143" s="8">
        <f t="shared" si="6"/>
        <v>1121.1750000000002</v>
      </c>
      <c r="AP143" s="8">
        <f t="shared" si="7"/>
        <v>1245.6254250000002</v>
      </c>
      <c r="AQ143" s="9">
        <f t="shared" si="8"/>
        <v>1816.1913825000001</v>
      </c>
    </row>
    <row r="144" spans="1:43" x14ac:dyDescent="0.25">
      <c r="A144">
        <v>13</v>
      </c>
      <c r="B144">
        <v>3</v>
      </c>
      <c r="C144">
        <v>2024</v>
      </c>
      <c r="D144" t="s">
        <v>43</v>
      </c>
      <c r="E144" t="s">
        <v>69</v>
      </c>
      <c r="F144" t="s">
        <v>70</v>
      </c>
      <c r="G144">
        <v>9</v>
      </c>
      <c r="H144">
        <v>1791882490001</v>
      </c>
      <c r="I144" t="s">
        <v>46</v>
      </c>
      <c r="J144" t="s">
        <v>48</v>
      </c>
      <c r="K144" t="s">
        <v>48</v>
      </c>
      <c r="L144" t="s">
        <v>49</v>
      </c>
      <c r="M144" t="s">
        <v>50</v>
      </c>
      <c r="N144" t="s">
        <v>51</v>
      </c>
      <c r="O144">
        <v>8481909090</v>
      </c>
      <c r="P144" t="s">
        <v>103</v>
      </c>
      <c r="Q144" t="s">
        <v>293</v>
      </c>
      <c r="R144" t="s">
        <v>54</v>
      </c>
      <c r="S144" t="s">
        <v>55</v>
      </c>
      <c r="T144">
        <v>11</v>
      </c>
      <c r="U144">
        <v>2</v>
      </c>
      <c r="V144" t="s">
        <v>135</v>
      </c>
      <c r="W144">
        <v>0</v>
      </c>
      <c r="X144">
        <v>105.39</v>
      </c>
      <c r="Y144">
        <v>13.8</v>
      </c>
      <c r="Z144">
        <v>0.71</v>
      </c>
      <c r="AA144">
        <v>119.9</v>
      </c>
      <c r="AB144" t="s">
        <v>54</v>
      </c>
      <c r="AC144" t="s">
        <v>71</v>
      </c>
      <c r="AD144" t="s">
        <v>48</v>
      </c>
      <c r="AE144">
        <v>0</v>
      </c>
      <c r="AF144">
        <v>4.08</v>
      </c>
      <c r="AG144" t="s">
        <v>59</v>
      </c>
      <c r="AH144">
        <v>895279</v>
      </c>
      <c r="AI144" t="s">
        <v>60</v>
      </c>
      <c r="AJ144" t="s">
        <v>60</v>
      </c>
      <c r="AK144" t="s">
        <v>54</v>
      </c>
      <c r="AL144">
        <v>2024</v>
      </c>
      <c r="AM144" s="6" t="s">
        <v>294</v>
      </c>
      <c r="AN144" s="7">
        <v>52.7</v>
      </c>
      <c r="AO144" s="8">
        <f t="shared" si="6"/>
        <v>98.8125</v>
      </c>
      <c r="AP144" s="8">
        <f t="shared" si="7"/>
        <v>109.7806875</v>
      </c>
      <c r="AQ144" s="9">
        <f t="shared" si="8"/>
        <v>160.06636874999998</v>
      </c>
    </row>
    <row r="145" spans="1:43" x14ac:dyDescent="0.25">
      <c r="A145">
        <v>28</v>
      </c>
      <c r="B145">
        <v>8</v>
      </c>
      <c r="C145">
        <v>2024</v>
      </c>
      <c r="D145" t="s">
        <v>43</v>
      </c>
      <c r="E145" t="s">
        <v>91</v>
      </c>
      <c r="F145" t="s">
        <v>92</v>
      </c>
      <c r="G145">
        <v>11</v>
      </c>
      <c r="H145">
        <v>1791882490001</v>
      </c>
      <c r="I145" t="s">
        <v>46</v>
      </c>
      <c r="J145" t="s">
        <v>106</v>
      </c>
      <c r="K145" t="s">
        <v>48</v>
      </c>
      <c r="L145" t="s">
        <v>49</v>
      </c>
      <c r="M145" t="s">
        <v>50</v>
      </c>
      <c r="N145" t="s">
        <v>51</v>
      </c>
      <c r="O145">
        <v>8483309000</v>
      </c>
      <c r="P145" t="s">
        <v>66</v>
      </c>
      <c r="Q145" t="s">
        <v>295</v>
      </c>
      <c r="R145" t="s">
        <v>54</v>
      </c>
      <c r="S145" t="s">
        <v>55</v>
      </c>
      <c r="T145">
        <v>8</v>
      </c>
      <c r="U145">
        <v>1</v>
      </c>
      <c r="V145" t="s">
        <v>135</v>
      </c>
      <c r="W145">
        <v>0</v>
      </c>
      <c r="X145">
        <v>22.6</v>
      </c>
      <c r="Y145">
        <v>2.5</v>
      </c>
      <c r="Z145">
        <v>0.15</v>
      </c>
      <c r="AA145">
        <v>25.25</v>
      </c>
      <c r="AB145" t="s">
        <v>57</v>
      </c>
      <c r="AC145" t="s">
        <v>94</v>
      </c>
      <c r="AD145" t="s">
        <v>48</v>
      </c>
      <c r="AE145">
        <v>0</v>
      </c>
      <c r="AF145">
        <v>0.26</v>
      </c>
      <c r="AG145" t="s">
        <v>59</v>
      </c>
      <c r="AH145">
        <v>150511</v>
      </c>
      <c r="AI145" t="s">
        <v>60</v>
      </c>
      <c r="AJ145" t="s">
        <v>60</v>
      </c>
      <c r="AK145" t="s">
        <v>54</v>
      </c>
      <c r="AL145">
        <v>2024</v>
      </c>
      <c r="AM145" s="6" t="s">
        <v>296</v>
      </c>
      <c r="AN145" s="7">
        <v>22.6</v>
      </c>
      <c r="AO145" s="8">
        <f t="shared" si="6"/>
        <v>42.375</v>
      </c>
      <c r="AP145" s="8">
        <f t="shared" si="7"/>
        <v>47.078625000000002</v>
      </c>
      <c r="AQ145" s="9">
        <f t="shared" si="8"/>
        <v>68.643262499999992</v>
      </c>
    </row>
    <row r="146" spans="1:43" x14ac:dyDescent="0.25">
      <c r="A146">
        <v>8</v>
      </c>
      <c r="B146">
        <v>7</v>
      </c>
      <c r="C146">
        <v>2024</v>
      </c>
      <c r="D146" t="s">
        <v>43</v>
      </c>
      <c r="E146" t="s">
        <v>75</v>
      </c>
      <c r="F146" t="s">
        <v>76</v>
      </c>
      <c r="G146">
        <v>16</v>
      </c>
      <c r="H146">
        <v>1791882490001</v>
      </c>
      <c r="I146" t="s">
        <v>46</v>
      </c>
      <c r="J146" t="s">
        <v>48</v>
      </c>
      <c r="K146" t="s">
        <v>48</v>
      </c>
      <c r="L146" t="s">
        <v>49</v>
      </c>
      <c r="M146" t="s">
        <v>50</v>
      </c>
      <c r="N146" t="s">
        <v>51</v>
      </c>
      <c r="O146">
        <v>8421999000</v>
      </c>
      <c r="P146" t="s">
        <v>66</v>
      </c>
      <c r="Q146" t="s">
        <v>297</v>
      </c>
      <c r="R146" t="s">
        <v>54</v>
      </c>
      <c r="S146" t="s">
        <v>55</v>
      </c>
      <c r="T146">
        <v>8</v>
      </c>
      <c r="U146">
        <v>1</v>
      </c>
      <c r="V146" t="s">
        <v>135</v>
      </c>
      <c r="W146">
        <v>0</v>
      </c>
      <c r="X146">
        <v>242.6</v>
      </c>
      <c r="Y146">
        <v>20.72</v>
      </c>
      <c r="Z146">
        <v>1.58</v>
      </c>
      <c r="AA146">
        <v>264.89999999999998</v>
      </c>
      <c r="AB146" t="s">
        <v>57</v>
      </c>
      <c r="AC146" t="s">
        <v>77</v>
      </c>
      <c r="AD146" t="s">
        <v>48</v>
      </c>
      <c r="AE146">
        <v>0</v>
      </c>
      <c r="AF146">
        <v>1.61</v>
      </c>
      <c r="AG146" t="s">
        <v>59</v>
      </c>
      <c r="AH146">
        <v>107711</v>
      </c>
      <c r="AI146" t="s">
        <v>60</v>
      </c>
      <c r="AJ146" t="s">
        <v>78</v>
      </c>
      <c r="AK146" t="s">
        <v>54</v>
      </c>
      <c r="AL146">
        <v>2024</v>
      </c>
      <c r="AM146" s="6" t="s">
        <v>298</v>
      </c>
      <c r="AN146" s="7">
        <v>242.6</v>
      </c>
      <c r="AO146" s="8">
        <f t="shared" si="6"/>
        <v>454.875</v>
      </c>
      <c r="AP146" s="8">
        <f t="shared" si="7"/>
        <v>505.36612500000001</v>
      </c>
      <c r="AQ146" s="9">
        <f t="shared" si="8"/>
        <v>736.8520125</v>
      </c>
    </row>
    <row r="147" spans="1:43" x14ac:dyDescent="0.25">
      <c r="A147">
        <v>8</v>
      </c>
      <c r="B147">
        <v>7</v>
      </c>
      <c r="C147">
        <v>2024</v>
      </c>
      <c r="D147" t="s">
        <v>43</v>
      </c>
      <c r="E147" t="s">
        <v>75</v>
      </c>
      <c r="F147" t="s">
        <v>76</v>
      </c>
      <c r="G147">
        <v>16</v>
      </c>
      <c r="H147">
        <v>1791882490001</v>
      </c>
      <c r="I147" t="s">
        <v>46</v>
      </c>
      <c r="J147" t="s">
        <v>48</v>
      </c>
      <c r="K147" t="s">
        <v>48</v>
      </c>
      <c r="L147" t="s">
        <v>49</v>
      </c>
      <c r="M147" t="s">
        <v>50</v>
      </c>
      <c r="N147" t="s">
        <v>51</v>
      </c>
      <c r="O147">
        <v>8421999000</v>
      </c>
      <c r="P147" t="s">
        <v>66</v>
      </c>
      <c r="Q147" t="s">
        <v>297</v>
      </c>
      <c r="R147" t="s">
        <v>54</v>
      </c>
      <c r="S147" t="s">
        <v>55</v>
      </c>
      <c r="T147">
        <v>8</v>
      </c>
      <c r="U147">
        <v>1</v>
      </c>
      <c r="V147" t="s">
        <v>135</v>
      </c>
      <c r="W147">
        <v>0</v>
      </c>
      <c r="X147">
        <v>242.6</v>
      </c>
      <c r="Y147">
        <v>20.72</v>
      </c>
      <c r="Z147">
        <v>1.58</v>
      </c>
      <c r="AA147">
        <v>264.89999999999998</v>
      </c>
      <c r="AB147" t="s">
        <v>57</v>
      </c>
      <c r="AC147" t="s">
        <v>77</v>
      </c>
      <c r="AD147" t="s">
        <v>48</v>
      </c>
      <c r="AE147">
        <v>0</v>
      </c>
      <c r="AF147">
        <v>1.61</v>
      </c>
      <c r="AG147" t="s">
        <v>59</v>
      </c>
      <c r="AH147">
        <v>107711</v>
      </c>
      <c r="AI147" t="s">
        <v>60</v>
      </c>
      <c r="AJ147" t="s">
        <v>78</v>
      </c>
      <c r="AK147" t="s">
        <v>54</v>
      </c>
      <c r="AL147">
        <v>2024</v>
      </c>
      <c r="AM147" s="6" t="s">
        <v>298</v>
      </c>
      <c r="AN147" s="7">
        <v>242.6</v>
      </c>
      <c r="AO147" s="8">
        <f t="shared" si="6"/>
        <v>454.875</v>
      </c>
      <c r="AP147" s="8">
        <f t="shared" si="7"/>
        <v>505.36612500000001</v>
      </c>
      <c r="AQ147" s="9">
        <f t="shared" si="8"/>
        <v>736.8520125</v>
      </c>
    </row>
    <row r="148" spans="1:43" x14ac:dyDescent="0.25">
      <c r="A148">
        <v>20</v>
      </c>
      <c r="B148">
        <v>2</v>
      </c>
      <c r="C148">
        <v>2024</v>
      </c>
      <c r="D148" t="s">
        <v>43</v>
      </c>
      <c r="E148" t="s">
        <v>140</v>
      </c>
      <c r="F148" t="s">
        <v>141</v>
      </c>
      <c r="G148">
        <v>19</v>
      </c>
      <c r="H148">
        <v>1791882490001</v>
      </c>
      <c r="I148" t="s">
        <v>46</v>
      </c>
      <c r="J148" t="s">
        <v>65</v>
      </c>
      <c r="K148" t="s">
        <v>48</v>
      </c>
      <c r="L148" t="s">
        <v>49</v>
      </c>
      <c r="M148" t="s">
        <v>50</v>
      </c>
      <c r="N148" t="s">
        <v>51</v>
      </c>
      <c r="O148">
        <v>8481805900</v>
      </c>
      <c r="P148" t="s">
        <v>103</v>
      </c>
      <c r="Q148" t="s">
        <v>299</v>
      </c>
      <c r="R148" t="s">
        <v>54</v>
      </c>
      <c r="S148" t="s">
        <v>55</v>
      </c>
      <c r="T148">
        <v>6</v>
      </c>
      <c r="U148">
        <v>1</v>
      </c>
      <c r="V148" t="s">
        <v>135</v>
      </c>
      <c r="W148">
        <v>0</v>
      </c>
      <c r="X148">
        <v>391.99</v>
      </c>
      <c r="Y148">
        <v>35.18</v>
      </c>
      <c r="Z148">
        <v>2.63</v>
      </c>
      <c r="AA148">
        <v>429.81</v>
      </c>
      <c r="AB148" t="s">
        <v>54</v>
      </c>
      <c r="AC148" t="s">
        <v>143</v>
      </c>
      <c r="AD148" t="s">
        <v>48</v>
      </c>
      <c r="AE148">
        <v>0</v>
      </c>
      <c r="AF148">
        <v>1.87</v>
      </c>
      <c r="AG148" t="s">
        <v>59</v>
      </c>
      <c r="AH148">
        <v>876053</v>
      </c>
      <c r="AI148" t="s">
        <v>60</v>
      </c>
      <c r="AJ148" t="s">
        <v>60</v>
      </c>
      <c r="AK148" t="s">
        <v>54</v>
      </c>
      <c r="AL148">
        <v>2024</v>
      </c>
      <c r="AM148" s="6" t="s">
        <v>300</v>
      </c>
      <c r="AN148" s="7">
        <v>391.99</v>
      </c>
      <c r="AO148" s="8">
        <f t="shared" si="6"/>
        <v>734.98125000000005</v>
      </c>
      <c r="AP148" s="8">
        <f t="shared" si="7"/>
        <v>816.56416875000002</v>
      </c>
      <c r="AQ148" s="9">
        <f t="shared" si="8"/>
        <v>1190.596126875</v>
      </c>
    </row>
    <row r="149" spans="1:43" x14ac:dyDescent="0.25">
      <c r="A149">
        <v>15</v>
      </c>
      <c r="B149">
        <v>4</v>
      </c>
      <c r="C149">
        <v>2024</v>
      </c>
      <c r="D149" t="s">
        <v>43</v>
      </c>
      <c r="E149" t="s">
        <v>63</v>
      </c>
      <c r="F149" t="s">
        <v>64</v>
      </c>
      <c r="G149">
        <v>12</v>
      </c>
      <c r="H149">
        <v>1791882490001</v>
      </c>
      <c r="I149" t="s">
        <v>46</v>
      </c>
      <c r="J149" t="s">
        <v>48</v>
      </c>
      <c r="K149" t="s">
        <v>48</v>
      </c>
      <c r="L149" t="s">
        <v>49</v>
      </c>
      <c r="M149" t="s">
        <v>50</v>
      </c>
      <c r="N149" t="s">
        <v>51</v>
      </c>
      <c r="O149">
        <v>8481400090</v>
      </c>
      <c r="P149" t="s">
        <v>103</v>
      </c>
      <c r="Q149" t="s">
        <v>208</v>
      </c>
      <c r="R149" t="s">
        <v>54</v>
      </c>
      <c r="S149" t="s">
        <v>55</v>
      </c>
      <c r="T149">
        <v>6</v>
      </c>
      <c r="U149">
        <v>1</v>
      </c>
      <c r="V149" t="s">
        <v>135</v>
      </c>
      <c r="W149">
        <v>0</v>
      </c>
      <c r="X149">
        <v>405.74</v>
      </c>
      <c r="Y149">
        <v>42.71</v>
      </c>
      <c r="Z149">
        <v>2.72</v>
      </c>
      <c r="AA149">
        <v>451.18</v>
      </c>
      <c r="AB149" t="s">
        <v>57</v>
      </c>
      <c r="AC149" t="s">
        <v>58</v>
      </c>
      <c r="AD149" t="s">
        <v>48</v>
      </c>
      <c r="AE149">
        <v>0</v>
      </c>
      <c r="AF149">
        <v>3.89</v>
      </c>
      <c r="AG149" t="s">
        <v>59</v>
      </c>
      <c r="AH149">
        <v>443965</v>
      </c>
      <c r="AI149" t="s">
        <v>60</v>
      </c>
      <c r="AJ149" t="s">
        <v>60</v>
      </c>
      <c r="AK149" t="s">
        <v>54</v>
      </c>
      <c r="AL149">
        <v>2024</v>
      </c>
      <c r="AM149" s="6" t="s">
        <v>300</v>
      </c>
      <c r="AN149" s="7">
        <v>405.74</v>
      </c>
      <c r="AO149" s="8">
        <f t="shared" si="6"/>
        <v>760.76250000000005</v>
      </c>
      <c r="AP149" s="8">
        <f t="shared" si="7"/>
        <v>845.20713750000004</v>
      </c>
      <c r="AQ149" s="9">
        <f t="shared" si="8"/>
        <v>1232.3591737500001</v>
      </c>
    </row>
    <row r="150" spans="1:43" x14ac:dyDescent="0.25">
      <c r="A150">
        <v>16</v>
      </c>
      <c r="B150">
        <v>1</v>
      </c>
      <c r="C150">
        <v>2024</v>
      </c>
      <c r="D150" t="s">
        <v>43</v>
      </c>
      <c r="E150" t="s">
        <v>191</v>
      </c>
      <c r="F150" t="s">
        <v>192</v>
      </c>
      <c r="G150">
        <v>3</v>
      </c>
      <c r="H150">
        <v>1791882490001</v>
      </c>
      <c r="I150" t="s">
        <v>46</v>
      </c>
      <c r="J150" t="s">
        <v>65</v>
      </c>
      <c r="K150" t="s">
        <v>48</v>
      </c>
      <c r="L150" t="s">
        <v>49</v>
      </c>
      <c r="M150" t="s">
        <v>50</v>
      </c>
      <c r="N150" t="s">
        <v>51</v>
      </c>
      <c r="O150">
        <v>8421299090</v>
      </c>
      <c r="P150" t="s">
        <v>213</v>
      </c>
      <c r="Q150" t="s">
        <v>301</v>
      </c>
      <c r="R150" t="s">
        <v>54</v>
      </c>
      <c r="S150" t="s">
        <v>55</v>
      </c>
      <c r="T150">
        <v>11</v>
      </c>
      <c r="U150">
        <v>40</v>
      </c>
      <c r="V150" t="s">
        <v>135</v>
      </c>
      <c r="W150">
        <v>0</v>
      </c>
      <c r="X150">
        <v>1702.63</v>
      </c>
      <c r="Y150">
        <v>111.71</v>
      </c>
      <c r="Z150">
        <v>10.99</v>
      </c>
      <c r="AA150">
        <v>1825.33</v>
      </c>
      <c r="AB150" t="s">
        <v>57</v>
      </c>
      <c r="AC150" t="s">
        <v>81</v>
      </c>
      <c r="AD150" t="s">
        <v>48</v>
      </c>
      <c r="AE150">
        <v>0</v>
      </c>
      <c r="AF150">
        <v>114.21</v>
      </c>
      <c r="AG150" t="s">
        <v>59</v>
      </c>
      <c r="AH150">
        <v>850332</v>
      </c>
      <c r="AI150" t="s">
        <v>60</v>
      </c>
      <c r="AJ150" t="s">
        <v>60</v>
      </c>
      <c r="AK150" t="s">
        <v>54</v>
      </c>
      <c r="AL150">
        <v>2023</v>
      </c>
      <c r="AM150" s="6" t="s">
        <v>302</v>
      </c>
      <c r="AN150" s="7">
        <v>42.57</v>
      </c>
      <c r="AO150" s="8">
        <f t="shared" si="6"/>
        <v>79.818749999999994</v>
      </c>
      <c r="AP150" s="8">
        <f t="shared" si="7"/>
        <v>88.678631249999995</v>
      </c>
      <c r="AQ150" s="9">
        <f t="shared" si="8"/>
        <v>129.29839312499999</v>
      </c>
    </row>
    <row r="151" spans="1:43" x14ac:dyDescent="0.25">
      <c r="A151">
        <v>15</v>
      </c>
      <c r="B151">
        <v>4</v>
      </c>
      <c r="C151">
        <v>2024</v>
      </c>
      <c r="D151" t="s">
        <v>43</v>
      </c>
      <c r="E151" t="s">
        <v>63</v>
      </c>
      <c r="F151" t="s">
        <v>64</v>
      </c>
      <c r="G151">
        <v>13</v>
      </c>
      <c r="H151">
        <v>1791882490001</v>
      </c>
      <c r="I151" t="s">
        <v>46</v>
      </c>
      <c r="J151" t="s">
        <v>65</v>
      </c>
      <c r="K151" t="s">
        <v>48</v>
      </c>
      <c r="L151" t="s">
        <v>49</v>
      </c>
      <c r="M151" t="s">
        <v>50</v>
      </c>
      <c r="N151" t="s">
        <v>51</v>
      </c>
      <c r="O151">
        <v>8421299090</v>
      </c>
      <c r="P151" t="s">
        <v>303</v>
      </c>
      <c r="Q151" t="s">
        <v>301</v>
      </c>
      <c r="R151" t="s">
        <v>54</v>
      </c>
      <c r="S151" t="s">
        <v>55</v>
      </c>
      <c r="T151">
        <v>6</v>
      </c>
      <c r="U151">
        <v>15</v>
      </c>
      <c r="V151" t="s">
        <v>135</v>
      </c>
      <c r="W151">
        <v>0</v>
      </c>
      <c r="X151">
        <v>630.94000000000005</v>
      </c>
      <c r="Y151">
        <v>66.41</v>
      </c>
      <c r="Z151">
        <v>4.24</v>
      </c>
      <c r="AA151">
        <v>701.59</v>
      </c>
      <c r="AB151" t="s">
        <v>57</v>
      </c>
      <c r="AC151" t="s">
        <v>58</v>
      </c>
      <c r="AD151" t="s">
        <v>48</v>
      </c>
      <c r="AE151">
        <v>0</v>
      </c>
      <c r="AF151">
        <v>6.05</v>
      </c>
      <c r="AG151" t="s">
        <v>59</v>
      </c>
      <c r="AH151">
        <v>443965</v>
      </c>
      <c r="AI151" t="s">
        <v>60</v>
      </c>
      <c r="AJ151" t="s">
        <v>60</v>
      </c>
      <c r="AK151" t="s">
        <v>54</v>
      </c>
      <c r="AL151">
        <v>2024</v>
      </c>
      <c r="AM151" s="6" t="s">
        <v>302</v>
      </c>
      <c r="AN151" s="7">
        <v>42.06</v>
      </c>
      <c r="AO151" s="8">
        <f t="shared" si="6"/>
        <v>78.862500000000011</v>
      </c>
      <c r="AP151" s="8">
        <f t="shared" si="7"/>
        <v>87.616237500000011</v>
      </c>
      <c r="AQ151" s="9">
        <f t="shared" si="8"/>
        <v>127.74936375000001</v>
      </c>
    </row>
    <row r="152" spans="1:43" x14ac:dyDescent="0.25">
      <c r="A152">
        <v>8</v>
      </c>
      <c r="B152">
        <v>7</v>
      </c>
      <c r="C152">
        <v>2024</v>
      </c>
      <c r="D152" t="s">
        <v>43</v>
      </c>
      <c r="E152" t="s">
        <v>75</v>
      </c>
      <c r="F152" t="s">
        <v>76</v>
      </c>
      <c r="G152">
        <v>9</v>
      </c>
      <c r="H152">
        <v>1791882490001</v>
      </c>
      <c r="I152" t="s">
        <v>46</v>
      </c>
      <c r="J152" t="s">
        <v>65</v>
      </c>
      <c r="K152" t="s">
        <v>48</v>
      </c>
      <c r="L152" t="s">
        <v>49</v>
      </c>
      <c r="M152" t="s">
        <v>50</v>
      </c>
      <c r="N152" t="s">
        <v>51</v>
      </c>
      <c r="O152">
        <v>8421299090</v>
      </c>
      <c r="P152" t="s">
        <v>303</v>
      </c>
      <c r="Q152" t="s">
        <v>304</v>
      </c>
      <c r="R152" t="s">
        <v>54</v>
      </c>
      <c r="S152" t="s">
        <v>55</v>
      </c>
      <c r="T152">
        <v>8</v>
      </c>
      <c r="U152">
        <v>15</v>
      </c>
      <c r="V152" t="s">
        <v>135</v>
      </c>
      <c r="W152">
        <v>0</v>
      </c>
      <c r="X152">
        <v>655</v>
      </c>
      <c r="Y152">
        <v>55.95</v>
      </c>
      <c r="Z152">
        <v>4.26</v>
      </c>
      <c r="AA152">
        <v>715.21</v>
      </c>
      <c r="AB152" t="s">
        <v>57</v>
      </c>
      <c r="AC152" t="s">
        <v>77</v>
      </c>
      <c r="AD152" t="s">
        <v>48</v>
      </c>
      <c r="AE152">
        <v>0</v>
      </c>
      <c r="AF152">
        <v>4.33</v>
      </c>
      <c r="AG152" t="s">
        <v>59</v>
      </c>
      <c r="AH152">
        <v>107711</v>
      </c>
      <c r="AI152" t="s">
        <v>60</v>
      </c>
      <c r="AJ152" t="s">
        <v>78</v>
      </c>
      <c r="AK152" t="s">
        <v>54</v>
      </c>
      <c r="AL152">
        <v>2024</v>
      </c>
      <c r="AM152" s="6" t="s">
        <v>302</v>
      </c>
      <c r="AN152" s="7">
        <v>43.67</v>
      </c>
      <c r="AO152" s="8">
        <f t="shared" si="6"/>
        <v>81.881250000000009</v>
      </c>
      <c r="AP152" s="8">
        <f t="shared" si="7"/>
        <v>90.97006875000001</v>
      </c>
      <c r="AQ152" s="9">
        <f t="shared" si="8"/>
        <v>132.639436875</v>
      </c>
    </row>
    <row r="153" spans="1:43" x14ac:dyDescent="0.25">
      <c r="A153">
        <v>8</v>
      </c>
      <c r="B153">
        <v>7</v>
      </c>
      <c r="C153">
        <v>2024</v>
      </c>
      <c r="D153" t="s">
        <v>43</v>
      </c>
      <c r="E153" t="s">
        <v>75</v>
      </c>
      <c r="F153" t="s">
        <v>76</v>
      </c>
      <c r="G153">
        <v>9</v>
      </c>
      <c r="H153">
        <v>1791882490001</v>
      </c>
      <c r="I153" t="s">
        <v>46</v>
      </c>
      <c r="J153" t="s">
        <v>65</v>
      </c>
      <c r="K153" t="s">
        <v>48</v>
      </c>
      <c r="L153" t="s">
        <v>49</v>
      </c>
      <c r="M153" t="s">
        <v>50</v>
      </c>
      <c r="N153" t="s">
        <v>51</v>
      </c>
      <c r="O153">
        <v>8421299090</v>
      </c>
      <c r="P153" t="s">
        <v>303</v>
      </c>
      <c r="Q153" t="s">
        <v>304</v>
      </c>
      <c r="R153" t="s">
        <v>54</v>
      </c>
      <c r="S153" t="s">
        <v>55</v>
      </c>
      <c r="T153">
        <v>8</v>
      </c>
      <c r="U153">
        <v>15</v>
      </c>
      <c r="V153" t="s">
        <v>135</v>
      </c>
      <c r="W153">
        <v>0</v>
      </c>
      <c r="X153">
        <v>655</v>
      </c>
      <c r="Y153">
        <v>55.95</v>
      </c>
      <c r="Z153">
        <v>4.26</v>
      </c>
      <c r="AA153">
        <v>715.21</v>
      </c>
      <c r="AB153" t="s">
        <v>57</v>
      </c>
      <c r="AC153" t="s">
        <v>77</v>
      </c>
      <c r="AD153" t="s">
        <v>48</v>
      </c>
      <c r="AE153">
        <v>0</v>
      </c>
      <c r="AF153">
        <v>4.33</v>
      </c>
      <c r="AG153" t="s">
        <v>59</v>
      </c>
      <c r="AH153">
        <v>107711</v>
      </c>
      <c r="AI153" t="s">
        <v>60</v>
      </c>
      <c r="AJ153" t="s">
        <v>78</v>
      </c>
      <c r="AK153" t="s">
        <v>54</v>
      </c>
      <c r="AL153">
        <v>2024</v>
      </c>
      <c r="AM153" s="6" t="s">
        <v>302</v>
      </c>
      <c r="AN153" s="7">
        <v>43.67</v>
      </c>
      <c r="AO153" s="8">
        <f t="shared" si="6"/>
        <v>81.881250000000009</v>
      </c>
      <c r="AP153" s="8">
        <f t="shared" si="7"/>
        <v>90.97006875000001</v>
      </c>
      <c r="AQ153" s="9">
        <f t="shared" si="8"/>
        <v>132.639436875</v>
      </c>
    </row>
    <row r="154" spans="1:43" x14ac:dyDescent="0.25">
      <c r="A154">
        <v>11</v>
      </c>
      <c r="B154">
        <v>7</v>
      </c>
      <c r="C154">
        <v>2024</v>
      </c>
      <c r="D154" t="s">
        <v>43</v>
      </c>
      <c r="E154" t="s">
        <v>116</v>
      </c>
      <c r="F154" t="s">
        <v>117</v>
      </c>
      <c r="G154">
        <v>4</v>
      </c>
      <c r="H154">
        <v>1791882490001</v>
      </c>
      <c r="I154" t="s">
        <v>46</v>
      </c>
      <c r="J154" t="s">
        <v>65</v>
      </c>
      <c r="K154" t="s">
        <v>48</v>
      </c>
      <c r="L154" t="s">
        <v>119</v>
      </c>
      <c r="M154" t="s">
        <v>120</v>
      </c>
      <c r="N154" t="s">
        <v>121</v>
      </c>
      <c r="O154">
        <v>8421299090</v>
      </c>
      <c r="P154" t="s">
        <v>303</v>
      </c>
      <c r="Q154" t="s">
        <v>305</v>
      </c>
      <c r="R154" t="s">
        <v>54</v>
      </c>
      <c r="S154" t="s">
        <v>55</v>
      </c>
      <c r="T154">
        <v>9</v>
      </c>
      <c r="U154">
        <v>20</v>
      </c>
      <c r="V154" t="s">
        <v>135</v>
      </c>
      <c r="W154">
        <v>0</v>
      </c>
      <c r="X154">
        <v>845.32</v>
      </c>
      <c r="Y154">
        <v>76.12</v>
      </c>
      <c r="Z154">
        <v>5.68</v>
      </c>
      <c r="AA154">
        <v>927.12</v>
      </c>
      <c r="AB154" t="s">
        <v>124</v>
      </c>
      <c r="AC154" t="s">
        <v>125</v>
      </c>
      <c r="AD154" t="s">
        <v>48</v>
      </c>
      <c r="AE154">
        <v>0</v>
      </c>
      <c r="AF154">
        <v>40.340000000000003</v>
      </c>
      <c r="AG154" t="s">
        <v>59</v>
      </c>
      <c r="AH154">
        <v>486256</v>
      </c>
      <c r="AI154" t="s">
        <v>60</v>
      </c>
      <c r="AJ154" t="s">
        <v>78</v>
      </c>
      <c r="AK154" t="s">
        <v>54</v>
      </c>
      <c r="AL154">
        <v>2024</v>
      </c>
      <c r="AM154" s="6" t="s">
        <v>302</v>
      </c>
      <c r="AN154" s="7">
        <v>42.27</v>
      </c>
      <c r="AO154" s="8">
        <f t="shared" ref="AO154:AO217" si="9">SUM(AN154)*1.875</f>
        <v>79.256250000000009</v>
      </c>
      <c r="AP154" s="8">
        <f t="shared" ref="AP154:AP217" si="10">SUM(AO154)*1.111</f>
        <v>88.053693750000008</v>
      </c>
      <c r="AQ154" s="9">
        <f t="shared" si="8"/>
        <v>128.38719937499999</v>
      </c>
    </row>
    <row r="155" spans="1:43" x14ac:dyDescent="0.25">
      <c r="A155">
        <v>19</v>
      </c>
      <c r="B155">
        <v>8</v>
      </c>
      <c r="C155">
        <v>2024</v>
      </c>
      <c r="D155" t="s">
        <v>43</v>
      </c>
      <c r="E155" t="s">
        <v>84</v>
      </c>
      <c r="F155" t="s">
        <v>85</v>
      </c>
      <c r="G155">
        <v>13</v>
      </c>
      <c r="H155">
        <v>1791882490001</v>
      </c>
      <c r="I155" t="s">
        <v>46</v>
      </c>
      <c r="J155" t="s">
        <v>65</v>
      </c>
      <c r="K155" t="s">
        <v>48</v>
      </c>
      <c r="L155" t="s">
        <v>49</v>
      </c>
      <c r="M155" t="s">
        <v>50</v>
      </c>
      <c r="N155" t="s">
        <v>51</v>
      </c>
      <c r="O155">
        <v>8421299090</v>
      </c>
      <c r="P155" t="s">
        <v>303</v>
      </c>
      <c r="Q155" t="s">
        <v>305</v>
      </c>
      <c r="R155" t="s">
        <v>54</v>
      </c>
      <c r="S155" t="s">
        <v>55</v>
      </c>
      <c r="T155">
        <v>6</v>
      </c>
      <c r="U155">
        <v>20</v>
      </c>
      <c r="V155" t="s">
        <v>135</v>
      </c>
      <c r="W155">
        <v>0</v>
      </c>
      <c r="X155">
        <v>841.04</v>
      </c>
      <c r="Y155">
        <v>108.52</v>
      </c>
      <c r="Z155">
        <v>5.75</v>
      </c>
      <c r="AA155">
        <v>955.31</v>
      </c>
      <c r="AB155" t="s">
        <v>57</v>
      </c>
      <c r="AC155" t="s">
        <v>58</v>
      </c>
      <c r="AD155" t="s">
        <v>48</v>
      </c>
      <c r="AE155">
        <v>0</v>
      </c>
      <c r="AF155">
        <v>27.91</v>
      </c>
      <c r="AG155" t="s">
        <v>59</v>
      </c>
      <c r="AH155">
        <v>144527</v>
      </c>
      <c r="AI155" t="s">
        <v>60</v>
      </c>
      <c r="AJ155" t="s">
        <v>60</v>
      </c>
      <c r="AK155" t="s">
        <v>54</v>
      </c>
      <c r="AL155">
        <v>2024</v>
      </c>
      <c r="AM155" s="6" t="s">
        <v>302</v>
      </c>
      <c r="AN155" s="7">
        <v>42.05</v>
      </c>
      <c r="AO155" s="8">
        <f t="shared" si="9"/>
        <v>78.84375</v>
      </c>
      <c r="AP155" s="8">
        <f t="shared" si="10"/>
        <v>87.595406249999996</v>
      </c>
      <c r="AQ155" s="9">
        <f t="shared" si="8"/>
        <v>127.71899062499999</v>
      </c>
    </row>
    <row r="156" spans="1:43" x14ac:dyDescent="0.25">
      <c r="A156">
        <v>16</v>
      </c>
      <c r="B156">
        <v>12</v>
      </c>
      <c r="C156">
        <v>2024</v>
      </c>
      <c r="D156" t="s">
        <v>43</v>
      </c>
      <c r="E156" t="s">
        <v>128</v>
      </c>
      <c r="F156" t="s">
        <v>129</v>
      </c>
      <c r="G156">
        <v>9</v>
      </c>
      <c r="H156">
        <v>1791882490001</v>
      </c>
      <c r="I156" t="s">
        <v>46</v>
      </c>
      <c r="J156" t="s">
        <v>65</v>
      </c>
      <c r="K156" t="s">
        <v>48</v>
      </c>
      <c r="L156" t="s">
        <v>49</v>
      </c>
      <c r="M156" t="s">
        <v>50</v>
      </c>
      <c r="N156" t="s">
        <v>51</v>
      </c>
      <c r="O156">
        <v>8421299090</v>
      </c>
      <c r="P156" t="s">
        <v>52</v>
      </c>
      <c r="Q156" t="s">
        <v>305</v>
      </c>
      <c r="R156" t="s">
        <v>54</v>
      </c>
      <c r="S156" t="s">
        <v>55</v>
      </c>
      <c r="T156">
        <v>9</v>
      </c>
      <c r="U156">
        <v>10</v>
      </c>
      <c r="V156" t="s">
        <v>135</v>
      </c>
      <c r="W156">
        <v>0</v>
      </c>
      <c r="X156">
        <v>424.86</v>
      </c>
      <c r="Y156">
        <v>55.64</v>
      </c>
      <c r="Z156">
        <v>2.91</v>
      </c>
      <c r="AA156">
        <v>483.42</v>
      </c>
      <c r="AB156" t="s">
        <v>57</v>
      </c>
      <c r="AC156" t="s">
        <v>131</v>
      </c>
      <c r="AD156" t="s">
        <v>48</v>
      </c>
      <c r="AE156">
        <v>0</v>
      </c>
      <c r="AF156">
        <v>19.89</v>
      </c>
      <c r="AG156" t="s">
        <v>59</v>
      </c>
      <c r="AH156">
        <v>325395</v>
      </c>
      <c r="AI156" t="s">
        <v>60</v>
      </c>
      <c r="AJ156" t="s">
        <v>78</v>
      </c>
      <c r="AK156" t="s">
        <v>54</v>
      </c>
      <c r="AL156">
        <v>2024</v>
      </c>
      <c r="AM156" s="6" t="s">
        <v>302</v>
      </c>
      <c r="AN156" s="7">
        <v>42.49</v>
      </c>
      <c r="AO156" s="8">
        <f t="shared" si="9"/>
        <v>79.668750000000003</v>
      </c>
      <c r="AP156" s="8">
        <f t="shared" si="10"/>
        <v>88.511981250000005</v>
      </c>
      <c r="AQ156" s="9">
        <f t="shared" si="8"/>
        <v>129.05540812499999</v>
      </c>
    </row>
    <row r="157" spans="1:43" x14ac:dyDescent="0.25">
      <c r="A157">
        <v>26</v>
      </c>
      <c r="B157">
        <v>12</v>
      </c>
      <c r="C157">
        <v>2024</v>
      </c>
      <c r="D157" t="s">
        <v>43</v>
      </c>
      <c r="E157" t="s">
        <v>222</v>
      </c>
      <c r="F157" t="s">
        <v>223</v>
      </c>
      <c r="G157">
        <v>5</v>
      </c>
      <c r="H157">
        <v>1791882490001</v>
      </c>
      <c r="I157" t="s">
        <v>46</v>
      </c>
      <c r="J157" t="s">
        <v>65</v>
      </c>
      <c r="K157" t="s">
        <v>48</v>
      </c>
      <c r="L157" t="s">
        <v>49</v>
      </c>
      <c r="M157" t="s">
        <v>50</v>
      </c>
      <c r="N157" t="s">
        <v>224</v>
      </c>
      <c r="O157">
        <v>8421299090</v>
      </c>
      <c r="P157" t="s">
        <v>52</v>
      </c>
      <c r="Q157" t="s">
        <v>301</v>
      </c>
      <c r="R157" t="s">
        <v>54</v>
      </c>
      <c r="S157" t="s">
        <v>55</v>
      </c>
      <c r="T157">
        <v>8</v>
      </c>
      <c r="U157">
        <v>10</v>
      </c>
      <c r="V157" t="s">
        <v>135</v>
      </c>
      <c r="W157">
        <v>0</v>
      </c>
      <c r="X157">
        <v>429.91</v>
      </c>
      <c r="Y157">
        <v>89.03</v>
      </c>
      <c r="Z157">
        <v>4.3</v>
      </c>
      <c r="AA157">
        <v>523.24</v>
      </c>
      <c r="AB157" t="s">
        <v>57</v>
      </c>
      <c r="AC157" t="s">
        <v>225</v>
      </c>
      <c r="AD157" t="s">
        <v>48</v>
      </c>
      <c r="AE157">
        <v>0</v>
      </c>
      <c r="AF157">
        <v>20.6</v>
      </c>
      <c r="AG157" t="s">
        <v>59</v>
      </c>
      <c r="AH157">
        <v>341996</v>
      </c>
      <c r="AI157" t="s">
        <v>60</v>
      </c>
      <c r="AJ157" t="s">
        <v>60</v>
      </c>
      <c r="AK157" t="s">
        <v>54</v>
      </c>
      <c r="AL157">
        <v>2024</v>
      </c>
      <c r="AM157" s="6" t="s">
        <v>302</v>
      </c>
      <c r="AN157" s="7">
        <v>42.99</v>
      </c>
      <c r="AO157" s="8">
        <f t="shared" si="9"/>
        <v>80.606250000000003</v>
      </c>
      <c r="AP157" s="8">
        <f t="shared" si="10"/>
        <v>89.553543750000003</v>
      </c>
      <c r="AQ157" s="9">
        <f t="shared" si="8"/>
        <v>130.57406437500001</v>
      </c>
    </row>
    <row r="158" spans="1:43" x14ac:dyDescent="0.25">
      <c r="A158">
        <v>12</v>
      </c>
      <c r="B158">
        <v>6</v>
      </c>
      <c r="C158">
        <v>2024</v>
      </c>
      <c r="D158" t="s">
        <v>43</v>
      </c>
      <c r="E158" t="s">
        <v>96</v>
      </c>
      <c r="F158" t="s">
        <v>97</v>
      </c>
      <c r="G158">
        <v>13</v>
      </c>
      <c r="H158">
        <v>1791882490001</v>
      </c>
      <c r="I158" t="s">
        <v>46</v>
      </c>
      <c r="J158" t="s">
        <v>47</v>
      </c>
      <c r="K158" t="s">
        <v>48</v>
      </c>
      <c r="L158" t="s">
        <v>49</v>
      </c>
      <c r="M158" t="s">
        <v>50</v>
      </c>
      <c r="N158" t="s">
        <v>51</v>
      </c>
      <c r="O158">
        <v>8487909000</v>
      </c>
      <c r="P158" t="s">
        <v>66</v>
      </c>
      <c r="Q158" t="s">
        <v>306</v>
      </c>
      <c r="R158" t="s">
        <v>54</v>
      </c>
      <c r="S158" t="s">
        <v>55</v>
      </c>
      <c r="T158">
        <v>7</v>
      </c>
      <c r="U158">
        <v>4</v>
      </c>
      <c r="V158" t="s">
        <v>135</v>
      </c>
      <c r="W158">
        <v>0</v>
      </c>
      <c r="X158">
        <v>251.37</v>
      </c>
      <c r="Y158">
        <v>21.8</v>
      </c>
      <c r="Z158">
        <v>1.69</v>
      </c>
      <c r="AA158">
        <v>274.86</v>
      </c>
      <c r="AB158" t="s">
        <v>57</v>
      </c>
      <c r="AC158" t="s">
        <v>94</v>
      </c>
      <c r="AD158" t="s">
        <v>48</v>
      </c>
      <c r="AE158">
        <v>0</v>
      </c>
      <c r="AF158">
        <v>7.2</v>
      </c>
      <c r="AG158" t="s">
        <v>59</v>
      </c>
      <c r="AH158" t="s">
        <v>98</v>
      </c>
      <c r="AI158" t="s">
        <v>60</v>
      </c>
      <c r="AJ158" t="s">
        <v>60</v>
      </c>
      <c r="AK158" t="s">
        <v>54</v>
      </c>
      <c r="AL158">
        <v>2024</v>
      </c>
      <c r="AM158" s="6" t="s">
        <v>307</v>
      </c>
      <c r="AN158" s="7">
        <v>62.84</v>
      </c>
      <c r="AO158" s="8">
        <f t="shared" si="9"/>
        <v>117.825</v>
      </c>
      <c r="AP158" s="8">
        <f t="shared" si="10"/>
        <v>130.90357499999999</v>
      </c>
      <c r="AQ158" s="9">
        <f t="shared" si="8"/>
        <v>190.86471749999998</v>
      </c>
    </row>
    <row r="159" spans="1:43" x14ac:dyDescent="0.25">
      <c r="A159">
        <v>8</v>
      </c>
      <c r="B159">
        <v>7</v>
      </c>
      <c r="C159">
        <v>2024</v>
      </c>
      <c r="D159" t="s">
        <v>43</v>
      </c>
      <c r="E159" t="s">
        <v>75</v>
      </c>
      <c r="F159" t="s">
        <v>76</v>
      </c>
      <c r="G159">
        <v>10</v>
      </c>
      <c r="H159">
        <v>1791882490001</v>
      </c>
      <c r="I159" t="s">
        <v>46</v>
      </c>
      <c r="J159" t="s">
        <v>48</v>
      </c>
      <c r="K159" t="s">
        <v>48</v>
      </c>
      <c r="L159" t="s">
        <v>49</v>
      </c>
      <c r="M159" t="s">
        <v>50</v>
      </c>
      <c r="N159" t="s">
        <v>51</v>
      </c>
      <c r="O159">
        <v>7307990099</v>
      </c>
      <c r="P159" t="s">
        <v>66</v>
      </c>
      <c r="Q159" t="s">
        <v>53</v>
      </c>
      <c r="R159" t="s">
        <v>54</v>
      </c>
      <c r="S159" t="s">
        <v>55</v>
      </c>
      <c r="T159">
        <v>8</v>
      </c>
      <c r="U159">
        <v>1</v>
      </c>
      <c r="V159" t="s">
        <v>56</v>
      </c>
      <c r="W159">
        <v>0</v>
      </c>
      <c r="X159">
        <v>7.81</v>
      </c>
      <c r="Y159">
        <v>0.67</v>
      </c>
      <c r="Z159">
        <v>0.05</v>
      </c>
      <c r="AA159">
        <v>8.5299999999999994</v>
      </c>
      <c r="AB159" t="s">
        <v>57</v>
      </c>
      <c r="AC159" t="s">
        <v>77</v>
      </c>
      <c r="AD159" t="s">
        <v>48</v>
      </c>
      <c r="AE159">
        <v>0</v>
      </c>
      <c r="AF159">
        <v>0.05</v>
      </c>
      <c r="AG159" t="s">
        <v>59</v>
      </c>
      <c r="AH159">
        <v>107711</v>
      </c>
      <c r="AI159" t="s">
        <v>60</v>
      </c>
      <c r="AJ159" t="s">
        <v>78</v>
      </c>
      <c r="AK159" t="s">
        <v>54</v>
      </c>
      <c r="AL159">
        <v>2024</v>
      </c>
      <c r="AM159" s="6" t="s">
        <v>308</v>
      </c>
      <c r="AN159" s="7">
        <v>7.81</v>
      </c>
      <c r="AO159" s="8">
        <f t="shared" si="9"/>
        <v>14.643749999999999</v>
      </c>
      <c r="AP159" s="8">
        <f t="shared" si="10"/>
        <v>16.26920625</v>
      </c>
      <c r="AQ159" s="9">
        <f t="shared" si="8"/>
        <v>23.721410624999997</v>
      </c>
    </row>
    <row r="160" spans="1:43" x14ac:dyDescent="0.25">
      <c r="A160">
        <v>8</v>
      </c>
      <c r="B160">
        <v>7</v>
      </c>
      <c r="C160">
        <v>2024</v>
      </c>
      <c r="D160" t="s">
        <v>43</v>
      </c>
      <c r="E160" t="s">
        <v>75</v>
      </c>
      <c r="F160" t="s">
        <v>76</v>
      </c>
      <c r="G160">
        <v>10</v>
      </c>
      <c r="H160">
        <v>1791882490001</v>
      </c>
      <c r="I160" t="s">
        <v>46</v>
      </c>
      <c r="J160" t="s">
        <v>48</v>
      </c>
      <c r="K160" t="s">
        <v>48</v>
      </c>
      <c r="L160" t="s">
        <v>49</v>
      </c>
      <c r="M160" t="s">
        <v>50</v>
      </c>
      <c r="N160" t="s">
        <v>51</v>
      </c>
      <c r="O160">
        <v>7307990099</v>
      </c>
      <c r="P160" t="s">
        <v>66</v>
      </c>
      <c r="Q160" t="s">
        <v>53</v>
      </c>
      <c r="R160" t="s">
        <v>54</v>
      </c>
      <c r="S160" t="s">
        <v>55</v>
      </c>
      <c r="T160">
        <v>8</v>
      </c>
      <c r="U160">
        <v>1</v>
      </c>
      <c r="V160" t="s">
        <v>56</v>
      </c>
      <c r="W160">
        <v>0</v>
      </c>
      <c r="X160">
        <v>7.81</v>
      </c>
      <c r="Y160">
        <v>0.67</v>
      </c>
      <c r="Z160">
        <v>0.05</v>
      </c>
      <c r="AA160">
        <v>8.5299999999999994</v>
      </c>
      <c r="AB160" t="s">
        <v>57</v>
      </c>
      <c r="AC160" t="s">
        <v>77</v>
      </c>
      <c r="AD160" t="s">
        <v>48</v>
      </c>
      <c r="AE160">
        <v>0</v>
      </c>
      <c r="AF160">
        <v>0.05</v>
      </c>
      <c r="AG160" t="s">
        <v>59</v>
      </c>
      <c r="AH160">
        <v>107711</v>
      </c>
      <c r="AI160" t="s">
        <v>60</v>
      </c>
      <c r="AJ160" t="s">
        <v>78</v>
      </c>
      <c r="AK160" t="s">
        <v>54</v>
      </c>
      <c r="AL160">
        <v>2024</v>
      </c>
      <c r="AM160" s="6" t="s">
        <v>308</v>
      </c>
      <c r="AN160" s="7">
        <v>7.81</v>
      </c>
      <c r="AO160" s="8">
        <f t="shared" si="9"/>
        <v>14.643749999999999</v>
      </c>
      <c r="AP160" s="8">
        <f t="shared" si="10"/>
        <v>16.26920625</v>
      </c>
      <c r="AQ160" s="9">
        <f t="shared" si="8"/>
        <v>23.721410624999997</v>
      </c>
    </row>
    <row r="161" spans="1:43" x14ac:dyDescent="0.25">
      <c r="A161">
        <v>16</v>
      </c>
      <c r="B161">
        <v>1</v>
      </c>
      <c r="C161">
        <v>2024</v>
      </c>
      <c r="D161" t="s">
        <v>43</v>
      </c>
      <c r="E161" t="s">
        <v>191</v>
      </c>
      <c r="F161" t="s">
        <v>192</v>
      </c>
      <c r="G161">
        <v>4</v>
      </c>
      <c r="H161">
        <v>1791882490001</v>
      </c>
      <c r="I161" t="s">
        <v>46</v>
      </c>
      <c r="J161" t="s">
        <v>65</v>
      </c>
      <c r="K161" t="s">
        <v>48</v>
      </c>
      <c r="L161" t="s">
        <v>49</v>
      </c>
      <c r="M161" t="s">
        <v>50</v>
      </c>
      <c r="N161" t="s">
        <v>51</v>
      </c>
      <c r="O161">
        <v>8421999000</v>
      </c>
      <c r="P161" t="s">
        <v>52</v>
      </c>
      <c r="Q161" t="s">
        <v>309</v>
      </c>
      <c r="R161" t="s">
        <v>54</v>
      </c>
      <c r="S161" t="s">
        <v>55</v>
      </c>
      <c r="T161">
        <v>11</v>
      </c>
      <c r="U161">
        <v>40</v>
      </c>
      <c r="V161" t="s">
        <v>135</v>
      </c>
      <c r="W161">
        <v>0</v>
      </c>
      <c r="X161">
        <v>1148.8800000000001</v>
      </c>
      <c r="Y161">
        <v>75.38</v>
      </c>
      <c r="Z161">
        <v>7.42</v>
      </c>
      <c r="AA161">
        <v>1231.67</v>
      </c>
      <c r="AB161" t="s">
        <v>57</v>
      </c>
      <c r="AC161" t="s">
        <v>81</v>
      </c>
      <c r="AD161" t="s">
        <v>48</v>
      </c>
      <c r="AE161">
        <v>0</v>
      </c>
      <c r="AF161">
        <v>114.21</v>
      </c>
      <c r="AG161" t="s">
        <v>59</v>
      </c>
      <c r="AH161">
        <v>850332</v>
      </c>
      <c r="AI161" t="s">
        <v>60</v>
      </c>
      <c r="AJ161" t="s">
        <v>60</v>
      </c>
      <c r="AK161" t="s">
        <v>54</v>
      </c>
      <c r="AL161">
        <v>2023</v>
      </c>
      <c r="AM161" s="6" t="s">
        <v>310</v>
      </c>
      <c r="AN161" s="7">
        <v>28.72</v>
      </c>
      <c r="AO161" s="8">
        <f t="shared" si="9"/>
        <v>53.849999999999994</v>
      </c>
      <c r="AP161" s="8">
        <f t="shared" si="10"/>
        <v>59.827349999999996</v>
      </c>
      <c r="AQ161" s="9">
        <f t="shared" si="8"/>
        <v>87.231614999999991</v>
      </c>
    </row>
    <row r="162" spans="1:43" x14ac:dyDescent="0.25">
      <c r="A162">
        <v>15</v>
      </c>
      <c r="B162">
        <v>4</v>
      </c>
      <c r="C162">
        <v>2024</v>
      </c>
      <c r="D162" t="s">
        <v>43</v>
      </c>
      <c r="E162" t="s">
        <v>63</v>
      </c>
      <c r="F162" t="s">
        <v>64</v>
      </c>
      <c r="G162">
        <v>14</v>
      </c>
      <c r="H162">
        <v>1791882490001</v>
      </c>
      <c r="I162" t="s">
        <v>46</v>
      </c>
      <c r="J162" t="s">
        <v>65</v>
      </c>
      <c r="K162" t="s">
        <v>48</v>
      </c>
      <c r="L162" t="s">
        <v>49</v>
      </c>
      <c r="M162" t="s">
        <v>50</v>
      </c>
      <c r="N162" t="s">
        <v>51</v>
      </c>
      <c r="O162">
        <v>8421999000</v>
      </c>
      <c r="P162" t="s">
        <v>66</v>
      </c>
      <c r="Q162" t="s">
        <v>311</v>
      </c>
      <c r="R162" t="s">
        <v>54</v>
      </c>
      <c r="S162" t="s">
        <v>55</v>
      </c>
      <c r="T162">
        <v>6</v>
      </c>
      <c r="U162">
        <v>15</v>
      </c>
      <c r="V162" t="s">
        <v>135</v>
      </c>
      <c r="W162">
        <v>0</v>
      </c>
      <c r="X162">
        <v>442.77</v>
      </c>
      <c r="Y162">
        <v>46.61</v>
      </c>
      <c r="Z162">
        <v>2.97</v>
      </c>
      <c r="AA162">
        <v>492.35</v>
      </c>
      <c r="AB162" t="s">
        <v>57</v>
      </c>
      <c r="AC162" t="s">
        <v>58</v>
      </c>
      <c r="AD162" t="s">
        <v>48</v>
      </c>
      <c r="AE162">
        <v>0</v>
      </c>
      <c r="AF162">
        <v>4.24</v>
      </c>
      <c r="AG162" t="s">
        <v>59</v>
      </c>
      <c r="AH162">
        <v>443965</v>
      </c>
      <c r="AI162" t="s">
        <v>60</v>
      </c>
      <c r="AJ162" t="s">
        <v>60</v>
      </c>
      <c r="AK162" t="s">
        <v>54</v>
      </c>
      <c r="AL162">
        <v>2024</v>
      </c>
      <c r="AM162" s="6" t="s">
        <v>310</v>
      </c>
      <c r="AN162" s="7">
        <v>29.52</v>
      </c>
      <c r="AO162" s="8">
        <f t="shared" si="9"/>
        <v>55.35</v>
      </c>
      <c r="AP162" s="8">
        <f t="shared" si="10"/>
        <v>61.493850000000002</v>
      </c>
      <c r="AQ162" s="9">
        <f t="shared" si="8"/>
        <v>89.661464999999993</v>
      </c>
    </row>
    <row r="163" spans="1:43" x14ac:dyDescent="0.25">
      <c r="A163">
        <v>8</v>
      </c>
      <c r="B163">
        <v>7</v>
      </c>
      <c r="C163">
        <v>2024</v>
      </c>
      <c r="D163" t="s">
        <v>43</v>
      </c>
      <c r="E163" t="s">
        <v>75</v>
      </c>
      <c r="F163" t="s">
        <v>76</v>
      </c>
      <c r="G163">
        <v>11</v>
      </c>
      <c r="H163">
        <v>1791882490001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t="s">
        <v>51</v>
      </c>
      <c r="O163">
        <v>8421999000</v>
      </c>
      <c r="P163" t="s">
        <v>66</v>
      </c>
      <c r="Q163" t="s">
        <v>309</v>
      </c>
      <c r="R163" t="s">
        <v>54</v>
      </c>
      <c r="S163" t="s">
        <v>55</v>
      </c>
      <c r="T163">
        <v>8</v>
      </c>
      <c r="U163">
        <v>9</v>
      </c>
      <c r="V163" t="s">
        <v>135</v>
      </c>
      <c r="W163">
        <v>0</v>
      </c>
      <c r="X163">
        <v>275.8</v>
      </c>
      <c r="Y163">
        <v>23.56</v>
      </c>
      <c r="Z163">
        <v>1.79</v>
      </c>
      <c r="AA163">
        <v>301.14999999999998</v>
      </c>
      <c r="AB163" t="s">
        <v>57</v>
      </c>
      <c r="AC163" t="s">
        <v>77</v>
      </c>
      <c r="AD163" t="s">
        <v>48</v>
      </c>
      <c r="AE163">
        <v>0</v>
      </c>
      <c r="AF163">
        <v>1.83</v>
      </c>
      <c r="AG163" t="s">
        <v>59</v>
      </c>
      <c r="AH163">
        <v>107711</v>
      </c>
      <c r="AI163" t="s">
        <v>60</v>
      </c>
      <c r="AJ163" t="s">
        <v>78</v>
      </c>
      <c r="AK163" t="s">
        <v>54</v>
      </c>
      <c r="AL163">
        <v>2024</v>
      </c>
      <c r="AM163" s="6" t="s">
        <v>310</v>
      </c>
      <c r="AN163" s="7">
        <v>30.64</v>
      </c>
      <c r="AO163" s="8">
        <f t="shared" si="9"/>
        <v>57.45</v>
      </c>
      <c r="AP163" s="8">
        <f t="shared" si="10"/>
        <v>63.826950000000004</v>
      </c>
      <c r="AQ163" s="9">
        <f t="shared" si="8"/>
        <v>93.063254999999998</v>
      </c>
    </row>
    <row r="164" spans="1:43" x14ac:dyDescent="0.25">
      <c r="A164">
        <v>8</v>
      </c>
      <c r="B164">
        <v>7</v>
      </c>
      <c r="C164">
        <v>2024</v>
      </c>
      <c r="D164" t="s">
        <v>43</v>
      </c>
      <c r="E164" t="s">
        <v>75</v>
      </c>
      <c r="F164" t="s">
        <v>76</v>
      </c>
      <c r="G164">
        <v>11</v>
      </c>
      <c r="H164">
        <v>1791882490001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51</v>
      </c>
      <c r="O164">
        <v>8421999000</v>
      </c>
      <c r="P164" t="s">
        <v>66</v>
      </c>
      <c r="Q164" t="s">
        <v>309</v>
      </c>
      <c r="R164" t="s">
        <v>54</v>
      </c>
      <c r="S164" t="s">
        <v>55</v>
      </c>
      <c r="T164">
        <v>8</v>
      </c>
      <c r="U164">
        <v>9</v>
      </c>
      <c r="V164" t="s">
        <v>135</v>
      </c>
      <c r="W164">
        <v>0</v>
      </c>
      <c r="X164">
        <v>275.8</v>
      </c>
      <c r="Y164">
        <v>23.56</v>
      </c>
      <c r="Z164">
        <v>1.79</v>
      </c>
      <c r="AA164">
        <v>301.14999999999998</v>
      </c>
      <c r="AB164" t="s">
        <v>57</v>
      </c>
      <c r="AC164" t="s">
        <v>77</v>
      </c>
      <c r="AD164" t="s">
        <v>48</v>
      </c>
      <c r="AE164">
        <v>0</v>
      </c>
      <c r="AF164">
        <v>1.83</v>
      </c>
      <c r="AG164" t="s">
        <v>59</v>
      </c>
      <c r="AH164">
        <v>107711</v>
      </c>
      <c r="AI164" t="s">
        <v>60</v>
      </c>
      <c r="AJ164" t="s">
        <v>78</v>
      </c>
      <c r="AK164" t="s">
        <v>54</v>
      </c>
      <c r="AL164">
        <v>2024</v>
      </c>
      <c r="AM164" s="6" t="s">
        <v>310</v>
      </c>
      <c r="AN164" s="7">
        <v>30.64</v>
      </c>
      <c r="AO164" s="8">
        <f t="shared" si="9"/>
        <v>57.45</v>
      </c>
      <c r="AP164" s="8">
        <f t="shared" si="10"/>
        <v>63.826950000000004</v>
      </c>
      <c r="AQ164" s="9">
        <f t="shared" si="8"/>
        <v>93.063254999999998</v>
      </c>
    </row>
    <row r="165" spans="1:43" x14ac:dyDescent="0.25">
      <c r="A165">
        <v>8</v>
      </c>
      <c r="B165">
        <v>7</v>
      </c>
      <c r="C165">
        <v>2024</v>
      </c>
      <c r="D165" t="s">
        <v>43</v>
      </c>
      <c r="E165" t="s">
        <v>75</v>
      </c>
      <c r="F165" t="s">
        <v>76</v>
      </c>
      <c r="G165">
        <v>12</v>
      </c>
      <c r="H165">
        <v>1791882490001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t="s">
        <v>51</v>
      </c>
      <c r="O165">
        <v>8421999000</v>
      </c>
      <c r="P165" t="s">
        <v>66</v>
      </c>
      <c r="Q165" t="s">
        <v>309</v>
      </c>
      <c r="R165" t="s">
        <v>54</v>
      </c>
      <c r="S165" t="s">
        <v>55</v>
      </c>
      <c r="T165">
        <v>8</v>
      </c>
      <c r="U165">
        <v>6</v>
      </c>
      <c r="V165" t="s">
        <v>135</v>
      </c>
      <c r="W165">
        <v>0</v>
      </c>
      <c r="X165">
        <v>183.87</v>
      </c>
      <c r="Y165">
        <v>15.69</v>
      </c>
      <c r="Z165">
        <v>1.2</v>
      </c>
      <c r="AA165">
        <v>200.76</v>
      </c>
      <c r="AB165" t="s">
        <v>57</v>
      </c>
      <c r="AC165" t="s">
        <v>77</v>
      </c>
      <c r="AD165" t="s">
        <v>48</v>
      </c>
      <c r="AE165">
        <v>0</v>
      </c>
      <c r="AF165">
        <v>1.22</v>
      </c>
      <c r="AG165" t="s">
        <v>59</v>
      </c>
      <c r="AH165">
        <v>107711</v>
      </c>
      <c r="AI165" t="s">
        <v>60</v>
      </c>
      <c r="AJ165" t="s">
        <v>78</v>
      </c>
      <c r="AK165" t="s">
        <v>54</v>
      </c>
      <c r="AL165">
        <v>2024</v>
      </c>
      <c r="AM165" s="6" t="s">
        <v>310</v>
      </c>
      <c r="AN165" s="7">
        <v>30.64</v>
      </c>
      <c r="AO165" s="8">
        <f t="shared" si="9"/>
        <v>57.45</v>
      </c>
      <c r="AP165" s="8">
        <f t="shared" si="10"/>
        <v>63.826950000000004</v>
      </c>
      <c r="AQ165" s="9">
        <f t="shared" si="8"/>
        <v>93.063254999999998</v>
      </c>
    </row>
    <row r="166" spans="1:43" x14ac:dyDescent="0.25">
      <c r="A166">
        <v>8</v>
      </c>
      <c r="B166">
        <v>7</v>
      </c>
      <c r="C166">
        <v>2024</v>
      </c>
      <c r="D166" t="s">
        <v>43</v>
      </c>
      <c r="E166" t="s">
        <v>75</v>
      </c>
      <c r="F166" t="s">
        <v>76</v>
      </c>
      <c r="G166">
        <v>12</v>
      </c>
      <c r="H166">
        <v>1791882490001</v>
      </c>
      <c r="I166" t="s">
        <v>46</v>
      </c>
      <c r="J166" t="s">
        <v>47</v>
      </c>
      <c r="K166" t="s">
        <v>48</v>
      </c>
      <c r="L166" t="s">
        <v>49</v>
      </c>
      <c r="M166" t="s">
        <v>50</v>
      </c>
      <c r="N166" t="s">
        <v>51</v>
      </c>
      <c r="O166">
        <v>8421999000</v>
      </c>
      <c r="P166" t="s">
        <v>66</v>
      </c>
      <c r="Q166" t="s">
        <v>309</v>
      </c>
      <c r="R166" t="s">
        <v>54</v>
      </c>
      <c r="S166" t="s">
        <v>55</v>
      </c>
      <c r="T166">
        <v>8</v>
      </c>
      <c r="U166">
        <v>6</v>
      </c>
      <c r="V166" t="s">
        <v>135</v>
      </c>
      <c r="W166">
        <v>0</v>
      </c>
      <c r="X166">
        <v>183.87</v>
      </c>
      <c r="Y166">
        <v>15.69</v>
      </c>
      <c r="Z166">
        <v>1.2</v>
      </c>
      <c r="AA166">
        <v>200.76</v>
      </c>
      <c r="AB166" t="s">
        <v>57</v>
      </c>
      <c r="AC166" t="s">
        <v>77</v>
      </c>
      <c r="AD166" t="s">
        <v>48</v>
      </c>
      <c r="AE166">
        <v>0</v>
      </c>
      <c r="AF166">
        <v>1.22</v>
      </c>
      <c r="AG166" t="s">
        <v>59</v>
      </c>
      <c r="AH166">
        <v>107711</v>
      </c>
      <c r="AI166" t="s">
        <v>60</v>
      </c>
      <c r="AJ166" t="s">
        <v>78</v>
      </c>
      <c r="AK166" t="s">
        <v>54</v>
      </c>
      <c r="AL166">
        <v>2024</v>
      </c>
      <c r="AM166" s="6" t="s">
        <v>310</v>
      </c>
      <c r="AN166" s="7">
        <v>30.64</v>
      </c>
      <c r="AO166" s="8">
        <f t="shared" si="9"/>
        <v>57.45</v>
      </c>
      <c r="AP166" s="8">
        <f t="shared" si="10"/>
        <v>63.826950000000004</v>
      </c>
      <c r="AQ166" s="9">
        <f t="shared" si="8"/>
        <v>93.063254999999998</v>
      </c>
    </row>
    <row r="167" spans="1:43" x14ac:dyDescent="0.25">
      <c r="A167">
        <v>11</v>
      </c>
      <c r="B167">
        <v>7</v>
      </c>
      <c r="C167">
        <v>2024</v>
      </c>
      <c r="D167" t="s">
        <v>43</v>
      </c>
      <c r="E167" t="s">
        <v>116</v>
      </c>
      <c r="F167" t="s">
        <v>117</v>
      </c>
      <c r="G167">
        <v>5</v>
      </c>
      <c r="H167">
        <v>1791882490001</v>
      </c>
      <c r="I167" t="s">
        <v>46</v>
      </c>
      <c r="J167" t="s">
        <v>47</v>
      </c>
      <c r="K167" t="s">
        <v>48</v>
      </c>
      <c r="L167" t="s">
        <v>119</v>
      </c>
      <c r="M167" t="s">
        <v>120</v>
      </c>
      <c r="N167" t="s">
        <v>121</v>
      </c>
      <c r="O167">
        <v>8421999000</v>
      </c>
      <c r="P167" t="s">
        <v>66</v>
      </c>
      <c r="Q167" t="s">
        <v>309</v>
      </c>
      <c r="R167" t="s">
        <v>54</v>
      </c>
      <c r="S167" t="s">
        <v>55</v>
      </c>
      <c r="T167">
        <v>9</v>
      </c>
      <c r="U167">
        <v>20</v>
      </c>
      <c r="V167" t="s">
        <v>135</v>
      </c>
      <c r="W167">
        <v>0</v>
      </c>
      <c r="X167">
        <v>593.22</v>
      </c>
      <c r="Y167">
        <v>53.42</v>
      </c>
      <c r="Z167">
        <v>3.98</v>
      </c>
      <c r="AA167">
        <v>650.62</v>
      </c>
      <c r="AB167" t="s">
        <v>124</v>
      </c>
      <c r="AC167" t="s">
        <v>125</v>
      </c>
      <c r="AD167" t="s">
        <v>48</v>
      </c>
      <c r="AE167">
        <v>0</v>
      </c>
      <c r="AF167">
        <v>40.340000000000003</v>
      </c>
      <c r="AG167" t="s">
        <v>59</v>
      </c>
      <c r="AH167">
        <v>486256</v>
      </c>
      <c r="AI167" t="s">
        <v>60</v>
      </c>
      <c r="AJ167" t="s">
        <v>78</v>
      </c>
      <c r="AK167" t="s">
        <v>54</v>
      </c>
      <c r="AL167">
        <v>2024</v>
      </c>
      <c r="AM167" s="6" t="s">
        <v>310</v>
      </c>
      <c r="AN167" s="7">
        <v>29.66</v>
      </c>
      <c r="AO167" s="8">
        <f t="shared" si="9"/>
        <v>55.612499999999997</v>
      </c>
      <c r="AP167" s="8">
        <f t="shared" si="10"/>
        <v>61.785487499999995</v>
      </c>
      <c r="AQ167" s="9">
        <f t="shared" si="8"/>
        <v>90.086688749999993</v>
      </c>
    </row>
    <row r="168" spans="1:43" x14ac:dyDescent="0.25">
      <c r="A168">
        <v>19</v>
      </c>
      <c r="B168">
        <v>8</v>
      </c>
      <c r="C168">
        <v>2024</v>
      </c>
      <c r="D168" t="s">
        <v>43</v>
      </c>
      <c r="E168" t="s">
        <v>84</v>
      </c>
      <c r="F168" t="s">
        <v>85</v>
      </c>
      <c r="G168">
        <v>14</v>
      </c>
      <c r="H168">
        <v>1791882490001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51</v>
      </c>
      <c r="O168">
        <v>8421999000</v>
      </c>
      <c r="P168" t="s">
        <v>66</v>
      </c>
      <c r="Q168" t="s">
        <v>309</v>
      </c>
      <c r="R168" t="s">
        <v>54</v>
      </c>
      <c r="S168" t="s">
        <v>55</v>
      </c>
      <c r="T168">
        <v>6</v>
      </c>
      <c r="U168">
        <v>20</v>
      </c>
      <c r="V168" t="s">
        <v>135</v>
      </c>
      <c r="W168">
        <v>0</v>
      </c>
      <c r="X168">
        <v>590.22</v>
      </c>
      <c r="Y168">
        <v>76.16</v>
      </c>
      <c r="Z168">
        <v>4.04</v>
      </c>
      <c r="AA168">
        <v>670.41</v>
      </c>
      <c r="AB168" t="s">
        <v>57</v>
      </c>
      <c r="AC168" t="s">
        <v>58</v>
      </c>
      <c r="AD168" t="s">
        <v>48</v>
      </c>
      <c r="AE168">
        <v>0</v>
      </c>
      <c r="AF168">
        <v>27.91</v>
      </c>
      <c r="AG168" t="s">
        <v>59</v>
      </c>
      <c r="AH168">
        <v>144527</v>
      </c>
      <c r="AI168" t="s">
        <v>60</v>
      </c>
      <c r="AJ168" t="s">
        <v>60</v>
      </c>
      <c r="AK168" t="s">
        <v>54</v>
      </c>
      <c r="AL168">
        <v>2024</v>
      </c>
      <c r="AM168" s="6" t="s">
        <v>310</v>
      </c>
      <c r="AN168" s="7">
        <v>29.51</v>
      </c>
      <c r="AO168" s="8">
        <f t="shared" si="9"/>
        <v>55.331250000000004</v>
      </c>
      <c r="AP168" s="8">
        <f t="shared" si="10"/>
        <v>61.473018750000001</v>
      </c>
      <c r="AQ168" s="9">
        <f t="shared" si="8"/>
        <v>89.631091874999996</v>
      </c>
    </row>
    <row r="169" spans="1:43" x14ac:dyDescent="0.25">
      <c r="A169">
        <v>28</v>
      </c>
      <c r="B169">
        <v>8</v>
      </c>
      <c r="C169">
        <v>2024</v>
      </c>
      <c r="D169" t="s">
        <v>43</v>
      </c>
      <c r="E169" t="s">
        <v>91</v>
      </c>
      <c r="F169" t="s">
        <v>92</v>
      </c>
      <c r="G169">
        <v>12</v>
      </c>
      <c r="H169">
        <v>1791882490001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t="s">
        <v>51</v>
      </c>
      <c r="O169">
        <v>8421999000</v>
      </c>
      <c r="P169" t="s">
        <v>66</v>
      </c>
      <c r="Q169" t="s">
        <v>312</v>
      </c>
      <c r="R169" t="s">
        <v>54</v>
      </c>
      <c r="S169" t="s">
        <v>55</v>
      </c>
      <c r="T169">
        <v>8</v>
      </c>
      <c r="U169">
        <v>20</v>
      </c>
      <c r="V169" t="s">
        <v>135</v>
      </c>
      <c r="W169">
        <v>0</v>
      </c>
      <c r="X169">
        <v>588.91</v>
      </c>
      <c r="Y169">
        <v>65.069999999999993</v>
      </c>
      <c r="Z169">
        <v>3.96</v>
      </c>
      <c r="AA169">
        <v>657.94</v>
      </c>
      <c r="AB169" t="s">
        <v>57</v>
      </c>
      <c r="AC169" t="s">
        <v>94</v>
      </c>
      <c r="AD169" t="s">
        <v>48</v>
      </c>
      <c r="AE169">
        <v>0</v>
      </c>
      <c r="AF169">
        <v>6.78</v>
      </c>
      <c r="AG169" t="s">
        <v>59</v>
      </c>
      <c r="AH169">
        <v>150511</v>
      </c>
      <c r="AI169" t="s">
        <v>60</v>
      </c>
      <c r="AJ169" t="s">
        <v>60</v>
      </c>
      <c r="AK169" t="s">
        <v>54</v>
      </c>
      <c r="AL169">
        <v>2024</v>
      </c>
      <c r="AM169" s="6" t="s">
        <v>310</v>
      </c>
      <c r="AN169" s="7">
        <v>29.45</v>
      </c>
      <c r="AO169" s="8">
        <f t="shared" si="9"/>
        <v>55.21875</v>
      </c>
      <c r="AP169" s="8">
        <f t="shared" si="10"/>
        <v>61.348031249999998</v>
      </c>
      <c r="AQ169" s="9">
        <f t="shared" si="8"/>
        <v>89.448853124999999</v>
      </c>
    </row>
    <row r="170" spans="1:43" x14ac:dyDescent="0.25">
      <c r="A170">
        <v>10</v>
      </c>
      <c r="B170">
        <v>10</v>
      </c>
      <c r="C170">
        <v>2024</v>
      </c>
      <c r="D170" t="s">
        <v>43</v>
      </c>
      <c r="E170" t="s">
        <v>44</v>
      </c>
      <c r="F170" t="s">
        <v>45</v>
      </c>
      <c r="G170">
        <v>16</v>
      </c>
      <c r="H170">
        <v>1791882490001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t="s">
        <v>51</v>
      </c>
      <c r="O170">
        <v>8421999000</v>
      </c>
      <c r="P170" t="s">
        <v>52</v>
      </c>
      <c r="Q170" t="s">
        <v>309</v>
      </c>
      <c r="R170" t="s">
        <v>54</v>
      </c>
      <c r="S170" t="s">
        <v>55</v>
      </c>
      <c r="T170">
        <v>7</v>
      </c>
      <c r="U170">
        <v>20</v>
      </c>
      <c r="V170" t="s">
        <v>135</v>
      </c>
      <c r="W170">
        <v>0</v>
      </c>
      <c r="X170">
        <v>596.58000000000004</v>
      </c>
      <c r="Y170">
        <v>104.23</v>
      </c>
      <c r="Z170">
        <v>4.3</v>
      </c>
      <c r="AA170">
        <v>705.11</v>
      </c>
      <c r="AB170" t="s">
        <v>57</v>
      </c>
      <c r="AC170" t="s">
        <v>58</v>
      </c>
      <c r="AD170" t="s">
        <v>48</v>
      </c>
      <c r="AE170">
        <v>0</v>
      </c>
      <c r="AF170">
        <v>6.44</v>
      </c>
      <c r="AG170" t="s">
        <v>59</v>
      </c>
      <c r="AH170">
        <v>179772</v>
      </c>
      <c r="AI170" t="s">
        <v>60</v>
      </c>
      <c r="AJ170" t="s">
        <v>60</v>
      </c>
      <c r="AK170" t="s">
        <v>54</v>
      </c>
      <c r="AL170">
        <v>2024</v>
      </c>
      <c r="AM170" s="6" t="s">
        <v>310</v>
      </c>
      <c r="AN170" s="7">
        <v>29.83</v>
      </c>
      <c r="AO170" s="8">
        <f t="shared" si="9"/>
        <v>55.931249999999999</v>
      </c>
      <c r="AP170" s="8">
        <f t="shared" si="10"/>
        <v>62.139618749999997</v>
      </c>
      <c r="AQ170" s="9">
        <f t="shared" si="8"/>
        <v>90.603031874999985</v>
      </c>
    </row>
    <row r="171" spans="1:43" x14ac:dyDescent="0.25">
      <c r="A171">
        <v>26</v>
      </c>
      <c r="B171">
        <v>12</v>
      </c>
      <c r="C171">
        <v>2024</v>
      </c>
      <c r="D171" t="s">
        <v>43</v>
      </c>
      <c r="E171" t="s">
        <v>222</v>
      </c>
      <c r="F171" t="s">
        <v>223</v>
      </c>
      <c r="G171">
        <v>6</v>
      </c>
      <c r="H171">
        <v>1791882490001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t="s">
        <v>224</v>
      </c>
      <c r="O171">
        <v>8421999000</v>
      </c>
      <c r="P171" t="s">
        <v>52</v>
      </c>
      <c r="Q171" t="s">
        <v>312</v>
      </c>
      <c r="R171" t="s">
        <v>54</v>
      </c>
      <c r="S171" t="s">
        <v>55</v>
      </c>
      <c r="T171">
        <v>8</v>
      </c>
      <c r="U171">
        <v>20</v>
      </c>
      <c r="V171" t="s">
        <v>135</v>
      </c>
      <c r="W171">
        <v>0</v>
      </c>
      <c r="X171">
        <v>535.38</v>
      </c>
      <c r="Y171">
        <v>110.88</v>
      </c>
      <c r="Z171">
        <v>5.35</v>
      </c>
      <c r="AA171">
        <v>651.61</v>
      </c>
      <c r="AB171" t="s">
        <v>57</v>
      </c>
      <c r="AC171" t="s">
        <v>225</v>
      </c>
      <c r="AD171" t="s">
        <v>48</v>
      </c>
      <c r="AE171">
        <v>0</v>
      </c>
      <c r="AF171">
        <v>41.2</v>
      </c>
      <c r="AG171" t="s">
        <v>59</v>
      </c>
      <c r="AH171">
        <v>341996</v>
      </c>
      <c r="AI171" t="s">
        <v>60</v>
      </c>
      <c r="AJ171" t="s">
        <v>60</v>
      </c>
      <c r="AK171" t="s">
        <v>54</v>
      </c>
      <c r="AL171">
        <v>2024</v>
      </c>
      <c r="AM171" s="6" t="s">
        <v>310</v>
      </c>
      <c r="AN171" s="7">
        <v>26.77</v>
      </c>
      <c r="AO171" s="8">
        <f t="shared" si="9"/>
        <v>50.193750000000001</v>
      </c>
      <c r="AP171" s="8">
        <f t="shared" si="10"/>
        <v>55.76525625</v>
      </c>
      <c r="AQ171" s="9">
        <f t="shared" si="8"/>
        <v>81.308855624999993</v>
      </c>
    </row>
    <row r="172" spans="1:43" x14ac:dyDescent="0.25">
      <c r="A172">
        <v>2</v>
      </c>
      <c r="B172">
        <v>1</v>
      </c>
      <c r="C172">
        <v>2024</v>
      </c>
      <c r="D172" t="s">
        <v>43</v>
      </c>
      <c r="E172" t="s">
        <v>181</v>
      </c>
      <c r="F172" t="s">
        <v>182</v>
      </c>
      <c r="G172">
        <v>6</v>
      </c>
      <c r="H172">
        <v>1791882490001</v>
      </c>
      <c r="I172" t="s">
        <v>46</v>
      </c>
      <c r="J172" t="s">
        <v>48</v>
      </c>
      <c r="K172" t="s">
        <v>48</v>
      </c>
      <c r="L172" t="s">
        <v>49</v>
      </c>
      <c r="M172" t="s">
        <v>50</v>
      </c>
      <c r="N172" t="s">
        <v>51</v>
      </c>
      <c r="O172">
        <v>8481909090</v>
      </c>
      <c r="P172" t="s">
        <v>232</v>
      </c>
      <c r="Q172" t="s">
        <v>313</v>
      </c>
      <c r="R172" t="s">
        <v>54</v>
      </c>
      <c r="S172" t="s">
        <v>55</v>
      </c>
      <c r="T172">
        <v>8</v>
      </c>
      <c r="U172">
        <v>1</v>
      </c>
      <c r="V172" t="s">
        <v>135</v>
      </c>
      <c r="W172">
        <v>0</v>
      </c>
      <c r="X172">
        <v>8.07</v>
      </c>
      <c r="Y172">
        <v>1.64</v>
      </c>
      <c r="Z172">
        <v>0.05</v>
      </c>
      <c r="AA172">
        <v>9.76</v>
      </c>
      <c r="AB172" t="s">
        <v>57</v>
      </c>
      <c r="AC172" t="s">
        <v>81</v>
      </c>
      <c r="AD172" t="s">
        <v>48</v>
      </c>
      <c r="AE172">
        <v>0</v>
      </c>
      <c r="AF172">
        <v>3.24</v>
      </c>
      <c r="AG172" t="s">
        <v>59</v>
      </c>
      <c r="AH172">
        <v>413505</v>
      </c>
      <c r="AI172" t="s">
        <v>60</v>
      </c>
      <c r="AJ172" t="s">
        <v>60</v>
      </c>
      <c r="AK172" t="s">
        <v>54</v>
      </c>
      <c r="AL172">
        <v>2023</v>
      </c>
      <c r="AM172" s="6" t="s">
        <v>314</v>
      </c>
      <c r="AN172" s="7">
        <v>8.07</v>
      </c>
      <c r="AO172" s="8">
        <f t="shared" si="9"/>
        <v>15.131250000000001</v>
      </c>
      <c r="AP172" s="8">
        <f t="shared" si="10"/>
        <v>16.810818750000003</v>
      </c>
      <c r="AQ172" s="9">
        <f t="shared" si="8"/>
        <v>24.511111875000001</v>
      </c>
    </row>
    <row r="173" spans="1:43" x14ac:dyDescent="0.25">
      <c r="A173">
        <v>13</v>
      </c>
      <c r="B173">
        <v>3</v>
      </c>
      <c r="C173">
        <v>2024</v>
      </c>
      <c r="D173" t="s">
        <v>43</v>
      </c>
      <c r="E173" t="s">
        <v>69</v>
      </c>
      <c r="F173" t="s">
        <v>70</v>
      </c>
      <c r="G173">
        <v>10</v>
      </c>
      <c r="H173">
        <v>1791882490001</v>
      </c>
      <c r="I173" t="s">
        <v>46</v>
      </c>
      <c r="J173" t="s">
        <v>48</v>
      </c>
      <c r="K173" t="s">
        <v>48</v>
      </c>
      <c r="L173" t="s">
        <v>49</v>
      </c>
      <c r="M173" t="s">
        <v>50</v>
      </c>
      <c r="N173" t="s">
        <v>51</v>
      </c>
      <c r="O173">
        <v>8481909090</v>
      </c>
      <c r="P173" t="s">
        <v>103</v>
      </c>
      <c r="Q173" t="s">
        <v>315</v>
      </c>
      <c r="R173" t="s">
        <v>54</v>
      </c>
      <c r="S173" t="s">
        <v>55</v>
      </c>
      <c r="T173">
        <v>11</v>
      </c>
      <c r="U173">
        <v>1</v>
      </c>
      <c r="V173" t="s">
        <v>135</v>
      </c>
      <c r="W173">
        <v>0</v>
      </c>
      <c r="X173">
        <v>8.3800000000000008</v>
      </c>
      <c r="Y173">
        <v>1.1000000000000001</v>
      </c>
      <c r="Z173">
        <v>0.06</v>
      </c>
      <c r="AA173">
        <v>9.5299999999999994</v>
      </c>
      <c r="AB173" t="s">
        <v>54</v>
      </c>
      <c r="AC173" t="s">
        <v>71</v>
      </c>
      <c r="AD173" t="s">
        <v>48</v>
      </c>
      <c r="AE173">
        <v>0</v>
      </c>
      <c r="AF173">
        <v>2.04</v>
      </c>
      <c r="AG173" t="s">
        <v>59</v>
      </c>
      <c r="AH173">
        <v>895279</v>
      </c>
      <c r="AI173" t="s">
        <v>60</v>
      </c>
      <c r="AJ173" t="s">
        <v>60</v>
      </c>
      <c r="AK173" t="s">
        <v>54</v>
      </c>
      <c r="AL173">
        <v>2024</v>
      </c>
      <c r="AM173" s="6" t="s">
        <v>314</v>
      </c>
      <c r="AN173" s="7">
        <v>8.3800000000000008</v>
      </c>
      <c r="AO173" s="8">
        <f t="shared" si="9"/>
        <v>15.712500000000002</v>
      </c>
      <c r="AP173" s="8">
        <f t="shared" si="10"/>
        <v>17.456587500000001</v>
      </c>
      <c r="AQ173" s="9">
        <f t="shared" si="8"/>
        <v>25.45267875</v>
      </c>
    </row>
    <row r="174" spans="1:43" x14ac:dyDescent="0.25">
      <c r="A174">
        <v>28</v>
      </c>
      <c r="B174">
        <v>8</v>
      </c>
      <c r="C174">
        <v>2024</v>
      </c>
      <c r="D174" t="s">
        <v>43</v>
      </c>
      <c r="E174" t="s">
        <v>91</v>
      </c>
      <c r="F174" t="s">
        <v>92</v>
      </c>
      <c r="G174">
        <v>13</v>
      </c>
      <c r="H174">
        <v>1791882490001</v>
      </c>
      <c r="I174" t="s">
        <v>46</v>
      </c>
      <c r="J174" t="s">
        <v>48</v>
      </c>
      <c r="K174" t="s">
        <v>48</v>
      </c>
      <c r="L174" t="s">
        <v>49</v>
      </c>
      <c r="M174" t="s">
        <v>50</v>
      </c>
      <c r="N174" t="s">
        <v>51</v>
      </c>
      <c r="O174">
        <v>8481909090</v>
      </c>
      <c r="P174" t="s">
        <v>103</v>
      </c>
      <c r="Q174" t="s">
        <v>316</v>
      </c>
      <c r="R174" t="s">
        <v>54</v>
      </c>
      <c r="S174" t="s">
        <v>55</v>
      </c>
      <c r="T174">
        <v>8</v>
      </c>
      <c r="U174">
        <v>2</v>
      </c>
      <c r="V174" t="s">
        <v>135</v>
      </c>
      <c r="W174">
        <v>0</v>
      </c>
      <c r="X174">
        <v>16.53</v>
      </c>
      <c r="Y174">
        <v>1.83</v>
      </c>
      <c r="Z174">
        <v>0.11</v>
      </c>
      <c r="AA174">
        <v>18.47</v>
      </c>
      <c r="AB174" t="s">
        <v>57</v>
      </c>
      <c r="AC174" t="s">
        <v>94</v>
      </c>
      <c r="AD174" t="s">
        <v>48</v>
      </c>
      <c r="AE174">
        <v>0</v>
      </c>
      <c r="AF174">
        <v>0.19</v>
      </c>
      <c r="AG174" t="s">
        <v>59</v>
      </c>
      <c r="AH174">
        <v>150511</v>
      </c>
      <c r="AI174" t="s">
        <v>60</v>
      </c>
      <c r="AJ174" t="s">
        <v>60</v>
      </c>
      <c r="AK174" t="s">
        <v>54</v>
      </c>
      <c r="AL174">
        <v>2024</v>
      </c>
      <c r="AM174" s="6" t="s">
        <v>314</v>
      </c>
      <c r="AN174" s="7">
        <v>8.27</v>
      </c>
      <c r="AO174" s="8">
        <f t="shared" si="9"/>
        <v>15.50625</v>
      </c>
      <c r="AP174" s="8">
        <f t="shared" si="10"/>
        <v>17.227443749999999</v>
      </c>
      <c r="AQ174" s="9">
        <f t="shared" si="8"/>
        <v>25.118574374999998</v>
      </c>
    </row>
    <row r="175" spans="1:43" x14ac:dyDescent="0.25">
      <c r="A175">
        <v>15</v>
      </c>
      <c r="B175">
        <v>4</v>
      </c>
      <c r="C175">
        <v>2024</v>
      </c>
      <c r="D175" t="s">
        <v>43</v>
      </c>
      <c r="E175" t="s">
        <v>63</v>
      </c>
      <c r="F175" t="s">
        <v>64</v>
      </c>
      <c r="G175">
        <v>15</v>
      </c>
      <c r="H175">
        <v>1791882490001</v>
      </c>
      <c r="I175" t="s">
        <v>46</v>
      </c>
      <c r="J175" t="s">
        <v>65</v>
      </c>
      <c r="K175" t="s">
        <v>48</v>
      </c>
      <c r="L175" t="s">
        <v>49</v>
      </c>
      <c r="M175" t="s">
        <v>50</v>
      </c>
      <c r="N175" t="s">
        <v>51</v>
      </c>
      <c r="O175">
        <v>8421999000</v>
      </c>
      <c r="P175" t="s">
        <v>66</v>
      </c>
      <c r="Q175" t="s">
        <v>317</v>
      </c>
      <c r="R175" t="s">
        <v>54</v>
      </c>
      <c r="S175" t="s">
        <v>55</v>
      </c>
      <c r="T175">
        <v>6</v>
      </c>
      <c r="U175">
        <v>10</v>
      </c>
      <c r="V175" t="s">
        <v>135</v>
      </c>
      <c r="W175">
        <v>0</v>
      </c>
      <c r="X175">
        <v>285.18</v>
      </c>
      <c r="Y175">
        <v>30.02</v>
      </c>
      <c r="Z175">
        <v>1.91</v>
      </c>
      <c r="AA175">
        <v>317.11</v>
      </c>
      <c r="AB175" t="s">
        <v>57</v>
      </c>
      <c r="AC175" t="s">
        <v>58</v>
      </c>
      <c r="AD175" t="s">
        <v>48</v>
      </c>
      <c r="AE175">
        <v>0</v>
      </c>
      <c r="AF175">
        <v>2.73</v>
      </c>
      <c r="AG175" t="s">
        <v>59</v>
      </c>
      <c r="AH175">
        <v>443965</v>
      </c>
      <c r="AI175" t="s">
        <v>60</v>
      </c>
      <c r="AJ175" t="s">
        <v>60</v>
      </c>
      <c r="AK175" t="s">
        <v>54</v>
      </c>
      <c r="AL175">
        <v>2024</v>
      </c>
      <c r="AM175" s="6" t="s">
        <v>318</v>
      </c>
      <c r="AN175" s="7">
        <v>28.52</v>
      </c>
      <c r="AO175" s="8">
        <f t="shared" si="9"/>
        <v>53.475000000000001</v>
      </c>
      <c r="AP175" s="8">
        <f t="shared" si="10"/>
        <v>59.410724999999999</v>
      </c>
      <c r="AQ175" s="9">
        <f t="shared" si="8"/>
        <v>86.624152499999994</v>
      </c>
    </row>
    <row r="176" spans="1:43" x14ac:dyDescent="0.25">
      <c r="A176">
        <v>8</v>
      </c>
      <c r="B176">
        <v>7</v>
      </c>
      <c r="C176">
        <v>2024</v>
      </c>
      <c r="D176" t="s">
        <v>43</v>
      </c>
      <c r="E176" t="s">
        <v>75</v>
      </c>
      <c r="F176" t="s">
        <v>76</v>
      </c>
      <c r="G176">
        <v>13</v>
      </c>
      <c r="H176">
        <v>1791882490001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51</v>
      </c>
      <c r="O176">
        <v>8421999000</v>
      </c>
      <c r="P176" t="s">
        <v>66</v>
      </c>
      <c r="Q176" t="s">
        <v>319</v>
      </c>
      <c r="R176" t="s">
        <v>54</v>
      </c>
      <c r="S176" t="s">
        <v>55</v>
      </c>
      <c r="T176">
        <v>8</v>
      </c>
      <c r="U176">
        <v>15</v>
      </c>
      <c r="V176" t="s">
        <v>135</v>
      </c>
      <c r="W176">
        <v>0</v>
      </c>
      <c r="X176">
        <v>444.09</v>
      </c>
      <c r="Y176">
        <v>37.92</v>
      </c>
      <c r="Z176">
        <v>2.89</v>
      </c>
      <c r="AA176">
        <v>484.9</v>
      </c>
      <c r="AB176" t="s">
        <v>57</v>
      </c>
      <c r="AC176" t="s">
        <v>77</v>
      </c>
      <c r="AD176" t="s">
        <v>48</v>
      </c>
      <c r="AE176">
        <v>0</v>
      </c>
      <c r="AF176">
        <v>2.94</v>
      </c>
      <c r="AG176" t="s">
        <v>59</v>
      </c>
      <c r="AH176">
        <v>107711</v>
      </c>
      <c r="AI176" t="s">
        <v>60</v>
      </c>
      <c r="AJ176" t="s">
        <v>78</v>
      </c>
      <c r="AK176" t="s">
        <v>54</v>
      </c>
      <c r="AL176">
        <v>2024</v>
      </c>
      <c r="AM176" s="6" t="s">
        <v>318</v>
      </c>
      <c r="AN176" s="7">
        <v>29.61</v>
      </c>
      <c r="AO176" s="8">
        <f t="shared" si="9"/>
        <v>55.518749999999997</v>
      </c>
      <c r="AP176" s="8">
        <f t="shared" si="10"/>
        <v>61.681331249999999</v>
      </c>
      <c r="AQ176" s="9">
        <f t="shared" si="8"/>
        <v>89.934823124999994</v>
      </c>
    </row>
    <row r="177" spans="1:43" x14ac:dyDescent="0.25">
      <c r="A177">
        <v>8</v>
      </c>
      <c r="B177">
        <v>7</v>
      </c>
      <c r="C177">
        <v>2024</v>
      </c>
      <c r="D177" t="s">
        <v>43</v>
      </c>
      <c r="E177" t="s">
        <v>75</v>
      </c>
      <c r="F177" t="s">
        <v>76</v>
      </c>
      <c r="G177">
        <v>13</v>
      </c>
      <c r="H177">
        <v>1791882490001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51</v>
      </c>
      <c r="O177">
        <v>8421999000</v>
      </c>
      <c r="P177" t="s">
        <v>66</v>
      </c>
      <c r="Q177" t="s">
        <v>319</v>
      </c>
      <c r="R177" t="s">
        <v>54</v>
      </c>
      <c r="S177" t="s">
        <v>55</v>
      </c>
      <c r="T177">
        <v>8</v>
      </c>
      <c r="U177">
        <v>15</v>
      </c>
      <c r="V177" t="s">
        <v>135</v>
      </c>
      <c r="W177">
        <v>0</v>
      </c>
      <c r="X177">
        <v>444.09</v>
      </c>
      <c r="Y177">
        <v>37.92</v>
      </c>
      <c r="Z177">
        <v>2.89</v>
      </c>
      <c r="AA177">
        <v>484.9</v>
      </c>
      <c r="AB177" t="s">
        <v>57</v>
      </c>
      <c r="AC177" t="s">
        <v>77</v>
      </c>
      <c r="AD177" t="s">
        <v>48</v>
      </c>
      <c r="AE177">
        <v>0</v>
      </c>
      <c r="AF177">
        <v>2.94</v>
      </c>
      <c r="AG177" t="s">
        <v>59</v>
      </c>
      <c r="AH177">
        <v>107711</v>
      </c>
      <c r="AI177" t="s">
        <v>60</v>
      </c>
      <c r="AJ177" t="s">
        <v>78</v>
      </c>
      <c r="AK177" t="s">
        <v>54</v>
      </c>
      <c r="AL177">
        <v>2024</v>
      </c>
      <c r="AM177" s="6" t="s">
        <v>318</v>
      </c>
      <c r="AN177" s="7">
        <v>29.61</v>
      </c>
      <c r="AO177" s="8">
        <f t="shared" si="9"/>
        <v>55.518749999999997</v>
      </c>
      <c r="AP177" s="8">
        <f t="shared" si="10"/>
        <v>61.681331249999999</v>
      </c>
      <c r="AQ177" s="9">
        <f t="shared" si="8"/>
        <v>89.934823124999994</v>
      </c>
    </row>
    <row r="178" spans="1:43" x14ac:dyDescent="0.25">
      <c r="A178">
        <v>28</v>
      </c>
      <c r="B178">
        <v>8</v>
      </c>
      <c r="C178">
        <v>2024</v>
      </c>
      <c r="D178" t="s">
        <v>43</v>
      </c>
      <c r="E178" t="s">
        <v>91</v>
      </c>
      <c r="F178" t="s">
        <v>92</v>
      </c>
      <c r="G178">
        <v>14</v>
      </c>
      <c r="H178">
        <v>1791882490001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t="s">
        <v>51</v>
      </c>
      <c r="O178">
        <v>8421999000</v>
      </c>
      <c r="P178" t="s">
        <v>66</v>
      </c>
      <c r="Q178" t="s">
        <v>317</v>
      </c>
      <c r="R178" t="s">
        <v>54</v>
      </c>
      <c r="S178" t="s">
        <v>55</v>
      </c>
      <c r="T178">
        <v>8</v>
      </c>
      <c r="U178">
        <v>10</v>
      </c>
      <c r="V178" t="s">
        <v>135</v>
      </c>
      <c r="W178">
        <v>0</v>
      </c>
      <c r="X178">
        <v>284.48</v>
      </c>
      <c r="Y178">
        <v>31.43</v>
      </c>
      <c r="Z178">
        <v>1.91</v>
      </c>
      <c r="AA178">
        <v>317.82</v>
      </c>
      <c r="AB178" t="s">
        <v>57</v>
      </c>
      <c r="AC178" t="s">
        <v>94</v>
      </c>
      <c r="AD178" t="s">
        <v>48</v>
      </c>
      <c r="AE178">
        <v>0</v>
      </c>
      <c r="AF178">
        <v>3.27</v>
      </c>
      <c r="AG178" t="s">
        <v>59</v>
      </c>
      <c r="AH178">
        <v>150511</v>
      </c>
      <c r="AI178" t="s">
        <v>60</v>
      </c>
      <c r="AJ178" t="s">
        <v>60</v>
      </c>
      <c r="AK178" t="s">
        <v>54</v>
      </c>
      <c r="AL178">
        <v>2024</v>
      </c>
      <c r="AM178" s="6" t="s">
        <v>318</v>
      </c>
      <c r="AN178" s="7">
        <v>28.45</v>
      </c>
      <c r="AO178" s="8">
        <f t="shared" si="9"/>
        <v>53.34375</v>
      </c>
      <c r="AP178" s="8">
        <f t="shared" si="10"/>
        <v>59.264906250000003</v>
      </c>
      <c r="AQ178" s="9">
        <f t="shared" si="8"/>
        <v>86.411540625000001</v>
      </c>
    </row>
    <row r="179" spans="1:43" x14ac:dyDescent="0.25">
      <c r="A179">
        <v>16</v>
      </c>
      <c r="B179">
        <v>12</v>
      </c>
      <c r="C179">
        <v>2024</v>
      </c>
      <c r="D179" t="s">
        <v>43</v>
      </c>
      <c r="E179" t="s">
        <v>128</v>
      </c>
      <c r="F179" t="s">
        <v>129</v>
      </c>
      <c r="G179">
        <v>10</v>
      </c>
      <c r="H179">
        <v>1791882490001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t="s">
        <v>51</v>
      </c>
      <c r="O179">
        <v>8421999000</v>
      </c>
      <c r="P179" t="s">
        <v>52</v>
      </c>
      <c r="Q179" t="s">
        <v>320</v>
      </c>
      <c r="R179" t="s">
        <v>54</v>
      </c>
      <c r="S179" t="s">
        <v>55</v>
      </c>
      <c r="T179">
        <v>9</v>
      </c>
      <c r="U179">
        <v>15</v>
      </c>
      <c r="V179" t="s">
        <v>135</v>
      </c>
      <c r="W179">
        <v>0</v>
      </c>
      <c r="X179">
        <v>432.08</v>
      </c>
      <c r="Y179">
        <v>56.59</v>
      </c>
      <c r="Z179">
        <v>2.96</v>
      </c>
      <c r="AA179">
        <v>491.63</v>
      </c>
      <c r="AB179" t="s">
        <v>57</v>
      </c>
      <c r="AC179" t="s">
        <v>131</v>
      </c>
      <c r="AD179" t="s">
        <v>48</v>
      </c>
      <c r="AE179">
        <v>0</v>
      </c>
      <c r="AF179">
        <v>29.83</v>
      </c>
      <c r="AG179" t="s">
        <v>59</v>
      </c>
      <c r="AH179">
        <v>325395</v>
      </c>
      <c r="AI179" t="s">
        <v>60</v>
      </c>
      <c r="AJ179" t="s">
        <v>78</v>
      </c>
      <c r="AK179" t="s">
        <v>54</v>
      </c>
      <c r="AL179">
        <v>2024</v>
      </c>
      <c r="AM179" s="6" t="s">
        <v>318</v>
      </c>
      <c r="AN179" s="7">
        <v>28.81</v>
      </c>
      <c r="AO179" s="8">
        <f t="shared" si="9"/>
        <v>54.018749999999997</v>
      </c>
      <c r="AP179" s="8">
        <f t="shared" si="10"/>
        <v>60.014831249999993</v>
      </c>
      <c r="AQ179" s="9">
        <f t="shared" si="8"/>
        <v>87.504973124999992</v>
      </c>
    </row>
    <row r="180" spans="1:43" x14ac:dyDescent="0.25">
      <c r="A180">
        <v>13</v>
      </c>
      <c r="B180">
        <v>3</v>
      </c>
      <c r="C180">
        <v>2024</v>
      </c>
      <c r="D180" t="s">
        <v>43</v>
      </c>
      <c r="E180" t="s">
        <v>69</v>
      </c>
      <c r="F180" t="s">
        <v>70</v>
      </c>
      <c r="G180">
        <v>11</v>
      </c>
      <c r="H180">
        <v>1791882490001</v>
      </c>
      <c r="I180" t="s">
        <v>46</v>
      </c>
      <c r="J180" t="s">
        <v>48</v>
      </c>
      <c r="K180" t="s">
        <v>48</v>
      </c>
      <c r="L180" t="s">
        <v>49</v>
      </c>
      <c r="M180" t="s">
        <v>50</v>
      </c>
      <c r="N180" t="s">
        <v>51</v>
      </c>
      <c r="O180">
        <v>8481809990</v>
      </c>
      <c r="P180" t="s">
        <v>103</v>
      </c>
      <c r="Q180" t="s">
        <v>299</v>
      </c>
      <c r="R180" t="s">
        <v>54</v>
      </c>
      <c r="S180" t="s">
        <v>55</v>
      </c>
      <c r="T180">
        <v>11</v>
      </c>
      <c r="U180">
        <v>2</v>
      </c>
      <c r="V180" t="s">
        <v>135</v>
      </c>
      <c r="W180">
        <v>0</v>
      </c>
      <c r="X180">
        <v>182.24</v>
      </c>
      <c r="Y180">
        <v>23.86</v>
      </c>
      <c r="Z180">
        <v>1.23</v>
      </c>
      <c r="AA180">
        <v>207.33</v>
      </c>
      <c r="AB180" t="s">
        <v>54</v>
      </c>
      <c r="AC180" t="s">
        <v>71</v>
      </c>
      <c r="AD180" t="s">
        <v>48</v>
      </c>
      <c r="AE180">
        <v>0</v>
      </c>
      <c r="AF180">
        <v>4.08</v>
      </c>
      <c r="AG180" t="s">
        <v>59</v>
      </c>
      <c r="AH180">
        <v>895279</v>
      </c>
      <c r="AI180" t="s">
        <v>60</v>
      </c>
      <c r="AJ180" t="s">
        <v>60</v>
      </c>
      <c r="AK180" t="s">
        <v>54</v>
      </c>
      <c r="AL180">
        <v>2024</v>
      </c>
      <c r="AM180" s="6" t="s">
        <v>321</v>
      </c>
      <c r="AN180" s="7">
        <v>91.12</v>
      </c>
      <c r="AO180" s="8">
        <f t="shared" si="9"/>
        <v>170.85000000000002</v>
      </c>
      <c r="AP180" s="8">
        <f t="shared" si="10"/>
        <v>189.81435000000002</v>
      </c>
      <c r="AQ180" s="9">
        <f t="shared" si="8"/>
        <v>276.75991500000003</v>
      </c>
    </row>
    <row r="181" spans="1:43" x14ac:dyDescent="0.25">
      <c r="A181">
        <v>16</v>
      </c>
      <c r="B181">
        <v>1</v>
      </c>
      <c r="C181">
        <v>2024</v>
      </c>
      <c r="D181" t="s">
        <v>43</v>
      </c>
      <c r="E181" t="s">
        <v>191</v>
      </c>
      <c r="F181" t="s">
        <v>192</v>
      </c>
      <c r="G181">
        <v>5</v>
      </c>
      <c r="H181">
        <v>1791882490001</v>
      </c>
      <c r="I181" t="s">
        <v>46</v>
      </c>
      <c r="J181" t="s">
        <v>65</v>
      </c>
      <c r="K181" t="s">
        <v>48</v>
      </c>
      <c r="L181" t="s">
        <v>49</v>
      </c>
      <c r="M181" t="s">
        <v>50</v>
      </c>
      <c r="N181" t="s">
        <v>51</v>
      </c>
      <c r="O181">
        <v>8421999000</v>
      </c>
      <c r="P181" t="s">
        <v>52</v>
      </c>
      <c r="Q181" t="s">
        <v>309</v>
      </c>
      <c r="R181" t="s">
        <v>54</v>
      </c>
      <c r="S181" t="s">
        <v>55</v>
      </c>
      <c r="T181">
        <v>11</v>
      </c>
      <c r="U181">
        <v>7</v>
      </c>
      <c r="V181" t="s">
        <v>135</v>
      </c>
      <c r="W181">
        <v>0</v>
      </c>
      <c r="X181">
        <v>846.36</v>
      </c>
      <c r="Y181">
        <v>55.53</v>
      </c>
      <c r="Z181">
        <v>5.46</v>
      </c>
      <c r="AA181">
        <v>907.35</v>
      </c>
      <c r="AB181" t="s">
        <v>57</v>
      </c>
      <c r="AC181" t="s">
        <v>81</v>
      </c>
      <c r="AD181" t="s">
        <v>48</v>
      </c>
      <c r="AE181">
        <v>0</v>
      </c>
      <c r="AF181">
        <v>19.989999999999998</v>
      </c>
      <c r="AG181" t="s">
        <v>59</v>
      </c>
      <c r="AH181">
        <v>850332</v>
      </c>
      <c r="AI181" t="s">
        <v>60</v>
      </c>
      <c r="AJ181" t="s">
        <v>60</v>
      </c>
      <c r="AK181" t="s">
        <v>54</v>
      </c>
      <c r="AL181">
        <v>2023</v>
      </c>
      <c r="AM181" s="6" t="s">
        <v>322</v>
      </c>
      <c r="AN181" s="7">
        <v>120.91</v>
      </c>
      <c r="AO181" s="8">
        <f t="shared" si="9"/>
        <v>226.70624999999998</v>
      </c>
      <c r="AP181" s="8">
        <f t="shared" si="10"/>
        <v>251.87064374999997</v>
      </c>
      <c r="AQ181" s="9">
        <f t="shared" si="8"/>
        <v>367.24145437499993</v>
      </c>
    </row>
    <row r="182" spans="1:43" x14ac:dyDescent="0.25">
      <c r="A182">
        <v>16</v>
      </c>
      <c r="B182">
        <v>1</v>
      </c>
      <c r="C182">
        <v>2024</v>
      </c>
      <c r="D182" t="s">
        <v>43</v>
      </c>
      <c r="E182" t="s">
        <v>191</v>
      </c>
      <c r="F182" t="s">
        <v>192</v>
      </c>
      <c r="G182">
        <v>6</v>
      </c>
      <c r="H182">
        <v>1791882490001</v>
      </c>
      <c r="I182" t="s">
        <v>46</v>
      </c>
      <c r="J182" t="s">
        <v>65</v>
      </c>
      <c r="K182" t="s">
        <v>48</v>
      </c>
      <c r="L182" t="s">
        <v>49</v>
      </c>
      <c r="M182" t="s">
        <v>50</v>
      </c>
      <c r="N182" t="s">
        <v>51</v>
      </c>
      <c r="O182">
        <v>8421999000</v>
      </c>
      <c r="P182" t="s">
        <v>52</v>
      </c>
      <c r="Q182" t="s">
        <v>309</v>
      </c>
      <c r="R182" t="s">
        <v>54</v>
      </c>
      <c r="S182" t="s">
        <v>55</v>
      </c>
      <c r="T182">
        <v>11</v>
      </c>
      <c r="U182">
        <v>1</v>
      </c>
      <c r="V182" t="s">
        <v>135</v>
      </c>
      <c r="W182">
        <v>0</v>
      </c>
      <c r="X182">
        <v>120.91</v>
      </c>
      <c r="Y182">
        <v>7.93</v>
      </c>
      <c r="Z182">
        <v>0.78</v>
      </c>
      <c r="AA182">
        <v>129.62</v>
      </c>
      <c r="AB182" t="s">
        <v>57</v>
      </c>
      <c r="AC182" t="s">
        <v>81</v>
      </c>
      <c r="AD182" t="s">
        <v>48</v>
      </c>
      <c r="AE182">
        <v>0</v>
      </c>
      <c r="AF182">
        <v>2.86</v>
      </c>
      <c r="AG182" t="s">
        <v>59</v>
      </c>
      <c r="AH182">
        <v>850332</v>
      </c>
      <c r="AI182" t="s">
        <v>60</v>
      </c>
      <c r="AJ182" t="s">
        <v>60</v>
      </c>
      <c r="AK182" t="s">
        <v>54</v>
      </c>
      <c r="AL182">
        <v>2023</v>
      </c>
      <c r="AM182" s="6" t="s">
        <v>322</v>
      </c>
      <c r="AN182" s="7">
        <v>120.91</v>
      </c>
      <c r="AO182" s="8">
        <f t="shared" si="9"/>
        <v>226.70624999999998</v>
      </c>
      <c r="AP182" s="8">
        <f t="shared" si="10"/>
        <v>251.87064374999997</v>
      </c>
      <c r="AQ182" s="9">
        <f t="shared" si="8"/>
        <v>367.24145437499993</v>
      </c>
    </row>
    <row r="183" spans="1:43" x14ac:dyDescent="0.25">
      <c r="A183">
        <v>17</v>
      </c>
      <c r="B183">
        <v>5</v>
      </c>
      <c r="C183">
        <v>2024</v>
      </c>
      <c r="D183" t="s">
        <v>43</v>
      </c>
      <c r="E183" t="s">
        <v>79</v>
      </c>
      <c r="F183" t="s">
        <v>80</v>
      </c>
      <c r="G183">
        <v>12</v>
      </c>
      <c r="H183">
        <v>1791882490001</v>
      </c>
      <c r="I183" t="s">
        <v>46</v>
      </c>
      <c r="J183" t="s">
        <v>65</v>
      </c>
      <c r="K183" t="s">
        <v>48</v>
      </c>
      <c r="L183" t="s">
        <v>49</v>
      </c>
      <c r="M183" t="s">
        <v>50</v>
      </c>
      <c r="N183" t="s">
        <v>51</v>
      </c>
      <c r="O183">
        <v>8421999000</v>
      </c>
      <c r="P183" t="s">
        <v>66</v>
      </c>
      <c r="Q183" t="s">
        <v>312</v>
      </c>
      <c r="R183" t="s">
        <v>54</v>
      </c>
      <c r="S183" t="s">
        <v>55</v>
      </c>
      <c r="T183">
        <v>6</v>
      </c>
      <c r="U183">
        <v>3</v>
      </c>
      <c r="V183" t="s">
        <v>135</v>
      </c>
      <c r="W183">
        <v>0</v>
      </c>
      <c r="X183">
        <v>382.37</v>
      </c>
      <c r="Y183">
        <v>36.909999999999997</v>
      </c>
      <c r="Z183">
        <v>2.5499999999999998</v>
      </c>
      <c r="AA183">
        <v>421.83</v>
      </c>
      <c r="AB183" t="s">
        <v>57</v>
      </c>
      <c r="AC183" t="s">
        <v>81</v>
      </c>
      <c r="AD183" t="s">
        <v>48</v>
      </c>
      <c r="AE183">
        <v>0</v>
      </c>
      <c r="AF183">
        <v>3.24</v>
      </c>
      <c r="AG183" t="s">
        <v>82</v>
      </c>
      <c r="AH183">
        <v>471463</v>
      </c>
      <c r="AI183" t="s">
        <v>60</v>
      </c>
      <c r="AJ183" t="s">
        <v>60</v>
      </c>
      <c r="AK183" t="s">
        <v>54</v>
      </c>
      <c r="AL183">
        <v>2024</v>
      </c>
      <c r="AM183" s="6" t="s">
        <v>322</v>
      </c>
      <c r="AN183" s="7">
        <v>127.46</v>
      </c>
      <c r="AO183" s="8">
        <f t="shared" si="9"/>
        <v>238.98749999999998</v>
      </c>
      <c r="AP183" s="8">
        <f t="shared" si="10"/>
        <v>265.51511249999999</v>
      </c>
      <c r="AQ183" s="9">
        <f t="shared" si="8"/>
        <v>387.13585124999997</v>
      </c>
    </row>
    <row r="184" spans="1:43" x14ac:dyDescent="0.25">
      <c r="A184">
        <v>17</v>
      </c>
      <c r="B184">
        <v>5</v>
      </c>
      <c r="C184">
        <v>2024</v>
      </c>
      <c r="D184" t="s">
        <v>43</v>
      </c>
      <c r="E184" t="s">
        <v>79</v>
      </c>
      <c r="F184" t="s">
        <v>80</v>
      </c>
      <c r="G184">
        <v>13</v>
      </c>
      <c r="H184">
        <v>1791882490001</v>
      </c>
      <c r="I184" t="s">
        <v>46</v>
      </c>
      <c r="J184" t="s">
        <v>65</v>
      </c>
      <c r="K184" t="s">
        <v>48</v>
      </c>
      <c r="L184" t="s">
        <v>49</v>
      </c>
      <c r="M184" t="s">
        <v>50</v>
      </c>
      <c r="N184" t="s">
        <v>51</v>
      </c>
      <c r="O184">
        <v>8421999000</v>
      </c>
      <c r="P184" t="s">
        <v>66</v>
      </c>
      <c r="Q184" t="s">
        <v>312</v>
      </c>
      <c r="R184" t="s">
        <v>54</v>
      </c>
      <c r="S184" t="s">
        <v>55</v>
      </c>
      <c r="T184">
        <v>6</v>
      </c>
      <c r="U184">
        <v>2</v>
      </c>
      <c r="V184" t="s">
        <v>135</v>
      </c>
      <c r="W184">
        <v>0</v>
      </c>
      <c r="X184">
        <v>254.91</v>
      </c>
      <c r="Y184">
        <v>24.61</v>
      </c>
      <c r="Z184">
        <v>1.7</v>
      </c>
      <c r="AA184">
        <v>281.22000000000003</v>
      </c>
      <c r="AB184" t="s">
        <v>57</v>
      </c>
      <c r="AC184" t="s">
        <v>81</v>
      </c>
      <c r="AD184" t="s">
        <v>48</v>
      </c>
      <c r="AE184">
        <v>0</v>
      </c>
      <c r="AF184">
        <v>2.16</v>
      </c>
      <c r="AG184" t="s">
        <v>82</v>
      </c>
      <c r="AH184">
        <v>471463</v>
      </c>
      <c r="AI184" t="s">
        <v>60</v>
      </c>
      <c r="AJ184" t="s">
        <v>60</v>
      </c>
      <c r="AK184" t="s">
        <v>54</v>
      </c>
      <c r="AL184">
        <v>2024</v>
      </c>
      <c r="AM184" s="6" t="s">
        <v>322</v>
      </c>
      <c r="AN184" s="7">
        <v>127.46</v>
      </c>
      <c r="AO184" s="8">
        <f t="shared" si="9"/>
        <v>238.98749999999998</v>
      </c>
      <c r="AP184" s="8">
        <f t="shared" si="10"/>
        <v>265.51511249999999</v>
      </c>
      <c r="AQ184" s="9">
        <f t="shared" si="8"/>
        <v>387.13585124999997</v>
      </c>
    </row>
    <row r="185" spans="1:43" x14ac:dyDescent="0.25">
      <c r="A185">
        <v>12</v>
      </c>
      <c r="B185">
        <v>6</v>
      </c>
      <c r="C185">
        <v>2024</v>
      </c>
      <c r="D185" t="s">
        <v>43</v>
      </c>
      <c r="E185" t="s">
        <v>96</v>
      </c>
      <c r="F185" t="s">
        <v>97</v>
      </c>
      <c r="G185">
        <v>14</v>
      </c>
      <c r="H185">
        <v>1791882490001</v>
      </c>
      <c r="I185" t="s">
        <v>46</v>
      </c>
      <c r="J185" t="s">
        <v>65</v>
      </c>
      <c r="K185" t="s">
        <v>48</v>
      </c>
      <c r="L185" t="s">
        <v>49</v>
      </c>
      <c r="M185" t="s">
        <v>50</v>
      </c>
      <c r="N185" t="s">
        <v>51</v>
      </c>
      <c r="O185">
        <v>8421999000</v>
      </c>
      <c r="P185" t="s">
        <v>66</v>
      </c>
      <c r="Q185" t="s">
        <v>309</v>
      </c>
      <c r="R185" t="s">
        <v>54</v>
      </c>
      <c r="S185" t="s">
        <v>55</v>
      </c>
      <c r="T185">
        <v>7</v>
      </c>
      <c r="U185">
        <v>5</v>
      </c>
      <c r="V185" t="s">
        <v>135</v>
      </c>
      <c r="W185">
        <v>0</v>
      </c>
      <c r="X185">
        <v>642.16</v>
      </c>
      <c r="Y185">
        <v>55.69</v>
      </c>
      <c r="Z185">
        <v>4.32</v>
      </c>
      <c r="AA185">
        <v>702.18</v>
      </c>
      <c r="AB185" t="s">
        <v>57</v>
      </c>
      <c r="AC185" t="s">
        <v>94</v>
      </c>
      <c r="AD185" t="s">
        <v>48</v>
      </c>
      <c r="AE185">
        <v>0</v>
      </c>
      <c r="AF185">
        <v>9</v>
      </c>
      <c r="AG185" t="s">
        <v>59</v>
      </c>
      <c r="AH185" t="s">
        <v>98</v>
      </c>
      <c r="AI185" t="s">
        <v>60</v>
      </c>
      <c r="AJ185" t="s">
        <v>60</v>
      </c>
      <c r="AK185" t="s">
        <v>54</v>
      </c>
      <c r="AL185">
        <v>2024</v>
      </c>
      <c r="AM185" s="6" t="s">
        <v>322</v>
      </c>
      <c r="AN185" s="7">
        <v>128.43</v>
      </c>
      <c r="AO185" s="8">
        <f t="shared" si="9"/>
        <v>240.80625000000001</v>
      </c>
      <c r="AP185" s="8">
        <f t="shared" si="10"/>
        <v>267.53574374999999</v>
      </c>
      <c r="AQ185" s="9">
        <f t="shared" si="8"/>
        <v>390.08204437500001</v>
      </c>
    </row>
    <row r="186" spans="1:43" x14ac:dyDescent="0.25">
      <c r="A186">
        <v>8</v>
      </c>
      <c r="B186">
        <v>7</v>
      </c>
      <c r="C186">
        <v>2024</v>
      </c>
      <c r="D186" t="s">
        <v>43</v>
      </c>
      <c r="E186" t="s">
        <v>75</v>
      </c>
      <c r="F186" t="s">
        <v>76</v>
      </c>
      <c r="G186">
        <v>14</v>
      </c>
      <c r="H186">
        <v>1791882490001</v>
      </c>
      <c r="I186" t="s">
        <v>46</v>
      </c>
      <c r="J186" t="s">
        <v>65</v>
      </c>
      <c r="K186" t="s">
        <v>48</v>
      </c>
      <c r="L186" t="s">
        <v>49</v>
      </c>
      <c r="M186" t="s">
        <v>50</v>
      </c>
      <c r="N186" t="s">
        <v>51</v>
      </c>
      <c r="O186">
        <v>8421999000</v>
      </c>
      <c r="P186" t="s">
        <v>66</v>
      </c>
      <c r="Q186" t="s">
        <v>309</v>
      </c>
      <c r="R186" t="s">
        <v>54</v>
      </c>
      <c r="S186" t="s">
        <v>55</v>
      </c>
      <c r="T186">
        <v>8</v>
      </c>
      <c r="U186">
        <v>4</v>
      </c>
      <c r="V186" t="s">
        <v>135</v>
      </c>
      <c r="W186">
        <v>0</v>
      </c>
      <c r="X186">
        <v>528.83000000000004</v>
      </c>
      <c r="Y186">
        <v>45.17</v>
      </c>
      <c r="Z186">
        <v>3.44</v>
      </c>
      <c r="AA186">
        <v>577.44000000000005</v>
      </c>
      <c r="AB186" t="s">
        <v>57</v>
      </c>
      <c r="AC186" t="s">
        <v>77</v>
      </c>
      <c r="AD186" t="s">
        <v>48</v>
      </c>
      <c r="AE186">
        <v>0</v>
      </c>
      <c r="AF186">
        <v>3.5</v>
      </c>
      <c r="AG186" t="s">
        <v>59</v>
      </c>
      <c r="AH186">
        <v>107711</v>
      </c>
      <c r="AI186" t="s">
        <v>60</v>
      </c>
      <c r="AJ186" t="s">
        <v>78</v>
      </c>
      <c r="AK186" t="s">
        <v>54</v>
      </c>
      <c r="AL186">
        <v>2024</v>
      </c>
      <c r="AM186" s="6" t="s">
        <v>322</v>
      </c>
      <c r="AN186" s="7">
        <v>132.21</v>
      </c>
      <c r="AO186" s="8">
        <f t="shared" si="9"/>
        <v>247.89375000000001</v>
      </c>
      <c r="AP186" s="8">
        <f t="shared" si="10"/>
        <v>275.40995624999999</v>
      </c>
      <c r="AQ186" s="9">
        <f t="shared" si="8"/>
        <v>401.56308562499999</v>
      </c>
    </row>
    <row r="187" spans="1:43" x14ac:dyDescent="0.25">
      <c r="A187">
        <v>8</v>
      </c>
      <c r="B187">
        <v>7</v>
      </c>
      <c r="C187">
        <v>2024</v>
      </c>
      <c r="D187" t="s">
        <v>43</v>
      </c>
      <c r="E187" t="s">
        <v>75</v>
      </c>
      <c r="F187" t="s">
        <v>76</v>
      </c>
      <c r="G187">
        <v>14</v>
      </c>
      <c r="H187">
        <v>1791882490001</v>
      </c>
      <c r="I187" t="s">
        <v>46</v>
      </c>
      <c r="J187" t="s">
        <v>65</v>
      </c>
      <c r="K187" t="s">
        <v>48</v>
      </c>
      <c r="L187" t="s">
        <v>49</v>
      </c>
      <c r="M187" t="s">
        <v>50</v>
      </c>
      <c r="N187" t="s">
        <v>51</v>
      </c>
      <c r="O187">
        <v>8421999000</v>
      </c>
      <c r="P187" t="s">
        <v>66</v>
      </c>
      <c r="Q187" t="s">
        <v>309</v>
      </c>
      <c r="R187" t="s">
        <v>54</v>
      </c>
      <c r="S187" t="s">
        <v>55</v>
      </c>
      <c r="T187">
        <v>8</v>
      </c>
      <c r="U187">
        <v>4</v>
      </c>
      <c r="V187" t="s">
        <v>135</v>
      </c>
      <c r="W187">
        <v>0</v>
      </c>
      <c r="X187">
        <v>528.83000000000004</v>
      </c>
      <c r="Y187">
        <v>45.17</v>
      </c>
      <c r="Z187">
        <v>3.44</v>
      </c>
      <c r="AA187">
        <v>577.44000000000005</v>
      </c>
      <c r="AB187" t="s">
        <v>57</v>
      </c>
      <c r="AC187" t="s">
        <v>77</v>
      </c>
      <c r="AD187" t="s">
        <v>48</v>
      </c>
      <c r="AE187">
        <v>0</v>
      </c>
      <c r="AF187">
        <v>3.5</v>
      </c>
      <c r="AG187" t="s">
        <v>59</v>
      </c>
      <c r="AH187">
        <v>107711</v>
      </c>
      <c r="AI187" t="s">
        <v>60</v>
      </c>
      <c r="AJ187" t="s">
        <v>78</v>
      </c>
      <c r="AK187" t="s">
        <v>54</v>
      </c>
      <c r="AL187">
        <v>2024</v>
      </c>
      <c r="AM187" s="6" t="s">
        <v>322</v>
      </c>
      <c r="AN187" s="7">
        <v>132.21</v>
      </c>
      <c r="AO187" s="8">
        <f t="shared" si="9"/>
        <v>247.89375000000001</v>
      </c>
      <c r="AP187" s="8">
        <f t="shared" si="10"/>
        <v>275.40995624999999</v>
      </c>
      <c r="AQ187" s="9">
        <f t="shared" si="8"/>
        <v>401.56308562499999</v>
      </c>
    </row>
    <row r="188" spans="1:43" x14ac:dyDescent="0.25">
      <c r="A188">
        <v>10</v>
      </c>
      <c r="B188">
        <v>10</v>
      </c>
      <c r="C188">
        <v>2024</v>
      </c>
      <c r="D188" t="s">
        <v>43</v>
      </c>
      <c r="E188" t="s">
        <v>44</v>
      </c>
      <c r="F188" t="s">
        <v>45</v>
      </c>
      <c r="G188">
        <v>17</v>
      </c>
      <c r="H188">
        <v>1791882490001</v>
      </c>
      <c r="I188" t="s">
        <v>46</v>
      </c>
      <c r="J188" t="s">
        <v>65</v>
      </c>
      <c r="K188" t="s">
        <v>48</v>
      </c>
      <c r="L188" t="s">
        <v>49</v>
      </c>
      <c r="M188" t="s">
        <v>50</v>
      </c>
      <c r="N188" t="s">
        <v>51</v>
      </c>
      <c r="O188">
        <v>8421999000</v>
      </c>
      <c r="P188" t="s">
        <v>52</v>
      </c>
      <c r="Q188" t="s">
        <v>309</v>
      </c>
      <c r="R188" t="s">
        <v>54</v>
      </c>
      <c r="S188" t="s">
        <v>55</v>
      </c>
      <c r="T188">
        <v>7</v>
      </c>
      <c r="U188">
        <v>5</v>
      </c>
      <c r="V188" t="s">
        <v>135</v>
      </c>
      <c r="W188">
        <v>0</v>
      </c>
      <c r="X188">
        <v>643.45000000000005</v>
      </c>
      <c r="Y188">
        <v>112.43</v>
      </c>
      <c r="Z188">
        <v>4.6399999999999997</v>
      </c>
      <c r="AA188">
        <v>760.52</v>
      </c>
      <c r="AB188" t="s">
        <v>57</v>
      </c>
      <c r="AC188" t="s">
        <v>58</v>
      </c>
      <c r="AD188" t="s">
        <v>48</v>
      </c>
      <c r="AE188">
        <v>0</v>
      </c>
      <c r="AF188">
        <v>6.94</v>
      </c>
      <c r="AG188" t="s">
        <v>59</v>
      </c>
      <c r="AH188">
        <v>179772</v>
      </c>
      <c r="AI188" t="s">
        <v>60</v>
      </c>
      <c r="AJ188" t="s">
        <v>60</v>
      </c>
      <c r="AK188" t="s">
        <v>54</v>
      </c>
      <c r="AL188">
        <v>2024</v>
      </c>
      <c r="AM188" s="6" t="s">
        <v>322</v>
      </c>
      <c r="AN188" s="7">
        <v>128.69</v>
      </c>
      <c r="AO188" s="8">
        <f t="shared" si="9"/>
        <v>241.29374999999999</v>
      </c>
      <c r="AP188" s="8">
        <f t="shared" si="10"/>
        <v>268.07735624999998</v>
      </c>
      <c r="AQ188" s="9">
        <f t="shared" si="8"/>
        <v>390.87174562499996</v>
      </c>
    </row>
    <row r="189" spans="1:43" x14ac:dyDescent="0.25">
      <c r="A189">
        <v>8</v>
      </c>
      <c r="B189">
        <v>7</v>
      </c>
      <c r="C189">
        <v>2024</v>
      </c>
      <c r="D189" t="s">
        <v>43</v>
      </c>
      <c r="E189" t="s">
        <v>75</v>
      </c>
      <c r="F189" t="s">
        <v>76</v>
      </c>
      <c r="G189">
        <v>15</v>
      </c>
      <c r="H189">
        <v>1791882490001</v>
      </c>
      <c r="I189" t="s">
        <v>46</v>
      </c>
      <c r="J189" t="s">
        <v>48</v>
      </c>
      <c r="K189" t="s">
        <v>48</v>
      </c>
      <c r="L189" t="s">
        <v>49</v>
      </c>
      <c r="M189" t="s">
        <v>50</v>
      </c>
      <c r="N189" t="s">
        <v>51</v>
      </c>
      <c r="O189">
        <v>7411100000</v>
      </c>
      <c r="P189" t="s">
        <v>323</v>
      </c>
      <c r="Q189" t="s">
        <v>324</v>
      </c>
      <c r="R189" t="s">
        <v>54</v>
      </c>
      <c r="S189" t="s">
        <v>55</v>
      </c>
      <c r="T189">
        <v>8</v>
      </c>
      <c r="U189">
        <v>1</v>
      </c>
      <c r="V189" t="s">
        <v>56</v>
      </c>
      <c r="W189">
        <v>0</v>
      </c>
      <c r="X189">
        <v>32.76</v>
      </c>
      <c r="Y189">
        <v>2.8</v>
      </c>
      <c r="Z189">
        <v>0.21</v>
      </c>
      <c r="AA189">
        <v>35.770000000000003</v>
      </c>
      <c r="AB189" t="s">
        <v>57</v>
      </c>
      <c r="AC189" t="s">
        <v>77</v>
      </c>
      <c r="AD189" t="s">
        <v>48</v>
      </c>
      <c r="AE189">
        <v>0</v>
      </c>
      <c r="AF189">
        <v>0.22</v>
      </c>
      <c r="AG189" t="s">
        <v>59</v>
      </c>
      <c r="AH189">
        <v>107711</v>
      </c>
      <c r="AI189" t="s">
        <v>60</v>
      </c>
      <c r="AJ189" t="s">
        <v>78</v>
      </c>
      <c r="AK189" t="s">
        <v>54</v>
      </c>
      <c r="AL189">
        <v>2024</v>
      </c>
      <c r="AM189" s="6" t="s">
        <v>325</v>
      </c>
      <c r="AN189" s="7">
        <v>32.76</v>
      </c>
      <c r="AO189" s="8">
        <f t="shared" si="9"/>
        <v>61.424999999999997</v>
      </c>
      <c r="AP189" s="8">
        <f t="shared" si="10"/>
        <v>68.243174999999994</v>
      </c>
      <c r="AQ189" s="9">
        <f t="shared" si="8"/>
        <v>99.502357499999988</v>
      </c>
    </row>
    <row r="190" spans="1:43" x14ac:dyDescent="0.25">
      <c r="A190">
        <v>8</v>
      </c>
      <c r="B190">
        <v>7</v>
      </c>
      <c r="C190">
        <v>2024</v>
      </c>
      <c r="D190" t="s">
        <v>43</v>
      </c>
      <c r="E190" t="s">
        <v>75</v>
      </c>
      <c r="F190" t="s">
        <v>76</v>
      </c>
      <c r="G190">
        <v>15</v>
      </c>
      <c r="H190">
        <v>1791882490001</v>
      </c>
      <c r="I190" t="s">
        <v>46</v>
      </c>
      <c r="J190" t="s">
        <v>48</v>
      </c>
      <c r="K190" t="s">
        <v>48</v>
      </c>
      <c r="L190" t="s">
        <v>49</v>
      </c>
      <c r="M190" t="s">
        <v>50</v>
      </c>
      <c r="N190" t="s">
        <v>51</v>
      </c>
      <c r="O190">
        <v>7411100000</v>
      </c>
      <c r="P190" t="s">
        <v>323</v>
      </c>
      <c r="Q190" t="s">
        <v>324</v>
      </c>
      <c r="R190" t="s">
        <v>54</v>
      </c>
      <c r="S190" t="s">
        <v>55</v>
      </c>
      <c r="T190">
        <v>8</v>
      </c>
      <c r="U190">
        <v>1</v>
      </c>
      <c r="V190" t="s">
        <v>56</v>
      </c>
      <c r="W190">
        <v>0</v>
      </c>
      <c r="X190">
        <v>32.76</v>
      </c>
      <c r="Y190">
        <v>2.8</v>
      </c>
      <c r="Z190">
        <v>0.21</v>
      </c>
      <c r="AA190">
        <v>35.770000000000003</v>
      </c>
      <c r="AB190" t="s">
        <v>57</v>
      </c>
      <c r="AC190" t="s">
        <v>77</v>
      </c>
      <c r="AD190" t="s">
        <v>48</v>
      </c>
      <c r="AE190">
        <v>0</v>
      </c>
      <c r="AF190">
        <v>0.22</v>
      </c>
      <c r="AG190" t="s">
        <v>59</v>
      </c>
      <c r="AH190">
        <v>107711</v>
      </c>
      <c r="AI190" t="s">
        <v>60</v>
      </c>
      <c r="AJ190" t="s">
        <v>78</v>
      </c>
      <c r="AK190" t="s">
        <v>54</v>
      </c>
      <c r="AL190">
        <v>2024</v>
      </c>
      <c r="AM190" s="6" t="s">
        <v>325</v>
      </c>
      <c r="AN190" s="7">
        <v>32.76</v>
      </c>
      <c r="AO190" s="8">
        <f t="shared" si="9"/>
        <v>61.424999999999997</v>
      </c>
      <c r="AP190" s="8">
        <f t="shared" si="10"/>
        <v>68.243174999999994</v>
      </c>
      <c r="AQ190" s="9">
        <f t="shared" si="8"/>
        <v>99.502357499999988</v>
      </c>
    </row>
    <row r="191" spans="1:43" x14ac:dyDescent="0.25">
      <c r="A191">
        <v>11</v>
      </c>
      <c r="B191">
        <v>7</v>
      </c>
      <c r="C191">
        <v>2024</v>
      </c>
      <c r="D191" t="s">
        <v>43</v>
      </c>
      <c r="E191" t="s">
        <v>116</v>
      </c>
      <c r="F191" t="s">
        <v>117</v>
      </c>
      <c r="G191">
        <v>6</v>
      </c>
      <c r="H191">
        <v>1791882490001</v>
      </c>
      <c r="I191" t="s">
        <v>46</v>
      </c>
      <c r="J191" t="s">
        <v>48</v>
      </c>
      <c r="K191" t="s">
        <v>48</v>
      </c>
      <c r="L191" t="s">
        <v>119</v>
      </c>
      <c r="M191" t="s">
        <v>120</v>
      </c>
      <c r="N191" t="s">
        <v>121</v>
      </c>
      <c r="O191">
        <v>7609000000</v>
      </c>
      <c r="P191" t="s">
        <v>326</v>
      </c>
      <c r="Q191" t="s">
        <v>327</v>
      </c>
      <c r="R191" t="s">
        <v>54</v>
      </c>
      <c r="S191" t="s">
        <v>55</v>
      </c>
      <c r="T191">
        <v>9</v>
      </c>
      <c r="U191">
        <v>1</v>
      </c>
      <c r="V191" t="s">
        <v>56</v>
      </c>
      <c r="W191">
        <v>0</v>
      </c>
      <c r="X191">
        <v>4.84</v>
      </c>
      <c r="Y191">
        <v>0.44</v>
      </c>
      <c r="Z191">
        <v>0.03</v>
      </c>
      <c r="AA191">
        <v>5.31</v>
      </c>
      <c r="AB191" t="s">
        <v>124</v>
      </c>
      <c r="AC191" t="s">
        <v>125</v>
      </c>
      <c r="AD191" t="s">
        <v>48</v>
      </c>
      <c r="AE191">
        <v>0</v>
      </c>
      <c r="AF191">
        <v>2.02</v>
      </c>
      <c r="AG191" t="s">
        <v>59</v>
      </c>
      <c r="AH191">
        <v>486256</v>
      </c>
      <c r="AI191" t="s">
        <v>60</v>
      </c>
      <c r="AJ191" t="s">
        <v>78</v>
      </c>
      <c r="AK191" t="s">
        <v>54</v>
      </c>
      <c r="AL191">
        <v>2024</v>
      </c>
      <c r="AM191" s="6" t="s">
        <v>328</v>
      </c>
      <c r="AN191" s="7">
        <v>4.84</v>
      </c>
      <c r="AO191" s="8">
        <f t="shared" si="9"/>
        <v>9.0749999999999993</v>
      </c>
      <c r="AP191" s="8">
        <f t="shared" si="10"/>
        <v>10.082324999999999</v>
      </c>
      <c r="AQ191" s="9">
        <f t="shared" si="8"/>
        <v>14.700592499999997</v>
      </c>
    </row>
    <row r="192" spans="1:43" x14ac:dyDescent="0.25">
      <c r="A192">
        <v>28</v>
      </c>
      <c r="B192">
        <v>8</v>
      </c>
      <c r="C192">
        <v>2024</v>
      </c>
      <c r="D192" t="s">
        <v>43</v>
      </c>
      <c r="E192" t="s">
        <v>91</v>
      </c>
      <c r="F192" t="s">
        <v>92</v>
      </c>
      <c r="G192">
        <v>15</v>
      </c>
      <c r="H192">
        <v>1791882490001</v>
      </c>
      <c r="I192" t="s">
        <v>46</v>
      </c>
      <c r="J192" t="s">
        <v>263</v>
      </c>
      <c r="K192" t="s">
        <v>48</v>
      </c>
      <c r="L192" t="s">
        <v>49</v>
      </c>
      <c r="M192" t="s">
        <v>50</v>
      </c>
      <c r="N192" t="s">
        <v>51</v>
      </c>
      <c r="O192">
        <v>8481909090</v>
      </c>
      <c r="P192" t="s">
        <v>103</v>
      </c>
      <c r="Q192" t="s">
        <v>291</v>
      </c>
      <c r="R192" t="s">
        <v>54</v>
      </c>
      <c r="S192" t="s">
        <v>55</v>
      </c>
      <c r="T192">
        <v>8</v>
      </c>
      <c r="U192">
        <v>1</v>
      </c>
      <c r="V192" t="s">
        <v>135</v>
      </c>
      <c r="W192">
        <v>114.32</v>
      </c>
      <c r="X192">
        <v>511.62</v>
      </c>
      <c r="Y192">
        <v>56.53</v>
      </c>
      <c r="Z192">
        <v>3.44</v>
      </c>
      <c r="AA192">
        <v>571.59</v>
      </c>
      <c r="AB192" t="s">
        <v>57</v>
      </c>
      <c r="AC192" t="s">
        <v>94</v>
      </c>
      <c r="AD192" t="s">
        <v>48</v>
      </c>
      <c r="AE192">
        <v>0</v>
      </c>
      <c r="AF192">
        <v>5.89</v>
      </c>
      <c r="AG192" t="s">
        <v>59</v>
      </c>
      <c r="AH192">
        <v>150511</v>
      </c>
      <c r="AI192" t="s">
        <v>60</v>
      </c>
      <c r="AJ192" t="s">
        <v>60</v>
      </c>
      <c r="AK192" t="s">
        <v>54</v>
      </c>
      <c r="AL192">
        <v>2024</v>
      </c>
      <c r="AM192" s="6" t="s">
        <v>329</v>
      </c>
      <c r="AN192" s="7">
        <v>511.62</v>
      </c>
      <c r="AO192" s="8">
        <f t="shared" si="9"/>
        <v>959.28750000000002</v>
      </c>
      <c r="AP192" s="8">
        <f t="shared" si="10"/>
        <v>1065.7684125000001</v>
      </c>
      <c r="AQ192" s="9">
        <f t="shared" si="8"/>
        <v>1553.94982125</v>
      </c>
    </row>
    <row r="193" spans="1:43" x14ac:dyDescent="0.25">
      <c r="A193">
        <v>12</v>
      </c>
      <c r="B193">
        <v>6</v>
      </c>
      <c r="C193">
        <v>2024</v>
      </c>
      <c r="D193" t="s">
        <v>43</v>
      </c>
      <c r="E193" t="s">
        <v>96</v>
      </c>
      <c r="F193" t="s">
        <v>97</v>
      </c>
      <c r="G193">
        <v>15</v>
      </c>
      <c r="H193">
        <v>1791882490001</v>
      </c>
      <c r="I193" t="s">
        <v>46</v>
      </c>
      <c r="J193" t="s">
        <v>65</v>
      </c>
      <c r="K193" t="s">
        <v>48</v>
      </c>
      <c r="L193" t="s">
        <v>49</v>
      </c>
      <c r="M193" t="s">
        <v>50</v>
      </c>
      <c r="N193" t="s">
        <v>51</v>
      </c>
      <c r="O193">
        <v>8421299090</v>
      </c>
      <c r="P193" t="s">
        <v>303</v>
      </c>
      <c r="Q193" t="s">
        <v>305</v>
      </c>
      <c r="R193" t="s">
        <v>54</v>
      </c>
      <c r="S193" t="s">
        <v>55</v>
      </c>
      <c r="T193">
        <v>7</v>
      </c>
      <c r="U193">
        <v>4</v>
      </c>
      <c r="V193" t="s">
        <v>135</v>
      </c>
      <c r="W193">
        <v>0</v>
      </c>
      <c r="X193">
        <v>330.1</v>
      </c>
      <c r="Y193">
        <v>28.63</v>
      </c>
      <c r="Z193">
        <v>2.2200000000000002</v>
      </c>
      <c r="AA193">
        <v>360.95</v>
      </c>
      <c r="AB193" t="s">
        <v>57</v>
      </c>
      <c r="AC193" t="s">
        <v>94</v>
      </c>
      <c r="AD193" t="s">
        <v>48</v>
      </c>
      <c r="AE193">
        <v>0</v>
      </c>
      <c r="AF193">
        <v>7.2</v>
      </c>
      <c r="AG193" t="s">
        <v>59</v>
      </c>
      <c r="AH193" t="s">
        <v>98</v>
      </c>
      <c r="AI193" t="s">
        <v>60</v>
      </c>
      <c r="AJ193" t="s">
        <v>60</v>
      </c>
      <c r="AK193" t="s">
        <v>54</v>
      </c>
      <c r="AL193">
        <v>2024</v>
      </c>
      <c r="AM193" s="6" t="s">
        <v>330</v>
      </c>
      <c r="AN193" s="7">
        <v>82.52</v>
      </c>
      <c r="AO193" s="8">
        <f t="shared" si="9"/>
        <v>154.72499999999999</v>
      </c>
      <c r="AP193" s="8">
        <f t="shared" si="10"/>
        <v>171.899475</v>
      </c>
      <c r="AQ193" s="9">
        <f t="shared" si="8"/>
        <v>250.63902749999997</v>
      </c>
    </row>
    <row r="194" spans="1:43" x14ac:dyDescent="0.25">
      <c r="A194">
        <v>26</v>
      </c>
      <c r="B194">
        <v>12</v>
      </c>
      <c r="C194">
        <v>2024</v>
      </c>
      <c r="D194" t="s">
        <v>43</v>
      </c>
      <c r="E194" t="s">
        <v>222</v>
      </c>
      <c r="F194" t="s">
        <v>223</v>
      </c>
      <c r="G194">
        <v>7</v>
      </c>
      <c r="H194">
        <v>1791882490001</v>
      </c>
      <c r="I194" t="s">
        <v>46</v>
      </c>
      <c r="J194" t="s">
        <v>65</v>
      </c>
      <c r="K194" t="s">
        <v>48</v>
      </c>
      <c r="L194" t="s">
        <v>49</v>
      </c>
      <c r="M194" t="s">
        <v>50</v>
      </c>
      <c r="N194" t="s">
        <v>224</v>
      </c>
      <c r="O194">
        <v>8421299090</v>
      </c>
      <c r="P194" t="s">
        <v>52</v>
      </c>
      <c r="Q194" t="s">
        <v>301</v>
      </c>
      <c r="R194" t="s">
        <v>54</v>
      </c>
      <c r="S194" t="s">
        <v>55</v>
      </c>
      <c r="T194">
        <v>8</v>
      </c>
      <c r="U194">
        <v>3</v>
      </c>
      <c r="V194" t="s">
        <v>135</v>
      </c>
      <c r="W194">
        <v>0</v>
      </c>
      <c r="X194">
        <v>250.91</v>
      </c>
      <c r="Y194">
        <v>51.96</v>
      </c>
      <c r="Z194">
        <v>2.5099999999999998</v>
      </c>
      <c r="AA194">
        <v>305.38</v>
      </c>
      <c r="AB194" t="s">
        <v>57</v>
      </c>
      <c r="AC194" t="s">
        <v>225</v>
      </c>
      <c r="AD194" t="s">
        <v>48</v>
      </c>
      <c r="AE194">
        <v>0</v>
      </c>
      <c r="AF194">
        <v>6.18</v>
      </c>
      <c r="AG194" t="s">
        <v>59</v>
      </c>
      <c r="AH194">
        <v>341996</v>
      </c>
      <c r="AI194" t="s">
        <v>60</v>
      </c>
      <c r="AJ194" t="s">
        <v>60</v>
      </c>
      <c r="AK194" t="s">
        <v>54</v>
      </c>
      <c r="AL194">
        <v>2024</v>
      </c>
      <c r="AM194" s="6" t="s">
        <v>330</v>
      </c>
      <c r="AN194" s="7">
        <v>83.64</v>
      </c>
      <c r="AO194" s="8">
        <f t="shared" si="9"/>
        <v>156.82499999999999</v>
      </c>
      <c r="AP194" s="8">
        <f t="shared" si="10"/>
        <v>174.232575</v>
      </c>
      <c r="AQ194" s="9">
        <f t="shared" si="8"/>
        <v>254.04081749999997</v>
      </c>
    </row>
    <row r="195" spans="1:43" x14ac:dyDescent="0.25">
      <c r="A195">
        <v>17</v>
      </c>
      <c r="B195">
        <v>5</v>
      </c>
      <c r="C195">
        <v>2024</v>
      </c>
      <c r="D195" t="s">
        <v>43</v>
      </c>
      <c r="E195" t="s">
        <v>79</v>
      </c>
      <c r="F195" t="s">
        <v>80</v>
      </c>
      <c r="G195">
        <v>14</v>
      </c>
      <c r="H195">
        <v>1791882490001</v>
      </c>
      <c r="I195" t="s">
        <v>46</v>
      </c>
      <c r="J195" t="s">
        <v>65</v>
      </c>
      <c r="K195" t="s">
        <v>48</v>
      </c>
      <c r="L195" t="s">
        <v>49</v>
      </c>
      <c r="M195" t="s">
        <v>50</v>
      </c>
      <c r="N195" t="s">
        <v>51</v>
      </c>
      <c r="O195">
        <v>8544429000</v>
      </c>
      <c r="P195" t="s">
        <v>66</v>
      </c>
      <c r="Q195" t="s">
        <v>331</v>
      </c>
      <c r="R195" t="s">
        <v>54</v>
      </c>
      <c r="S195" t="s">
        <v>55</v>
      </c>
      <c r="T195">
        <v>6</v>
      </c>
      <c r="U195">
        <v>4</v>
      </c>
      <c r="V195" t="s">
        <v>56</v>
      </c>
      <c r="W195">
        <v>17.059999999999999</v>
      </c>
      <c r="X195">
        <v>368.12</v>
      </c>
      <c r="Y195">
        <v>35.54</v>
      </c>
      <c r="Z195">
        <v>2.4500000000000002</v>
      </c>
      <c r="AA195">
        <v>406.11</v>
      </c>
      <c r="AB195" t="s">
        <v>57</v>
      </c>
      <c r="AC195" t="s">
        <v>81</v>
      </c>
      <c r="AD195" t="s">
        <v>48</v>
      </c>
      <c r="AE195">
        <v>0</v>
      </c>
      <c r="AF195">
        <v>4.33</v>
      </c>
      <c r="AG195" t="s">
        <v>82</v>
      </c>
      <c r="AH195">
        <v>471463</v>
      </c>
      <c r="AI195" t="s">
        <v>60</v>
      </c>
      <c r="AJ195" t="s">
        <v>60</v>
      </c>
      <c r="AK195" t="s">
        <v>54</v>
      </c>
      <c r="AL195">
        <v>2024</v>
      </c>
      <c r="AM195" s="6" t="s">
        <v>332</v>
      </c>
      <c r="AN195" s="7">
        <v>92.03</v>
      </c>
      <c r="AO195" s="8">
        <f t="shared" si="9"/>
        <v>172.55625000000001</v>
      </c>
      <c r="AP195" s="8">
        <f t="shared" si="10"/>
        <v>191.70999375</v>
      </c>
      <c r="AQ195" s="9">
        <f t="shared" ref="AQ195:AQ258" si="11">SUM(AO195)*1.6199</f>
        <v>279.523869375</v>
      </c>
    </row>
    <row r="196" spans="1:43" x14ac:dyDescent="0.25">
      <c r="A196">
        <v>26</v>
      </c>
      <c r="B196">
        <v>12</v>
      </c>
      <c r="C196">
        <v>2024</v>
      </c>
      <c r="D196" t="s">
        <v>43</v>
      </c>
      <c r="E196" t="s">
        <v>222</v>
      </c>
      <c r="F196" t="s">
        <v>223</v>
      </c>
      <c r="G196">
        <v>8</v>
      </c>
      <c r="H196">
        <v>1791882490001</v>
      </c>
      <c r="I196" t="s">
        <v>46</v>
      </c>
      <c r="J196" t="s">
        <v>65</v>
      </c>
      <c r="K196" t="s">
        <v>48</v>
      </c>
      <c r="L196" t="s">
        <v>49</v>
      </c>
      <c r="M196" t="s">
        <v>50</v>
      </c>
      <c r="N196" t="s">
        <v>224</v>
      </c>
      <c r="O196">
        <v>8544429000</v>
      </c>
      <c r="P196" t="s">
        <v>333</v>
      </c>
      <c r="Q196" t="s">
        <v>331</v>
      </c>
      <c r="R196" t="s">
        <v>54</v>
      </c>
      <c r="S196" t="s">
        <v>55</v>
      </c>
      <c r="T196">
        <v>8</v>
      </c>
      <c r="U196">
        <v>5</v>
      </c>
      <c r="V196" t="s">
        <v>56</v>
      </c>
      <c r="W196">
        <v>132.61000000000001</v>
      </c>
      <c r="X196">
        <v>726.4</v>
      </c>
      <c r="Y196">
        <v>150.43</v>
      </c>
      <c r="Z196">
        <v>7.26</v>
      </c>
      <c r="AA196">
        <v>884.09</v>
      </c>
      <c r="AB196" t="s">
        <v>57</v>
      </c>
      <c r="AC196" t="s">
        <v>225</v>
      </c>
      <c r="AD196" t="s">
        <v>48</v>
      </c>
      <c r="AE196">
        <v>0</v>
      </c>
      <c r="AF196">
        <v>10.3</v>
      </c>
      <c r="AG196" t="s">
        <v>59</v>
      </c>
      <c r="AH196">
        <v>341996</v>
      </c>
      <c r="AI196" t="s">
        <v>60</v>
      </c>
      <c r="AJ196" t="s">
        <v>60</v>
      </c>
      <c r="AK196" t="s">
        <v>54</v>
      </c>
      <c r="AL196">
        <v>2024</v>
      </c>
      <c r="AM196" s="6" t="s">
        <v>332</v>
      </c>
      <c r="AN196" s="7">
        <v>145.28</v>
      </c>
      <c r="AO196" s="8">
        <f t="shared" si="9"/>
        <v>272.39999999999998</v>
      </c>
      <c r="AP196" s="8">
        <f t="shared" si="10"/>
        <v>302.63639999999998</v>
      </c>
      <c r="AQ196" s="9">
        <f t="shared" si="11"/>
        <v>441.26075999999995</v>
      </c>
    </row>
    <row r="197" spans="1:43" x14ac:dyDescent="0.25">
      <c r="A197">
        <v>8</v>
      </c>
      <c r="B197">
        <v>7</v>
      </c>
      <c r="C197">
        <v>2024</v>
      </c>
      <c r="D197" t="s">
        <v>43</v>
      </c>
      <c r="E197" t="s">
        <v>75</v>
      </c>
      <c r="F197" t="s">
        <v>76</v>
      </c>
      <c r="G197">
        <v>17</v>
      </c>
      <c r="H197">
        <v>1791882490001</v>
      </c>
      <c r="I197" t="s">
        <v>46</v>
      </c>
      <c r="J197" t="s">
        <v>48</v>
      </c>
      <c r="K197" t="s">
        <v>48</v>
      </c>
      <c r="L197" t="s">
        <v>49</v>
      </c>
      <c r="M197" t="s">
        <v>50</v>
      </c>
      <c r="N197" t="s">
        <v>51</v>
      </c>
      <c r="O197">
        <v>8483909000</v>
      </c>
      <c r="P197" t="s">
        <v>334</v>
      </c>
      <c r="Q197" t="s">
        <v>335</v>
      </c>
      <c r="R197" t="s">
        <v>54</v>
      </c>
      <c r="S197" t="s">
        <v>55</v>
      </c>
      <c r="T197">
        <v>8</v>
      </c>
      <c r="U197">
        <v>1</v>
      </c>
      <c r="V197" t="s">
        <v>135</v>
      </c>
      <c r="W197">
        <v>0</v>
      </c>
      <c r="X197">
        <v>535.95000000000005</v>
      </c>
      <c r="Y197">
        <v>45.79</v>
      </c>
      <c r="Z197">
        <v>3.48</v>
      </c>
      <c r="AA197">
        <v>585.22</v>
      </c>
      <c r="AB197" t="s">
        <v>57</v>
      </c>
      <c r="AC197" t="s">
        <v>77</v>
      </c>
      <c r="AD197" t="s">
        <v>48</v>
      </c>
      <c r="AE197">
        <v>0</v>
      </c>
      <c r="AF197">
        <v>3.55</v>
      </c>
      <c r="AG197" t="s">
        <v>59</v>
      </c>
      <c r="AH197">
        <v>107711</v>
      </c>
      <c r="AI197" t="s">
        <v>60</v>
      </c>
      <c r="AJ197" t="s">
        <v>78</v>
      </c>
      <c r="AK197" t="s">
        <v>54</v>
      </c>
      <c r="AL197">
        <v>2024</v>
      </c>
      <c r="AM197" s="6" t="s">
        <v>336</v>
      </c>
      <c r="AN197" s="7">
        <v>535.95000000000005</v>
      </c>
      <c r="AO197" s="8">
        <f t="shared" si="9"/>
        <v>1004.9062500000001</v>
      </c>
      <c r="AP197" s="8">
        <f t="shared" si="10"/>
        <v>1116.4508437500001</v>
      </c>
      <c r="AQ197" s="9">
        <f t="shared" si="11"/>
        <v>1627.8476343750001</v>
      </c>
    </row>
    <row r="198" spans="1:43" x14ac:dyDescent="0.25">
      <c r="A198">
        <v>8</v>
      </c>
      <c r="B198">
        <v>7</v>
      </c>
      <c r="C198">
        <v>2024</v>
      </c>
      <c r="D198" t="s">
        <v>43</v>
      </c>
      <c r="E198" t="s">
        <v>75</v>
      </c>
      <c r="F198" t="s">
        <v>76</v>
      </c>
      <c r="G198">
        <v>17</v>
      </c>
      <c r="H198">
        <v>1791882490001</v>
      </c>
      <c r="I198" t="s">
        <v>46</v>
      </c>
      <c r="J198" t="s">
        <v>48</v>
      </c>
      <c r="K198" t="s">
        <v>48</v>
      </c>
      <c r="L198" t="s">
        <v>49</v>
      </c>
      <c r="M198" t="s">
        <v>50</v>
      </c>
      <c r="N198" t="s">
        <v>51</v>
      </c>
      <c r="O198">
        <v>8483909000</v>
      </c>
      <c r="P198" t="s">
        <v>334</v>
      </c>
      <c r="Q198" t="s">
        <v>335</v>
      </c>
      <c r="R198" t="s">
        <v>54</v>
      </c>
      <c r="S198" t="s">
        <v>55</v>
      </c>
      <c r="T198">
        <v>8</v>
      </c>
      <c r="U198">
        <v>1</v>
      </c>
      <c r="V198" t="s">
        <v>135</v>
      </c>
      <c r="W198">
        <v>0</v>
      </c>
      <c r="X198">
        <v>535.95000000000005</v>
      </c>
      <c r="Y198">
        <v>45.79</v>
      </c>
      <c r="Z198">
        <v>3.48</v>
      </c>
      <c r="AA198">
        <v>585.22</v>
      </c>
      <c r="AB198" t="s">
        <v>57</v>
      </c>
      <c r="AC198" t="s">
        <v>77</v>
      </c>
      <c r="AD198" t="s">
        <v>48</v>
      </c>
      <c r="AE198">
        <v>0</v>
      </c>
      <c r="AF198">
        <v>3.55</v>
      </c>
      <c r="AG198" t="s">
        <v>59</v>
      </c>
      <c r="AH198">
        <v>107711</v>
      </c>
      <c r="AI198" t="s">
        <v>60</v>
      </c>
      <c r="AJ198" t="s">
        <v>78</v>
      </c>
      <c r="AK198" t="s">
        <v>54</v>
      </c>
      <c r="AL198">
        <v>2024</v>
      </c>
      <c r="AM198" s="6" t="s">
        <v>336</v>
      </c>
      <c r="AN198" s="7">
        <v>535.95000000000005</v>
      </c>
      <c r="AO198" s="8">
        <f t="shared" si="9"/>
        <v>1004.9062500000001</v>
      </c>
      <c r="AP198" s="8">
        <f t="shared" si="10"/>
        <v>1116.4508437500001</v>
      </c>
      <c r="AQ198" s="9">
        <f t="shared" si="11"/>
        <v>1627.8476343750001</v>
      </c>
    </row>
    <row r="199" spans="1:43" x14ac:dyDescent="0.25">
      <c r="A199">
        <v>19</v>
      </c>
      <c r="B199">
        <v>8</v>
      </c>
      <c r="C199">
        <v>2024</v>
      </c>
      <c r="D199" t="s">
        <v>43</v>
      </c>
      <c r="E199" t="s">
        <v>84</v>
      </c>
      <c r="F199" t="s">
        <v>85</v>
      </c>
      <c r="G199">
        <v>15</v>
      </c>
      <c r="H199">
        <v>1791882490001</v>
      </c>
      <c r="I199" t="s">
        <v>46</v>
      </c>
      <c r="J199" t="s">
        <v>337</v>
      </c>
      <c r="K199" t="s">
        <v>48</v>
      </c>
      <c r="L199" t="s">
        <v>49</v>
      </c>
      <c r="M199" t="s">
        <v>50</v>
      </c>
      <c r="N199" t="s">
        <v>51</v>
      </c>
      <c r="O199">
        <v>8483904000</v>
      </c>
      <c r="P199" t="s">
        <v>338</v>
      </c>
      <c r="Q199" t="s">
        <v>339</v>
      </c>
      <c r="R199" t="s">
        <v>54</v>
      </c>
      <c r="S199" t="s">
        <v>55</v>
      </c>
      <c r="T199">
        <v>6</v>
      </c>
      <c r="U199">
        <v>1</v>
      </c>
      <c r="V199" t="s">
        <v>135</v>
      </c>
      <c r="W199">
        <v>0</v>
      </c>
      <c r="X199">
        <v>516.13</v>
      </c>
      <c r="Y199">
        <v>66.599999999999994</v>
      </c>
      <c r="Z199">
        <v>3.53</v>
      </c>
      <c r="AA199">
        <v>586.26</v>
      </c>
      <c r="AB199" t="s">
        <v>57</v>
      </c>
      <c r="AC199" t="s">
        <v>58</v>
      </c>
      <c r="AD199" t="s">
        <v>48</v>
      </c>
      <c r="AE199">
        <v>0</v>
      </c>
      <c r="AF199">
        <v>1.39</v>
      </c>
      <c r="AG199" t="s">
        <v>59</v>
      </c>
      <c r="AH199">
        <v>144527</v>
      </c>
      <c r="AI199" t="s">
        <v>60</v>
      </c>
      <c r="AJ199" t="s">
        <v>60</v>
      </c>
      <c r="AK199" t="s">
        <v>54</v>
      </c>
      <c r="AL199">
        <v>2024</v>
      </c>
      <c r="AM199" s="6" t="s">
        <v>336</v>
      </c>
      <c r="AN199" s="7">
        <v>516.13</v>
      </c>
      <c r="AO199" s="8">
        <f t="shared" si="9"/>
        <v>967.74374999999998</v>
      </c>
      <c r="AP199" s="8">
        <f t="shared" si="10"/>
        <v>1075.16330625</v>
      </c>
      <c r="AQ199" s="9">
        <f t="shared" si="11"/>
        <v>1567.6481006249999</v>
      </c>
    </row>
    <row r="200" spans="1:43" x14ac:dyDescent="0.25">
      <c r="A200">
        <v>16</v>
      </c>
      <c r="B200">
        <v>12</v>
      </c>
      <c r="C200">
        <v>2024</v>
      </c>
      <c r="D200" t="s">
        <v>43</v>
      </c>
      <c r="E200" t="s">
        <v>128</v>
      </c>
      <c r="F200" t="s">
        <v>129</v>
      </c>
      <c r="G200">
        <v>11</v>
      </c>
      <c r="H200">
        <v>1791882490001</v>
      </c>
      <c r="I200" t="s">
        <v>46</v>
      </c>
      <c r="J200" t="s">
        <v>337</v>
      </c>
      <c r="K200" t="s">
        <v>48</v>
      </c>
      <c r="L200" t="s">
        <v>49</v>
      </c>
      <c r="M200" t="s">
        <v>50</v>
      </c>
      <c r="N200" t="s">
        <v>51</v>
      </c>
      <c r="O200">
        <v>8483904000</v>
      </c>
      <c r="P200" t="s">
        <v>340</v>
      </c>
      <c r="Q200" t="s">
        <v>341</v>
      </c>
      <c r="R200" t="s">
        <v>54</v>
      </c>
      <c r="S200" t="s">
        <v>55</v>
      </c>
      <c r="T200">
        <v>9</v>
      </c>
      <c r="U200">
        <v>1</v>
      </c>
      <c r="V200" t="s">
        <v>135</v>
      </c>
      <c r="W200">
        <v>0</v>
      </c>
      <c r="X200">
        <v>521.46</v>
      </c>
      <c r="Y200">
        <v>68.290000000000006</v>
      </c>
      <c r="Z200">
        <v>3.58</v>
      </c>
      <c r="AA200">
        <v>593.33000000000004</v>
      </c>
      <c r="AB200" t="s">
        <v>57</v>
      </c>
      <c r="AC200" t="s">
        <v>131</v>
      </c>
      <c r="AD200" t="s">
        <v>48</v>
      </c>
      <c r="AE200">
        <v>0</v>
      </c>
      <c r="AF200">
        <v>1.99</v>
      </c>
      <c r="AG200" t="s">
        <v>59</v>
      </c>
      <c r="AH200">
        <v>325395</v>
      </c>
      <c r="AI200" t="s">
        <v>60</v>
      </c>
      <c r="AJ200" t="s">
        <v>78</v>
      </c>
      <c r="AK200" t="s">
        <v>54</v>
      </c>
      <c r="AL200">
        <v>2024</v>
      </c>
      <c r="AM200" s="6" t="s">
        <v>336</v>
      </c>
      <c r="AN200" s="7">
        <v>521.46</v>
      </c>
      <c r="AO200" s="8">
        <f t="shared" si="9"/>
        <v>977.73750000000007</v>
      </c>
      <c r="AP200" s="8">
        <f t="shared" si="10"/>
        <v>1086.2663625</v>
      </c>
      <c r="AQ200" s="9">
        <f t="shared" si="11"/>
        <v>1583.8369762499999</v>
      </c>
    </row>
    <row r="201" spans="1:43" x14ac:dyDescent="0.25">
      <c r="A201">
        <v>1</v>
      </c>
      <c r="B201">
        <v>2</v>
      </c>
      <c r="C201">
        <v>2024</v>
      </c>
      <c r="D201" t="s">
        <v>43</v>
      </c>
      <c r="E201" t="s">
        <v>174</v>
      </c>
      <c r="F201" t="s">
        <v>175</v>
      </c>
      <c r="G201">
        <v>4</v>
      </c>
      <c r="H201">
        <v>1791882490001</v>
      </c>
      <c r="I201" t="s">
        <v>46</v>
      </c>
      <c r="J201" t="s">
        <v>48</v>
      </c>
      <c r="K201" t="s">
        <v>48</v>
      </c>
      <c r="L201" t="s">
        <v>49</v>
      </c>
      <c r="M201" t="s">
        <v>50</v>
      </c>
      <c r="N201" t="s">
        <v>51</v>
      </c>
      <c r="O201">
        <v>8544429000</v>
      </c>
      <c r="P201" t="s">
        <v>66</v>
      </c>
      <c r="Q201" t="s">
        <v>331</v>
      </c>
      <c r="R201" t="s">
        <v>54</v>
      </c>
      <c r="S201" t="s">
        <v>55</v>
      </c>
      <c r="T201">
        <v>5</v>
      </c>
      <c r="U201">
        <v>2</v>
      </c>
      <c r="V201" t="s">
        <v>56</v>
      </c>
      <c r="W201">
        <v>4.1399999999999997</v>
      </c>
      <c r="X201">
        <v>91.26</v>
      </c>
      <c r="Y201">
        <v>6.78</v>
      </c>
      <c r="Z201">
        <v>0.55000000000000004</v>
      </c>
      <c r="AA201">
        <v>98.59</v>
      </c>
      <c r="AB201" t="s">
        <v>54</v>
      </c>
      <c r="AC201" t="s">
        <v>94</v>
      </c>
      <c r="AD201" t="s">
        <v>48</v>
      </c>
      <c r="AE201">
        <v>0</v>
      </c>
      <c r="AF201">
        <v>3.97</v>
      </c>
      <c r="AG201" t="s">
        <v>59</v>
      </c>
      <c r="AH201">
        <v>863266</v>
      </c>
      <c r="AI201" t="s">
        <v>60</v>
      </c>
      <c r="AJ201" t="s">
        <v>60</v>
      </c>
      <c r="AK201" t="s">
        <v>54</v>
      </c>
      <c r="AL201">
        <v>2023</v>
      </c>
      <c r="AM201" s="6" t="s">
        <v>342</v>
      </c>
      <c r="AN201" s="7">
        <v>45.63</v>
      </c>
      <c r="AO201" s="8">
        <f t="shared" si="9"/>
        <v>85.556250000000006</v>
      </c>
      <c r="AP201" s="8">
        <f t="shared" si="10"/>
        <v>95.052993749999999</v>
      </c>
      <c r="AQ201" s="9">
        <f t="shared" si="11"/>
        <v>138.59256937500001</v>
      </c>
    </row>
    <row r="202" spans="1:43" x14ac:dyDescent="0.25">
      <c r="A202">
        <v>13</v>
      </c>
      <c r="B202">
        <v>3</v>
      </c>
      <c r="C202">
        <v>2024</v>
      </c>
      <c r="D202" t="s">
        <v>43</v>
      </c>
      <c r="E202" t="s">
        <v>69</v>
      </c>
      <c r="F202" t="s">
        <v>70</v>
      </c>
      <c r="G202">
        <v>12</v>
      </c>
      <c r="H202">
        <v>1791882490001</v>
      </c>
      <c r="I202" t="s">
        <v>46</v>
      </c>
      <c r="J202" t="s">
        <v>48</v>
      </c>
      <c r="K202" t="s">
        <v>48</v>
      </c>
      <c r="L202" t="s">
        <v>49</v>
      </c>
      <c r="M202" t="s">
        <v>50</v>
      </c>
      <c r="N202" t="s">
        <v>51</v>
      </c>
      <c r="O202">
        <v>8544429000</v>
      </c>
      <c r="P202" t="s">
        <v>66</v>
      </c>
      <c r="Q202" t="s">
        <v>331</v>
      </c>
      <c r="R202" t="s">
        <v>54</v>
      </c>
      <c r="S202" t="s">
        <v>55</v>
      </c>
      <c r="T202">
        <v>11</v>
      </c>
      <c r="U202">
        <v>4</v>
      </c>
      <c r="V202" t="s">
        <v>56</v>
      </c>
      <c r="W202">
        <v>8.75</v>
      </c>
      <c r="X202">
        <v>183.21</v>
      </c>
      <c r="Y202">
        <v>23.99</v>
      </c>
      <c r="Z202">
        <v>1.23</v>
      </c>
      <c r="AA202">
        <v>208.43</v>
      </c>
      <c r="AB202" t="s">
        <v>54</v>
      </c>
      <c r="AC202" t="s">
        <v>71</v>
      </c>
      <c r="AD202" t="s">
        <v>48</v>
      </c>
      <c r="AE202">
        <v>0</v>
      </c>
      <c r="AF202">
        <v>8.16</v>
      </c>
      <c r="AG202" t="s">
        <v>59</v>
      </c>
      <c r="AH202">
        <v>895279</v>
      </c>
      <c r="AI202" t="s">
        <v>60</v>
      </c>
      <c r="AJ202" t="s">
        <v>60</v>
      </c>
      <c r="AK202" t="s">
        <v>54</v>
      </c>
      <c r="AL202">
        <v>2024</v>
      </c>
      <c r="AM202" s="6" t="s">
        <v>342</v>
      </c>
      <c r="AN202" s="7">
        <v>45.8</v>
      </c>
      <c r="AO202" s="8">
        <f t="shared" si="9"/>
        <v>85.875</v>
      </c>
      <c r="AP202" s="8">
        <f t="shared" si="10"/>
        <v>95.407124999999994</v>
      </c>
      <c r="AQ202" s="9">
        <f t="shared" si="11"/>
        <v>139.1089125</v>
      </c>
    </row>
    <row r="203" spans="1:43" x14ac:dyDescent="0.25">
      <c r="A203">
        <v>17</v>
      </c>
      <c r="B203">
        <v>5</v>
      </c>
      <c r="C203">
        <v>2024</v>
      </c>
      <c r="D203" t="s">
        <v>43</v>
      </c>
      <c r="E203" t="s">
        <v>79</v>
      </c>
      <c r="F203" t="s">
        <v>80</v>
      </c>
      <c r="G203">
        <v>15</v>
      </c>
      <c r="H203">
        <v>1791882490001</v>
      </c>
      <c r="I203" t="s">
        <v>46</v>
      </c>
      <c r="J203" t="s">
        <v>343</v>
      </c>
      <c r="K203" t="s">
        <v>48</v>
      </c>
      <c r="L203" t="s">
        <v>49</v>
      </c>
      <c r="M203" t="s">
        <v>50</v>
      </c>
      <c r="N203" t="s">
        <v>51</v>
      </c>
      <c r="O203">
        <v>8544429000</v>
      </c>
      <c r="P203" t="s">
        <v>66</v>
      </c>
      <c r="Q203" t="s">
        <v>331</v>
      </c>
      <c r="R203" t="s">
        <v>54</v>
      </c>
      <c r="S203" t="s">
        <v>55</v>
      </c>
      <c r="T203">
        <v>6</v>
      </c>
      <c r="U203">
        <v>2</v>
      </c>
      <c r="V203" t="s">
        <v>56</v>
      </c>
      <c r="W203">
        <v>4.3899999999999997</v>
      </c>
      <c r="X203">
        <v>94.74</v>
      </c>
      <c r="Y203">
        <v>9.15</v>
      </c>
      <c r="Z203">
        <v>0.63</v>
      </c>
      <c r="AA203">
        <v>104.51</v>
      </c>
      <c r="AB203" t="s">
        <v>57</v>
      </c>
      <c r="AC203" t="s">
        <v>81</v>
      </c>
      <c r="AD203" t="s">
        <v>48</v>
      </c>
      <c r="AE203">
        <v>0</v>
      </c>
      <c r="AF203">
        <v>2.16</v>
      </c>
      <c r="AG203" t="s">
        <v>82</v>
      </c>
      <c r="AH203">
        <v>471463</v>
      </c>
      <c r="AI203" t="s">
        <v>60</v>
      </c>
      <c r="AJ203" t="s">
        <v>60</v>
      </c>
      <c r="AK203" t="s">
        <v>54</v>
      </c>
      <c r="AL203">
        <v>2024</v>
      </c>
      <c r="AM203" s="6" t="s">
        <v>342</v>
      </c>
      <c r="AN203" s="7">
        <v>47.37</v>
      </c>
      <c r="AO203" s="8">
        <f t="shared" si="9"/>
        <v>88.818749999999994</v>
      </c>
      <c r="AP203" s="8">
        <f t="shared" si="10"/>
        <v>98.67763124999999</v>
      </c>
      <c r="AQ203" s="9">
        <f t="shared" si="11"/>
        <v>143.87749312499997</v>
      </c>
    </row>
    <row r="204" spans="1:43" x14ac:dyDescent="0.25">
      <c r="A204">
        <v>10</v>
      </c>
      <c r="B204">
        <v>10</v>
      </c>
      <c r="C204">
        <v>2024</v>
      </c>
      <c r="D204" t="s">
        <v>43</v>
      </c>
      <c r="E204" t="s">
        <v>44</v>
      </c>
      <c r="F204" t="s">
        <v>45</v>
      </c>
      <c r="G204">
        <v>18</v>
      </c>
      <c r="H204">
        <v>1791882490001</v>
      </c>
      <c r="I204" t="s">
        <v>46</v>
      </c>
      <c r="J204" t="s">
        <v>343</v>
      </c>
      <c r="K204" t="s">
        <v>48</v>
      </c>
      <c r="L204" t="s">
        <v>49</v>
      </c>
      <c r="M204" t="s">
        <v>50</v>
      </c>
      <c r="N204" t="s">
        <v>51</v>
      </c>
      <c r="O204">
        <v>8544429000</v>
      </c>
      <c r="P204" t="s">
        <v>333</v>
      </c>
      <c r="Q204" t="s">
        <v>331</v>
      </c>
      <c r="R204" t="s">
        <v>54</v>
      </c>
      <c r="S204" t="s">
        <v>55</v>
      </c>
      <c r="T204">
        <v>7</v>
      </c>
      <c r="U204">
        <v>2</v>
      </c>
      <c r="V204" t="s">
        <v>56</v>
      </c>
      <c r="W204">
        <v>16.96</v>
      </c>
      <c r="X204">
        <v>95.65</v>
      </c>
      <c r="Y204">
        <v>16.71</v>
      </c>
      <c r="Z204">
        <v>0.69</v>
      </c>
      <c r="AA204">
        <v>113.06</v>
      </c>
      <c r="AB204" t="s">
        <v>57</v>
      </c>
      <c r="AC204" t="s">
        <v>58</v>
      </c>
      <c r="AD204" t="s">
        <v>48</v>
      </c>
      <c r="AE204">
        <v>0</v>
      </c>
      <c r="AF204">
        <v>1.03</v>
      </c>
      <c r="AG204" t="s">
        <v>59</v>
      </c>
      <c r="AH204">
        <v>179772</v>
      </c>
      <c r="AI204" t="s">
        <v>60</v>
      </c>
      <c r="AJ204" t="s">
        <v>60</v>
      </c>
      <c r="AK204" t="s">
        <v>54</v>
      </c>
      <c r="AL204">
        <v>2024</v>
      </c>
      <c r="AM204" s="6" t="s">
        <v>342</v>
      </c>
      <c r="AN204" s="7">
        <v>47.83</v>
      </c>
      <c r="AO204" s="8">
        <f t="shared" si="9"/>
        <v>89.681249999999991</v>
      </c>
      <c r="AP204" s="8">
        <f t="shared" si="10"/>
        <v>99.635868749999986</v>
      </c>
      <c r="AQ204" s="9">
        <f t="shared" si="11"/>
        <v>145.27465687499998</v>
      </c>
    </row>
    <row r="205" spans="1:43" x14ac:dyDescent="0.25">
      <c r="A205">
        <v>28</v>
      </c>
      <c r="B205">
        <v>8</v>
      </c>
      <c r="C205">
        <v>2024</v>
      </c>
      <c r="D205" t="s">
        <v>43</v>
      </c>
      <c r="E205" t="s">
        <v>91</v>
      </c>
      <c r="F205" t="s">
        <v>92</v>
      </c>
      <c r="G205">
        <v>16</v>
      </c>
      <c r="H205">
        <v>1791882490001</v>
      </c>
      <c r="I205" t="s">
        <v>46</v>
      </c>
      <c r="J205" t="s">
        <v>263</v>
      </c>
      <c r="K205" t="s">
        <v>48</v>
      </c>
      <c r="L205" t="s">
        <v>49</v>
      </c>
      <c r="M205" t="s">
        <v>50</v>
      </c>
      <c r="N205" t="s">
        <v>51</v>
      </c>
      <c r="O205">
        <v>8481909090</v>
      </c>
      <c r="P205" t="s">
        <v>103</v>
      </c>
      <c r="Q205" t="s">
        <v>344</v>
      </c>
      <c r="R205" t="s">
        <v>54</v>
      </c>
      <c r="S205" t="s">
        <v>55</v>
      </c>
      <c r="T205">
        <v>8</v>
      </c>
      <c r="U205">
        <v>1</v>
      </c>
      <c r="V205" t="s">
        <v>135</v>
      </c>
      <c r="W205">
        <v>160.46</v>
      </c>
      <c r="X205">
        <v>718.14</v>
      </c>
      <c r="Y205">
        <v>79.349999999999994</v>
      </c>
      <c r="Z205">
        <v>4.83</v>
      </c>
      <c r="AA205">
        <v>802.32</v>
      </c>
      <c r="AB205" t="s">
        <v>57</v>
      </c>
      <c r="AC205" t="s">
        <v>94</v>
      </c>
      <c r="AD205" t="s">
        <v>48</v>
      </c>
      <c r="AE205">
        <v>0</v>
      </c>
      <c r="AF205">
        <v>8.27</v>
      </c>
      <c r="AG205" t="s">
        <v>59</v>
      </c>
      <c r="AH205">
        <v>150511</v>
      </c>
      <c r="AI205" t="s">
        <v>60</v>
      </c>
      <c r="AJ205" t="s">
        <v>60</v>
      </c>
      <c r="AK205" t="s">
        <v>54</v>
      </c>
      <c r="AL205">
        <v>2024</v>
      </c>
      <c r="AM205" s="6" t="s">
        <v>345</v>
      </c>
      <c r="AN205" s="7">
        <v>718.14</v>
      </c>
      <c r="AO205" s="8">
        <f t="shared" si="9"/>
        <v>1346.5125</v>
      </c>
      <c r="AP205" s="8">
        <f t="shared" si="10"/>
        <v>1495.9753875000001</v>
      </c>
      <c r="AQ205" s="9">
        <f t="shared" si="11"/>
        <v>2181.21559875</v>
      </c>
    </row>
    <row r="206" spans="1:43" x14ac:dyDescent="0.25">
      <c r="A206">
        <v>11</v>
      </c>
      <c r="B206">
        <v>7</v>
      </c>
      <c r="C206">
        <v>2024</v>
      </c>
      <c r="D206" t="s">
        <v>43</v>
      </c>
      <c r="E206" t="s">
        <v>116</v>
      </c>
      <c r="F206" t="s">
        <v>117</v>
      </c>
      <c r="G206">
        <v>9</v>
      </c>
      <c r="H206">
        <v>1791882490001</v>
      </c>
      <c r="I206" t="s">
        <v>46</v>
      </c>
      <c r="J206" t="s">
        <v>65</v>
      </c>
      <c r="K206" t="s">
        <v>48</v>
      </c>
      <c r="L206" t="s">
        <v>119</v>
      </c>
      <c r="M206" t="s">
        <v>120</v>
      </c>
      <c r="N206" t="s">
        <v>121</v>
      </c>
      <c r="O206">
        <v>8421999000</v>
      </c>
      <c r="P206" t="s">
        <v>66</v>
      </c>
      <c r="Q206" t="s">
        <v>309</v>
      </c>
      <c r="R206" t="s">
        <v>54</v>
      </c>
      <c r="S206" t="s">
        <v>55</v>
      </c>
      <c r="T206">
        <v>9</v>
      </c>
      <c r="U206">
        <v>2</v>
      </c>
      <c r="V206" t="s">
        <v>135</v>
      </c>
      <c r="W206">
        <v>0</v>
      </c>
      <c r="X206">
        <v>195.34</v>
      </c>
      <c r="Y206">
        <v>17.59</v>
      </c>
      <c r="Z206">
        <v>1.31</v>
      </c>
      <c r="AA206">
        <v>214.24</v>
      </c>
      <c r="AB206" t="s">
        <v>124</v>
      </c>
      <c r="AC206" t="s">
        <v>125</v>
      </c>
      <c r="AD206" t="s">
        <v>48</v>
      </c>
      <c r="AE206">
        <v>0</v>
      </c>
      <c r="AF206">
        <v>4.03</v>
      </c>
      <c r="AG206" t="s">
        <v>59</v>
      </c>
      <c r="AH206">
        <v>486256</v>
      </c>
      <c r="AI206" t="s">
        <v>60</v>
      </c>
      <c r="AJ206" t="s">
        <v>78</v>
      </c>
      <c r="AK206" t="s">
        <v>54</v>
      </c>
      <c r="AL206">
        <v>2024</v>
      </c>
      <c r="AM206" s="6" t="s">
        <v>346</v>
      </c>
      <c r="AN206" s="7">
        <v>97.67</v>
      </c>
      <c r="AO206" s="8">
        <f t="shared" si="9"/>
        <v>183.13124999999999</v>
      </c>
      <c r="AP206" s="8">
        <f t="shared" si="10"/>
        <v>203.45881874999998</v>
      </c>
      <c r="AQ206" s="9">
        <f t="shared" si="11"/>
        <v>296.65431187499996</v>
      </c>
    </row>
    <row r="207" spans="1:43" x14ac:dyDescent="0.25">
      <c r="A207">
        <v>1</v>
      </c>
      <c r="B207">
        <v>2</v>
      </c>
      <c r="C207">
        <v>2024</v>
      </c>
      <c r="D207" t="s">
        <v>43</v>
      </c>
      <c r="E207" t="s">
        <v>174</v>
      </c>
      <c r="F207" t="s">
        <v>175</v>
      </c>
      <c r="G207">
        <v>5</v>
      </c>
      <c r="H207">
        <v>1791882490001</v>
      </c>
      <c r="I207" t="s">
        <v>46</v>
      </c>
      <c r="J207" t="s">
        <v>48</v>
      </c>
      <c r="K207" t="s">
        <v>48</v>
      </c>
      <c r="L207" t="s">
        <v>49</v>
      </c>
      <c r="M207" t="s">
        <v>50</v>
      </c>
      <c r="N207" t="s">
        <v>51</v>
      </c>
      <c r="O207">
        <v>9026101200</v>
      </c>
      <c r="P207" t="s">
        <v>347</v>
      </c>
      <c r="Q207" t="s">
        <v>348</v>
      </c>
      <c r="R207" t="s">
        <v>54</v>
      </c>
      <c r="S207" t="s">
        <v>55</v>
      </c>
      <c r="T207">
        <v>5</v>
      </c>
      <c r="U207">
        <v>2</v>
      </c>
      <c r="V207" t="s">
        <v>135</v>
      </c>
      <c r="W207">
        <v>0</v>
      </c>
      <c r="X207">
        <v>267.94</v>
      </c>
      <c r="Y207">
        <v>19.920000000000002</v>
      </c>
      <c r="Z207">
        <v>1.6</v>
      </c>
      <c r="AA207">
        <v>289.45999999999998</v>
      </c>
      <c r="AB207" t="s">
        <v>54</v>
      </c>
      <c r="AC207" t="s">
        <v>94</v>
      </c>
      <c r="AD207" t="s">
        <v>48</v>
      </c>
      <c r="AE207">
        <v>0</v>
      </c>
      <c r="AF207">
        <v>3.97</v>
      </c>
      <c r="AG207" t="s">
        <v>59</v>
      </c>
      <c r="AH207">
        <v>863266</v>
      </c>
      <c r="AI207" t="s">
        <v>60</v>
      </c>
      <c r="AJ207" t="s">
        <v>60</v>
      </c>
      <c r="AK207" t="s">
        <v>54</v>
      </c>
      <c r="AL207">
        <v>2023</v>
      </c>
      <c r="AM207" s="6" t="s">
        <v>349</v>
      </c>
      <c r="AN207" s="7">
        <v>133.97</v>
      </c>
      <c r="AO207" s="8">
        <f t="shared" si="9"/>
        <v>251.19374999999999</v>
      </c>
      <c r="AP207" s="8">
        <f t="shared" si="10"/>
        <v>279.07625624999997</v>
      </c>
      <c r="AQ207" s="9">
        <f t="shared" si="11"/>
        <v>406.90875562499997</v>
      </c>
    </row>
    <row r="208" spans="1:43" x14ac:dyDescent="0.25">
      <c r="A208">
        <v>15</v>
      </c>
      <c r="B208">
        <v>4</v>
      </c>
      <c r="C208">
        <v>2024</v>
      </c>
      <c r="D208" t="s">
        <v>43</v>
      </c>
      <c r="E208" t="s">
        <v>63</v>
      </c>
      <c r="F208" t="s">
        <v>64</v>
      </c>
      <c r="G208">
        <v>16</v>
      </c>
      <c r="H208">
        <v>1791882490001</v>
      </c>
      <c r="I208" t="s">
        <v>46</v>
      </c>
      <c r="J208" t="s">
        <v>343</v>
      </c>
      <c r="K208" t="s">
        <v>48</v>
      </c>
      <c r="L208" t="s">
        <v>49</v>
      </c>
      <c r="M208" t="s">
        <v>50</v>
      </c>
      <c r="N208" t="s">
        <v>51</v>
      </c>
      <c r="O208">
        <v>8483904000</v>
      </c>
      <c r="P208" t="s">
        <v>338</v>
      </c>
      <c r="Q208" t="s">
        <v>350</v>
      </c>
      <c r="R208" t="s">
        <v>54</v>
      </c>
      <c r="S208" t="s">
        <v>55</v>
      </c>
      <c r="T208">
        <v>6</v>
      </c>
      <c r="U208">
        <v>1</v>
      </c>
      <c r="V208" t="s">
        <v>135</v>
      </c>
      <c r="W208">
        <v>0</v>
      </c>
      <c r="X208">
        <v>827.6</v>
      </c>
      <c r="Y208">
        <v>87.11</v>
      </c>
      <c r="Z208">
        <v>5.56</v>
      </c>
      <c r="AA208">
        <v>920.27</v>
      </c>
      <c r="AB208" t="s">
        <v>57</v>
      </c>
      <c r="AC208" t="s">
        <v>58</v>
      </c>
      <c r="AD208" t="s">
        <v>48</v>
      </c>
      <c r="AE208">
        <v>0</v>
      </c>
      <c r="AF208">
        <v>7.93</v>
      </c>
      <c r="AG208" t="s">
        <v>59</v>
      </c>
      <c r="AH208">
        <v>443965</v>
      </c>
      <c r="AI208" t="s">
        <v>60</v>
      </c>
      <c r="AJ208" t="s">
        <v>60</v>
      </c>
      <c r="AK208" t="s">
        <v>54</v>
      </c>
      <c r="AL208">
        <v>2024</v>
      </c>
      <c r="AM208" s="6" t="s">
        <v>351</v>
      </c>
      <c r="AN208" s="7">
        <v>827.6</v>
      </c>
      <c r="AO208" s="8">
        <f t="shared" si="9"/>
        <v>1551.75</v>
      </c>
      <c r="AP208" s="8">
        <f t="shared" si="10"/>
        <v>1723.99425</v>
      </c>
      <c r="AQ208" s="9">
        <f t="shared" si="11"/>
        <v>2513.6798249999997</v>
      </c>
    </row>
    <row r="209" spans="1:43" x14ac:dyDescent="0.25">
      <c r="A209">
        <v>15</v>
      </c>
      <c r="B209">
        <v>4</v>
      </c>
      <c r="C209">
        <v>2024</v>
      </c>
      <c r="D209" t="s">
        <v>43</v>
      </c>
      <c r="E209" t="s">
        <v>63</v>
      </c>
      <c r="F209" t="s">
        <v>64</v>
      </c>
      <c r="G209">
        <v>17</v>
      </c>
      <c r="H209">
        <v>1791882490001</v>
      </c>
      <c r="I209" t="s">
        <v>46</v>
      </c>
      <c r="J209" t="s">
        <v>343</v>
      </c>
      <c r="K209" t="s">
        <v>48</v>
      </c>
      <c r="L209" t="s">
        <v>49</v>
      </c>
      <c r="M209" t="s">
        <v>50</v>
      </c>
      <c r="N209" t="s">
        <v>51</v>
      </c>
      <c r="O209">
        <v>8483904000</v>
      </c>
      <c r="P209" t="s">
        <v>338</v>
      </c>
      <c r="Q209" t="s">
        <v>350</v>
      </c>
      <c r="R209" t="s">
        <v>54</v>
      </c>
      <c r="S209" t="s">
        <v>55</v>
      </c>
      <c r="T209">
        <v>6</v>
      </c>
      <c r="U209">
        <v>1</v>
      </c>
      <c r="V209" t="s">
        <v>135</v>
      </c>
      <c r="W209">
        <v>0</v>
      </c>
      <c r="X209">
        <v>327.33</v>
      </c>
      <c r="Y209">
        <v>34.46</v>
      </c>
      <c r="Z209">
        <v>2.2000000000000002</v>
      </c>
      <c r="AA209">
        <v>363.99</v>
      </c>
      <c r="AB209" t="s">
        <v>57</v>
      </c>
      <c r="AC209" t="s">
        <v>58</v>
      </c>
      <c r="AD209" t="s">
        <v>48</v>
      </c>
      <c r="AE209">
        <v>0</v>
      </c>
      <c r="AF209">
        <v>3.14</v>
      </c>
      <c r="AG209" t="s">
        <v>59</v>
      </c>
      <c r="AH209">
        <v>443965</v>
      </c>
      <c r="AI209" t="s">
        <v>60</v>
      </c>
      <c r="AJ209" t="s">
        <v>60</v>
      </c>
      <c r="AK209" t="s">
        <v>54</v>
      </c>
      <c r="AL209">
        <v>2024</v>
      </c>
      <c r="AM209" s="6" t="s">
        <v>352</v>
      </c>
      <c r="AN209" s="7">
        <v>327.33</v>
      </c>
      <c r="AO209" s="8">
        <f t="shared" si="9"/>
        <v>613.74374999999998</v>
      </c>
      <c r="AP209" s="8">
        <f t="shared" si="10"/>
        <v>681.86930625000002</v>
      </c>
      <c r="AQ209" s="9">
        <f t="shared" si="11"/>
        <v>994.20350062499995</v>
      </c>
    </row>
    <row r="210" spans="1:43" x14ac:dyDescent="0.25">
      <c r="A210">
        <v>13</v>
      </c>
      <c r="B210">
        <v>3</v>
      </c>
      <c r="C210">
        <v>2024</v>
      </c>
      <c r="D210" t="s">
        <v>43</v>
      </c>
      <c r="E210" t="s">
        <v>69</v>
      </c>
      <c r="F210" t="s">
        <v>70</v>
      </c>
      <c r="G210">
        <v>13</v>
      </c>
      <c r="H210">
        <v>1791882490001</v>
      </c>
      <c r="I210" t="s">
        <v>46</v>
      </c>
      <c r="J210" t="s">
        <v>48</v>
      </c>
      <c r="K210" t="s">
        <v>48</v>
      </c>
      <c r="L210" t="s">
        <v>49</v>
      </c>
      <c r="M210" t="s">
        <v>50</v>
      </c>
      <c r="N210" t="s">
        <v>51</v>
      </c>
      <c r="O210">
        <v>8487909000</v>
      </c>
      <c r="P210" t="s">
        <v>66</v>
      </c>
      <c r="Q210" t="s">
        <v>353</v>
      </c>
      <c r="R210" t="s">
        <v>54</v>
      </c>
      <c r="S210" t="s">
        <v>55</v>
      </c>
      <c r="T210">
        <v>11</v>
      </c>
      <c r="U210">
        <v>1</v>
      </c>
      <c r="V210" t="s">
        <v>135</v>
      </c>
      <c r="W210">
        <v>0</v>
      </c>
      <c r="X210">
        <v>25.75</v>
      </c>
      <c r="Y210">
        <v>3.37</v>
      </c>
      <c r="Z210">
        <v>0.17</v>
      </c>
      <c r="AA210">
        <v>29.3</v>
      </c>
      <c r="AB210" t="s">
        <v>54</v>
      </c>
      <c r="AC210" t="s">
        <v>71</v>
      </c>
      <c r="AD210" t="s">
        <v>48</v>
      </c>
      <c r="AE210">
        <v>0</v>
      </c>
      <c r="AF210">
        <v>2.04</v>
      </c>
      <c r="AG210" t="s">
        <v>59</v>
      </c>
      <c r="AH210">
        <v>895279</v>
      </c>
      <c r="AI210" t="s">
        <v>60</v>
      </c>
      <c r="AJ210" t="s">
        <v>60</v>
      </c>
      <c r="AK210" t="s">
        <v>54</v>
      </c>
      <c r="AL210">
        <v>2024</v>
      </c>
      <c r="AM210" s="6" t="s">
        <v>354</v>
      </c>
      <c r="AN210" s="7">
        <v>25.75</v>
      </c>
      <c r="AO210" s="8">
        <f t="shared" si="9"/>
        <v>48.28125</v>
      </c>
      <c r="AP210" s="8">
        <f t="shared" si="10"/>
        <v>53.640468749999997</v>
      </c>
      <c r="AQ210" s="9">
        <f t="shared" si="11"/>
        <v>78.210796875</v>
      </c>
    </row>
    <row r="211" spans="1:43" x14ac:dyDescent="0.25">
      <c r="A211">
        <v>8</v>
      </c>
      <c r="B211">
        <v>4</v>
      </c>
      <c r="C211">
        <v>2024</v>
      </c>
      <c r="D211" t="s">
        <v>43</v>
      </c>
      <c r="E211" t="s">
        <v>355</v>
      </c>
      <c r="F211" t="s">
        <v>356</v>
      </c>
      <c r="G211">
        <v>1</v>
      </c>
      <c r="H211">
        <v>1791882490001</v>
      </c>
      <c r="I211" t="s">
        <v>46</v>
      </c>
      <c r="J211" t="s">
        <v>48</v>
      </c>
      <c r="K211" t="s">
        <v>48</v>
      </c>
      <c r="L211" t="s">
        <v>119</v>
      </c>
      <c r="M211" t="s">
        <v>120</v>
      </c>
      <c r="N211" t="s">
        <v>121</v>
      </c>
      <c r="O211">
        <v>8414901000</v>
      </c>
      <c r="P211" t="s">
        <v>357</v>
      </c>
      <c r="Q211" t="s">
        <v>358</v>
      </c>
      <c r="R211" t="s">
        <v>54</v>
      </c>
      <c r="S211" t="s">
        <v>55</v>
      </c>
      <c r="T211">
        <v>10</v>
      </c>
      <c r="U211">
        <v>1</v>
      </c>
      <c r="V211" t="s">
        <v>135</v>
      </c>
      <c r="W211">
        <v>0</v>
      </c>
      <c r="X211">
        <v>23227.69</v>
      </c>
      <c r="Y211">
        <v>1161.49</v>
      </c>
      <c r="Z211">
        <v>148.35</v>
      </c>
      <c r="AA211">
        <v>24537.53</v>
      </c>
      <c r="AB211" t="s">
        <v>359</v>
      </c>
      <c r="AC211" t="s">
        <v>125</v>
      </c>
      <c r="AD211" t="s">
        <v>48</v>
      </c>
      <c r="AE211">
        <v>1</v>
      </c>
      <c r="AF211">
        <v>13.62</v>
      </c>
      <c r="AG211" t="s">
        <v>59</v>
      </c>
      <c r="AH211">
        <v>882904</v>
      </c>
      <c r="AI211" t="s">
        <v>60</v>
      </c>
      <c r="AJ211" t="s">
        <v>60</v>
      </c>
      <c r="AK211" t="s">
        <v>54</v>
      </c>
      <c r="AL211">
        <v>2024</v>
      </c>
      <c r="AM211" s="6" t="s">
        <v>360</v>
      </c>
      <c r="AN211" s="7">
        <v>23227.69</v>
      </c>
      <c r="AO211" s="8">
        <f t="shared" si="9"/>
        <v>43551.918749999997</v>
      </c>
      <c r="AP211" s="8">
        <f t="shared" si="10"/>
        <v>48386.181731249999</v>
      </c>
      <c r="AQ211" s="9">
        <f t="shared" si="11"/>
        <v>70549.753183124994</v>
      </c>
    </row>
    <row r="212" spans="1:43" x14ac:dyDescent="0.25">
      <c r="A212">
        <v>20</v>
      </c>
      <c r="B212">
        <v>2</v>
      </c>
      <c r="C212">
        <v>2024</v>
      </c>
      <c r="D212" t="s">
        <v>43</v>
      </c>
      <c r="E212" t="s">
        <v>140</v>
      </c>
      <c r="F212" t="s">
        <v>141</v>
      </c>
      <c r="G212">
        <v>20</v>
      </c>
      <c r="H212">
        <v>1791882490001</v>
      </c>
      <c r="I212" t="s">
        <v>46</v>
      </c>
      <c r="J212" t="s">
        <v>48</v>
      </c>
      <c r="K212" t="s">
        <v>48</v>
      </c>
      <c r="L212" t="s">
        <v>49</v>
      </c>
      <c r="M212" t="s">
        <v>50</v>
      </c>
      <c r="N212" t="s">
        <v>51</v>
      </c>
      <c r="O212">
        <v>8414901000</v>
      </c>
      <c r="P212" t="s">
        <v>357</v>
      </c>
      <c r="Q212" t="s">
        <v>361</v>
      </c>
      <c r="R212" t="s">
        <v>54</v>
      </c>
      <c r="S212" t="s">
        <v>55</v>
      </c>
      <c r="T212">
        <v>6</v>
      </c>
      <c r="U212">
        <v>1</v>
      </c>
      <c r="V212" t="s">
        <v>135</v>
      </c>
      <c r="W212">
        <v>0</v>
      </c>
      <c r="X212">
        <v>4729.4399999999996</v>
      </c>
      <c r="Y212">
        <v>424.41</v>
      </c>
      <c r="Z212">
        <v>31.78</v>
      </c>
      <c r="AA212">
        <v>5185.63</v>
      </c>
      <c r="AB212" t="s">
        <v>54</v>
      </c>
      <c r="AC212" t="s">
        <v>143</v>
      </c>
      <c r="AD212" t="s">
        <v>48</v>
      </c>
      <c r="AE212">
        <v>0</v>
      </c>
      <c r="AF212">
        <v>1.88</v>
      </c>
      <c r="AG212" t="s">
        <v>59</v>
      </c>
      <c r="AH212">
        <v>876053</v>
      </c>
      <c r="AI212" t="s">
        <v>60</v>
      </c>
      <c r="AJ212" t="s">
        <v>60</v>
      </c>
      <c r="AK212" t="s">
        <v>54</v>
      </c>
      <c r="AL212">
        <v>2024</v>
      </c>
      <c r="AM212" s="6" t="s">
        <v>362</v>
      </c>
      <c r="AN212" s="7">
        <v>4729.4399999999996</v>
      </c>
      <c r="AO212" s="8">
        <f t="shared" si="9"/>
        <v>8867.6999999999989</v>
      </c>
      <c r="AP212" s="8">
        <f t="shared" si="10"/>
        <v>9852.0146999999979</v>
      </c>
      <c r="AQ212" s="9">
        <f t="shared" si="11"/>
        <v>14364.787229999998</v>
      </c>
    </row>
    <row r="213" spans="1:43" x14ac:dyDescent="0.25">
      <c r="A213">
        <v>16</v>
      </c>
      <c r="B213">
        <v>1</v>
      </c>
      <c r="C213">
        <v>2024</v>
      </c>
      <c r="D213" t="s">
        <v>43</v>
      </c>
      <c r="E213" t="s">
        <v>191</v>
      </c>
      <c r="F213" t="s">
        <v>192</v>
      </c>
      <c r="G213">
        <v>7</v>
      </c>
      <c r="H213">
        <v>1791882490001</v>
      </c>
      <c r="I213" t="s">
        <v>46</v>
      </c>
      <c r="J213" t="s">
        <v>48</v>
      </c>
      <c r="K213" t="s">
        <v>48</v>
      </c>
      <c r="L213" t="s">
        <v>49</v>
      </c>
      <c r="M213" t="s">
        <v>50</v>
      </c>
      <c r="N213" t="s">
        <v>51</v>
      </c>
      <c r="O213">
        <v>8414901000</v>
      </c>
      <c r="P213" t="s">
        <v>363</v>
      </c>
      <c r="Q213" t="s">
        <v>364</v>
      </c>
      <c r="R213" t="s">
        <v>54</v>
      </c>
      <c r="S213" t="s">
        <v>55</v>
      </c>
      <c r="T213">
        <v>11</v>
      </c>
      <c r="U213">
        <v>1</v>
      </c>
      <c r="V213" t="s">
        <v>135</v>
      </c>
      <c r="W213">
        <v>0</v>
      </c>
      <c r="X213">
        <v>23038.94</v>
      </c>
      <c r="Y213">
        <v>1511.64</v>
      </c>
      <c r="Z213">
        <v>148.72</v>
      </c>
      <c r="AA213">
        <v>24699.3</v>
      </c>
      <c r="AB213" t="s">
        <v>57</v>
      </c>
      <c r="AC213" t="s">
        <v>81</v>
      </c>
      <c r="AD213" t="s">
        <v>48</v>
      </c>
      <c r="AE213">
        <v>0</v>
      </c>
      <c r="AF213">
        <v>2.86</v>
      </c>
      <c r="AG213" t="s">
        <v>59</v>
      </c>
      <c r="AH213">
        <v>850332</v>
      </c>
      <c r="AI213" t="s">
        <v>60</v>
      </c>
      <c r="AJ213" t="s">
        <v>60</v>
      </c>
      <c r="AK213" t="s">
        <v>54</v>
      </c>
      <c r="AL213">
        <v>2023</v>
      </c>
      <c r="AM213" s="6" t="s">
        <v>365</v>
      </c>
      <c r="AN213" s="7">
        <v>23038.94</v>
      </c>
      <c r="AO213" s="8">
        <f t="shared" si="9"/>
        <v>43198.012499999997</v>
      </c>
      <c r="AP213" s="8">
        <f t="shared" si="10"/>
        <v>47992.991887499993</v>
      </c>
      <c r="AQ213" s="9">
        <f t="shared" si="11"/>
        <v>69976.460448749989</v>
      </c>
    </row>
    <row r="214" spans="1:43" x14ac:dyDescent="0.25">
      <c r="A214">
        <v>15</v>
      </c>
      <c r="B214">
        <v>4</v>
      </c>
      <c r="C214">
        <v>2024</v>
      </c>
      <c r="D214" t="s">
        <v>43</v>
      </c>
      <c r="E214" t="s">
        <v>63</v>
      </c>
      <c r="F214" t="s">
        <v>64</v>
      </c>
      <c r="G214">
        <v>18</v>
      </c>
      <c r="H214">
        <v>1791882490001</v>
      </c>
      <c r="I214" t="s">
        <v>46</v>
      </c>
      <c r="J214" t="s">
        <v>343</v>
      </c>
      <c r="K214" t="s">
        <v>48</v>
      </c>
      <c r="L214" t="s">
        <v>49</v>
      </c>
      <c r="M214" t="s">
        <v>50</v>
      </c>
      <c r="N214" t="s">
        <v>51</v>
      </c>
      <c r="O214">
        <v>8544429000</v>
      </c>
      <c r="P214" t="s">
        <v>66</v>
      </c>
      <c r="Q214" t="s">
        <v>331</v>
      </c>
      <c r="R214" t="s">
        <v>54</v>
      </c>
      <c r="S214" t="s">
        <v>55</v>
      </c>
      <c r="T214">
        <v>6</v>
      </c>
      <c r="U214">
        <v>1</v>
      </c>
      <c r="V214" t="s">
        <v>56</v>
      </c>
      <c r="W214">
        <v>1.57</v>
      </c>
      <c r="X214">
        <v>33.619999999999997</v>
      </c>
      <c r="Y214">
        <v>3.54</v>
      </c>
      <c r="Z214">
        <v>0.23</v>
      </c>
      <c r="AA214">
        <v>37.39</v>
      </c>
      <c r="AB214" t="s">
        <v>57</v>
      </c>
      <c r="AC214" t="s">
        <v>58</v>
      </c>
      <c r="AD214" t="s">
        <v>48</v>
      </c>
      <c r="AE214">
        <v>0</v>
      </c>
      <c r="AF214">
        <v>0.32</v>
      </c>
      <c r="AG214" t="s">
        <v>59</v>
      </c>
      <c r="AH214">
        <v>443965</v>
      </c>
      <c r="AI214" t="s">
        <v>60</v>
      </c>
      <c r="AJ214" t="s">
        <v>60</v>
      </c>
      <c r="AK214" t="s">
        <v>54</v>
      </c>
      <c r="AL214">
        <v>2024</v>
      </c>
      <c r="AM214" s="6" t="s">
        <v>366</v>
      </c>
      <c r="AN214" s="7">
        <v>33.619999999999997</v>
      </c>
      <c r="AO214" s="8">
        <f t="shared" si="9"/>
        <v>63.037499999999994</v>
      </c>
      <c r="AP214" s="8">
        <f t="shared" si="10"/>
        <v>70.034662499999996</v>
      </c>
      <c r="AQ214" s="9">
        <f t="shared" si="11"/>
        <v>102.11444624999999</v>
      </c>
    </row>
    <row r="215" spans="1:43" x14ac:dyDescent="0.25">
      <c r="A215">
        <v>15</v>
      </c>
      <c r="B215">
        <v>4</v>
      </c>
      <c r="C215">
        <v>2024</v>
      </c>
      <c r="D215" t="s">
        <v>43</v>
      </c>
      <c r="E215" t="s">
        <v>63</v>
      </c>
      <c r="F215" t="s">
        <v>64</v>
      </c>
      <c r="G215">
        <v>19</v>
      </c>
      <c r="H215">
        <v>1791882490001</v>
      </c>
      <c r="I215" t="s">
        <v>46</v>
      </c>
      <c r="J215" t="s">
        <v>48</v>
      </c>
      <c r="K215" t="s">
        <v>48</v>
      </c>
      <c r="L215" t="s">
        <v>49</v>
      </c>
      <c r="M215" t="s">
        <v>50</v>
      </c>
      <c r="N215" t="s">
        <v>51</v>
      </c>
      <c r="O215">
        <v>7304490000</v>
      </c>
      <c r="P215" t="s">
        <v>66</v>
      </c>
      <c r="Q215" t="s">
        <v>172</v>
      </c>
      <c r="R215" t="s">
        <v>54</v>
      </c>
      <c r="S215" t="s">
        <v>55</v>
      </c>
      <c r="T215">
        <v>6</v>
      </c>
      <c r="U215">
        <v>1</v>
      </c>
      <c r="V215" t="s">
        <v>56</v>
      </c>
      <c r="W215">
        <v>0</v>
      </c>
      <c r="X215">
        <v>90.04</v>
      </c>
      <c r="Y215">
        <v>9.48</v>
      </c>
      <c r="Z215">
        <v>0.61</v>
      </c>
      <c r="AA215">
        <v>100.13</v>
      </c>
      <c r="AB215" t="s">
        <v>57</v>
      </c>
      <c r="AC215" t="s">
        <v>58</v>
      </c>
      <c r="AD215" t="s">
        <v>48</v>
      </c>
      <c r="AE215">
        <v>0</v>
      </c>
      <c r="AF215">
        <v>0.86</v>
      </c>
      <c r="AG215" t="s">
        <v>59</v>
      </c>
      <c r="AH215">
        <v>443965</v>
      </c>
      <c r="AI215" t="s">
        <v>60</v>
      </c>
      <c r="AJ215" t="s">
        <v>60</v>
      </c>
      <c r="AK215" t="s">
        <v>54</v>
      </c>
      <c r="AL215">
        <v>2024</v>
      </c>
      <c r="AM215" s="6" t="s">
        <v>367</v>
      </c>
      <c r="AN215" s="7">
        <v>90.04</v>
      </c>
      <c r="AO215" s="8">
        <f t="shared" si="9"/>
        <v>168.82500000000002</v>
      </c>
      <c r="AP215" s="8">
        <f t="shared" si="10"/>
        <v>187.56457500000002</v>
      </c>
      <c r="AQ215" s="9">
        <f t="shared" si="11"/>
        <v>273.47961750000002</v>
      </c>
    </row>
    <row r="216" spans="1:43" x14ac:dyDescent="0.25">
      <c r="A216">
        <v>15</v>
      </c>
      <c r="B216">
        <v>4</v>
      </c>
      <c r="C216">
        <v>2024</v>
      </c>
      <c r="D216" t="s">
        <v>43</v>
      </c>
      <c r="E216" t="s">
        <v>63</v>
      </c>
      <c r="F216" t="s">
        <v>64</v>
      </c>
      <c r="G216">
        <v>20</v>
      </c>
      <c r="H216">
        <v>1791882490001</v>
      </c>
      <c r="I216" t="s">
        <v>46</v>
      </c>
      <c r="J216" t="s">
        <v>48</v>
      </c>
      <c r="K216" t="s">
        <v>48</v>
      </c>
      <c r="L216" t="s">
        <v>49</v>
      </c>
      <c r="M216" t="s">
        <v>50</v>
      </c>
      <c r="N216" t="s">
        <v>51</v>
      </c>
      <c r="O216">
        <v>9025900000</v>
      </c>
      <c r="P216" t="s">
        <v>368</v>
      </c>
      <c r="Q216" t="s">
        <v>369</v>
      </c>
      <c r="R216" t="s">
        <v>54</v>
      </c>
      <c r="S216" t="s">
        <v>55</v>
      </c>
      <c r="T216">
        <v>6</v>
      </c>
      <c r="U216">
        <v>1</v>
      </c>
      <c r="V216" t="s">
        <v>135</v>
      </c>
      <c r="W216">
        <v>0</v>
      </c>
      <c r="X216">
        <v>284.38</v>
      </c>
      <c r="Y216">
        <v>29.93</v>
      </c>
      <c r="Z216">
        <v>1.91</v>
      </c>
      <c r="AA216">
        <v>316.23</v>
      </c>
      <c r="AB216" t="s">
        <v>57</v>
      </c>
      <c r="AC216" t="s">
        <v>58</v>
      </c>
      <c r="AD216" t="s">
        <v>48</v>
      </c>
      <c r="AE216">
        <v>0</v>
      </c>
      <c r="AF216">
        <v>2.72</v>
      </c>
      <c r="AG216" t="s">
        <v>59</v>
      </c>
      <c r="AH216">
        <v>443965</v>
      </c>
      <c r="AI216" t="s">
        <v>60</v>
      </c>
      <c r="AJ216" t="s">
        <v>60</v>
      </c>
      <c r="AK216" t="s">
        <v>54</v>
      </c>
      <c r="AL216">
        <v>2024</v>
      </c>
      <c r="AM216" s="6" t="s">
        <v>370</v>
      </c>
      <c r="AN216" s="7">
        <v>284.38</v>
      </c>
      <c r="AO216" s="8">
        <f t="shared" si="9"/>
        <v>533.21249999999998</v>
      </c>
      <c r="AP216" s="8">
        <f t="shared" si="10"/>
        <v>592.39908749999995</v>
      </c>
      <c r="AQ216" s="9">
        <f t="shared" si="11"/>
        <v>863.75092874999996</v>
      </c>
    </row>
    <row r="217" spans="1:43" x14ac:dyDescent="0.25">
      <c r="A217">
        <v>1</v>
      </c>
      <c r="B217">
        <v>2</v>
      </c>
      <c r="C217">
        <v>2024</v>
      </c>
      <c r="D217" t="s">
        <v>43</v>
      </c>
      <c r="E217" t="s">
        <v>174</v>
      </c>
      <c r="F217" t="s">
        <v>175</v>
      </c>
      <c r="G217">
        <v>6</v>
      </c>
      <c r="H217">
        <v>1791882490001</v>
      </c>
      <c r="I217" t="s">
        <v>46</v>
      </c>
      <c r="J217" t="s">
        <v>65</v>
      </c>
      <c r="K217" t="s">
        <v>48</v>
      </c>
      <c r="L217" t="s">
        <v>49</v>
      </c>
      <c r="M217" t="s">
        <v>50</v>
      </c>
      <c r="N217" t="s">
        <v>51</v>
      </c>
      <c r="O217">
        <v>8421999000</v>
      </c>
      <c r="P217" t="s">
        <v>66</v>
      </c>
      <c r="Q217" t="s">
        <v>309</v>
      </c>
      <c r="R217" t="s">
        <v>54</v>
      </c>
      <c r="S217" t="s">
        <v>55</v>
      </c>
      <c r="T217">
        <v>5</v>
      </c>
      <c r="U217">
        <v>4</v>
      </c>
      <c r="V217" t="s">
        <v>135</v>
      </c>
      <c r="W217">
        <v>0</v>
      </c>
      <c r="X217">
        <v>244.29</v>
      </c>
      <c r="Y217">
        <v>18.16</v>
      </c>
      <c r="Z217">
        <v>1.46</v>
      </c>
      <c r="AA217">
        <v>263.91000000000003</v>
      </c>
      <c r="AB217" t="s">
        <v>54</v>
      </c>
      <c r="AC217" t="s">
        <v>94</v>
      </c>
      <c r="AD217" t="s">
        <v>48</v>
      </c>
      <c r="AE217">
        <v>0</v>
      </c>
      <c r="AF217">
        <v>7.94</v>
      </c>
      <c r="AG217" t="s">
        <v>59</v>
      </c>
      <c r="AH217">
        <v>863266</v>
      </c>
      <c r="AI217" t="s">
        <v>60</v>
      </c>
      <c r="AJ217" t="s">
        <v>60</v>
      </c>
      <c r="AK217" t="s">
        <v>54</v>
      </c>
      <c r="AL217">
        <v>2023</v>
      </c>
      <c r="AM217" s="6" t="s">
        <v>371</v>
      </c>
      <c r="AN217" s="7">
        <v>61.07</v>
      </c>
      <c r="AO217" s="8">
        <f t="shared" si="9"/>
        <v>114.50624999999999</v>
      </c>
      <c r="AP217" s="8">
        <f t="shared" si="10"/>
        <v>127.21644375</v>
      </c>
      <c r="AQ217" s="9">
        <f t="shared" si="11"/>
        <v>185.48867437499999</v>
      </c>
    </row>
    <row r="218" spans="1:43" x14ac:dyDescent="0.25">
      <c r="A218">
        <v>11</v>
      </c>
      <c r="B218">
        <v>7</v>
      </c>
      <c r="C218">
        <v>2024</v>
      </c>
      <c r="D218" t="s">
        <v>43</v>
      </c>
      <c r="E218" t="s">
        <v>116</v>
      </c>
      <c r="F218" t="s">
        <v>117</v>
      </c>
      <c r="G218">
        <v>7</v>
      </c>
      <c r="H218">
        <v>1791882490001</v>
      </c>
      <c r="I218" t="s">
        <v>46</v>
      </c>
      <c r="J218" t="s">
        <v>65</v>
      </c>
      <c r="K218" t="s">
        <v>48</v>
      </c>
      <c r="L218" t="s">
        <v>119</v>
      </c>
      <c r="M218" t="s">
        <v>120</v>
      </c>
      <c r="N218" t="s">
        <v>121</v>
      </c>
      <c r="O218">
        <v>8421999000</v>
      </c>
      <c r="P218" t="s">
        <v>66</v>
      </c>
      <c r="Q218" t="s">
        <v>309</v>
      </c>
      <c r="R218" t="s">
        <v>54</v>
      </c>
      <c r="S218" t="s">
        <v>55</v>
      </c>
      <c r="T218">
        <v>9</v>
      </c>
      <c r="U218">
        <v>6</v>
      </c>
      <c r="V218" t="s">
        <v>135</v>
      </c>
      <c r="W218">
        <v>0</v>
      </c>
      <c r="X218">
        <v>385.47</v>
      </c>
      <c r="Y218">
        <v>34.71</v>
      </c>
      <c r="Z218">
        <v>2.59</v>
      </c>
      <c r="AA218">
        <v>422.77</v>
      </c>
      <c r="AB218" t="s">
        <v>124</v>
      </c>
      <c r="AC218" t="s">
        <v>125</v>
      </c>
      <c r="AD218" t="s">
        <v>48</v>
      </c>
      <c r="AE218">
        <v>0</v>
      </c>
      <c r="AF218">
        <v>12.1</v>
      </c>
      <c r="AG218" t="s">
        <v>59</v>
      </c>
      <c r="AH218">
        <v>486256</v>
      </c>
      <c r="AI218" t="s">
        <v>60</v>
      </c>
      <c r="AJ218" t="s">
        <v>78</v>
      </c>
      <c r="AK218" t="s">
        <v>54</v>
      </c>
      <c r="AL218">
        <v>2024</v>
      </c>
      <c r="AM218" s="6" t="s">
        <v>371</v>
      </c>
      <c r="AN218" s="7">
        <v>64.239999999999995</v>
      </c>
      <c r="AO218" s="8">
        <f t="shared" ref="AO218:AO281" si="12">SUM(AN218)*1.875</f>
        <v>120.44999999999999</v>
      </c>
      <c r="AP218" s="8">
        <f t="shared" ref="AP218:AP281" si="13">SUM(AO218)*1.111</f>
        <v>133.81994999999998</v>
      </c>
      <c r="AQ218" s="9">
        <f t="shared" si="11"/>
        <v>195.11695499999996</v>
      </c>
    </row>
    <row r="219" spans="1:43" x14ac:dyDescent="0.25">
      <c r="A219">
        <v>15</v>
      </c>
      <c r="B219">
        <v>4</v>
      </c>
      <c r="C219">
        <v>2024</v>
      </c>
      <c r="D219" t="s">
        <v>43</v>
      </c>
      <c r="E219" t="s">
        <v>63</v>
      </c>
      <c r="F219" t="s">
        <v>64</v>
      </c>
      <c r="G219">
        <v>21</v>
      </c>
      <c r="H219">
        <v>1791882490001</v>
      </c>
      <c r="I219" t="s">
        <v>46</v>
      </c>
      <c r="J219" t="s">
        <v>65</v>
      </c>
      <c r="K219" t="s">
        <v>48</v>
      </c>
      <c r="L219" t="s">
        <v>49</v>
      </c>
      <c r="M219" t="s">
        <v>50</v>
      </c>
      <c r="N219" t="s">
        <v>51</v>
      </c>
      <c r="O219">
        <v>8421999000</v>
      </c>
      <c r="P219" t="s">
        <v>66</v>
      </c>
      <c r="Q219" t="s">
        <v>311</v>
      </c>
      <c r="R219" t="s">
        <v>54</v>
      </c>
      <c r="S219" t="s">
        <v>55</v>
      </c>
      <c r="T219">
        <v>6</v>
      </c>
      <c r="U219">
        <v>3</v>
      </c>
      <c r="V219" t="s">
        <v>135</v>
      </c>
      <c r="W219">
        <v>0</v>
      </c>
      <c r="X219">
        <v>291.60000000000002</v>
      </c>
      <c r="Y219">
        <v>30.69</v>
      </c>
      <c r="Z219">
        <v>1.96</v>
      </c>
      <c r="AA219">
        <v>324.25</v>
      </c>
      <c r="AB219" t="s">
        <v>57</v>
      </c>
      <c r="AC219" t="s">
        <v>58</v>
      </c>
      <c r="AD219" t="s">
        <v>48</v>
      </c>
      <c r="AE219">
        <v>0</v>
      </c>
      <c r="AF219">
        <v>2.79</v>
      </c>
      <c r="AG219" t="s">
        <v>59</v>
      </c>
      <c r="AH219">
        <v>443965</v>
      </c>
      <c r="AI219" t="s">
        <v>60</v>
      </c>
      <c r="AJ219" t="s">
        <v>60</v>
      </c>
      <c r="AK219" t="s">
        <v>54</v>
      </c>
      <c r="AL219">
        <v>2024</v>
      </c>
      <c r="AM219" s="6" t="s">
        <v>372</v>
      </c>
      <c r="AN219" s="7">
        <v>97.2</v>
      </c>
      <c r="AO219" s="8">
        <f t="shared" si="12"/>
        <v>182.25</v>
      </c>
      <c r="AP219" s="8">
        <f t="shared" si="13"/>
        <v>202.47975</v>
      </c>
      <c r="AQ219" s="9">
        <f t="shared" si="11"/>
        <v>295.22677499999998</v>
      </c>
    </row>
    <row r="220" spans="1:43" x14ac:dyDescent="0.25">
      <c r="A220">
        <v>11</v>
      </c>
      <c r="B220">
        <v>7</v>
      </c>
      <c r="C220">
        <v>2024</v>
      </c>
      <c r="D220" t="s">
        <v>43</v>
      </c>
      <c r="E220" t="s">
        <v>116</v>
      </c>
      <c r="F220" t="s">
        <v>117</v>
      </c>
      <c r="G220">
        <v>8</v>
      </c>
      <c r="H220">
        <v>1791882490001</v>
      </c>
      <c r="I220" t="s">
        <v>46</v>
      </c>
      <c r="J220" t="s">
        <v>65</v>
      </c>
      <c r="K220" t="s">
        <v>48</v>
      </c>
      <c r="L220" t="s">
        <v>119</v>
      </c>
      <c r="M220" t="s">
        <v>120</v>
      </c>
      <c r="N220" t="s">
        <v>121</v>
      </c>
      <c r="O220">
        <v>8421999000</v>
      </c>
      <c r="P220" t="s">
        <v>66</v>
      </c>
      <c r="Q220" t="s">
        <v>309</v>
      </c>
      <c r="R220" t="s">
        <v>54</v>
      </c>
      <c r="S220" t="s">
        <v>55</v>
      </c>
      <c r="T220">
        <v>9</v>
      </c>
      <c r="U220">
        <v>4</v>
      </c>
      <c r="V220" t="s">
        <v>135</v>
      </c>
      <c r="W220">
        <v>0</v>
      </c>
      <c r="X220">
        <v>390.68</v>
      </c>
      <c r="Y220">
        <v>35.18</v>
      </c>
      <c r="Z220">
        <v>2.62</v>
      </c>
      <c r="AA220">
        <v>428.48</v>
      </c>
      <c r="AB220" t="s">
        <v>124</v>
      </c>
      <c r="AC220" t="s">
        <v>125</v>
      </c>
      <c r="AD220" t="s">
        <v>48</v>
      </c>
      <c r="AE220">
        <v>0</v>
      </c>
      <c r="AF220">
        <v>8.07</v>
      </c>
      <c r="AG220" t="s">
        <v>59</v>
      </c>
      <c r="AH220">
        <v>486256</v>
      </c>
      <c r="AI220" t="s">
        <v>60</v>
      </c>
      <c r="AJ220" t="s">
        <v>78</v>
      </c>
      <c r="AK220" t="s">
        <v>54</v>
      </c>
      <c r="AL220">
        <v>2024</v>
      </c>
      <c r="AM220" s="6" t="s">
        <v>372</v>
      </c>
      <c r="AN220" s="7">
        <v>97.67</v>
      </c>
      <c r="AO220" s="8">
        <f t="shared" si="12"/>
        <v>183.13124999999999</v>
      </c>
      <c r="AP220" s="8">
        <f t="shared" si="13"/>
        <v>203.45881874999998</v>
      </c>
      <c r="AQ220" s="9">
        <f t="shared" si="11"/>
        <v>296.65431187499996</v>
      </c>
    </row>
    <row r="221" spans="1:43" x14ac:dyDescent="0.25">
      <c r="A221">
        <v>19</v>
      </c>
      <c r="B221">
        <v>8</v>
      </c>
      <c r="C221">
        <v>2024</v>
      </c>
      <c r="D221" t="s">
        <v>43</v>
      </c>
      <c r="E221" t="s">
        <v>84</v>
      </c>
      <c r="F221" t="s">
        <v>85</v>
      </c>
      <c r="G221">
        <v>16</v>
      </c>
      <c r="H221">
        <v>1791882490001</v>
      </c>
      <c r="I221" t="s">
        <v>46</v>
      </c>
      <c r="J221" t="s">
        <v>133</v>
      </c>
      <c r="K221" t="s">
        <v>48</v>
      </c>
      <c r="L221" t="s">
        <v>49</v>
      </c>
      <c r="M221" t="s">
        <v>50</v>
      </c>
      <c r="N221" t="s">
        <v>51</v>
      </c>
      <c r="O221">
        <v>9026101200</v>
      </c>
      <c r="P221" t="s">
        <v>347</v>
      </c>
      <c r="Q221" t="s">
        <v>348</v>
      </c>
      <c r="R221" t="s">
        <v>54</v>
      </c>
      <c r="S221" t="s">
        <v>55</v>
      </c>
      <c r="T221">
        <v>6</v>
      </c>
      <c r="U221">
        <v>1</v>
      </c>
      <c r="V221" t="s">
        <v>135</v>
      </c>
      <c r="W221">
        <v>0</v>
      </c>
      <c r="X221">
        <v>79.94</v>
      </c>
      <c r="Y221">
        <v>10.31</v>
      </c>
      <c r="Z221">
        <v>0.55000000000000004</v>
      </c>
      <c r="AA221">
        <v>90.8</v>
      </c>
      <c r="AB221" t="s">
        <v>57</v>
      </c>
      <c r="AC221" t="s">
        <v>58</v>
      </c>
      <c r="AD221" t="s">
        <v>48</v>
      </c>
      <c r="AE221">
        <v>0</v>
      </c>
      <c r="AF221">
        <v>1.39</v>
      </c>
      <c r="AG221" t="s">
        <v>59</v>
      </c>
      <c r="AH221">
        <v>144527</v>
      </c>
      <c r="AI221" t="s">
        <v>60</v>
      </c>
      <c r="AJ221" t="s">
        <v>60</v>
      </c>
      <c r="AK221" t="s">
        <v>54</v>
      </c>
      <c r="AL221">
        <v>2024</v>
      </c>
      <c r="AM221" s="6" t="s">
        <v>373</v>
      </c>
      <c r="AN221" s="7">
        <v>79.94</v>
      </c>
      <c r="AO221" s="8">
        <f t="shared" si="12"/>
        <v>149.88749999999999</v>
      </c>
      <c r="AP221" s="8">
        <f t="shared" si="13"/>
        <v>166.52501249999997</v>
      </c>
      <c r="AQ221" s="9">
        <f t="shared" si="11"/>
        <v>242.80276124999997</v>
      </c>
    </row>
    <row r="222" spans="1:43" x14ac:dyDescent="0.25">
      <c r="A222">
        <v>8</v>
      </c>
      <c r="B222">
        <v>4</v>
      </c>
      <c r="C222">
        <v>2024</v>
      </c>
      <c r="D222" t="s">
        <v>43</v>
      </c>
      <c r="E222" t="s">
        <v>355</v>
      </c>
      <c r="F222" t="s">
        <v>356</v>
      </c>
      <c r="G222">
        <v>2</v>
      </c>
      <c r="H222">
        <v>1791882490001</v>
      </c>
      <c r="I222" t="s">
        <v>46</v>
      </c>
      <c r="J222" t="s">
        <v>65</v>
      </c>
      <c r="K222" t="s">
        <v>48</v>
      </c>
      <c r="L222" t="s">
        <v>119</v>
      </c>
      <c r="M222" t="s">
        <v>120</v>
      </c>
      <c r="N222" t="s">
        <v>121</v>
      </c>
      <c r="O222">
        <v>8421999000</v>
      </c>
      <c r="P222" t="s">
        <v>66</v>
      </c>
      <c r="Q222" t="s">
        <v>309</v>
      </c>
      <c r="R222" t="s">
        <v>54</v>
      </c>
      <c r="S222" t="s">
        <v>55</v>
      </c>
      <c r="T222">
        <v>10</v>
      </c>
      <c r="U222">
        <v>2</v>
      </c>
      <c r="V222" t="s">
        <v>135</v>
      </c>
      <c r="W222">
        <v>0</v>
      </c>
      <c r="X222">
        <v>516.85</v>
      </c>
      <c r="Y222">
        <v>25.84</v>
      </c>
      <c r="Z222">
        <v>3.3</v>
      </c>
      <c r="AA222">
        <v>546</v>
      </c>
      <c r="AB222" t="s">
        <v>359</v>
      </c>
      <c r="AC222" t="s">
        <v>125</v>
      </c>
      <c r="AD222" t="s">
        <v>48</v>
      </c>
      <c r="AE222">
        <v>1</v>
      </c>
      <c r="AF222">
        <v>27.25</v>
      </c>
      <c r="AG222" t="s">
        <v>59</v>
      </c>
      <c r="AH222">
        <v>882904</v>
      </c>
      <c r="AI222" t="s">
        <v>60</v>
      </c>
      <c r="AJ222" t="s">
        <v>60</v>
      </c>
      <c r="AK222" t="s">
        <v>54</v>
      </c>
      <c r="AL222">
        <v>2024</v>
      </c>
      <c r="AM222" s="6" t="s">
        <v>374</v>
      </c>
      <c r="AN222" s="7">
        <v>258.43</v>
      </c>
      <c r="AO222" s="8">
        <f t="shared" si="12"/>
        <v>484.55625000000003</v>
      </c>
      <c r="AP222" s="8">
        <f t="shared" si="13"/>
        <v>538.34199375000003</v>
      </c>
      <c r="AQ222" s="9">
        <f t="shared" si="11"/>
        <v>784.93266937500005</v>
      </c>
    </row>
    <row r="223" spans="1:43" x14ac:dyDescent="0.25">
      <c r="A223">
        <v>2</v>
      </c>
      <c r="B223">
        <v>1</v>
      </c>
      <c r="C223">
        <v>2024</v>
      </c>
      <c r="D223" t="s">
        <v>43</v>
      </c>
      <c r="E223" t="s">
        <v>181</v>
      </c>
      <c r="F223" t="s">
        <v>182</v>
      </c>
      <c r="G223">
        <v>7</v>
      </c>
      <c r="H223">
        <v>1791882490001</v>
      </c>
      <c r="I223" t="s">
        <v>46</v>
      </c>
      <c r="J223" t="s">
        <v>65</v>
      </c>
      <c r="K223" t="s">
        <v>48</v>
      </c>
      <c r="L223" t="s">
        <v>49</v>
      </c>
      <c r="M223" t="s">
        <v>50</v>
      </c>
      <c r="N223" t="s">
        <v>51</v>
      </c>
      <c r="O223">
        <v>9027109090</v>
      </c>
      <c r="P223" t="s">
        <v>52</v>
      </c>
      <c r="Q223" t="s">
        <v>53</v>
      </c>
      <c r="R223" t="s">
        <v>54</v>
      </c>
      <c r="S223" t="s">
        <v>55</v>
      </c>
      <c r="T223">
        <v>8</v>
      </c>
      <c r="U223">
        <v>2</v>
      </c>
      <c r="V223" t="s">
        <v>135</v>
      </c>
      <c r="W223">
        <v>13.14</v>
      </c>
      <c r="X223">
        <v>217.21</v>
      </c>
      <c r="Y223">
        <v>44.13</v>
      </c>
      <c r="Z223">
        <v>1.4</v>
      </c>
      <c r="AA223">
        <v>262.74</v>
      </c>
      <c r="AB223" t="s">
        <v>57</v>
      </c>
      <c r="AC223" t="s">
        <v>81</v>
      </c>
      <c r="AD223" t="s">
        <v>48</v>
      </c>
      <c r="AE223">
        <v>0</v>
      </c>
      <c r="AF223">
        <v>6.48</v>
      </c>
      <c r="AG223" t="s">
        <v>59</v>
      </c>
      <c r="AH223">
        <v>413505</v>
      </c>
      <c r="AI223" t="s">
        <v>60</v>
      </c>
      <c r="AJ223" t="s">
        <v>60</v>
      </c>
      <c r="AK223" t="s">
        <v>54</v>
      </c>
      <c r="AL223">
        <v>2023</v>
      </c>
      <c r="AM223" s="6" t="s">
        <v>375</v>
      </c>
      <c r="AN223" s="7">
        <v>108.6</v>
      </c>
      <c r="AO223" s="8">
        <f t="shared" si="12"/>
        <v>203.625</v>
      </c>
      <c r="AP223" s="8">
        <f t="shared" si="13"/>
        <v>226.22737499999999</v>
      </c>
      <c r="AQ223" s="9">
        <f t="shared" si="11"/>
        <v>329.85213749999997</v>
      </c>
    </row>
    <row r="224" spans="1:43" x14ac:dyDescent="0.25">
      <c r="A224">
        <v>10</v>
      </c>
      <c r="B224">
        <v>10</v>
      </c>
      <c r="C224">
        <v>2024</v>
      </c>
      <c r="D224" t="s">
        <v>43</v>
      </c>
      <c r="E224" t="s">
        <v>44</v>
      </c>
      <c r="F224" t="s">
        <v>45</v>
      </c>
      <c r="G224">
        <v>19</v>
      </c>
      <c r="H224">
        <v>1791882490001</v>
      </c>
      <c r="I224" t="s">
        <v>46</v>
      </c>
      <c r="J224" t="s">
        <v>65</v>
      </c>
      <c r="K224" t="s">
        <v>48</v>
      </c>
      <c r="L224" t="s">
        <v>49</v>
      </c>
      <c r="M224" t="s">
        <v>50</v>
      </c>
      <c r="N224" t="s">
        <v>51</v>
      </c>
      <c r="O224">
        <v>8421299090</v>
      </c>
      <c r="P224" t="s">
        <v>52</v>
      </c>
      <c r="Q224" t="s">
        <v>305</v>
      </c>
      <c r="R224" t="s">
        <v>54</v>
      </c>
      <c r="S224" t="s">
        <v>55</v>
      </c>
      <c r="T224">
        <v>7</v>
      </c>
      <c r="U224">
        <v>2</v>
      </c>
      <c r="V224" t="s">
        <v>135</v>
      </c>
      <c r="W224">
        <v>0</v>
      </c>
      <c r="X224">
        <v>355.35</v>
      </c>
      <c r="Y224">
        <v>62.09</v>
      </c>
      <c r="Z224">
        <v>2.56</v>
      </c>
      <c r="AA224">
        <v>419.99</v>
      </c>
      <c r="AB224" t="s">
        <v>57</v>
      </c>
      <c r="AC224" t="s">
        <v>58</v>
      </c>
      <c r="AD224" t="s">
        <v>48</v>
      </c>
      <c r="AE224">
        <v>0</v>
      </c>
      <c r="AF224">
        <v>3.83</v>
      </c>
      <c r="AG224" t="s">
        <v>59</v>
      </c>
      <c r="AH224">
        <v>179772</v>
      </c>
      <c r="AI224" t="s">
        <v>60</v>
      </c>
      <c r="AJ224" t="s">
        <v>60</v>
      </c>
      <c r="AK224" t="s">
        <v>54</v>
      </c>
      <c r="AL224">
        <v>2024</v>
      </c>
      <c r="AM224" s="6" t="s">
        <v>376</v>
      </c>
      <c r="AN224" s="7">
        <v>177.67</v>
      </c>
      <c r="AO224" s="8">
        <f t="shared" si="12"/>
        <v>333.13124999999997</v>
      </c>
      <c r="AP224" s="8">
        <f t="shared" si="13"/>
        <v>370.10881874999995</v>
      </c>
      <c r="AQ224" s="9">
        <f t="shared" si="11"/>
        <v>539.63931187499986</v>
      </c>
    </row>
    <row r="225" spans="1:43" x14ac:dyDescent="0.25">
      <c r="A225">
        <v>15</v>
      </c>
      <c r="B225">
        <v>4</v>
      </c>
      <c r="C225">
        <v>2024</v>
      </c>
      <c r="D225" t="s">
        <v>43</v>
      </c>
      <c r="E225" t="s">
        <v>63</v>
      </c>
      <c r="F225" t="s">
        <v>64</v>
      </c>
      <c r="G225">
        <v>22</v>
      </c>
      <c r="H225">
        <v>1791882490001</v>
      </c>
      <c r="I225" t="s">
        <v>46</v>
      </c>
      <c r="J225" t="s">
        <v>133</v>
      </c>
      <c r="K225" t="s">
        <v>48</v>
      </c>
      <c r="L225" t="s">
        <v>49</v>
      </c>
      <c r="M225" t="s">
        <v>50</v>
      </c>
      <c r="N225" t="s">
        <v>51</v>
      </c>
      <c r="O225">
        <v>8481200000</v>
      </c>
      <c r="P225" t="s">
        <v>377</v>
      </c>
      <c r="Q225" t="s">
        <v>217</v>
      </c>
      <c r="R225" t="s">
        <v>54</v>
      </c>
      <c r="S225" t="s">
        <v>55</v>
      </c>
      <c r="T225">
        <v>6</v>
      </c>
      <c r="U225">
        <v>1</v>
      </c>
      <c r="V225" t="s">
        <v>135</v>
      </c>
      <c r="W225">
        <v>0</v>
      </c>
      <c r="X225">
        <v>28.25</v>
      </c>
      <c r="Y225">
        <v>2.97</v>
      </c>
      <c r="Z225">
        <v>0.19</v>
      </c>
      <c r="AA225">
        <v>31.42</v>
      </c>
      <c r="AB225" t="s">
        <v>57</v>
      </c>
      <c r="AC225" t="s">
        <v>58</v>
      </c>
      <c r="AD225" t="s">
        <v>48</v>
      </c>
      <c r="AE225">
        <v>0</v>
      </c>
      <c r="AF225">
        <v>0.27</v>
      </c>
      <c r="AG225" t="s">
        <v>59</v>
      </c>
      <c r="AH225">
        <v>443965</v>
      </c>
      <c r="AI225" t="s">
        <v>60</v>
      </c>
      <c r="AJ225" t="s">
        <v>60</v>
      </c>
      <c r="AK225" t="s">
        <v>54</v>
      </c>
      <c r="AL225">
        <v>2024</v>
      </c>
      <c r="AM225" s="6" t="s">
        <v>378</v>
      </c>
      <c r="AN225" s="7">
        <v>28.25</v>
      </c>
      <c r="AO225" s="8">
        <f t="shared" si="12"/>
        <v>52.96875</v>
      </c>
      <c r="AP225" s="8">
        <f t="shared" si="13"/>
        <v>58.848281249999999</v>
      </c>
      <c r="AQ225" s="9">
        <f t="shared" si="11"/>
        <v>85.80407812499999</v>
      </c>
    </row>
    <row r="226" spans="1:43" x14ac:dyDescent="0.25">
      <c r="A226">
        <v>13</v>
      </c>
      <c r="B226">
        <v>3</v>
      </c>
      <c r="C226">
        <v>2024</v>
      </c>
      <c r="D226" t="s">
        <v>43</v>
      </c>
      <c r="E226" t="s">
        <v>69</v>
      </c>
      <c r="F226" t="s">
        <v>70</v>
      </c>
      <c r="G226">
        <v>14</v>
      </c>
      <c r="H226">
        <v>1791882490001</v>
      </c>
      <c r="I226" t="s">
        <v>46</v>
      </c>
      <c r="J226" t="s">
        <v>48</v>
      </c>
      <c r="K226" t="s">
        <v>48</v>
      </c>
      <c r="L226" t="s">
        <v>49</v>
      </c>
      <c r="M226" t="s">
        <v>50</v>
      </c>
      <c r="N226" t="s">
        <v>51</v>
      </c>
      <c r="O226">
        <v>8483309000</v>
      </c>
      <c r="P226" t="s">
        <v>66</v>
      </c>
      <c r="Q226" t="s">
        <v>295</v>
      </c>
      <c r="R226" t="s">
        <v>54</v>
      </c>
      <c r="S226" t="s">
        <v>55</v>
      </c>
      <c r="T226">
        <v>11</v>
      </c>
      <c r="U226">
        <v>2</v>
      </c>
      <c r="V226" t="s">
        <v>135</v>
      </c>
      <c r="W226">
        <v>0</v>
      </c>
      <c r="X226">
        <v>109.75</v>
      </c>
      <c r="Y226">
        <v>14.37</v>
      </c>
      <c r="Z226">
        <v>0.74</v>
      </c>
      <c r="AA226">
        <v>124.86</v>
      </c>
      <c r="AB226" t="s">
        <v>54</v>
      </c>
      <c r="AC226" t="s">
        <v>71</v>
      </c>
      <c r="AD226" t="s">
        <v>48</v>
      </c>
      <c r="AE226">
        <v>0</v>
      </c>
      <c r="AF226">
        <v>4.08</v>
      </c>
      <c r="AG226" t="s">
        <v>59</v>
      </c>
      <c r="AH226">
        <v>895279</v>
      </c>
      <c r="AI226" t="s">
        <v>60</v>
      </c>
      <c r="AJ226" t="s">
        <v>60</v>
      </c>
      <c r="AK226" t="s">
        <v>54</v>
      </c>
      <c r="AL226">
        <v>2024</v>
      </c>
      <c r="AM226" s="6" t="s">
        <v>379</v>
      </c>
      <c r="AN226" s="7">
        <v>54.87</v>
      </c>
      <c r="AO226" s="8">
        <f t="shared" si="12"/>
        <v>102.88124999999999</v>
      </c>
      <c r="AP226" s="8">
        <f t="shared" si="13"/>
        <v>114.30106875</v>
      </c>
      <c r="AQ226" s="9">
        <f t="shared" si="11"/>
        <v>166.65733687499997</v>
      </c>
    </row>
    <row r="227" spans="1:43" x14ac:dyDescent="0.25">
      <c r="A227">
        <v>1</v>
      </c>
      <c r="B227">
        <v>2</v>
      </c>
      <c r="C227">
        <v>2024</v>
      </c>
      <c r="D227" t="s">
        <v>43</v>
      </c>
      <c r="E227" t="s">
        <v>174</v>
      </c>
      <c r="F227" t="s">
        <v>175</v>
      </c>
      <c r="G227">
        <v>7</v>
      </c>
      <c r="H227">
        <v>1791882490001</v>
      </c>
      <c r="I227" t="s">
        <v>46</v>
      </c>
      <c r="J227" t="s">
        <v>65</v>
      </c>
      <c r="K227" t="s">
        <v>48</v>
      </c>
      <c r="L227" t="s">
        <v>49</v>
      </c>
      <c r="M227" t="s">
        <v>50</v>
      </c>
      <c r="N227" t="s">
        <v>51</v>
      </c>
      <c r="O227">
        <v>4009320000</v>
      </c>
      <c r="P227" t="s">
        <v>142</v>
      </c>
      <c r="Q227" t="s">
        <v>67</v>
      </c>
      <c r="R227" t="s">
        <v>54</v>
      </c>
      <c r="S227" t="s">
        <v>55</v>
      </c>
      <c r="T227">
        <v>5</v>
      </c>
      <c r="U227">
        <v>2</v>
      </c>
      <c r="V227" t="s">
        <v>56</v>
      </c>
      <c r="W227">
        <v>0</v>
      </c>
      <c r="X227">
        <v>386.69</v>
      </c>
      <c r="Y227">
        <v>28.75</v>
      </c>
      <c r="Z227">
        <v>2.31</v>
      </c>
      <c r="AA227">
        <v>417.75</v>
      </c>
      <c r="AB227" t="s">
        <v>54</v>
      </c>
      <c r="AC227" t="s">
        <v>94</v>
      </c>
      <c r="AD227" t="s">
        <v>48</v>
      </c>
      <c r="AE227">
        <v>0</v>
      </c>
      <c r="AF227">
        <v>3.97</v>
      </c>
      <c r="AG227" t="s">
        <v>59</v>
      </c>
      <c r="AH227">
        <v>863266</v>
      </c>
      <c r="AI227" t="s">
        <v>60</v>
      </c>
      <c r="AJ227" t="s">
        <v>60</v>
      </c>
      <c r="AK227" t="s">
        <v>54</v>
      </c>
      <c r="AL227">
        <v>2023</v>
      </c>
      <c r="AM227" s="6" t="s">
        <v>380</v>
      </c>
      <c r="AN227" s="7">
        <v>193.35</v>
      </c>
      <c r="AO227" s="8">
        <f t="shared" si="12"/>
        <v>362.53125</v>
      </c>
      <c r="AP227" s="8">
        <f t="shared" si="13"/>
        <v>402.77221874999998</v>
      </c>
      <c r="AQ227" s="9">
        <f t="shared" si="11"/>
        <v>587.26437187499994</v>
      </c>
    </row>
    <row r="228" spans="1:43" x14ac:dyDescent="0.25">
      <c r="A228">
        <v>26</v>
      </c>
      <c r="B228">
        <v>12</v>
      </c>
      <c r="C228">
        <v>2024</v>
      </c>
      <c r="D228" t="s">
        <v>43</v>
      </c>
      <c r="E228" t="s">
        <v>222</v>
      </c>
      <c r="F228" t="s">
        <v>223</v>
      </c>
      <c r="G228">
        <v>9</v>
      </c>
      <c r="H228">
        <v>1791882490001</v>
      </c>
      <c r="I228" t="s">
        <v>46</v>
      </c>
      <c r="J228" t="s">
        <v>65</v>
      </c>
      <c r="K228" t="s">
        <v>48</v>
      </c>
      <c r="L228" t="s">
        <v>49</v>
      </c>
      <c r="M228" t="s">
        <v>50</v>
      </c>
      <c r="N228" t="s">
        <v>224</v>
      </c>
      <c r="O228">
        <v>4009320000</v>
      </c>
      <c r="P228" t="s">
        <v>152</v>
      </c>
      <c r="Q228" t="s">
        <v>67</v>
      </c>
      <c r="R228" t="s">
        <v>54</v>
      </c>
      <c r="S228" t="s">
        <v>55</v>
      </c>
      <c r="T228">
        <v>8</v>
      </c>
      <c r="U228">
        <v>2</v>
      </c>
      <c r="V228" t="s">
        <v>56</v>
      </c>
      <c r="W228">
        <v>0</v>
      </c>
      <c r="X228">
        <v>409.38</v>
      </c>
      <c r="Y228">
        <v>84.78</v>
      </c>
      <c r="Z228">
        <v>4.09</v>
      </c>
      <c r="AA228">
        <v>498.26</v>
      </c>
      <c r="AB228" t="s">
        <v>57</v>
      </c>
      <c r="AC228" t="s">
        <v>225</v>
      </c>
      <c r="AD228" t="s">
        <v>48</v>
      </c>
      <c r="AE228">
        <v>0</v>
      </c>
      <c r="AF228">
        <v>4.12</v>
      </c>
      <c r="AG228" t="s">
        <v>59</v>
      </c>
      <c r="AH228">
        <v>341996</v>
      </c>
      <c r="AI228" t="s">
        <v>60</v>
      </c>
      <c r="AJ228" t="s">
        <v>60</v>
      </c>
      <c r="AK228" t="s">
        <v>54</v>
      </c>
      <c r="AL228">
        <v>2024</v>
      </c>
      <c r="AM228" s="6" t="s">
        <v>380</v>
      </c>
      <c r="AN228" s="7">
        <v>204.69</v>
      </c>
      <c r="AO228" s="8">
        <f t="shared" si="12"/>
        <v>383.79374999999999</v>
      </c>
      <c r="AP228" s="8">
        <f t="shared" si="13"/>
        <v>426.39485624999998</v>
      </c>
      <c r="AQ228" s="9">
        <f t="shared" si="11"/>
        <v>621.70749562499998</v>
      </c>
    </row>
    <row r="229" spans="1:43" x14ac:dyDescent="0.25">
      <c r="A229">
        <v>16</v>
      </c>
      <c r="B229">
        <v>1</v>
      </c>
      <c r="C229">
        <v>2024</v>
      </c>
      <c r="D229" t="s">
        <v>43</v>
      </c>
      <c r="E229" t="s">
        <v>191</v>
      </c>
      <c r="F229" t="s">
        <v>192</v>
      </c>
      <c r="G229">
        <v>8</v>
      </c>
      <c r="H229">
        <v>1791882490001</v>
      </c>
      <c r="I229" t="s">
        <v>46</v>
      </c>
      <c r="J229" t="s">
        <v>48</v>
      </c>
      <c r="K229" t="s">
        <v>48</v>
      </c>
      <c r="L229" t="s">
        <v>49</v>
      </c>
      <c r="M229" t="s">
        <v>50</v>
      </c>
      <c r="N229" t="s">
        <v>51</v>
      </c>
      <c r="O229">
        <v>7306400000</v>
      </c>
      <c r="P229" t="s">
        <v>381</v>
      </c>
      <c r="Q229" t="s">
        <v>382</v>
      </c>
      <c r="R229" t="s">
        <v>54</v>
      </c>
      <c r="S229" t="s">
        <v>55</v>
      </c>
      <c r="T229">
        <v>11</v>
      </c>
      <c r="U229">
        <v>1</v>
      </c>
      <c r="V229" t="s">
        <v>56</v>
      </c>
      <c r="W229">
        <v>3.51</v>
      </c>
      <c r="X229">
        <v>58.54</v>
      </c>
      <c r="Y229">
        <v>3.84</v>
      </c>
      <c r="Z229">
        <v>0.38</v>
      </c>
      <c r="AA229">
        <v>62.76</v>
      </c>
      <c r="AB229" t="s">
        <v>57</v>
      </c>
      <c r="AC229" t="s">
        <v>81</v>
      </c>
      <c r="AD229" t="s">
        <v>48</v>
      </c>
      <c r="AE229">
        <v>0</v>
      </c>
      <c r="AF229">
        <v>2.86</v>
      </c>
      <c r="AG229" t="s">
        <v>59</v>
      </c>
      <c r="AH229">
        <v>850332</v>
      </c>
      <c r="AI229" t="s">
        <v>60</v>
      </c>
      <c r="AJ229" t="s">
        <v>60</v>
      </c>
      <c r="AK229" t="s">
        <v>54</v>
      </c>
      <c r="AL229">
        <v>2023</v>
      </c>
      <c r="AM229" s="6" t="s">
        <v>383</v>
      </c>
      <c r="AN229" s="7">
        <v>58.54</v>
      </c>
      <c r="AO229" s="8">
        <f t="shared" si="12"/>
        <v>109.7625</v>
      </c>
      <c r="AP229" s="8">
        <f t="shared" si="13"/>
        <v>121.94613750000001</v>
      </c>
      <c r="AQ229" s="9">
        <f t="shared" si="11"/>
        <v>177.80427374999999</v>
      </c>
    </row>
    <row r="230" spans="1:43" x14ac:dyDescent="0.25">
      <c r="A230">
        <v>3</v>
      </c>
      <c r="B230">
        <v>4</v>
      </c>
      <c r="C230">
        <v>2024</v>
      </c>
      <c r="D230" t="s">
        <v>43</v>
      </c>
      <c r="E230" t="s">
        <v>73</v>
      </c>
      <c r="F230" t="s">
        <v>74</v>
      </c>
      <c r="G230">
        <v>8</v>
      </c>
      <c r="H230">
        <v>1791882490001</v>
      </c>
      <c r="I230" t="s">
        <v>46</v>
      </c>
      <c r="J230" t="s">
        <v>48</v>
      </c>
      <c r="K230" t="s">
        <v>48</v>
      </c>
      <c r="L230" t="s">
        <v>49</v>
      </c>
      <c r="M230" t="s">
        <v>50</v>
      </c>
      <c r="N230" t="s">
        <v>51</v>
      </c>
      <c r="O230">
        <v>7306400000</v>
      </c>
      <c r="P230" t="s">
        <v>384</v>
      </c>
      <c r="Q230" t="s">
        <v>382</v>
      </c>
      <c r="R230" t="s">
        <v>54</v>
      </c>
      <c r="S230" t="s">
        <v>55</v>
      </c>
      <c r="T230">
        <v>6</v>
      </c>
      <c r="U230">
        <v>4</v>
      </c>
      <c r="V230" t="s">
        <v>56</v>
      </c>
      <c r="W230">
        <v>15.78</v>
      </c>
      <c r="X230">
        <v>250.85</v>
      </c>
      <c r="Y230">
        <v>29.3</v>
      </c>
      <c r="Z230">
        <v>1.64</v>
      </c>
      <c r="AA230">
        <v>281.79000000000002</v>
      </c>
      <c r="AB230" t="s">
        <v>57</v>
      </c>
      <c r="AC230" t="s">
        <v>58</v>
      </c>
      <c r="AD230" t="s">
        <v>48</v>
      </c>
      <c r="AE230">
        <v>0</v>
      </c>
      <c r="AF230">
        <v>5.33</v>
      </c>
      <c r="AG230" t="s">
        <v>59</v>
      </c>
      <c r="AH230">
        <v>438183</v>
      </c>
      <c r="AI230" t="s">
        <v>60</v>
      </c>
      <c r="AJ230" t="s">
        <v>60</v>
      </c>
      <c r="AK230" t="s">
        <v>54</v>
      </c>
      <c r="AL230">
        <v>2024</v>
      </c>
      <c r="AM230" s="6" t="s">
        <v>383</v>
      </c>
      <c r="AN230" s="7">
        <v>62.71</v>
      </c>
      <c r="AO230" s="8">
        <f t="shared" si="12"/>
        <v>117.58125</v>
      </c>
      <c r="AP230" s="8">
        <f t="shared" si="13"/>
        <v>130.63276875</v>
      </c>
      <c r="AQ230" s="9">
        <f t="shared" si="11"/>
        <v>190.46986687499998</v>
      </c>
    </row>
    <row r="231" spans="1:43" x14ac:dyDescent="0.25">
      <c r="A231">
        <v>16</v>
      </c>
      <c r="B231">
        <v>12</v>
      </c>
      <c r="C231">
        <v>2024</v>
      </c>
      <c r="D231" t="s">
        <v>43</v>
      </c>
      <c r="E231" t="s">
        <v>128</v>
      </c>
      <c r="F231" t="s">
        <v>129</v>
      </c>
      <c r="G231">
        <v>12</v>
      </c>
      <c r="H231">
        <v>1791882490001</v>
      </c>
      <c r="I231" t="s">
        <v>46</v>
      </c>
      <c r="J231" t="s">
        <v>343</v>
      </c>
      <c r="K231" t="s">
        <v>48</v>
      </c>
      <c r="L231" t="s">
        <v>49</v>
      </c>
      <c r="M231" t="s">
        <v>50</v>
      </c>
      <c r="N231" t="s">
        <v>51</v>
      </c>
      <c r="O231">
        <v>8544429000</v>
      </c>
      <c r="P231" t="s">
        <v>333</v>
      </c>
      <c r="Q231" t="s">
        <v>385</v>
      </c>
      <c r="R231" t="s">
        <v>54</v>
      </c>
      <c r="S231" t="s">
        <v>55</v>
      </c>
      <c r="T231">
        <v>9</v>
      </c>
      <c r="U231">
        <v>1</v>
      </c>
      <c r="V231" t="s">
        <v>56</v>
      </c>
      <c r="W231">
        <v>1.87</v>
      </c>
      <c r="X231">
        <v>39.04</v>
      </c>
      <c r="Y231">
        <v>5.1100000000000003</v>
      </c>
      <c r="Z231">
        <v>0.27</v>
      </c>
      <c r="AA231">
        <v>44.42</v>
      </c>
      <c r="AB231" t="s">
        <v>57</v>
      </c>
      <c r="AC231" t="s">
        <v>131</v>
      </c>
      <c r="AD231" t="s">
        <v>48</v>
      </c>
      <c r="AE231">
        <v>0</v>
      </c>
      <c r="AF231">
        <v>1.99</v>
      </c>
      <c r="AG231" t="s">
        <v>59</v>
      </c>
      <c r="AH231">
        <v>325395</v>
      </c>
      <c r="AI231" t="s">
        <v>60</v>
      </c>
      <c r="AJ231" t="s">
        <v>78</v>
      </c>
      <c r="AK231" t="s">
        <v>54</v>
      </c>
      <c r="AL231">
        <v>2024</v>
      </c>
      <c r="AM231" s="6" t="s">
        <v>386</v>
      </c>
      <c r="AN231" s="7">
        <v>39.04</v>
      </c>
      <c r="AO231" s="8">
        <f t="shared" si="12"/>
        <v>73.2</v>
      </c>
      <c r="AP231" s="8">
        <f t="shared" si="13"/>
        <v>81.325199999999995</v>
      </c>
      <c r="AQ231" s="9">
        <f t="shared" si="11"/>
        <v>118.57668</v>
      </c>
    </row>
    <row r="232" spans="1:43" x14ac:dyDescent="0.25">
      <c r="A232">
        <v>12</v>
      </c>
      <c r="B232">
        <v>6</v>
      </c>
      <c r="C232">
        <v>2024</v>
      </c>
      <c r="D232" t="s">
        <v>43</v>
      </c>
      <c r="E232" t="s">
        <v>96</v>
      </c>
      <c r="F232" t="s">
        <v>97</v>
      </c>
      <c r="G232">
        <v>16</v>
      </c>
      <c r="H232">
        <v>1791882490001</v>
      </c>
      <c r="I232" t="s">
        <v>46</v>
      </c>
      <c r="J232" t="s">
        <v>65</v>
      </c>
      <c r="K232" t="s">
        <v>48</v>
      </c>
      <c r="L232" t="s">
        <v>49</v>
      </c>
      <c r="M232" t="s">
        <v>50</v>
      </c>
      <c r="N232" t="s">
        <v>51</v>
      </c>
      <c r="O232">
        <v>3917399000</v>
      </c>
      <c r="P232" t="s">
        <v>66</v>
      </c>
      <c r="Q232" t="s">
        <v>67</v>
      </c>
      <c r="R232" t="s">
        <v>54</v>
      </c>
      <c r="S232" t="s">
        <v>55</v>
      </c>
      <c r="T232">
        <v>7</v>
      </c>
      <c r="U232">
        <v>2</v>
      </c>
      <c r="V232" t="s">
        <v>56</v>
      </c>
      <c r="W232">
        <v>0</v>
      </c>
      <c r="X232">
        <v>428.58</v>
      </c>
      <c r="Y232">
        <v>37.17</v>
      </c>
      <c r="Z232">
        <v>2.88</v>
      </c>
      <c r="AA232">
        <v>468.64</v>
      </c>
      <c r="AB232" t="s">
        <v>57</v>
      </c>
      <c r="AC232" t="s">
        <v>94</v>
      </c>
      <c r="AD232" t="s">
        <v>48</v>
      </c>
      <c r="AE232">
        <v>0</v>
      </c>
      <c r="AF232">
        <v>3.6</v>
      </c>
      <c r="AG232" t="s">
        <v>59</v>
      </c>
      <c r="AH232" t="s">
        <v>98</v>
      </c>
      <c r="AI232" t="s">
        <v>60</v>
      </c>
      <c r="AJ232" t="s">
        <v>60</v>
      </c>
      <c r="AK232" t="s">
        <v>54</v>
      </c>
      <c r="AL232">
        <v>2024</v>
      </c>
      <c r="AM232" s="6" t="s">
        <v>387</v>
      </c>
      <c r="AN232" s="7">
        <v>214.29</v>
      </c>
      <c r="AO232" s="8">
        <f t="shared" si="12"/>
        <v>401.79374999999999</v>
      </c>
      <c r="AP232" s="8">
        <f t="shared" si="13"/>
        <v>446.39285624999997</v>
      </c>
      <c r="AQ232" s="9">
        <f t="shared" si="11"/>
        <v>650.86569562499994</v>
      </c>
    </row>
    <row r="233" spans="1:43" x14ac:dyDescent="0.25">
      <c r="A233">
        <v>16</v>
      </c>
      <c r="B233">
        <v>1</v>
      </c>
      <c r="C233">
        <v>2024</v>
      </c>
      <c r="D233" t="s">
        <v>43</v>
      </c>
      <c r="E233" t="s">
        <v>191</v>
      </c>
      <c r="F233" t="s">
        <v>192</v>
      </c>
      <c r="G233">
        <v>9</v>
      </c>
      <c r="H233">
        <v>1791882490001</v>
      </c>
      <c r="I233" t="s">
        <v>46</v>
      </c>
      <c r="J233" t="s">
        <v>65</v>
      </c>
      <c r="K233" t="s">
        <v>48</v>
      </c>
      <c r="L233" t="s">
        <v>49</v>
      </c>
      <c r="M233" t="s">
        <v>50</v>
      </c>
      <c r="N233" t="s">
        <v>51</v>
      </c>
      <c r="O233">
        <v>8421999000</v>
      </c>
      <c r="P233" t="s">
        <v>52</v>
      </c>
      <c r="Q233" t="s">
        <v>309</v>
      </c>
      <c r="R233" t="s">
        <v>54</v>
      </c>
      <c r="S233" t="s">
        <v>55</v>
      </c>
      <c r="T233">
        <v>11</v>
      </c>
      <c r="U233">
        <v>1</v>
      </c>
      <c r="V233" t="s">
        <v>135</v>
      </c>
      <c r="W233">
        <v>0</v>
      </c>
      <c r="X233">
        <v>106.15</v>
      </c>
      <c r="Y233">
        <v>6.97</v>
      </c>
      <c r="Z233">
        <v>0.69</v>
      </c>
      <c r="AA233">
        <v>113.8</v>
      </c>
      <c r="AB233" t="s">
        <v>57</v>
      </c>
      <c r="AC233" t="s">
        <v>81</v>
      </c>
      <c r="AD233" t="s">
        <v>48</v>
      </c>
      <c r="AE233">
        <v>0</v>
      </c>
      <c r="AF233">
        <v>2.86</v>
      </c>
      <c r="AG233" t="s">
        <v>59</v>
      </c>
      <c r="AH233">
        <v>850332</v>
      </c>
      <c r="AI233" t="s">
        <v>60</v>
      </c>
      <c r="AJ233" t="s">
        <v>60</v>
      </c>
      <c r="AK233" t="s">
        <v>54</v>
      </c>
      <c r="AL233">
        <v>2023</v>
      </c>
      <c r="AM233" s="6" t="s">
        <v>388</v>
      </c>
      <c r="AN233" s="7">
        <v>106.15</v>
      </c>
      <c r="AO233" s="8">
        <f t="shared" si="12"/>
        <v>199.03125</v>
      </c>
      <c r="AP233" s="8">
        <f t="shared" si="13"/>
        <v>221.12371874999999</v>
      </c>
      <c r="AQ233" s="9">
        <f t="shared" si="11"/>
        <v>322.41072187499998</v>
      </c>
    </row>
    <row r="234" spans="1:43" x14ac:dyDescent="0.25">
      <c r="A234">
        <v>16</v>
      </c>
      <c r="B234">
        <v>1</v>
      </c>
      <c r="C234">
        <v>2024</v>
      </c>
      <c r="D234" t="s">
        <v>43</v>
      </c>
      <c r="E234" t="s">
        <v>191</v>
      </c>
      <c r="F234" t="s">
        <v>192</v>
      </c>
      <c r="G234">
        <v>10</v>
      </c>
      <c r="H234">
        <v>1791882490001</v>
      </c>
      <c r="I234" t="s">
        <v>46</v>
      </c>
      <c r="J234" t="s">
        <v>65</v>
      </c>
      <c r="K234" t="s">
        <v>48</v>
      </c>
      <c r="L234" t="s">
        <v>49</v>
      </c>
      <c r="M234" t="s">
        <v>50</v>
      </c>
      <c r="N234" t="s">
        <v>51</v>
      </c>
      <c r="O234">
        <v>8421999000</v>
      </c>
      <c r="P234" t="s">
        <v>52</v>
      </c>
      <c r="Q234" t="s">
        <v>309</v>
      </c>
      <c r="R234" t="s">
        <v>54</v>
      </c>
      <c r="S234" t="s">
        <v>55</v>
      </c>
      <c r="T234">
        <v>11</v>
      </c>
      <c r="U234">
        <v>1</v>
      </c>
      <c r="V234" t="s">
        <v>135</v>
      </c>
      <c r="W234">
        <v>0</v>
      </c>
      <c r="X234">
        <v>106.15</v>
      </c>
      <c r="Y234">
        <v>6.97</v>
      </c>
      <c r="Z234">
        <v>0.69</v>
      </c>
      <c r="AA234">
        <v>113.8</v>
      </c>
      <c r="AB234" t="s">
        <v>57</v>
      </c>
      <c r="AC234" t="s">
        <v>81</v>
      </c>
      <c r="AD234" t="s">
        <v>48</v>
      </c>
      <c r="AE234">
        <v>0</v>
      </c>
      <c r="AF234">
        <v>2.86</v>
      </c>
      <c r="AG234" t="s">
        <v>59</v>
      </c>
      <c r="AH234">
        <v>850332</v>
      </c>
      <c r="AI234" t="s">
        <v>60</v>
      </c>
      <c r="AJ234" t="s">
        <v>60</v>
      </c>
      <c r="AK234" t="s">
        <v>54</v>
      </c>
      <c r="AL234">
        <v>2023</v>
      </c>
      <c r="AM234" s="6" t="s">
        <v>388</v>
      </c>
      <c r="AN234" s="7">
        <v>106.15</v>
      </c>
      <c r="AO234" s="8">
        <f t="shared" si="12"/>
        <v>199.03125</v>
      </c>
      <c r="AP234" s="8">
        <f t="shared" si="13"/>
        <v>221.12371874999999</v>
      </c>
      <c r="AQ234" s="9">
        <f t="shared" si="11"/>
        <v>322.41072187499998</v>
      </c>
    </row>
    <row r="235" spans="1:43" x14ac:dyDescent="0.25">
      <c r="A235">
        <v>16</v>
      </c>
      <c r="B235">
        <v>1</v>
      </c>
      <c r="C235">
        <v>2024</v>
      </c>
      <c r="D235" t="s">
        <v>43</v>
      </c>
      <c r="E235" t="s">
        <v>191</v>
      </c>
      <c r="F235" t="s">
        <v>192</v>
      </c>
      <c r="G235">
        <v>11</v>
      </c>
      <c r="H235">
        <v>1791882490001</v>
      </c>
      <c r="I235" t="s">
        <v>46</v>
      </c>
      <c r="J235" t="s">
        <v>65</v>
      </c>
      <c r="K235" t="s">
        <v>48</v>
      </c>
      <c r="L235" t="s">
        <v>49</v>
      </c>
      <c r="M235" t="s">
        <v>50</v>
      </c>
      <c r="N235" t="s">
        <v>51</v>
      </c>
      <c r="O235">
        <v>8421999000</v>
      </c>
      <c r="P235" t="s">
        <v>52</v>
      </c>
      <c r="Q235" t="s">
        <v>309</v>
      </c>
      <c r="R235" t="s">
        <v>54</v>
      </c>
      <c r="S235" t="s">
        <v>55</v>
      </c>
      <c r="T235">
        <v>11</v>
      </c>
      <c r="U235">
        <v>6</v>
      </c>
      <c r="V235" t="s">
        <v>135</v>
      </c>
      <c r="W235">
        <v>0</v>
      </c>
      <c r="X235">
        <v>636.91999999999996</v>
      </c>
      <c r="Y235">
        <v>41.79</v>
      </c>
      <c r="Z235">
        <v>4.1100000000000003</v>
      </c>
      <c r="AA235">
        <v>682.82</v>
      </c>
      <c r="AB235" t="s">
        <v>57</v>
      </c>
      <c r="AC235" t="s">
        <v>81</v>
      </c>
      <c r="AD235" t="s">
        <v>48</v>
      </c>
      <c r="AE235">
        <v>0</v>
      </c>
      <c r="AF235">
        <v>17.13</v>
      </c>
      <c r="AG235" t="s">
        <v>59</v>
      </c>
      <c r="AH235">
        <v>850332</v>
      </c>
      <c r="AI235" t="s">
        <v>60</v>
      </c>
      <c r="AJ235" t="s">
        <v>60</v>
      </c>
      <c r="AK235" t="s">
        <v>54</v>
      </c>
      <c r="AL235">
        <v>2023</v>
      </c>
      <c r="AM235" s="6" t="s">
        <v>388</v>
      </c>
      <c r="AN235" s="7">
        <v>106.15</v>
      </c>
      <c r="AO235" s="8">
        <f t="shared" si="12"/>
        <v>199.03125</v>
      </c>
      <c r="AP235" s="8">
        <f t="shared" si="13"/>
        <v>221.12371874999999</v>
      </c>
      <c r="AQ235" s="9">
        <f t="shared" si="11"/>
        <v>322.41072187499998</v>
      </c>
    </row>
    <row r="236" spans="1:43" x14ac:dyDescent="0.25">
      <c r="A236">
        <v>8</v>
      </c>
      <c r="B236">
        <v>7</v>
      </c>
      <c r="C236">
        <v>2024</v>
      </c>
      <c r="D236" t="s">
        <v>43</v>
      </c>
      <c r="E236" t="s">
        <v>75</v>
      </c>
      <c r="F236" t="s">
        <v>76</v>
      </c>
      <c r="G236">
        <v>18</v>
      </c>
      <c r="H236">
        <v>1791882490001</v>
      </c>
      <c r="I236" t="s">
        <v>46</v>
      </c>
      <c r="J236" t="s">
        <v>65</v>
      </c>
      <c r="K236" t="s">
        <v>48</v>
      </c>
      <c r="L236" t="s">
        <v>49</v>
      </c>
      <c r="M236" t="s">
        <v>50</v>
      </c>
      <c r="N236" t="s">
        <v>51</v>
      </c>
      <c r="O236">
        <v>8421999000</v>
      </c>
      <c r="P236" t="s">
        <v>66</v>
      </c>
      <c r="Q236" t="s">
        <v>309</v>
      </c>
      <c r="R236" t="s">
        <v>54</v>
      </c>
      <c r="S236" t="s">
        <v>55</v>
      </c>
      <c r="T236">
        <v>8</v>
      </c>
      <c r="U236">
        <v>8</v>
      </c>
      <c r="V236" t="s">
        <v>135</v>
      </c>
      <c r="W236">
        <v>0</v>
      </c>
      <c r="X236">
        <v>926.87</v>
      </c>
      <c r="Y236">
        <v>79.16</v>
      </c>
      <c r="Z236">
        <v>6.03</v>
      </c>
      <c r="AA236">
        <v>1012.06</v>
      </c>
      <c r="AB236" t="s">
        <v>57</v>
      </c>
      <c r="AC236" t="s">
        <v>77</v>
      </c>
      <c r="AD236" t="s">
        <v>48</v>
      </c>
      <c r="AE236">
        <v>0</v>
      </c>
      <c r="AF236">
        <v>6.13</v>
      </c>
      <c r="AG236" t="s">
        <v>59</v>
      </c>
      <c r="AH236">
        <v>107711</v>
      </c>
      <c r="AI236" t="s">
        <v>60</v>
      </c>
      <c r="AJ236" t="s">
        <v>78</v>
      </c>
      <c r="AK236" t="s">
        <v>54</v>
      </c>
      <c r="AL236">
        <v>2024</v>
      </c>
      <c r="AM236" s="6" t="s">
        <v>388</v>
      </c>
      <c r="AN236" s="7">
        <v>115.86</v>
      </c>
      <c r="AO236" s="8">
        <f t="shared" si="12"/>
        <v>217.23750000000001</v>
      </c>
      <c r="AP236" s="8">
        <f t="shared" si="13"/>
        <v>241.35086250000001</v>
      </c>
      <c r="AQ236" s="9">
        <f t="shared" si="11"/>
        <v>351.90302624999998</v>
      </c>
    </row>
    <row r="237" spans="1:43" x14ac:dyDescent="0.25">
      <c r="A237">
        <v>8</v>
      </c>
      <c r="B237">
        <v>7</v>
      </c>
      <c r="C237">
        <v>2024</v>
      </c>
      <c r="D237" t="s">
        <v>43</v>
      </c>
      <c r="E237" t="s">
        <v>75</v>
      </c>
      <c r="F237" t="s">
        <v>76</v>
      </c>
      <c r="G237">
        <v>18</v>
      </c>
      <c r="H237">
        <v>1791882490001</v>
      </c>
      <c r="I237" t="s">
        <v>46</v>
      </c>
      <c r="J237" t="s">
        <v>65</v>
      </c>
      <c r="K237" t="s">
        <v>48</v>
      </c>
      <c r="L237" t="s">
        <v>49</v>
      </c>
      <c r="M237" t="s">
        <v>50</v>
      </c>
      <c r="N237" t="s">
        <v>51</v>
      </c>
      <c r="O237">
        <v>8421999000</v>
      </c>
      <c r="P237" t="s">
        <v>66</v>
      </c>
      <c r="Q237" t="s">
        <v>309</v>
      </c>
      <c r="R237" t="s">
        <v>54</v>
      </c>
      <c r="S237" t="s">
        <v>55</v>
      </c>
      <c r="T237">
        <v>8</v>
      </c>
      <c r="U237">
        <v>8</v>
      </c>
      <c r="V237" t="s">
        <v>135</v>
      </c>
      <c r="W237">
        <v>0</v>
      </c>
      <c r="X237">
        <v>926.87</v>
      </c>
      <c r="Y237">
        <v>79.16</v>
      </c>
      <c r="Z237">
        <v>6.03</v>
      </c>
      <c r="AA237">
        <v>1012.06</v>
      </c>
      <c r="AB237" t="s">
        <v>57</v>
      </c>
      <c r="AC237" t="s">
        <v>77</v>
      </c>
      <c r="AD237" t="s">
        <v>48</v>
      </c>
      <c r="AE237">
        <v>0</v>
      </c>
      <c r="AF237">
        <v>6.13</v>
      </c>
      <c r="AG237" t="s">
        <v>59</v>
      </c>
      <c r="AH237">
        <v>107711</v>
      </c>
      <c r="AI237" t="s">
        <v>60</v>
      </c>
      <c r="AJ237" t="s">
        <v>78</v>
      </c>
      <c r="AK237" t="s">
        <v>54</v>
      </c>
      <c r="AL237">
        <v>2024</v>
      </c>
      <c r="AM237" s="6" t="s">
        <v>388</v>
      </c>
      <c r="AN237" s="7">
        <v>115.86</v>
      </c>
      <c r="AO237" s="8">
        <f t="shared" si="12"/>
        <v>217.23750000000001</v>
      </c>
      <c r="AP237" s="8">
        <f t="shared" si="13"/>
        <v>241.35086250000001</v>
      </c>
      <c r="AQ237" s="9">
        <f t="shared" si="11"/>
        <v>351.90302624999998</v>
      </c>
    </row>
    <row r="238" spans="1:43" x14ac:dyDescent="0.25">
      <c r="A238">
        <v>11</v>
      </c>
      <c r="B238">
        <v>7</v>
      </c>
      <c r="C238">
        <v>2024</v>
      </c>
      <c r="D238" t="s">
        <v>43</v>
      </c>
      <c r="E238" t="s">
        <v>116</v>
      </c>
      <c r="F238" t="s">
        <v>117</v>
      </c>
      <c r="G238">
        <v>10</v>
      </c>
      <c r="H238">
        <v>1791882490001</v>
      </c>
      <c r="I238" t="s">
        <v>46</v>
      </c>
      <c r="J238" t="s">
        <v>65</v>
      </c>
      <c r="K238" t="s">
        <v>48</v>
      </c>
      <c r="L238" t="s">
        <v>119</v>
      </c>
      <c r="M238" t="s">
        <v>120</v>
      </c>
      <c r="N238" t="s">
        <v>121</v>
      </c>
      <c r="O238">
        <v>8421999000</v>
      </c>
      <c r="P238" t="s">
        <v>66</v>
      </c>
      <c r="Q238" t="s">
        <v>309</v>
      </c>
      <c r="R238" t="s">
        <v>54</v>
      </c>
      <c r="S238" t="s">
        <v>55</v>
      </c>
      <c r="T238">
        <v>9</v>
      </c>
      <c r="U238">
        <v>10</v>
      </c>
      <c r="V238" t="s">
        <v>135</v>
      </c>
      <c r="W238">
        <v>0</v>
      </c>
      <c r="X238">
        <v>1063.26</v>
      </c>
      <c r="Y238">
        <v>95.75</v>
      </c>
      <c r="Z238">
        <v>7.14</v>
      </c>
      <c r="AA238">
        <v>1166.1500000000001</v>
      </c>
      <c r="AB238" t="s">
        <v>124</v>
      </c>
      <c r="AC238" t="s">
        <v>125</v>
      </c>
      <c r="AD238" t="s">
        <v>48</v>
      </c>
      <c r="AE238">
        <v>0</v>
      </c>
      <c r="AF238">
        <v>20.170000000000002</v>
      </c>
      <c r="AG238" t="s">
        <v>59</v>
      </c>
      <c r="AH238">
        <v>486256</v>
      </c>
      <c r="AI238" t="s">
        <v>60</v>
      </c>
      <c r="AJ238" t="s">
        <v>78</v>
      </c>
      <c r="AK238" t="s">
        <v>54</v>
      </c>
      <c r="AL238">
        <v>2024</v>
      </c>
      <c r="AM238" s="6" t="s">
        <v>388</v>
      </c>
      <c r="AN238" s="7">
        <v>106.33</v>
      </c>
      <c r="AO238" s="8">
        <f t="shared" si="12"/>
        <v>199.36875000000001</v>
      </c>
      <c r="AP238" s="8">
        <f t="shared" si="13"/>
        <v>221.49868125</v>
      </c>
      <c r="AQ238" s="9">
        <f t="shared" si="11"/>
        <v>322.95743812500001</v>
      </c>
    </row>
    <row r="239" spans="1:43" x14ac:dyDescent="0.25">
      <c r="A239">
        <v>19</v>
      </c>
      <c r="B239">
        <v>8</v>
      </c>
      <c r="C239">
        <v>2024</v>
      </c>
      <c r="D239" t="s">
        <v>43</v>
      </c>
      <c r="E239" t="s">
        <v>84</v>
      </c>
      <c r="F239" t="s">
        <v>85</v>
      </c>
      <c r="G239">
        <v>17</v>
      </c>
      <c r="H239">
        <v>1791882490001</v>
      </c>
      <c r="I239" t="s">
        <v>46</v>
      </c>
      <c r="J239" t="s">
        <v>65</v>
      </c>
      <c r="K239" t="s">
        <v>48</v>
      </c>
      <c r="L239" t="s">
        <v>49</v>
      </c>
      <c r="M239" t="s">
        <v>50</v>
      </c>
      <c r="N239" t="s">
        <v>51</v>
      </c>
      <c r="O239">
        <v>8421999000</v>
      </c>
      <c r="P239" t="s">
        <v>66</v>
      </c>
      <c r="Q239" t="s">
        <v>309</v>
      </c>
      <c r="R239" t="s">
        <v>54</v>
      </c>
      <c r="S239" t="s">
        <v>55</v>
      </c>
      <c r="T239">
        <v>6</v>
      </c>
      <c r="U239">
        <v>9</v>
      </c>
      <c r="V239" t="s">
        <v>135</v>
      </c>
      <c r="W239">
        <v>0</v>
      </c>
      <c r="X239">
        <v>1004.16</v>
      </c>
      <c r="Y239">
        <v>129.57</v>
      </c>
      <c r="Z239">
        <v>6.87</v>
      </c>
      <c r="AA239">
        <v>1140.5999999999999</v>
      </c>
      <c r="AB239" t="s">
        <v>57</v>
      </c>
      <c r="AC239" t="s">
        <v>58</v>
      </c>
      <c r="AD239" t="s">
        <v>48</v>
      </c>
      <c r="AE239">
        <v>0</v>
      </c>
      <c r="AF239">
        <v>12.56</v>
      </c>
      <c r="AG239" t="s">
        <v>59</v>
      </c>
      <c r="AH239">
        <v>144527</v>
      </c>
      <c r="AI239" t="s">
        <v>60</v>
      </c>
      <c r="AJ239" t="s">
        <v>60</v>
      </c>
      <c r="AK239" t="s">
        <v>54</v>
      </c>
      <c r="AL239">
        <v>2024</v>
      </c>
      <c r="AM239" s="6" t="s">
        <v>388</v>
      </c>
      <c r="AN239" s="7">
        <v>111.57</v>
      </c>
      <c r="AO239" s="8">
        <f t="shared" si="12"/>
        <v>209.19374999999999</v>
      </c>
      <c r="AP239" s="8">
        <f t="shared" si="13"/>
        <v>232.41425624999999</v>
      </c>
      <c r="AQ239" s="9">
        <f t="shared" si="11"/>
        <v>338.87295562499997</v>
      </c>
    </row>
    <row r="240" spans="1:43" x14ac:dyDescent="0.25">
      <c r="A240">
        <v>19</v>
      </c>
      <c r="B240">
        <v>8</v>
      </c>
      <c r="C240">
        <v>2024</v>
      </c>
      <c r="D240" t="s">
        <v>43</v>
      </c>
      <c r="E240" t="s">
        <v>84</v>
      </c>
      <c r="F240" t="s">
        <v>85</v>
      </c>
      <c r="G240">
        <v>18</v>
      </c>
      <c r="H240">
        <v>1791882490001</v>
      </c>
      <c r="I240" t="s">
        <v>46</v>
      </c>
      <c r="J240" t="s">
        <v>65</v>
      </c>
      <c r="K240" t="s">
        <v>48</v>
      </c>
      <c r="L240" t="s">
        <v>49</v>
      </c>
      <c r="M240" t="s">
        <v>50</v>
      </c>
      <c r="N240" t="s">
        <v>51</v>
      </c>
      <c r="O240">
        <v>8421999000</v>
      </c>
      <c r="P240" t="s">
        <v>66</v>
      </c>
      <c r="Q240" t="s">
        <v>309</v>
      </c>
      <c r="R240" t="s">
        <v>54</v>
      </c>
      <c r="S240" t="s">
        <v>55</v>
      </c>
      <c r="T240">
        <v>6</v>
      </c>
      <c r="U240">
        <v>1</v>
      </c>
      <c r="V240" t="s">
        <v>135</v>
      </c>
      <c r="W240">
        <v>0</v>
      </c>
      <c r="X240">
        <v>111.57</v>
      </c>
      <c r="Y240">
        <v>14.4</v>
      </c>
      <c r="Z240">
        <v>0.76</v>
      </c>
      <c r="AA240">
        <v>126.73</v>
      </c>
      <c r="AB240" t="s">
        <v>57</v>
      </c>
      <c r="AC240" t="s">
        <v>58</v>
      </c>
      <c r="AD240" t="s">
        <v>48</v>
      </c>
      <c r="AE240">
        <v>0</v>
      </c>
      <c r="AF240">
        <v>1.39</v>
      </c>
      <c r="AG240" t="s">
        <v>59</v>
      </c>
      <c r="AH240">
        <v>144527</v>
      </c>
      <c r="AI240" t="s">
        <v>60</v>
      </c>
      <c r="AJ240" t="s">
        <v>60</v>
      </c>
      <c r="AK240" t="s">
        <v>54</v>
      </c>
      <c r="AL240">
        <v>2024</v>
      </c>
      <c r="AM240" s="6" t="s">
        <v>388</v>
      </c>
      <c r="AN240" s="7">
        <v>111.57</v>
      </c>
      <c r="AO240" s="8">
        <f t="shared" si="12"/>
        <v>209.19374999999999</v>
      </c>
      <c r="AP240" s="8">
        <f t="shared" si="13"/>
        <v>232.41425624999999</v>
      </c>
      <c r="AQ240" s="9">
        <f t="shared" si="11"/>
        <v>338.87295562499997</v>
      </c>
    </row>
    <row r="241" spans="1:43" x14ac:dyDescent="0.25">
      <c r="A241">
        <v>10</v>
      </c>
      <c r="B241">
        <v>10</v>
      </c>
      <c r="C241">
        <v>2024</v>
      </c>
      <c r="D241" t="s">
        <v>43</v>
      </c>
      <c r="E241" t="s">
        <v>44</v>
      </c>
      <c r="F241" t="s">
        <v>45</v>
      </c>
      <c r="G241">
        <v>20</v>
      </c>
      <c r="H241">
        <v>1791882490001</v>
      </c>
      <c r="I241" t="s">
        <v>46</v>
      </c>
      <c r="J241" t="s">
        <v>65</v>
      </c>
      <c r="K241" t="s">
        <v>48</v>
      </c>
      <c r="L241" t="s">
        <v>49</v>
      </c>
      <c r="M241" t="s">
        <v>50</v>
      </c>
      <c r="N241" t="s">
        <v>51</v>
      </c>
      <c r="O241">
        <v>8421999000</v>
      </c>
      <c r="P241" t="s">
        <v>52</v>
      </c>
      <c r="Q241" t="s">
        <v>309</v>
      </c>
      <c r="R241" t="s">
        <v>54</v>
      </c>
      <c r="S241" t="s">
        <v>55</v>
      </c>
      <c r="T241">
        <v>7</v>
      </c>
      <c r="U241">
        <v>10</v>
      </c>
      <c r="V241" t="s">
        <v>135</v>
      </c>
      <c r="W241">
        <v>0</v>
      </c>
      <c r="X241">
        <v>1127.76</v>
      </c>
      <c r="Y241">
        <v>197.04</v>
      </c>
      <c r="Z241">
        <v>8.1300000000000008</v>
      </c>
      <c r="AA241">
        <v>1332.93</v>
      </c>
      <c r="AB241" t="s">
        <v>57</v>
      </c>
      <c r="AC241" t="s">
        <v>58</v>
      </c>
      <c r="AD241" t="s">
        <v>48</v>
      </c>
      <c r="AE241">
        <v>0</v>
      </c>
      <c r="AF241">
        <v>12.17</v>
      </c>
      <c r="AG241" t="s">
        <v>59</v>
      </c>
      <c r="AH241">
        <v>179772</v>
      </c>
      <c r="AI241" t="s">
        <v>60</v>
      </c>
      <c r="AJ241" t="s">
        <v>60</v>
      </c>
      <c r="AK241" t="s">
        <v>54</v>
      </c>
      <c r="AL241">
        <v>2024</v>
      </c>
      <c r="AM241" s="6" t="s">
        <v>388</v>
      </c>
      <c r="AN241" s="7">
        <v>112.78</v>
      </c>
      <c r="AO241" s="8">
        <f t="shared" si="12"/>
        <v>211.46250000000001</v>
      </c>
      <c r="AP241" s="8">
        <f t="shared" si="13"/>
        <v>234.93483750000001</v>
      </c>
      <c r="AQ241" s="9">
        <f t="shared" si="11"/>
        <v>342.54810375</v>
      </c>
    </row>
    <row r="242" spans="1:43" x14ac:dyDescent="0.25">
      <c r="A242">
        <v>16</v>
      </c>
      <c r="B242">
        <v>12</v>
      </c>
      <c r="C242">
        <v>2024</v>
      </c>
      <c r="D242" t="s">
        <v>43</v>
      </c>
      <c r="E242" t="s">
        <v>128</v>
      </c>
      <c r="F242" t="s">
        <v>129</v>
      </c>
      <c r="G242">
        <v>13</v>
      </c>
      <c r="H242">
        <v>1791882490001</v>
      </c>
      <c r="I242" t="s">
        <v>46</v>
      </c>
      <c r="J242" t="s">
        <v>65</v>
      </c>
      <c r="K242" t="s">
        <v>48</v>
      </c>
      <c r="L242" t="s">
        <v>49</v>
      </c>
      <c r="M242" t="s">
        <v>50</v>
      </c>
      <c r="N242" t="s">
        <v>51</v>
      </c>
      <c r="O242">
        <v>8421999000</v>
      </c>
      <c r="P242" t="s">
        <v>52</v>
      </c>
      <c r="Q242" t="s">
        <v>320</v>
      </c>
      <c r="R242" t="s">
        <v>54</v>
      </c>
      <c r="S242" t="s">
        <v>55</v>
      </c>
      <c r="T242">
        <v>9</v>
      </c>
      <c r="U242">
        <v>4</v>
      </c>
      <c r="V242" t="s">
        <v>135</v>
      </c>
      <c r="W242">
        <v>0</v>
      </c>
      <c r="X242">
        <v>450.9</v>
      </c>
      <c r="Y242">
        <v>59.05</v>
      </c>
      <c r="Z242">
        <v>3.09</v>
      </c>
      <c r="AA242">
        <v>513.04999999999995</v>
      </c>
      <c r="AB242" t="s">
        <v>57</v>
      </c>
      <c r="AC242" t="s">
        <v>131</v>
      </c>
      <c r="AD242" t="s">
        <v>48</v>
      </c>
      <c r="AE242">
        <v>0</v>
      </c>
      <c r="AF242">
        <v>7.95</v>
      </c>
      <c r="AG242" t="s">
        <v>59</v>
      </c>
      <c r="AH242">
        <v>325395</v>
      </c>
      <c r="AI242" t="s">
        <v>60</v>
      </c>
      <c r="AJ242" t="s">
        <v>78</v>
      </c>
      <c r="AK242" t="s">
        <v>54</v>
      </c>
      <c r="AL242">
        <v>2024</v>
      </c>
      <c r="AM242" s="6" t="s">
        <v>388</v>
      </c>
      <c r="AN242" s="7">
        <v>112.73</v>
      </c>
      <c r="AO242" s="8">
        <f t="shared" si="12"/>
        <v>211.36875000000001</v>
      </c>
      <c r="AP242" s="8">
        <f t="shared" si="13"/>
        <v>234.83068125</v>
      </c>
      <c r="AQ242" s="9">
        <f t="shared" si="11"/>
        <v>342.39623812499997</v>
      </c>
    </row>
    <row r="243" spans="1:43" x14ac:dyDescent="0.25">
      <c r="A243">
        <v>26</v>
      </c>
      <c r="B243">
        <v>12</v>
      </c>
      <c r="C243">
        <v>2024</v>
      </c>
      <c r="D243" t="s">
        <v>43</v>
      </c>
      <c r="E243" t="s">
        <v>222</v>
      </c>
      <c r="F243" t="s">
        <v>223</v>
      </c>
      <c r="G243">
        <v>10</v>
      </c>
      <c r="H243">
        <v>1791882490001</v>
      </c>
      <c r="I243" t="s">
        <v>46</v>
      </c>
      <c r="J243" t="s">
        <v>65</v>
      </c>
      <c r="K243" t="s">
        <v>48</v>
      </c>
      <c r="L243" t="s">
        <v>49</v>
      </c>
      <c r="M243" t="s">
        <v>50</v>
      </c>
      <c r="N243" t="s">
        <v>224</v>
      </c>
      <c r="O243">
        <v>8421999000</v>
      </c>
      <c r="P243" t="s">
        <v>52</v>
      </c>
      <c r="Q243" t="s">
        <v>312</v>
      </c>
      <c r="R243" t="s">
        <v>54</v>
      </c>
      <c r="S243" t="s">
        <v>55</v>
      </c>
      <c r="T243">
        <v>8</v>
      </c>
      <c r="U243">
        <v>5</v>
      </c>
      <c r="V243" t="s">
        <v>135</v>
      </c>
      <c r="W243">
        <v>0</v>
      </c>
      <c r="X243">
        <v>494.75</v>
      </c>
      <c r="Y243">
        <v>102.46</v>
      </c>
      <c r="Z243">
        <v>4.95</v>
      </c>
      <c r="AA243">
        <v>602.16</v>
      </c>
      <c r="AB243" t="s">
        <v>57</v>
      </c>
      <c r="AC243" t="s">
        <v>225</v>
      </c>
      <c r="AD243" t="s">
        <v>48</v>
      </c>
      <c r="AE243">
        <v>0</v>
      </c>
      <c r="AF243">
        <v>10.3</v>
      </c>
      <c r="AG243" t="s">
        <v>59</v>
      </c>
      <c r="AH243">
        <v>341996</v>
      </c>
      <c r="AI243" t="s">
        <v>60</v>
      </c>
      <c r="AJ243" t="s">
        <v>60</v>
      </c>
      <c r="AK243" t="s">
        <v>54</v>
      </c>
      <c r="AL243">
        <v>2024</v>
      </c>
      <c r="AM243" s="6" t="s">
        <v>388</v>
      </c>
      <c r="AN243" s="7">
        <v>98.95</v>
      </c>
      <c r="AO243" s="8">
        <f t="shared" si="12"/>
        <v>185.53125</v>
      </c>
      <c r="AP243" s="8">
        <f t="shared" si="13"/>
        <v>206.12521874999999</v>
      </c>
      <c r="AQ243" s="9">
        <f t="shared" si="11"/>
        <v>300.54207187499998</v>
      </c>
    </row>
    <row r="244" spans="1:43" x14ac:dyDescent="0.25">
      <c r="A244">
        <v>17</v>
      </c>
      <c r="B244">
        <v>5</v>
      </c>
      <c r="C244">
        <v>2024</v>
      </c>
      <c r="D244" t="s">
        <v>43</v>
      </c>
      <c r="E244" t="s">
        <v>79</v>
      </c>
      <c r="F244" t="s">
        <v>80</v>
      </c>
      <c r="G244">
        <v>16</v>
      </c>
      <c r="H244">
        <v>1791882490001</v>
      </c>
      <c r="I244" t="s">
        <v>46</v>
      </c>
      <c r="J244" t="s">
        <v>48</v>
      </c>
      <c r="K244" t="s">
        <v>48</v>
      </c>
      <c r="L244" t="s">
        <v>49</v>
      </c>
      <c r="M244" t="s">
        <v>50</v>
      </c>
      <c r="N244" t="s">
        <v>51</v>
      </c>
      <c r="O244">
        <v>8544429000</v>
      </c>
      <c r="P244" t="s">
        <v>66</v>
      </c>
      <c r="Q244" t="s">
        <v>389</v>
      </c>
      <c r="R244" t="s">
        <v>54</v>
      </c>
      <c r="S244" t="s">
        <v>55</v>
      </c>
      <c r="T244">
        <v>6</v>
      </c>
      <c r="U244">
        <v>3</v>
      </c>
      <c r="V244" t="s">
        <v>56</v>
      </c>
      <c r="W244">
        <v>15.01</v>
      </c>
      <c r="X244">
        <v>324.05</v>
      </c>
      <c r="Y244">
        <v>31.28</v>
      </c>
      <c r="Z244">
        <v>2.16</v>
      </c>
      <c r="AA244">
        <v>357.49</v>
      </c>
      <c r="AB244" t="s">
        <v>57</v>
      </c>
      <c r="AC244" t="s">
        <v>81</v>
      </c>
      <c r="AD244" t="s">
        <v>48</v>
      </c>
      <c r="AE244">
        <v>0</v>
      </c>
      <c r="AF244">
        <v>3.24</v>
      </c>
      <c r="AG244" t="s">
        <v>82</v>
      </c>
      <c r="AH244">
        <v>471463</v>
      </c>
      <c r="AI244" t="s">
        <v>60</v>
      </c>
      <c r="AJ244" t="s">
        <v>60</v>
      </c>
      <c r="AK244" t="s">
        <v>54</v>
      </c>
      <c r="AL244">
        <v>2024</v>
      </c>
      <c r="AM244" s="6" t="s">
        <v>390</v>
      </c>
      <c r="AN244" s="7">
        <v>108.02</v>
      </c>
      <c r="AO244" s="8">
        <f t="shared" si="12"/>
        <v>202.53749999999999</v>
      </c>
      <c r="AP244" s="8">
        <f t="shared" si="13"/>
        <v>225.01916249999999</v>
      </c>
      <c r="AQ244" s="9">
        <f t="shared" si="11"/>
        <v>328.09049624999994</v>
      </c>
    </row>
    <row r="245" spans="1:43" x14ac:dyDescent="0.25">
      <c r="A245">
        <v>15</v>
      </c>
      <c r="B245">
        <v>4</v>
      </c>
      <c r="C245">
        <v>2024</v>
      </c>
      <c r="D245" t="s">
        <v>43</v>
      </c>
      <c r="E245" t="s">
        <v>63</v>
      </c>
      <c r="F245" t="s">
        <v>64</v>
      </c>
      <c r="G245">
        <v>23</v>
      </c>
      <c r="H245">
        <v>1791882490001</v>
      </c>
      <c r="I245" t="s">
        <v>46</v>
      </c>
      <c r="J245" t="s">
        <v>343</v>
      </c>
      <c r="K245" t="s">
        <v>48</v>
      </c>
      <c r="L245" t="s">
        <v>49</v>
      </c>
      <c r="M245" t="s">
        <v>50</v>
      </c>
      <c r="N245" t="s">
        <v>51</v>
      </c>
      <c r="O245">
        <v>8483909000</v>
      </c>
      <c r="P245" t="s">
        <v>334</v>
      </c>
      <c r="Q245" t="s">
        <v>391</v>
      </c>
      <c r="R245" t="s">
        <v>54</v>
      </c>
      <c r="S245" t="s">
        <v>55</v>
      </c>
      <c r="T245">
        <v>6</v>
      </c>
      <c r="U245">
        <v>1</v>
      </c>
      <c r="V245" t="s">
        <v>135</v>
      </c>
      <c r="W245">
        <v>0</v>
      </c>
      <c r="X245">
        <v>375.67</v>
      </c>
      <c r="Y245">
        <v>39.54</v>
      </c>
      <c r="Z245">
        <v>2.52</v>
      </c>
      <c r="AA245">
        <v>417.74</v>
      </c>
      <c r="AB245" t="s">
        <v>57</v>
      </c>
      <c r="AC245" t="s">
        <v>58</v>
      </c>
      <c r="AD245" t="s">
        <v>48</v>
      </c>
      <c r="AE245">
        <v>0</v>
      </c>
      <c r="AF245">
        <v>3.6</v>
      </c>
      <c r="AG245" t="s">
        <v>59</v>
      </c>
      <c r="AH245">
        <v>443965</v>
      </c>
      <c r="AI245" t="s">
        <v>60</v>
      </c>
      <c r="AJ245" t="s">
        <v>60</v>
      </c>
      <c r="AK245" t="s">
        <v>54</v>
      </c>
      <c r="AL245">
        <v>2024</v>
      </c>
      <c r="AM245" s="6" t="s">
        <v>392</v>
      </c>
      <c r="AN245" s="7">
        <v>375.67</v>
      </c>
      <c r="AO245" s="8">
        <f t="shared" si="12"/>
        <v>704.38125000000002</v>
      </c>
      <c r="AP245" s="8">
        <f t="shared" si="13"/>
        <v>782.56756874999996</v>
      </c>
      <c r="AQ245" s="9">
        <f t="shared" si="11"/>
        <v>1141.0271868749999</v>
      </c>
    </row>
    <row r="246" spans="1:43" x14ac:dyDescent="0.25">
      <c r="A246">
        <v>16</v>
      </c>
      <c r="B246">
        <v>12</v>
      </c>
      <c r="C246">
        <v>2024</v>
      </c>
      <c r="D246" t="s">
        <v>43</v>
      </c>
      <c r="E246" t="s">
        <v>128</v>
      </c>
      <c r="F246" t="s">
        <v>129</v>
      </c>
      <c r="G246">
        <v>14</v>
      </c>
      <c r="H246">
        <v>1791882490001</v>
      </c>
      <c r="I246" t="s">
        <v>46</v>
      </c>
      <c r="J246" t="s">
        <v>343</v>
      </c>
      <c r="K246" t="s">
        <v>48</v>
      </c>
      <c r="L246" t="s">
        <v>49</v>
      </c>
      <c r="M246" t="s">
        <v>50</v>
      </c>
      <c r="N246" t="s">
        <v>51</v>
      </c>
      <c r="O246">
        <v>8483909000</v>
      </c>
      <c r="P246" t="s">
        <v>334</v>
      </c>
      <c r="Q246" t="s">
        <v>393</v>
      </c>
      <c r="R246" t="s">
        <v>54</v>
      </c>
      <c r="S246" t="s">
        <v>55</v>
      </c>
      <c r="T246">
        <v>9</v>
      </c>
      <c r="U246">
        <v>1</v>
      </c>
      <c r="V246" t="s">
        <v>135</v>
      </c>
      <c r="W246">
        <v>0</v>
      </c>
      <c r="X246">
        <v>379.46</v>
      </c>
      <c r="Y246">
        <v>49.7</v>
      </c>
      <c r="Z246">
        <v>2.6</v>
      </c>
      <c r="AA246">
        <v>431.76</v>
      </c>
      <c r="AB246" t="s">
        <v>57</v>
      </c>
      <c r="AC246" t="s">
        <v>131</v>
      </c>
      <c r="AD246" t="s">
        <v>48</v>
      </c>
      <c r="AE246">
        <v>0</v>
      </c>
      <c r="AF246">
        <v>1.99</v>
      </c>
      <c r="AG246" t="s">
        <v>59</v>
      </c>
      <c r="AH246">
        <v>325395</v>
      </c>
      <c r="AI246" t="s">
        <v>60</v>
      </c>
      <c r="AJ246" t="s">
        <v>78</v>
      </c>
      <c r="AK246" t="s">
        <v>54</v>
      </c>
      <c r="AL246">
        <v>2024</v>
      </c>
      <c r="AM246" s="6" t="s">
        <v>392</v>
      </c>
      <c r="AN246" s="7">
        <v>379.46</v>
      </c>
      <c r="AO246" s="8">
        <f t="shared" si="12"/>
        <v>711.48749999999995</v>
      </c>
      <c r="AP246" s="8">
        <f t="shared" si="13"/>
        <v>790.46261249999998</v>
      </c>
      <c r="AQ246" s="9">
        <f t="shared" si="11"/>
        <v>1152.5386012499998</v>
      </c>
    </row>
    <row r="247" spans="1:43" x14ac:dyDescent="0.25">
      <c r="A247">
        <v>15</v>
      </c>
      <c r="B247">
        <v>4</v>
      </c>
      <c r="C247">
        <v>2024</v>
      </c>
      <c r="D247" t="s">
        <v>43</v>
      </c>
      <c r="E247" t="s">
        <v>63</v>
      </c>
      <c r="F247" t="s">
        <v>64</v>
      </c>
      <c r="G247">
        <v>24</v>
      </c>
      <c r="H247">
        <v>1791882490001</v>
      </c>
      <c r="I247" t="s">
        <v>46</v>
      </c>
      <c r="J247" t="s">
        <v>343</v>
      </c>
      <c r="K247" t="s">
        <v>48</v>
      </c>
      <c r="L247" t="s">
        <v>49</v>
      </c>
      <c r="M247" t="s">
        <v>50</v>
      </c>
      <c r="N247" t="s">
        <v>51</v>
      </c>
      <c r="O247">
        <v>8483909000</v>
      </c>
      <c r="P247" t="s">
        <v>334</v>
      </c>
      <c r="Q247" t="s">
        <v>394</v>
      </c>
      <c r="R247" t="s">
        <v>54</v>
      </c>
      <c r="S247" t="s">
        <v>55</v>
      </c>
      <c r="T247">
        <v>6</v>
      </c>
      <c r="U247">
        <v>1</v>
      </c>
      <c r="V247" t="s">
        <v>135</v>
      </c>
      <c r="W247">
        <v>0</v>
      </c>
      <c r="X247">
        <v>319.67</v>
      </c>
      <c r="Y247">
        <v>33.65</v>
      </c>
      <c r="Z247">
        <v>2.15</v>
      </c>
      <c r="AA247">
        <v>355.46</v>
      </c>
      <c r="AB247" t="s">
        <v>57</v>
      </c>
      <c r="AC247" t="s">
        <v>58</v>
      </c>
      <c r="AD247" t="s">
        <v>48</v>
      </c>
      <c r="AE247">
        <v>0</v>
      </c>
      <c r="AF247">
        <v>3.06</v>
      </c>
      <c r="AG247" t="s">
        <v>59</v>
      </c>
      <c r="AH247">
        <v>443965</v>
      </c>
      <c r="AI247" t="s">
        <v>60</v>
      </c>
      <c r="AJ247" t="s">
        <v>60</v>
      </c>
      <c r="AK247" t="s">
        <v>54</v>
      </c>
      <c r="AL247">
        <v>2024</v>
      </c>
      <c r="AM247" s="6" t="s">
        <v>395</v>
      </c>
      <c r="AN247" s="7">
        <v>319.67</v>
      </c>
      <c r="AO247" s="8">
        <f t="shared" si="12"/>
        <v>599.38125000000002</v>
      </c>
      <c r="AP247" s="8">
        <f t="shared" si="13"/>
        <v>665.91256874999999</v>
      </c>
      <c r="AQ247" s="9">
        <f t="shared" si="11"/>
        <v>970.93768687499994</v>
      </c>
    </row>
    <row r="248" spans="1:43" x14ac:dyDescent="0.25">
      <c r="A248">
        <v>16</v>
      </c>
      <c r="B248">
        <v>12</v>
      </c>
      <c r="C248">
        <v>2024</v>
      </c>
      <c r="D248" t="s">
        <v>43</v>
      </c>
      <c r="E248" t="s">
        <v>128</v>
      </c>
      <c r="F248" t="s">
        <v>129</v>
      </c>
      <c r="G248">
        <v>15</v>
      </c>
      <c r="H248">
        <v>1791882490001</v>
      </c>
      <c r="I248" t="s">
        <v>46</v>
      </c>
      <c r="J248" t="s">
        <v>343</v>
      </c>
      <c r="K248" t="s">
        <v>48</v>
      </c>
      <c r="L248" t="s">
        <v>49</v>
      </c>
      <c r="M248" t="s">
        <v>50</v>
      </c>
      <c r="N248" t="s">
        <v>51</v>
      </c>
      <c r="O248">
        <v>8483909000</v>
      </c>
      <c r="P248" t="s">
        <v>334</v>
      </c>
      <c r="Q248" t="s">
        <v>396</v>
      </c>
      <c r="R248" t="s">
        <v>54</v>
      </c>
      <c r="S248" t="s">
        <v>55</v>
      </c>
      <c r="T248">
        <v>9</v>
      </c>
      <c r="U248">
        <v>1</v>
      </c>
      <c r="V248" t="s">
        <v>135</v>
      </c>
      <c r="W248">
        <v>0</v>
      </c>
      <c r="X248">
        <v>322.89</v>
      </c>
      <c r="Y248">
        <v>42.29</v>
      </c>
      <c r="Z248">
        <v>2.21</v>
      </c>
      <c r="AA248">
        <v>367.39</v>
      </c>
      <c r="AB248" t="s">
        <v>57</v>
      </c>
      <c r="AC248" t="s">
        <v>131</v>
      </c>
      <c r="AD248" t="s">
        <v>48</v>
      </c>
      <c r="AE248">
        <v>0</v>
      </c>
      <c r="AF248">
        <v>1.99</v>
      </c>
      <c r="AG248" t="s">
        <v>59</v>
      </c>
      <c r="AH248">
        <v>325395</v>
      </c>
      <c r="AI248" t="s">
        <v>60</v>
      </c>
      <c r="AJ248" t="s">
        <v>78</v>
      </c>
      <c r="AK248" t="s">
        <v>54</v>
      </c>
      <c r="AL248">
        <v>2024</v>
      </c>
      <c r="AM248" s="6" t="s">
        <v>395</v>
      </c>
      <c r="AN248" s="7">
        <v>322.89</v>
      </c>
      <c r="AO248" s="8">
        <f t="shared" si="12"/>
        <v>605.41874999999993</v>
      </c>
      <c r="AP248" s="8">
        <f t="shared" si="13"/>
        <v>672.62023124999996</v>
      </c>
      <c r="AQ248" s="9">
        <f t="shared" si="11"/>
        <v>980.71783312499986</v>
      </c>
    </row>
    <row r="249" spans="1:43" x14ac:dyDescent="0.25">
      <c r="A249">
        <v>17</v>
      </c>
      <c r="B249">
        <v>5</v>
      </c>
      <c r="C249">
        <v>2024</v>
      </c>
      <c r="D249" t="s">
        <v>43</v>
      </c>
      <c r="E249" t="s">
        <v>79</v>
      </c>
      <c r="F249" t="s">
        <v>80</v>
      </c>
      <c r="G249">
        <v>17</v>
      </c>
      <c r="H249">
        <v>1791882490001</v>
      </c>
      <c r="I249" t="s">
        <v>46</v>
      </c>
      <c r="J249" t="s">
        <v>48</v>
      </c>
      <c r="K249" t="s">
        <v>48</v>
      </c>
      <c r="L249" t="s">
        <v>49</v>
      </c>
      <c r="M249" t="s">
        <v>50</v>
      </c>
      <c r="N249" t="s">
        <v>51</v>
      </c>
      <c r="O249">
        <v>8307100090</v>
      </c>
      <c r="P249" t="s">
        <v>66</v>
      </c>
      <c r="Q249" t="s">
        <v>53</v>
      </c>
      <c r="R249" t="s">
        <v>54</v>
      </c>
      <c r="S249" t="s">
        <v>55</v>
      </c>
      <c r="T249">
        <v>6</v>
      </c>
      <c r="U249">
        <v>1</v>
      </c>
      <c r="V249" t="s">
        <v>56</v>
      </c>
      <c r="W249">
        <v>0</v>
      </c>
      <c r="X249">
        <v>348.34</v>
      </c>
      <c r="Y249">
        <v>33.630000000000003</v>
      </c>
      <c r="Z249">
        <v>2.3199999999999998</v>
      </c>
      <c r="AA249">
        <v>384.29</v>
      </c>
      <c r="AB249" t="s">
        <v>57</v>
      </c>
      <c r="AC249" t="s">
        <v>81</v>
      </c>
      <c r="AD249" t="s">
        <v>48</v>
      </c>
      <c r="AE249">
        <v>0</v>
      </c>
      <c r="AF249">
        <v>1.08</v>
      </c>
      <c r="AG249" t="s">
        <v>82</v>
      </c>
      <c r="AH249">
        <v>471463</v>
      </c>
      <c r="AI249" t="s">
        <v>60</v>
      </c>
      <c r="AJ249" t="s">
        <v>60</v>
      </c>
      <c r="AK249" t="s">
        <v>54</v>
      </c>
      <c r="AL249">
        <v>2024</v>
      </c>
      <c r="AM249" s="6" t="s">
        <v>397</v>
      </c>
      <c r="AN249" s="7">
        <v>348.34</v>
      </c>
      <c r="AO249" s="8">
        <f t="shared" si="12"/>
        <v>653.13749999999993</v>
      </c>
      <c r="AP249" s="8">
        <f t="shared" si="13"/>
        <v>725.63576249999994</v>
      </c>
      <c r="AQ249" s="9">
        <f t="shared" si="11"/>
        <v>1058.0174362499997</v>
      </c>
    </row>
    <row r="250" spans="1:43" x14ac:dyDescent="0.25">
      <c r="A250">
        <v>13</v>
      </c>
      <c r="B250">
        <v>3</v>
      </c>
      <c r="C250">
        <v>2024</v>
      </c>
      <c r="D250" t="s">
        <v>43</v>
      </c>
      <c r="E250" t="s">
        <v>69</v>
      </c>
      <c r="F250" t="s">
        <v>70</v>
      </c>
      <c r="G250">
        <v>15</v>
      </c>
      <c r="H250">
        <v>1791882490001</v>
      </c>
      <c r="I250" t="s">
        <v>46</v>
      </c>
      <c r="J250" t="s">
        <v>48</v>
      </c>
      <c r="K250" t="s">
        <v>48</v>
      </c>
      <c r="L250" t="s">
        <v>49</v>
      </c>
      <c r="M250" t="s">
        <v>50</v>
      </c>
      <c r="N250" t="s">
        <v>51</v>
      </c>
      <c r="O250">
        <v>8481909090</v>
      </c>
      <c r="P250" t="s">
        <v>103</v>
      </c>
      <c r="Q250" t="s">
        <v>398</v>
      </c>
      <c r="R250" t="s">
        <v>54</v>
      </c>
      <c r="S250" t="s">
        <v>55</v>
      </c>
      <c r="T250">
        <v>11</v>
      </c>
      <c r="U250">
        <v>2</v>
      </c>
      <c r="V250" t="s">
        <v>135</v>
      </c>
      <c r="W250">
        <v>0</v>
      </c>
      <c r="X250">
        <v>137.94</v>
      </c>
      <c r="Y250">
        <v>18.059999999999999</v>
      </c>
      <c r="Z250">
        <v>0.93</v>
      </c>
      <c r="AA250">
        <v>156.93</v>
      </c>
      <c r="AB250" t="s">
        <v>54</v>
      </c>
      <c r="AC250" t="s">
        <v>71</v>
      </c>
      <c r="AD250" t="s">
        <v>48</v>
      </c>
      <c r="AE250">
        <v>0</v>
      </c>
      <c r="AF250">
        <v>4.08</v>
      </c>
      <c r="AG250" t="s">
        <v>59</v>
      </c>
      <c r="AH250">
        <v>895279</v>
      </c>
      <c r="AI250" t="s">
        <v>60</v>
      </c>
      <c r="AJ250" t="s">
        <v>60</v>
      </c>
      <c r="AK250" t="s">
        <v>54</v>
      </c>
      <c r="AL250">
        <v>2024</v>
      </c>
      <c r="AM250" s="6" t="s">
        <v>399</v>
      </c>
      <c r="AN250" s="7">
        <v>68.97</v>
      </c>
      <c r="AO250" s="8">
        <f t="shared" si="12"/>
        <v>129.31874999999999</v>
      </c>
      <c r="AP250" s="8">
        <f t="shared" si="13"/>
        <v>143.67313124999998</v>
      </c>
      <c r="AQ250" s="9">
        <f t="shared" si="11"/>
        <v>209.48344312499998</v>
      </c>
    </row>
    <row r="251" spans="1:43" x14ac:dyDescent="0.25">
      <c r="A251">
        <v>11</v>
      </c>
      <c r="B251">
        <v>7</v>
      </c>
      <c r="C251">
        <v>2024</v>
      </c>
      <c r="D251" t="s">
        <v>43</v>
      </c>
      <c r="E251" t="s">
        <v>116</v>
      </c>
      <c r="F251" t="s">
        <v>117</v>
      </c>
      <c r="G251">
        <v>11</v>
      </c>
      <c r="H251">
        <v>1791882490001</v>
      </c>
      <c r="I251" t="s">
        <v>46</v>
      </c>
      <c r="J251" t="s">
        <v>48</v>
      </c>
      <c r="K251" t="s">
        <v>48</v>
      </c>
      <c r="L251" t="s">
        <v>119</v>
      </c>
      <c r="M251" t="s">
        <v>120</v>
      </c>
      <c r="N251" t="s">
        <v>121</v>
      </c>
      <c r="O251">
        <v>8481909090</v>
      </c>
      <c r="P251" t="s">
        <v>103</v>
      </c>
      <c r="Q251" t="s">
        <v>400</v>
      </c>
      <c r="R251" t="s">
        <v>54</v>
      </c>
      <c r="S251" t="s">
        <v>55</v>
      </c>
      <c r="T251">
        <v>9</v>
      </c>
      <c r="U251">
        <v>2</v>
      </c>
      <c r="V251" t="s">
        <v>135</v>
      </c>
      <c r="W251">
        <v>0</v>
      </c>
      <c r="X251">
        <v>137.08000000000001</v>
      </c>
      <c r="Y251">
        <v>12.35</v>
      </c>
      <c r="Z251">
        <v>0.92</v>
      </c>
      <c r="AA251">
        <v>150.35</v>
      </c>
      <c r="AB251" t="s">
        <v>124</v>
      </c>
      <c r="AC251" t="s">
        <v>125</v>
      </c>
      <c r="AD251" t="s">
        <v>48</v>
      </c>
      <c r="AE251">
        <v>0</v>
      </c>
      <c r="AF251">
        <v>4.03</v>
      </c>
      <c r="AG251" t="s">
        <v>59</v>
      </c>
      <c r="AH251">
        <v>486256</v>
      </c>
      <c r="AI251" t="s">
        <v>60</v>
      </c>
      <c r="AJ251" t="s">
        <v>78</v>
      </c>
      <c r="AK251" t="s">
        <v>54</v>
      </c>
      <c r="AL251">
        <v>2024</v>
      </c>
      <c r="AM251" s="6" t="s">
        <v>399</v>
      </c>
      <c r="AN251" s="7">
        <v>68.540000000000006</v>
      </c>
      <c r="AO251" s="8">
        <f t="shared" si="12"/>
        <v>128.51250000000002</v>
      </c>
      <c r="AP251" s="8">
        <f t="shared" si="13"/>
        <v>142.7773875</v>
      </c>
      <c r="AQ251" s="9">
        <f t="shared" si="11"/>
        <v>208.17739875000001</v>
      </c>
    </row>
    <row r="252" spans="1:43" x14ac:dyDescent="0.25">
      <c r="A252">
        <v>3</v>
      </c>
      <c r="B252">
        <v>4</v>
      </c>
      <c r="C252">
        <v>2024</v>
      </c>
      <c r="D252" t="s">
        <v>43</v>
      </c>
      <c r="E252" t="s">
        <v>73</v>
      </c>
      <c r="F252" t="s">
        <v>74</v>
      </c>
      <c r="G252">
        <v>69</v>
      </c>
      <c r="H252">
        <v>1791882490001</v>
      </c>
      <c r="I252" t="s">
        <v>46</v>
      </c>
      <c r="J252" t="s">
        <v>65</v>
      </c>
      <c r="K252" t="s">
        <v>48</v>
      </c>
      <c r="L252" t="s">
        <v>49</v>
      </c>
      <c r="M252" t="s">
        <v>50</v>
      </c>
      <c r="N252" t="s">
        <v>51</v>
      </c>
      <c r="O252">
        <v>8414590000</v>
      </c>
      <c r="P252" t="s">
        <v>66</v>
      </c>
      <c r="Q252" t="s">
        <v>401</v>
      </c>
      <c r="R252" t="s">
        <v>54</v>
      </c>
      <c r="S252" t="s">
        <v>55</v>
      </c>
      <c r="T252">
        <v>6</v>
      </c>
      <c r="U252">
        <v>1</v>
      </c>
      <c r="V252" t="s">
        <v>135</v>
      </c>
      <c r="W252">
        <v>0</v>
      </c>
      <c r="X252">
        <v>912.42</v>
      </c>
      <c r="Y252">
        <v>106.57</v>
      </c>
      <c r="Z252">
        <v>5.97</v>
      </c>
      <c r="AA252">
        <v>1024.97</v>
      </c>
      <c r="AB252" t="s">
        <v>57</v>
      </c>
      <c r="AC252" t="s">
        <v>58</v>
      </c>
      <c r="AD252" t="s">
        <v>48</v>
      </c>
      <c r="AE252">
        <v>0</v>
      </c>
      <c r="AF252">
        <v>1.33</v>
      </c>
      <c r="AG252" t="s">
        <v>59</v>
      </c>
      <c r="AH252">
        <v>438183</v>
      </c>
      <c r="AI252" t="s">
        <v>60</v>
      </c>
      <c r="AJ252" t="s">
        <v>60</v>
      </c>
      <c r="AK252" t="s">
        <v>54</v>
      </c>
      <c r="AL252">
        <v>2024</v>
      </c>
      <c r="AM252" s="6" t="s">
        <v>402</v>
      </c>
      <c r="AN252" s="7">
        <v>912.42</v>
      </c>
      <c r="AO252" s="8">
        <f t="shared" si="12"/>
        <v>1710.7874999999999</v>
      </c>
      <c r="AP252" s="8">
        <f t="shared" si="13"/>
        <v>1900.6849124999999</v>
      </c>
      <c r="AQ252" s="9">
        <f t="shared" si="11"/>
        <v>2771.3046712499995</v>
      </c>
    </row>
    <row r="253" spans="1:43" x14ac:dyDescent="0.25">
      <c r="A253">
        <v>8</v>
      </c>
      <c r="B253">
        <v>7</v>
      </c>
      <c r="C253">
        <v>2024</v>
      </c>
      <c r="D253" t="s">
        <v>43</v>
      </c>
      <c r="E253" t="s">
        <v>75</v>
      </c>
      <c r="F253" t="s">
        <v>76</v>
      </c>
      <c r="G253">
        <v>19</v>
      </c>
      <c r="H253">
        <v>1791882490001</v>
      </c>
      <c r="I253" t="s">
        <v>46</v>
      </c>
      <c r="J253" t="s">
        <v>48</v>
      </c>
      <c r="K253" t="s">
        <v>48</v>
      </c>
      <c r="L253" t="s">
        <v>49</v>
      </c>
      <c r="M253" t="s">
        <v>50</v>
      </c>
      <c r="N253" t="s">
        <v>51</v>
      </c>
      <c r="O253">
        <v>8481909090</v>
      </c>
      <c r="P253" t="s">
        <v>103</v>
      </c>
      <c r="Q253" t="s">
        <v>403</v>
      </c>
      <c r="R253" t="s">
        <v>54</v>
      </c>
      <c r="S253" t="s">
        <v>55</v>
      </c>
      <c r="T253">
        <v>8</v>
      </c>
      <c r="U253">
        <v>1</v>
      </c>
      <c r="V253" t="s">
        <v>135</v>
      </c>
      <c r="W253">
        <v>0</v>
      </c>
      <c r="X253">
        <v>167.22</v>
      </c>
      <c r="Y253">
        <v>14.28</v>
      </c>
      <c r="Z253">
        <v>1.0900000000000001</v>
      </c>
      <c r="AA253">
        <v>182.59</v>
      </c>
      <c r="AB253" t="s">
        <v>57</v>
      </c>
      <c r="AC253" t="s">
        <v>77</v>
      </c>
      <c r="AD253" t="s">
        <v>48</v>
      </c>
      <c r="AE253">
        <v>0</v>
      </c>
      <c r="AF253">
        <v>1.1100000000000001</v>
      </c>
      <c r="AG253" t="s">
        <v>59</v>
      </c>
      <c r="AH253">
        <v>107711</v>
      </c>
      <c r="AI253" t="s">
        <v>60</v>
      </c>
      <c r="AJ253" t="s">
        <v>78</v>
      </c>
      <c r="AK253" t="s">
        <v>54</v>
      </c>
      <c r="AL253">
        <v>2024</v>
      </c>
      <c r="AM253" s="6" t="s">
        <v>404</v>
      </c>
      <c r="AN253" s="7">
        <v>167.22</v>
      </c>
      <c r="AO253" s="8">
        <f t="shared" si="12"/>
        <v>313.53750000000002</v>
      </c>
      <c r="AP253" s="8">
        <f t="shared" si="13"/>
        <v>348.34016250000002</v>
      </c>
      <c r="AQ253" s="9">
        <f t="shared" si="11"/>
        <v>507.89939625</v>
      </c>
    </row>
    <row r="254" spans="1:43" x14ac:dyDescent="0.25">
      <c r="A254">
        <v>8</v>
      </c>
      <c r="B254">
        <v>7</v>
      </c>
      <c r="C254">
        <v>2024</v>
      </c>
      <c r="D254" t="s">
        <v>43</v>
      </c>
      <c r="E254" t="s">
        <v>75</v>
      </c>
      <c r="F254" t="s">
        <v>76</v>
      </c>
      <c r="G254">
        <v>19</v>
      </c>
      <c r="H254">
        <v>1791882490001</v>
      </c>
      <c r="I254" t="s">
        <v>46</v>
      </c>
      <c r="J254" t="s">
        <v>48</v>
      </c>
      <c r="K254" t="s">
        <v>48</v>
      </c>
      <c r="L254" t="s">
        <v>49</v>
      </c>
      <c r="M254" t="s">
        <v>50</v>
      </c>
      <c r="N254" t="s">
        <v>51</v>
      </c>
      <c r="O254">
        <v>8481909090</v>
      </c>
      <c r="P254" t="s">
        <v>103</v>
      </c>
      <c r="Q254" t="s">
        <v>403</v>
      </c>
      <c r="R254" t="s">
        <v>54</v>
      </c>
      <c r="S254" t="s">
        <v>55</v>
      </c>
      <c r="T254">
        <v>8</v>
      </c>
      <c r="U254">
        <v>1</v>
      </c>
      <c r="V254" t="s">
        <v>135</v>
      </c>
      <c r="W254">
        <v>0</v>
      </c>
      <c r="X254">
        <v>167.22</v>
      </c>
      <c r="Y254">
        <v>14.28</v>
      </c>
      <c r="Z254">
        <v>1.0900000000000001</v>
      </c>
      <c r="AA254">
        <v>182.59</v>
      </c>
      <c r="AB254" t="s">
        <v>57</v>
      </c>
      <c r="AC254" t="s">
        <v>77</v>
      </c>
      <c r="AD254" t="s">
        <v>48</v>
      </c>
      <c r="AE254">
        <v>0</v>
      </c>
      <c r="AF254">
        <v>1.1100000000000001</v>
      </c>
      <c r="AG254" t="s">
        <v>59</v>
      </c>
      <c r="AH254">
        <v>107711</v>
      </c>
      <c r="AI254" t="s">
        <v>60</v>
      </c>
      <c r="AJ254" t="s">
        <v>78</v>
      </c>
      <c r="AK254" t="s">
        <v>54</v>
      </c>
      <c r="AL254">
        <v>2024</v>
      </c>
      <c r="AM254" s="6" t="s">
        <v>404</v>
      </c>
      <c r="AN254" s="7">
        <v>167.22</v>
      </c>
      <c r="AO254" s="8">
        <f t="shared" si="12"/>
        <v>313.53750000000002</v>
      </c>
      <c r="AP254" s="8">
        <f t="shared" si="13"/>
        <v>348.34016250000002</v>
      </c>
      <c r="AQ254" s="9">
        <f t="shared" si="11"/>
        <v>507.89939625</v>
      </c>
    </row>
    <row r="255" spans="1:43" x14ac:dyDescent="0.25">
      <c r="A255">
        <v>3</v>
      </c>
      <c r="B255">
        <v>4</v>
      </c>
      <c r="C255">
        <v>2024</v>
      </c>
      <c r="D255" t="s">
        <v>43</v>
      </c>
      <c r="E255" t="s">
        <v>73</v>
      </c>
      <c r="F255" t="s">
        <v>74</v>
      </c>
      <c r="G255">
        <v>9</v>
      </c>
      <c r="H255">
        <v>1791882490001</v>
      </c>
      <c r="I255" t="s">
        <v>46</v>
      </c>
      <c r="J255" t="s">
        <v>263</v>
      </c>
      <c r="K255" t="s">
        <v>48</v>
      </c>
      <c r="L255" t="s">
        <v>49</v>
      </c>
      <c r="M255" t="s">
        <v>50</v>
      </c>
      <c r="N255" t="s">
        <v>51</v>
      </c>
      <c r="O255">
        <v>8414901000</v>
      </c>
      <c r="P255" t="s">
        <v>357</v>
      </c>
      <c r="Q255" t="s">
        <v>405</v>
      </c>
      <c r="R255" t="s">
        <v>54</v>
      </c>
      <c r="S255" t="s">
        <v>55</v>
      </c>
      <c r="T255">
        <v>6</v>
      </c>
      <c r="U255">
        <v>1</v>
      </c>
      <c r="V255" t="s">
        <v>135</v>
      </c>
      <c r="W255">
        <v>0</v>
      </c>
      <c r="X255">
        <v>98.98</v>
      </c>
      <c r="Y255">
        <v>11.56</v>
      </c>
      <c r="Z255">
        <v>0.65</v>
      </c>
      <c r="AA255">
        <v>111.19</v>
      </c>
      <c r="AB255" t="s">
        <v>57</v>
      </c>
      <c r="AC255" t="s">
        <v>58</v>
      </c>
      <c r="AD255" t="s">
        <v>48</v>
      </c>
      <c r="AE255">
        <v>0</v>
      </c>
      <c r="AF255">
        <v>1.33</v>
      </c>
      <c r="AG255" t="s">
        <v>59</v>
      </c>
      <c r="AH255">
        <v>438183</v>
      </c>
      <c r="AI255" t="s">
        <v>60</v>
      </c>
      <c r="AJ255" t="s">
        <v>60</v>
      </c>
      <c r="AK255" t="s">
        <v>54</v>
      </c>
      <c r="AL255">
        <v>2024</v>
      </c>
      <c r="AM255" s="6" t="s">
        <v>406</v>
      </c>
      <c r="AN255" s="7">
        <v>98.98</v>
      </c>
      <c r="AO255" s="8">
        <f t="shared" si="12"/>
        <v>185.58750000000001</v>
      </c>
      <c r="AP255" s="8">
        <f t="shared" si="13"/>
        <v>206.1877125</v>
      </c>
      <c r="AQ255" s="9">
        <f t="shared" si="11"/>
        <v>300.63319124999998</v>
      </c>
    </row>
    <row r="256" spans="1:43" x14ac:dyDescent="0.25">
      <c r="A256">
        <v>28</v>
      </c>
      <c r="B256">
        <v>8</v>
      </c>
      <c r="C256">
        <v>2024</v>
      </c>
      <c r="D256" t="s">
        <v>43</v>
      </c>
      <c r="E256" t="s">
        <v>91</v>
      </c>
      <c r="F256" t="s">
        <v>92</v>
      </c>
      <c r="G256">
        <v>17</v>
      </c>
      <c r="H256">
        <v>1791882490001</v>
      </c>
      <c r="I256" t="s">
        <v>46</v>
      </c>
      <c r="J256" t="s">
        <v>106</v>
      </c>
      <c r="K256" t="s">
        <v>48</v>
      </c>
      <c r="L256" t="s">
        <v>49</v>
      </c>
      <c r="M256" t="s">
        <v>50</v>
      </c>
      <c r="N256" t="s">
        <v>51</v>
      </c>
      <c r="O256">
        <v>8419509099</v>
      </c>
      <c r="P256" t="s">
        <v>66</v>
      </c>
      <c r="Q256" t="s">
        <v>407</v>
      </c>
      <c r="R256" t="s">
        <v>54</v>
      </c>
      <c r="S256" t="s">
        <v>55</v>
      </c>
      <c r="T256">
        <v>8</v>
      </c>
      <c r="U256">
        <v>1</v>
      </c>
      <c r="V256" t="s">
        <v>135</v>
      </c>
      <c r="W256">
        <v>737.21</v>
      </c>
      <c r="X256">
        <v>2639.46</v>
      </c>
      <c r="Y256">
        <v>291.63</v>
      </c>
      <c r="Z256">
        <v>17.75</v>
      </c>
      <c r="AA256">
        <v>2948.85</v>
      </c>
      <c r="AB256" t="s">
        <v>57</v>
      </c>
      <c r="AC256" t="s">
        <v>94</v>
      </c>
      <c r="AD256" t="s">
        <v>48</v>
      </c>
      <c r="AE256">
        <v>0</v>
      </c>
      <c r="AF256">
        <v>30.38</v>
      </c>
      <c r="AG256" t="s">
        <v>59</v>
      </c>
      <c r="AH256">
        <v>150511</v>
      </c>
      <c r="AI256" t="s">
        <v>60</v>
      </c>
      <c r="AJ256" t="s">
        <v>60</v>
      </c>
      <c r="AK256" t="s">
        <v>54</v>
      </c>
      <c r="AL256">
        <v>2024</v>
      </c>
      <c r="AM256" s="6" t="s">
        <v>408</v>
      </c>
      <c r="AN256" s="7">
        <v>2639.46</v>
      </c>
      <c r="AO256" s="8">
        <f t="shared" si="12"/>
        <v>4948.9875000000002</v>
      </c>
      <c r="AP256" s="8">
        <f t="shared" si="13"/>
        <v>5498.3251124999997</v>
      </c>
      <c r="AQ256" s="9">
        <f t="shared" si="11"/>
        <v>8016.8648512499994</v>
      </c>
    </row>
    <row r="257" spans="1:43" x14ac:dyDescent="0.25">
      <c r="A257">
        <v>28</v>
      </c>
      <c r="B257">
        <v>8</v>
      </c>
      <c r="C257">
        <v>2024</v>
      </c>
      <c r="D257" t="s">
        <v>43</v>
      </c>
      <c r="E257" t="s">
        <v>91</v>
      </c>
      <c r="F257" t="s">
        <v>92</v>
      </c>
      <c r="G257">
        <v>18</v>
      </c>
      <c r="H257">
        <v>1791882490001</v>
      </c>
      <c r="I257" t="s">
        <v>46</v>
      </c>
      <c r="J257" t="s">
        <v>106</v>
      </c>
      <c r="K257" t="s">
        <v>48</v>
      </c>
      <c r="L257" t="s">
        <v>49</v>
      </c>
      <c r="M257" t="s">
        <v>50</v>
      </c>
      <c r="N257" t="s">
        <v>51</v>
      </c>
      <c r="O257">
        <v>8419509099</v>
      </c>
      <c r="P257" t="s">
        <v>66</v>
      </c>
      <c r="Q257" t="s">
        <v>407</v>
      </c>
      <c r="R257" t="s">
        <v>54</v>
      </c>
      <c r="S257" t="s">
        <v>55</v>
      </c>
      <c r="T257">
        <v>8</v>
      </c>
      <c r="U257">
        <v>1</v>
      </c>
      <c r="V257" t="s">
        <v>135</v>
      </c>
      <c r="W257">
        <v>966.64</v>
      </c>
      <c r="X257">
        <v>3460.91</v>
      </c>
      <c r="Y257">
        <v>382.39</v>
      </c>
      <c r="Z257">
        <v>23.28</v>
      </c>
      <c r="AA257">
        <v>3866.57</v>
      </c>
      <c r="AB257" t="s">
        <v>57</v>
      </c>
      <c r="AC257" t="s">
        <v>94</v>
      </c>
      <c r="AD257" t="s">
        <v>48</v>
      </c>
      <c r="AE257">
        <v>0</v>
      </c>
      <c r="AF257">
        <v>39.83</v>
      </c>
      <c r="AG257" t="s">
        <v>59</v>
      </c>
      <c r="AH257">
        <v>150511</v>
      </c>
      <c r="AI257" t="s">
        <v>60</v>
      </c>
      <c r="AJ257" t="s">
        <v>60</v>
      </c>
      <c r="AK257" t="s">
        <v>54</v>
      </c>
      <c r="AL257">
        <v>2024</v>
      </c>
      <c r="AM257" s="6" t="s">
        <v>409</v>
      </c>
      <c r="AN257" s="7">
        <v>3460.91</v>
      </c>
      <c r="AO257" s="8">
        <f t="shared" si="12"/>
        <v>6489.2062499999993</v>
      </c>
      <c r="AP257" s="8">
        <f t="shared" si="13"/>
        <v>7209.5081437499994</v>
      </c>
      <c r="AQ257" s="9">
        <f t="shared" si="11"/>
        <v>10511.865204374999</v>
      </c>
    </row>
    <row r="258" spans="1:43" x14ac:dyDescent="0.25">
      <c r="A258">
        <v>3</v>
      </c>
      <c r="B258">
        <v>4</v>
      </c>
      <c r="C258">
        <v>2024</v>
      </c>
      <c r="D258" t="s">
        <v>43</v>
      </c>
      <c r="E258" t="s">
        <v>73</v>
      </c>
      <c r="F258" t="s">
        <v>74</v>
      </c>
      <c r="G258">
        <v>10</v>
      </c>
      <c r="H258">
        <v>1791882490001</v>
      </c>
      <c r="I258" t="s">
        <v>46</v>
      </c>
      <c r="J258" t="s">
        <v>65</v>
      </c>
      <c r="K258" t="s">
        <v>48</v>
      </c>
      <c r="L258" t="s">
        <v>49</v>
      </c>
      <c r="M258" t="s">
        <v>50</v>
      </c>
      <c r="N258" t="s">
        <v>51</v>
      </c>
      <c r="O258">
        <v>8421392000</v>
      </c>
      <c r="P258" t="s">
        <v>253</v>
      </c>
      <c r="Q258" t="s">
        <v>268</v>
      </c>
      <c r="R258" t="s">
        <v>54</v>
      </c>
      <c r="S258" t="s">
        <v>55</v>
      </c>
      <c r="T258">
        <v>6</v>
      </c>
      <c r="U258">
        <v>1</v>
      </c>
      <c r="V258" t="s">
        <v>135</v>
      </c>
      <c r="W258">
        <v>0</v>
      </c>
      <c r="X258">
        <v>212.25</v>
      </c>
      <c r="Y258">
        <v>24.79</v>
      </c>
      <c r="Z258">
        <v>1.39</v>
      </c>
      <c r="AA258">
        <v>238.43</v>
      </c>
      <c r="AB258" t="s">
        <v>57</v>
      </c>
      <c r="AC258" t="s">
        <v>58</v>
      </c>
      <c r="AD258" t="s">
        <v>48</v>
      </c>
      <c r="AE258">
        <v>0</v>
      </c>
      <c r="AF258">
        <v>1.33</v>
      </c>
      <c r="AG258" t="s">
        <v>59</v>
      </c>
      <c r="AH258">
        <v>438183</v>
      </c>
      <c r="AI258" t="s">
        <v>60</v>
      </c>
      <c r="AJ258" t="s">
        <v>60</v>
      </c>
      <c r="AK258" t="s">
        <v>54</v>
      </c>
      <c r="AL258">
        <v>2024</v>
      </c>
      <c r="AM258" s="6" t="s">
        <v>410</v>
      </c>
      <c r="AN258" s="7">
        <v>212.25</v>
      </c>
      <c r="AO258" s="8">
        <f t="shared" si="12"/>
        <v>397.96875</v>
      </c>
      <c r="AP258" s="8">
        <f t="shared" si="13"/>
        <v>442.14328124999997</v>
      </c>
      <c r="AQ258" s="9">
        <f t="shared" si="11"/>
        <v>644.66957812499993</v>
      </c>
    </row>
    <row r="259" spans="1:43" x14ac:dyDescent="0.25">
      <c r="A259">
        <v>20</v>
      </c>
      <c r="B259">
        <v>2</v>
      </c>
      <c r="C259">
        <v>2024</v>
      </c>
      <c r="D259" t="s">
        <v>43</v>
      </c>
      <c r="E259" t="s">
        <v>140</v>
      </c>
      <c r="F259" t="s">
        <v>141</v>
      </c>
      <c r="G259">
        <v>21</v>
      </c>
      <c r="H259">
        <v>1791882490001</v>
      </c>
      <c r="I259" t="s">
        <v>46</v>
      </c>
      <c r="J259" t="s">
        <v>65</v>
      </c>
      <c r="K259" t="s">
        <v>48</v>
      </c>
      <c r="L259" t="s">
        <v>49</v>
      </c>
      <c r="M259" t="s">
        <v>50</v>
      </c>
      <c r="N259" t="s">
        <v>51</v>
      </c>
      <c r="O259">
        <v>7318159000</v>
      </c>
      <c r="P259" t="s">
        <v>411</v>
      </c>
      <c r="Q259" t="s">
        <v>412</v>
      </c>
      <c r="R259" t="s">
        <v>54</v>
      </c>
      <c r="S259" t="s">
        <v>55</v>
      </c>
      <c r="T259">
        <v>6</v>
      </c>
      <c r="U259">
        <v>3</v>
      </c>
      <c r="V259" t="s">
        <v>56</v>
      </c>
      <c r="W259">
        <v>1.3</v>
      </c>
      <c r="X259">
        <v>28.31</v>
      </c>
      <c r="Y259">
        <v>2.54</v>
      </c>
      <c r="Z259">
        <v>0.19</v>
      </c>
      <c r="AA259">
        <v>31.05</v>
      </c>
      <c r="AB259" t="s">
        <v>54</v>
      </c>
      <c r="AC259" t="s">
        <v>143</v>
      </c>
      <c r="AD259" t="s">
        <v>48</v>
      </c>
      <c r="AE259">
        <v>0</v>
      </c>
      <c r="AF259">
        <v>5.61</v>
      </c>
      <c r="AG259" t="s">
        <v>59</v>
      </c>
      <c r="AH259">
        <v>876053</v>
      </c>
      <c r="AI259" t="s">
        <v>60</v>
      </c>
      <c r="AJ259" t="s">
        <v>60</v>
      </c>
      <c r="AK259" t="s">
        <v>54</v>
      </c>
      <c r="AL259">
        <v>2024</v>
      </c>
      <c r="AM259" s="6" t="s">
        <v>413</v>
      </c>
      <c r="AN259" s="7">
        <v>9.44</v>
      </c>
      <c r="AO259" s="8">
        <f t="shared" si="12"/>
        <v>17.7</v>
      </c>
      <c r="AP259" s="8">
        <f t="shared" si="13"/>
        <v>19.6647</v>
      </c>
      <c r="AQ259" s="9">
        <f t="shared" ref="AQ259:AQ322" si="14">SUM(AO259)*1.6199</f>
        <v>28.672229999999995</v>
      </c>
    </row>
    <row r="260" spans="1:43" x14ac:dyDescent="0.25">
      <c r="A260">
        <v>15</v>
      </c>
      <c r="B260">
        <v>4</v>
      </c>
      <c r="C260">
        <v>2024</v>
      </c>
      <c r="D260" t="s">
        <v>43</v>
      </c>
      <c r="E260" t="s">
        <v>63</v>
      </c>
      <c r="F260" t="s">
        <v>64</v>
      </c>
      <c r="G260">
        <v>25</v>
      </c>
      <c r="H260">
        <v>1791882490001</v>
      </c>
      <c r="I260" t="s">
        <v>46</v>
      </c>
      <c r="J260" t="s">
        <v>48</v>
      </c>
      <c r="K260" t="s">
        <v>48</v>
      </c>
      <c r="L260" t="s">
        <v>49</v>
      </c>
      <c r="M260" t="s">
        <v>50</v>
      </c>
      <c r="N260" t="s">
        <v>51</v>
      </c>
      <c r="O260">
        <v>8481909090</v>
      </c>
      <c r="P260" t="s">
        <v>103</v>
      </c>
      <c r="Q260" t="s">
        <v>414</v>
      </c>
      <c r="R260" t="s">
        <v>54</v>
      </c>
      <c r="S260" t="s">
        <v>55</v>
      </c>
      <c r="T260">
        <v>6</v>
      </c>
      <c r="U260">
        <v>2</v>
      </c>
      <c r="V260" t="s">
        <v>135</v>
      </c>
      <c r="W260">
        <v>0</v>
      </c>
      <c r="X260">
        <v>41.58</v>
      </c>
      <c r="Y260">
        <v>4.38</v>
      </c>
      <c r="Z260">
        <v>0.28000000000000003</v>
      </c>
      <c r="AA260">
        <v>46.24</v>
      </c>
      <c r="AB260" t="s">
        <v>57</v>
      </c>
      <c r="AC260" t="s">
        <v>58</v>
      </c>
      <c r="AD260" t="s">
        <v>48</v>
      </c>
      <c r="AE260">
        <v>0</v>
      </c>
      <c r="AF260">
        <v>0.4</v>
      </c>
      <c r="AG260" t="s">
        <v>59</v>
      </c>
      <c r="AH260">
        <v>443965</v>
      </c>
      <c r="AI260" t="s">
        <v>60</v>
      </c>
      <c r="AJ260" t="s">
        <v>60</v>
      </c>
      <c r="AK260" t="s">
        <v>54</v>
      </c>
      <c r="AL260">
        <v>2024</v>
      </c>
      <c r="AM260" s="6" t="s">
        <v>415</v>
      </c>
      <c r="AN260" s="7">
        <v>20.79</v>
      </c>
      <c r="AO260" s="8">
        <f t="shared" si="12"/>
        <v>38.981249999999996</v>
      </c>
      <c r="AP260" s="8">
        <f t="shared" si="13"/>
        <v>43.308168749999993</v>
      </c>
      <c r="AQ260" s="9">
        <f t="shared" si="14"/>
        <v>63.145726874999987</v>
      </c>
    </row>
    <row r="261" spans="1:43" x14ac:dyDescent="0.25">
      <c r="A261">
        <v>12</v>
      </c>
      <c r="B261">
        <v>6</v>
      </c>
      <c r="C261">
        <v>2024</v>
      </c>
      <c r="D261" t="s">
        <v>43</v>
      </c>
      <c r="E261" t="s">
        <v>96</v>
      </c>
      <c r="F261" t="s">
        <v>97</v>
      </c>
      <c r="G261">
        <v>17</v>
      </c>
      <c r="H261">
        <v>1791882490001</v>
      </c>
      <c r="I261" t="s">
        <v>46</v>
      </c>
      <c r="J261" t="s">
        <v>133</v>
      </c>
      <c r="K261" t="s">
        <v>48</v>
      </c>
      <c r="L261" t="s">
        <v>49</v>
      </c>
      <c r="M261" t="s">
        <v>50</v>
      </c>
      <c r="N261" t="s">
        <v>51</v>
      </c>
      <c r="O261">
        <v>8483409900</v>
      </c>
      <c r="P261" t="s">
        <v>66</v>
      </c>
      <c r="Q261" t="s">
        <v>416</v>
      </c>
      <c r="R261" t="s">
        <v>54</v>
      </c>
      <c r="S261" t="s">
        <v>55</v>
      </c>
      <c r="T261">
        <v>7</v>
      </c>
      <c r="U261">
        <v>1</v>
      </c>
      <c r="V261" t="s">
        <v>135</v>
      </c>
      <c r="W261">
        <v>0</v>
      </c>
      <c r="X261">
        <v>776.32</v>
      </c>
      <c r="Y261">
        <v>67.33</v>
      </c>
      <c r="Z261">
        <v>5.23</v>
      </c>
      <c r="AA261">
        <v>848.87</v>
      </c>
      <c r="AB261" t="s">
        <v>57</v>
      </c>
      <c r="AC261" t="s">
        <v>94</v>
      </c>
      <c r="AD261" t="s">
        <v>48</v>
      </c>
      <c r="AE261">
        <v>0</v>
      </c>
      <c r="AF261">
        <v>1.8</v>
      </c>
      <c r="AG261" t="s">
        <v>59</v>
      </c>
      <c r="AH261" t="s">
        <v>98</v>
      </c>
      <c r="AI261" t="s">
        <v>60</v>
      </c>
      <c r="AJ261" t="s">
        <v>60</v>
      </c>
      <c r="AK261" t="s">
        <v>54</v>
      </c>
      <c r="AL261">
        <v>2024</v>
      </c>
      <c r="AM261" s="6" t="s">
        <v>417</v>
      </c>
      <c r="AN261" s="7">
        <v>776.32</v>
      </c>
      <c r="AO261" s="8">
        <f t="shared" si="12"/>
        <v>1455.6000000000001</v>
      </c>
      <c r="AP261" s="8">
        <f t="shared" si="13"/>
        <v>1617.1716000000001</v>
      </c>
      <c r="AQ261" s="9">
        <f t="shared" si="14"/>
        <v>2357.9264400000002</v>
      </c>
    </row>
    <row r="262" spans="1:43" x14ac:dyDescent="0.25">
      <c r="A262">
        <v>10</v>
      </c>
      <c r="B262">
        <v>10</v>
      </c>
      <c r="C262">
        <v>2024</v>
      </c>
      <c r="D262" t="s">
        <v>43</v>
      </c>
      <c r="E262" t="s">
        <v>44</v>
      </c>
      <c r="F262" t="s">
        <v>45</v>
      </c>
      <c r="G262">
        <v>21</v>
      </c>
      <c r="H262">
        <v>1791882490001</v>
      </c>
      <c r="I262" t="s">
        <v>46</v>
      </c>
      <c r="J262" t="s">
        <v>343</v>
      </c>
      <c r="K262" t="s">
        <v>48</v>
      </c>
      <c r="L262" t="s">
        <v>49</v>
      </c>
      <c r="M262" t="s">
        <v>50</v>
      </c>
      <c r="N262" t="s">
        <v>51</v>
      </c>
      <c r="O262">
        <v>8483409900</v>
      </c>
      <c r="P262" t="s">
        <v>52</v>
      </c>
      <c r="Q262" t="s">
        <v>418</v>
      </c>
      <c r="R262" t="s">
        <v>54</v>
      </c>
      <c r="S262" t="s">
        <v>55</v>
      </c>
      <c r="T262">
        <v>7</v>
      </c>
      <c r="U262">
        <v>1</v>
      </c>
      <c r="V262" t="s">
        <v>135</v>
      </c>
      <c r="W262">
        <v>0</v>
      </c>
      <c r="X262">
        <v>264.08999999999997</v>
      </c>
      <c r="Y262">
        <v>46.14</v>
      </c>
      <c r="Z262">
        <v>1.9</v>
      </c>
      <c r="AA262">
        <v>312.13</v>
      </c>
      <c r="AB262" t="s">
        <v>57</v>
      </c>
      <c r="AC262" t="s">
        <v>58</v>
      </c>
      <c r="AD262" t="s">
        <v>48</v>
      </c>
      <c r="AE262">
        <v>0</v>
      </c>
      <c r="AF262">
        <v>2.85</v>
      </c>
      <c r="AG262" t="s">
        <v>59</v>
      </c>
      <c r="AH262">
        <v>179772</v>
      </c>
      <c r="AI262" t="s">
        <v>60</v>
      </c>
      <c r="AJ262" t="s">
        <v>60</v>
      </c>
      <c r="AK262" t="s">
        <v>54</v>
      </c>
      <c r="AL262">
        <v>2024</v>
      </c>
      <c r="AM262" s="6" t="s">
        <v>419</v>
      </c>
      <c r="AN262" s="7">
        <v>264.08999999999997</v>
      </c>
      <c r="AO262" s="8">
        <f t="shared" si="12"/>
        <v>495.16874999999993</v>
      </c>
      <c r="AP262" s="8">
        <f t="shared" si="13"/>
        <v>550.13248124999996</v>
      </c>
      <c r="AQ262" s="9">
        <f t="shared" si="14"/>
        <v>802.12385812499986</v>
      </c>
    </row>
    <row r="263" spans="1:43" x14ac:dyDescent="0.25">
      <c r="A263">
        <v>2</v>
      </c>
      <c r="B263">
        <v>1</v>
      </c>
      <c r="C263">
        <v>2024</v>
      </c>
      <c r="D263" t="s">
        <v>43</v>
      </c>
      <c r="E263" t="s">
        <v>181</v>
      </c>
      <c r="F263" t="s">
        <v>182</v>
      </c>
      <c r="G263">
        <v>8</v>
      </c>
      <c r="H263">
        <v>1791882490001</v>
      </c>
      <c r="I263" t="s">
        <v>46</v>
      </c>
      <c r="J263" t="s">
        <v>65</v>
      </c>
      <c r="K263" t="s">
        <v>48</v>
      </c>
      <c r="L263" t="s">
        <v>49</v>
      </c>
      <c r="M263" t="s">
        <v>50</v>
      </c>
      <c r="N263" t="s">
        <v>51</v>
      </c>
      <c r="O263">
        <v>4009320000</v>
      </c>
      <c r="P263" t="s">
        <v>152</v>
      </c>
      <c r="Q263" t="s">
        <v>67</v>
      </c>
      <c r="R263" t="s">
        <v>54</v>
      </c>
      <c r="S263" t="s">
        <v>55</v>
      </c>
      <c r="T263">
        <v>8</v>
      </c>
      <c r="U263">
        <v>2</v>
      </c>
      <c r="V263" t="s">
        <v>56</v>
      </c>
      <c r="W263">
        <v>0</v>
      </c>
      <c r="X263">
        <v>546.72</v>
      </c>
      <c r="Y263">
        <v>111.09</v>
      </c>
      <c r="Z263">
        <v>3.52</v>
      </c>
      <c r="AA263">
        <v>661.33</v>
      </c>
      <c r="AB263" t="s">
        <v>57</v>
      </c>
      <c r="AC263" t="s">
        <v>81</v>
      </c>
      <c r="AD263" t="s">
        <v>48</v>
      </c>
      <c r="AE263">
        <v>0</v>
      </c>
      <c r="AF263">
        <v>6.48</v>
      </c>
      <c r="AG263" t="s">
        <v>59</v>
      </c>
      <c r="AH263">
        <v>413505</v>
      </c>
      <c r="AI263" t="s">
        <v>60</v>
      </c>
      <c r="AJ263" t="s">
        <v>60</v>
      </c>
      <c r="AK263" t="s">
        <v>54</v>
      </c>
      <c r="AL263">
        <v>2023</v>
      </c>
      <c r="AM263" s="6" t="s">
        <v>420</v>
      </c>
      <c r="AN263" s="7">
        <v>273.36</v>
      </c>
      <c r="AO263" s="8">
        <f t="shared" si="12"/>
        <v>512.55000000000007</v>
      </c>
      <c r="AP263" s="8">
        <f t="shared" si="13"/>
        <v>569.44305000000008</v>
      </c>
      <c r="AQ263" s="9">
        <f t="shared" si="14"/>
        <v>830.27974500000005</v>
      </c>
    </row>
    <row r="264" spans="1:43" x14ac:dyDescent="0.25">
      <c r="A264">
        <v>20</v>
      </c>
      <c r="B264">
        <v>2</v>
      </c>
      <c r="C264">
        <v>2024</v>
      </c>
      <c r="D264" t="s">
        <v>43</v>
      </c>
      <c r="E264" t="s">
        <v>140</v>
      </c>
      <c r="F264" t="s">
        <v>141</v>
      </c>
      <c r="G264">
        <v>22</v>
      </c>
      <c r="H264">
        <v>1791882490001</v>
      </c>
      <c r="I264" t="s">
        <v>46</v>
      </c>
      <c r="J264" t="s">
        <v>263</v>
      </c>
      <c r="K264" t="s">
        <v>48</v>
      </c>
      <c r="L264" t="s">
        <v>49</v>
      </c>
      <c r="M264" t="s">
        <v>50</v>
      </c>
      <c r="N264" t="s">
        <v>51</v>
      </c>
      <c r="O264">
        <v>4009320000</v>
      </c>
      <c r="P264" t="s">
        <v>142</v>
      </c>
      <c r="Q264" t="s">
        <v>67</v>
      </c>
      <c r="R264" t="s">
        <v>54</v>
      </c>
      <c r="S264" t="s">
        <v>55</v>
      </c>
      <c r="T264">
        <v>6</v>
      </c>
      <c r="U264">
        <v>3</v>
      </c>
      <c r="V264" t="s">
        <v>56</v>
      </c>
      <c r="W264">
        <v>0</v>
      </c>
      <c r="X264">
        <v>815.15</v>
      </c>
      <c r="Y264">
        <v>73.150000000000006</v>
      </c>
      <c r="Z264">
        <v>5.48</v>
      </c>
      <c r="AA264">
        <v>893.78</v>
      </c>
      <c r="AB264" t="s">
        <v>54</v>
      </c>
      <c r="AC264" t="s">
        <v>143</v>
      </c>
      <c r="AD264" t="s">
        <v>48</v>
      </c>
      <c r="AE264">
        <v>0</v>
      </c>
      <c r="AF264">
        <v>5.61</v>
      </c>
      <c r="AG264" t="s">
        <v>59</v>
      </c>
      <c r="AH264">
        <v>876053</v>
      </c>
      <c r="AI264" t="s">
        <v>60</v>
      </c>
      <c r="AJ264" t="s">
        <v>60</v>
      </c>
      <c r="AK264" t="s">
        <v>54</v>
      </c>
      <c r="AL264">
        <v>2024</v>
      </c>
      <c r="AM264" s="6" t="s">
        <v>420</v>
      </c>
      <c r="AN264" s="7">
        <v>271.72000000000003</v>
      </c>
      <c r="AO264" s="8">
        <f t="shared" si="12"/>
        <v>509.47500000000002</v>
      </c>
      <c r="AP264" s="8">
        <f t="shared" si="13"/>
        <v>566.02672500000006</v>
      </c>
      <c r="AQ264" s="9">
        <f t="shared" si="14"/>
        <v>825.29855250000003</v>
      </c>
    </row>
    <row r="265" spans="1:43" x14ac:dyDescent="0.25">
      <c r="A265">
        <v>2</v>
      </c>
      <c r="B265">
        <v>1</v>
      </c>
      <c r="C265">
        <v>2024</v>
      </c>
      <c r="D265" t="s">
        <v>43</v>
      </c>
      <c r="E265" t="s">
        <v>181</v>
      </c>
      <c r="F265" t="s">
        <v>182</v>
      </c>
      <c r="G265">
        <v>9</v>
      </c>
      <c r="H265">
        <v>1791882490001</v>
      </c>
      <c r="I265" t="s">
        <v>46</v>
      </c>
      <c r="J265" t="s">
        <v>65</v>
      </c>
      <c r="K265" t="s">
        <v>48</v>
      </c>
      <c r="L265" t="s">
        <v>49</v>
      </c>
      <c r="M265" t="s">
        <v>50</v>
      </c>
      <c r="N265" t="s">
        <v>51</v>
      </c>
      <c r="O265">
        <v>8481909090</v>
      </c>
      <c r="P265" t="s">
        <v>232</v>
      </c>
      <c r="Q265" t="s">
        <v>421</v>
      </c>
      <c r="R265" t="s">
        <v>54</v>
      </c>
      <c r="S265" t="s">
        <v>55</v>
      </c>
      <c r="T265">
        <v>8</v>
      </c>
      <c r="U265">
        <v>1</v>
      </c>
      <c r="V265" t="s">
        <v>135</v>
      </c>
      <c r="W265">
        <v>9.3699999999999992</v>
      </c>
      <c r="X265">
        <v>38.75</v>
      </c>
      <c r="Y265">
        <v>7.87</v>
      </c>
      <c r="Z265">
        <v>0.25</v>
      </c>
      <c r="AA265">
        <v>46.87</v>
      </c>
      <c r="AB265" t="s">
        <v>57</v>
      </c>
      <c r="AC265" t="s">
        <v>81</v>
      </c>
      <c r="AD265" t="s">
        <v>48</v>
      </c>
      <c r="AE265">
        <v>0</v>
      </c>
      <c r="AF265">
        <v>3.24</v>
      </c>
      <c r="AG265" t="s">
        <v>59</v>
      </c>
      <c r="AH265">
        <v>413505</v>
      </c>
      <c r="AI265" t="s">
        <v>60</v>
      </c>
      <c r="AJ265" t="s">
        <v>60</v>
      </c>
      <c r="AK265" t="s">
        <v>54</v>
      </c>
      <c r="AL265">
        <v>2023</v>
      </c>
      <c r="AM265" s="6" t="s">
        <v>422</v>
      </c>
      <c r="AN265" s="7">
        <v>38.75</v>
      </c>
      <c r="AO265" s="8">
        <f t="shared" si="12"/>
        <v>72.65625</v>
      </c>
      <c r="AP265" s="8">
        <f t="shared" si="13"/>
        <v>80.721093749999994</v>
      </c>
      <c r="AQ265" s="9">
        <f t="shared" si="14"/>
        <v>117.695859375</v>
      </c>
    </row>
    <row r="266" spans="1:43" x14ac:dyDescent="0.25">
      <c r="A266">
        <v>8</v>
      </c>
      <c r="B266">
        <v>7</v>
      </c>
      <c r="C266">
        <v>2024</v>
      </c>
      <c r="D266" t="s">
        <v>43</v>
      </c>
      <c r="E266" t="s">
        <v>75</v>
      </c>
      <c r="F266" t="s">
        <v>76</v>
      </c>
      <c r="G266">
        <v>20</v>
      </c>
      <c r="H266">
        <v>1791882490001</v>
      </c>
      <c r="I266" t="s">
        <v>46</v>
      </c>
      <c r="J266" t="s">
        <v>133</v>
      </c>
      <c r="K266" t="s">
        <v>48</v>
      </c>
      <c r="L266" t="s">
        <v>49</v>
      </c>
      <c r="M266" t="s">
        <v>50</v>
      </c>
      <c r="N266" t="s">
        <v>51</v>
      </c>
      <c r="O266">
        <v>7412200000</v>
      </c>
      <c r="P266" t="s">
        <v>169</v>
      </c>
      <c r="Q266" t="s">
        <v>423</v>
      </c>
      <c r="R266" t="s">
        <v>54</v>
      </c>
      <c r="S266" t="s">
        <v>55</v>
      </c>
      <c r="T266">
        <v>8</v>
      </c>
      <c r="U266">
        <v>2</v>
      </c>
      <c r="V266" t="s">
        <v>56</v>
      </c>
      <c r="W266">
        <v>0</v>
      </c>
      <c r="X266">
        <v>112.32</v>
      </c>
      <c r="Y266">
        <v>9.59</v>
      </c>
      <c r="Z266">
        <v>0.73</v>
      </c>
      <c r="AA266">
        <v>122.64</v>
      </c>
      <c r="AB266" t="s">
        <v>57</v>
      </c>
      <c r="AC266" t="s">
        <v>77</v>
      </c>
      <c r="AD266" t="s">
        <v>48</v>
      </c>
      <c r="AE266">
        <v>0</v>
      </c>
      <c r="AF266">
        <v>0.74</v>
      </c>
      <c r="AG266" t="s">
        <v>59</v>
      </c>
      <c r="AH266">
        <v>107711</v>
      </c>
      <c r="AI266" t="s">
        <v>60</v>
      </c>
      <c r="AJ266" t="s">
        <v>78</v>
      </c>
      <c r="AK266" t="s">
        <v>54</v>
      </c>
      <c r="AL266">
        <v>2024</v>
      </c>
      <c r="AM266" s="6" t="s">
        <v>424</v>
      </c>
      <c r="AN266" s="7">
        <v>56.16</v>
      </c>
      <c r="AO266" s="8">
        <f t="shared" si="12"/>
        <v>105.3</v>
      </c>
      <c r="AP266" s="8">
        <f t="shared" si="13"/>
        <v>116.9883</v>
      </c>
      <c r="AQ266" s="9">
        <f t="shared" si="14"/>
        <v>170.57547</v>
      </c>
    </row>
    <row r="267" spans="1:43" x14ac:dyDescent="0.25">
      <c r="A267">
        <v>8</v>
      </c>
      <c r="B267">
        <v>7</v>
      </c>
      <c r="C267">
        <v>2024</v>
      </c>
      <c r="D267" t="s">
        <v>43</v>
      </c>
      <c r="E267" t="s">
        <v>75</v>
      </c>
      <c r="F267" t="s">
        <v>76</v>
      </c>
      <c r="G267">
        <v>20</v>
      </c>
      <c r="H267">
        <v>1791882490001</v>
      </c>
      <c r="I267" t="s">
        <v>46</v>
      </c>
      <c r="J267" t="s">
        <v>133</v>
      </c>
      <c r="K267" t="s">
        <v>48</v>
      </c>
      <c r="L267" t="s">
        <v>49</v>
      </c>
      <c r="M267" t="s">
        <v>50</v>
      </c>
      <c r="N267" t="s">
        <v>51</v>
      </c>
      <c r="O267">
        <v>7412200000</v>
      </c>
      <c r="P267" t="s">
        <v>169</v>
      </c>
      <c r="Q267" t="s">
        <v>423</v>
      </c>
      <c r="R267" t="s">
        <v>54</v>
      </c>
      <c r="S267" t="s">
        <v>55</v>
      </c>
      <c r="T267">
        <v>8</v>
      </c>
      <c r="U267">
        <v>2</v>
      </c>
      <c r="V267" t="s">
        <v>56</v>
      </c>
      <c r="W267">
        <v>0</v>
      </c>
      <c r="X267">
        <v>112.32</v>
      </c>
      <c r="Y267">
        <v>9.59</v>
      </c>
      <c r="Z267">
        <v>0.73</v>
      </c>
      <c r="AA267">
        <v>122.64</v>
      </c>
      <c r="AB267" t="s">
        <v>57</v>
      </c>
      <c r="AC267" t="s">
        <v>77</v>
      </c>
      <c r="AD267" t="s">
        <v>48</v>
      </c>
      <c r="AE267">
        <v>0</v>
      </c>
      <c r="AF267">
        <v>0.74</v>
      </c>
      <c r="AG267" t="s">
        <v>59</v>
      </c>
      <c r="AH267">
        <v>107711</v>
      </c>
      <c r="AI267" t="s">
        <v>60</v>
      </c>
      <c r="AJ267" t="s">
        <v>78</v>
      </c>
      <c r="AK267" t="s">
        <v>54</v>
      </c>
      <c r="AL267">
        <v>2024</v>
      </c>
      <c r="AM267" s="6" t="s">
        <v>424</v>
      </c>
      <c r="AN267" s="7">
        <v>56.16</v>
      </c>
      <c r="AO267" s="8">
        <f t="shared" si="12"/>
        <v>105.3</v>
      </c>
      <c r="AP267" s="8">
        <f t="shared" si="13"/>
        <v>116.9883</v>
      </c>
      <c r="AQ267" s="9">
        <f t="shared" si="14"/>
        <v>170.57547</v>
      </c>
    </row>
    <row r="268" spans="1:43" x14ac:dyDescent="0.25">
      <c r="A268">
        <v>28</v>
      </c>
      <c r="B268">
        <v>8</v>
      </c>
      <c r="C268">
        <v>2024</v>
      </c>
      <c r="D268" t="s">
        <v>43</v>
      </c>
      <c r="E268" t="s">
        <v>91</v>
      </c>
      <c r="F268" t="s">
        <v>92</v>
      </c>
      <c r="G268">
        <v>19</v>
      </c>
      <c r="H268">
        <v>1791882490001</v>
      </c>
      <c r="I268" t="s">
        <v>46</v>
      </c>
      <c r="J268" t="s">
        <v>425</v>
      </c>
      <c r="K268" t="s">
        <v>48</v>
      </c>
      <c r="L268" t="s">
        <v>49</v>
      </c>
      <c r="M268" t="s">
        <v>50</v>
      </c>
      <c r="N268" t="s">
        <v>51</v>
      </c>
      <c r="O268">
        <v>8481809990</v>
      </c>
      <c r="P268" t="s">
        <v>103</v>
      </c>
      <c r="Q268" t="s">
        <v>291</v>
      </c>
      <c r="R268" t="s">
        <v>54</v>
      </c>
      <c r="S268" t="s">
        <v>55</v>
      </c>
      <c r="T268">
        <v>8</v>
      </c>
      <c r="U268">
        <v>2</v>
      </c>
      <c r="V268" t="s">
        <v>135</v>
      </c>
      <c r="W268">
        <v>0</v>
      </c>
      <c r="X268">
        <v>360.25</v>
      </c>
      <c r="Y268">
        <v>39.799999999999997</v>
      </c>
      <c r="Z268">
        <v>2.42</v>
      </c>
      <c r="AA268">
        <v>402.48</v>
      </c>
      <c r="AB268" t="s">
        <v>57</v>
      </c>
      <c r="AC268" t="s">
        <v>94</v>
      </c>
      <c r="AD268" t="s">
        <v>48</v>
      </c>
      <c r="AE268">
        <v>0</v>
      </c>
      <c r="AF268">
        <v>4.1500000000000004</v>
      </c>
      <c r="AG268" t="s">
        <v>59</v>
      </c>
      <c r="AH268">
        <v>150511</v>
      </c>
      <c r="AI268" t="s">
        <v>60</v>
      </c>
      <c r="AJ268" t="s">
        <v>60</v>
      </c>
      <c r="AK268" t="s">
        <v>54</v>
      </c>
      <c r="AL268">
        <v>2024</v>
      </c>
      <c r="AM268" s="6" t="s">
        <v>426</v>
      </c>
      <c r="AN268" s="7">
        <v>180.13</v>
      </c>
      <c r="AO268" s="8">
        <f t="shared" si="12"/>
        <v>337.74374999999998</v>
      </c>
      <c r="AP268" s="8">
        <f t="shared" si="13"/>
        <v>375.23330625</v>
      </c>
      <c r="AQ268" s="9">
        <f t="shared" si="14"/>
        <v>547.11110062499995</v>
      </c>
    </row>
    <row r="269" spans="1:43" x14ac:dyDescent="0.25">
      <c r="A269">
        <v>2</v>
      </c>
      <c r="B269">
        <v>1</v>
      </c>
      <c r="C269">
        <v>2024</v>
      </c>
      <c r="D269" t="s">
        <v>43</v>
      </c>
      <c r="E269" t="s">
        <v>181</v>
      </c>
      <c r="F269" t="s">
        <v>182</v>
      </c>
      <c r="G269">
        <v>10</v>
      </c>
      <c r="H269">
        <v>1791882490001</v>
      </c>
      <c r="I269" t="s">
        <v>46</v>
      </c>
      <c r="J269" t="s">
        <v>343</v>
      </c>
      <c r="K269" t="s">
        <v>48</v>
      </c>
      <c r="L269" t="s">
        <v>49</v>
      </c>
      <c r="M269" t="s">
        <v>50</v>
      </c>
      <c r="N269" t="s">
        <v>51</v>
      </c>
      <c r="O269">
        <v>8483909000</v>
      </c>
      <c r="P269" t="s">
        <v>427</v>
      </c>
      <c r="Q269" t="s">
        <v>428</v>
      </c>
      <c r="R269" t="s">
        <v>54</v>
      </c>
      <c r="S269" t="s">
        <v>55</v>
      </c>
      <c r="T269">
        <v>8</v>
      </c>
      <c r="U269">
        <v>1</v>
      </c>
      <c r="V269" t="s">
        <v>135</v>
      </c>
      <c r="W269">
        <v>0</v>
      </c>
      <c r="X269">
        <v>438.33</v>
      </c>
      <c r="Y269">
        <v>89.06</v>
      </c>
      <c r="Z269">
        <v>2.82</v>
      </c>
      <c r="AA269">
        <v>530.21</v>
      </c>
      <c r="AB269" t="s">
        <v>57</v>
      </c>
      <c r="AC269" t="s">
        <v>81</v>
      </c>
      <c r="AD269" t="s">
        <v>48</v>
      </c>
      <c r="AE269">
        <v>0</v>
      </c>
      <c r="AF269">
        <v>3.24</v>
      </c>
      <c r="AG269" t="s">
        <v>59</v>
      </c>
      <c r="AH269">
        <v>413505</v>
      </c>
      <c r="AI269" t="s">
        <v>60</v>
      </c>
      <c r="AJ269" t="s">
        <v>60</v>
      </c>
      <c r="AK269" t="s">
        <v>54</v>
      </c>
      <c r="AL269">
        <v>2023</v>
      </c>
      <c r="AM269" s="6" t="s">
        <v>429</v>
      </c>
      <c r="AN269" s="7">
        <v>438.33</v>
      </c>
      <c r="AO269" s="8">
        <f t="shared" si="12"/>
        <v>821.86874999999998</v>
      </c>
      <c r="AP269" s="8">
        <f t="shared" si="13"/>
        <v>913.09618124999997</v>
      </c>
      <c r="AQ269" s="9">
        <f t="shared" si="14"/>
        <v>1331.3451881249998</v>
      </c>
    </row>
    <row r="270" spans="1:43" x14ac:dyDescent="0.25">
      <c r="A270">
        <v>2</v>
      </c>
      <c r="B270">
        <v>1</v>
      </c>
      <c r="C270">
        <v>2024</v>
      </c>
      <c r="D270" t="s">
        <v>43</v>
      </c>
      <c r="E270" t="s">
        <v>181</v>
      </c>
      <c r="F270" t="s">
        <v>182</v>
      </c>
      <c r="G270">
        <v>11</v>
      </c>
      <c r="H270">
        <v>1791882490001</v>
      </c>
      <c r="I270" t="s">
        <v>46</v>
      </c>
      <c r="J270" t="s">
        <v>263</v>
      </c>
      <c r="K270" t="s">
        <v>48</v>
      </c>
      <c r="L270" t="s">
        <v>49</v>
      </c>
      <c r="M270" t="s">
        <v>50</v>
      </c>
      <c r="N270" t="s">
        <v>51</v>
      </c>
      <c r="O270">
        <v>8481400090</v>
      </c>
      <c r="P270" t="s">
        <v>232</v>
      </c>
      <c r="Q270" t="s">
        <v>430</v>
      </c>
      <c r="R270" t="s">
        <v>54</v>
      </c>
      <c r="S270" t="s">
        <v>55</v>
      </c>
      <c r="T270">
        <v>8</v>
      </c>
      <c r="U270">
        <v>6</v>
      </c>
      <c r="V270" t="s">
        <v>135</v>
      </c>
      <c r="W270">
        <v>0</v>
      </c>
      <c r="X270">
        <v>377.14</v>
      </c>
      <c r="Y270">
        <v>76.63</v>
      </c>
      <c r="Z270">
        <v>2.4300000000000002</v>
      </c>
      <c r="AA270">
        <v>456.19</v>
      </c>
      <c r="AB270" t="s">
        <v>57</v>
      </c>
      <c r="AC270" t="s">
        <v>81</v>
      </c>
      <c r="AD270" t="s">
        <v>48</v>
      </c>
      <c r="AE270">
        <v>0</v>
      </c>
      <c r="AF270">
        <v>19.440000000000001</v>
      </c>
      <c r="AG270" t="s">
        <v>59</v>
      </c>
      <c r="AH270">
        <v>413505</v>
      </c>
      <c r="AI270" t="s">
        <v>60</v>
      </c>
      <c r="AJ270" t="s">
        <v>60</v>
      </c>
      <c r="AK270" t="s">
        <v>54</v>
      </c>
      <c r="AL270">
        <v>2023</v>
      </c>
      <c r="AM270" s="6" t="s">
        <v>431</v>
      </c>
      <c r="AN270" s="7">
        <v>62.86</v>
      </c>
      <c r="AO270" s="8">
        <f t="shared" si="12"/>
        <v>117.8625</v>
      </c>
      <c r="AP270" s="8">
        <f t="shared" si="13"/>
        <v>130.94523749999999</v>
      </c>
      <c r="AQ270" s="9">
        <f t="shared" si="14"/>
        <v>190.92546374999998</v>
      </c>
    </row>
    <row r="271" spans="1:43" x14ac:dyDescent="0.25">
      <c r="A271">
        <v>1</v>
      </c>
      <c r="B271">
        <v>2</v>
      </c>
      <c r="C271">
        <v>2024</v>
      </c>
      <c r="D271" t="s">
        <v>43</v>
      </c>
      <c r="E271" t="s">
        <v>174</v>
      </c>
      <c r="F271" t="s">
        <v>175</v>
      </c>
      <c r="G271">
        <v>47</v>
      </c>
      <c r="H271">
        <v>1791882490001</v>
      </c>
      <c r="I271" t="s">
        <v>46</v>
      </c>
      <c r="J271" t="s">
        <v>263</v>
      </c>
      <c r="K271" t="s">
        <v>48</v>
      </c>
      <c r="L271" t="s">
        <v>49</v>
      </c>
      <c r="M271" t="s">
        <v>50</v>
      </c>
      <c r="N271" t="s">
        <v>51</v>
      </c>
      <c r="O271">
        <v>8481909090</v>
      </c>
      <c r="P271" t="s">
        <v>103</v>
      </c>
      <c r="Q271" t="s">
        <v>432</v>
      </c>
      <c r="R271" t="s">
        <v>54</v>
      </c>
      <c r="S271" t="s">
        <v>55</v>
      </c>
      <c r="T271">
        <v>5</v>
      </c>
      <c r="U271">
        <v>6</v>
      </c>
      <c r="V271" t="s">
        <v>135</v>
      </c>
      <c r="W271">
        <v>0</v>
      </c>
      <c r="X271">
        <v>338.86</v>
      </c>
      <c r="Y271">
        <v>25.19</v>
      </c>
      <c r="Z271">
        <v>2.0299999999999998</v>
      </c>
      <c r="AA271">
        <v>366.08</v>
      </c>
      <c r="AB271" t="s">
        <v>54</v>
      </c>
      <c r="AC271" t="s">
        <v>94</v>
      </c>
      <c r="AD271" t="s">
        <v>48</v>
      </c>
      <c r="AE271">
        <v>0</v>
      </c>
      <c r="AF271">
        <v>11.91</v>
      </c>
      <c r="AG271" t="s">
        <v>59</v>
      </c>
      <c r="AH271">
        <v>863266</v>
      </c>
      <c r="AI271" t="s">
        <v>60</v>
      </c>
      <c r="AJ271" t="s">
        <v>60</v>
      </c>
      <c r="AK271" t="s">
        <v>54</v>
      </c>
      <c r="AL271">
        <v>2023</v>
      </c>
      <c r="AM271" s="6" t="s">
        <v>431</v>
      </c>
      <c r="AN271" s="7">
        <v>56.48</v>
      </c>
      <c r="AO271" s="8">
        <f t="shared" si="12"/>
        <v>105.89999999999999</v>
      </c>
      <c r="AP271" s="8">
        <f t="shared" si="13"/>
        <v>117.65489999999998</v>
      </c>
      <c r="AQ271" s="9">
        <f t="shared" si="14"/>
        <v>171.54740999999999</v>
      </c>
    </row>
    <row r="272" spans="1:43" x14ac:dyDescent="0.25">
      <c r="A272">
        <v>20</v>
      </c>
      <c r="B272">
        <v>2</v>
      </c>
      <c r="C272">
        <v>2024</v>
      </c>
      <c r="D272" t="s">
        <v>43</v>
      </c>
      <c r="E272" t="s">
        <v>140</v>
      </c>
      <c r="F272" t="s">
        <v>141</v>
      </c>
      <c r="G272">
        <v>23</v>
      </c>
      <c r="H272">
        <v>1791882490001</v>
      </c>
      <c r="I272" t="s">
        <v>46</v>
      </c>
      <c r="J272" t="s">
        <v>65</v>
      </c>
      <c r="K272" t="s">
        <v>48</v>
      </c>
      <c r="L272" t="s">
        <v>49</v>
      </c>
      <c r="M272" t="s">
        <v>50</v>
      </c>
      <c r="N272" t="s">
        <v>51</v>
      </c>
      <c r="O272">
        <v>8481909090</v>
      </c>
      <c r="P272" t="s">
        <v>103</v>
      </c>
      <c r="Q272" t="s">
        <v>315</v>
      </c>
      <c r="R272" t="s">
        <v>54</v>
      </c>
      <c r="S272" t="s">
        <v>55</v>
      </c>
      <c r="T272">
        <v>6</v>
      </c>
      <c r="U272">
        <v>10</v>
      </c>
      <c r="V272" t="s">
        <v>135</v>
      </c>
      <c r="W272">
        <v>0</v>
      </c>
      <c r="X272">
        <v>624.78</v>
      </c>
      <c r="Y272">
        <v>56.07</v>
      </c>
      <c r="Z272">
        <v>4.2</v>
      </c>
      <c r="AA272">
        <v>685.04</v>
      </c>
      <c r="AB272" t="s">
        <v>54</v>
      </c>
      <c r="AC272" t="s">
        <v>143</v>
      </c>
      <c r="AD272" t="s">
        <v>48</v>
      </c>
      <c r="AE272">
        <v>0</v>
      </c>
      <c r="AF272">
        <v>18.71</v>
      </c>
      <c r="AG272" t="s">
        <v>59</v>
      </c>
      <c r="AH272">
        <v>876053</v>
      </c>
      <c r="AI272" t="s">
        <v>60</v>
      </c>
      <c r="AJ272" t="s">
        <v>60</v>
      </c>
      <c r="AK272" t="s">
        <v>54</v>
      </c>
      <c r="AL272">
        <v>2024</v>
      </c>
      <c r="AM272" s="6" t="s">
        <v>431</v>
      </c>
      <c r="AN272" s="7">
        <v>62.48</v>
      </c>
      <c r="AO272" s="8">
        <f t="shared" si="12"/>
        <v>117.14999999999999</v>
      </c>
      <c r="AP272" s="8">
        <f t="shared" si="13"/>
        <v>130.15365</v>
      </c>
      <c r="AQ272" s="9">
        <f t="shared" si="14"/>
        <v>189.77128499999998</v>
      </c>
    </row>
    <row r="273" spans="1:43" x14ac:dyDescent="0.25">
      <c r="A273">
        <v>12</v>
      </c>
      <c r="B273">
        <v>6</v>
      </c>
      <c r="C273">
        <v>2024</v>
      </c>
      <c r="D273" t="s">
        <v>43</v>
      </c>
      <c r="E273" t="s">
        <v>96</v>
      </c>
      <c r="F273" t="s">
        <v>97</v>
      </c>
      <c r="G273">
        <v>18</v>
      </c>
      <c r="H273">
        <v>1791882490001</v>
      </c>
      <c r="I273" t="s">
        <v>46</v>
      </c>
      <c r="J273" t="s">
        <v>133</v>
      </c>
      <c r="K273" t="s">
        <v>48</v>
      </c>
      <c r="L273" t="s">
        <v>49</v>
      </c>
      <c r="M273" t="s">
        <v>50</v>
      </c>
      <c r="N273" t="s">
        <v>51</v>
      </c>
      <c r="O273">
        <v>8483109900</v>
      </c>
      <c r="P273" t="s">
        <v>66</v>
      </c>
      <c r="Q273" t="s">
        <v>433</v>
      </c>
      <c r="R273" t="s">
        <v>54</v>
      </c>
      <c r="S273" t="s">
        <v>55</v>
      </c>
      <c r="T273">
        <v>7</v>
      </c>
      <c r="U273">
        <v>1</v>
      </c>
      <c r="V273" t="s">
        <v>135</v>
      </c>
      <c r="W273">
        <v>0</v>
      </c>
      <c r="X273">
        <v>1601.42</v>
      </c>
      <c r="Y273">
        <v>138.88999999999999</v>
      </c>
      <c r="Z273">
        <v>10.78</v>
      </c>
      <c r="AA273">
        <v>1751.09</v>
      </c>
      <c r="AB273" t="s">
        <v>57</v>
      </c>
      <c r="AC273" t="s">
        <v>94</v>
      </c>
      <c r="AD273" t="s">
        <v>48</v>
      </c>
      <c r="AE273">
        <v>0</v>
      </c>
      <c r="AF273">
        <v>1.8</v>
      </c>
      <c r="AG273" t="s">
        <v>59</v>
      </c>
      <c r="AH273" t="s">
        <v>98</v>
      </c>
      <c r="AI273" t="s">
        <v>60</v>
      </c>
      <c r="AJ273" t="s">
        <v>60</v>
      </c>
      <c r="AK273" t="s">
        <v>54</v>
      </c>
      <c r="AL273">
        <v>2024</v>
      </c>
      <c r="AM273" s="6" t="s">
        <v>434</v>
      </c>
      <c r="AN273" s="7">
        <v>1601.42</v>
      </c>
      <c r="AO273" s="8">
        <f t="shared" si="12"/>
        <v>3002.6625000000004</v>
      </c>
      <c r="AP273" s="8">
        <f t="shared" si="13"/>
        <v>3335.9580375000005</v>
      </c>
      <c r="AQ273" s="9">
        <f t="shared" si="14"/>
        <v>4864.0129837499999</v>
      </c>
    </row>
    <row r="274" spans="1:43" x14ac:dyDescent="0.25">
      <c r="A274">
        <v>2</v>
      </c>
      <c r="B274">
        <v>1</v>
      </c>
      <c r="C274">
        <v>2024</v>
      </c>
      <c r="D274" t="s">
        <v>43</v>
      </c>
      <c r="E274" t="s">
        <v>181</v>
      </c>
      <c r="F274" t="s">
        <v>182</v>
      </c>
      <c r="G274">
        <v>12</v>
      </c>
      <c r="H274">
        <v>1791882490001</v>
      </c>
      <c r="I274" t="s">
        <v>46</v>
      </c>
      <c r="J274" t="s">
        <v>343</v>
      </c>
      <c r="K274" t="s">
        <v>48</v>
      </c>
      <c r="L274" t="s">
        <v>49</v>
      </c>
      <c r="M274" t="s">
        <v>50</v>
      </c>
      <c r="N274" t="s">
        <v>51</v>
      </c>
      <c r="O274">
        <v>8483909000</v>
      </c>
      <c r="P274" t="s">
        <v>427</v>
      </c>
      <c r="Q274" t="s">
        <v>435</v>
      </c>
      <c r="R274" t="s">
        <v>54</v>
      </c>
      <c r="S274" t="s">
        <v>55</v>
      </c>
      <c r="T274">
        <v>8</v>
      </c>
      <c r="U274">
        <v>1</v>
      </c>
      <c r="V274" t="s">
        <v>135</v>
      </c>
      <c r="W274">
        <v>0</v>
      </c>
      <c r="X274">
        <v>489.56</v>
      </c>
      <c r="Y274">
        <v>99.47</v>
      </c>
      <c r="Z274">
        <v>3.15</v>
      </c>
      <c r="AA274">
        <v>592.17999999999995</v>
      </c>
      <c r="AB274" t="s">
        <v>57</v>
      </c>
      <c r="AC274" t="s">
        <v>81</v>
      </c>
      <c r="AD274" t="s">
        <v>48</v>
      </c>
      <c r="AE274">
        <v>0</v>
      </c>
      <c r="AF274">
        <v>3.24</v>
      </c>
      <c r="AG274" t="s">
        <v>59</v>
      </c>
      <c r="AH274">
        <v>413505</v>
      </c>
      <c r="AI274" t="s">
        <v>60</v>
      </c>
      <c r="AJ274" t="s">
        <v>60</v>
      </c>
      <c r="AK274" t="s">
        <v>54</v>
      </c>
      <c r="AL274">
        <v>2023</v>
      </c>
      <c r="AM274" s="6" t="s">
        <v>436</v>
      </c>
      <c r="AN274" s="7">
        <v>489.56</v>
      </c>
      <c r="AO274" s="8">
        <f t="shared" si="12"/>
        <v>917.92499999999995</v>
      </c>
      <c r="AP274" s="8">
        <f t="shared" si="13"/>
        <v>1019.814675</v>
      </c>
      <c r="AQ274" s="9">
        <f t="shared" si="14"/>
        <v>1486.9467074999998</v>
      </c>
    </row>
    <row r="275" spans="1:43" x14ac:dyDescent="0.25">
      <c r="A275">
        <v>12</v>
      </c>
      <c r="B275">
        <v>6</v>
      </c>
      <c r="C275">
        <v>2024</v>
      </c>
      <c r="D275" t="s">
        <v>43</v>
      </c>
      <c r="E275" t="s">
        <v>96</v>
      </c>
      <c r="F275" t="s">
        <v>97</v>
      </c>
      <c r="G275">
        <v>19</v>
      </c>
      <c r="H275">
        <v>1791882490001</v>
      </c>
      <c r="I275" t="s">
        <v>46</v>
      </c>
      <c r="J275" t="s">
        <v>48</v>
      </c>
      <c r="K275" t="s">
        <v>48</v>
      </c>
      <c r="L275" t="s">
        <v>49</v>
      </c>
      <c r="M275" t="s">
        <v>50</v>
      </c>
      <c r="N275" t="s">
        <v>51</v>
      </c>
      <c r="O275">
        <v>8483309000</v>
      </c>
      <c r="P275" t="s">
        <v>66</v>
      </c>
      <c r="Q275" t="s">
        <v>437</v>
      </c>
      <c r="R275" t="s">
        <v>54</v>
      </c>
      <c r="S275" t="s">
        <v>55</v>
      </c>
      <c r="T275">
        <v>7</v>
      </c>
      <c r="U275">
        <v>1</v>
      </c>
      <c r="V275" t="s">
        <v>135</v>
      </c>
      <c r="W275">
        <v>0</v>
      </c>
      <c r="X275">
        <v>146.72999999999999</v>
      </c>
      <c r="Y275">
        <v>12.73</v>
      </c>
      <c r="Z275">
        <v>0.99</v>
      </c>
      <c r="AA275">
        <v>160.44</v>
      </c>
      <c r="AB275" t="s">
        <v>57</v>
      </c>
      <c r="AC275" t="s">
        <v>94</v>
      </c>
      <c r="AD275" t="s">
        <v>48</v>
      </c>
      <c r="AE275">
        <v>0</v>
      </c>
      <c r="AF275">
        <v>1.8</v>
      </c>
      <c r="AG275" t="s">
        <v>59</v>
      </c>
      <c r="AH275" t="s">
        <v>98</v>
      </c>
      <c r="AI275" t="s">
        <v>60</v>
      </c>
      <c r="AJ275" t="s">
        <v>60</v>
      </c>
      <c r="AK275" t="s">
        <v>54</v>
      </c>
      <c r="AL275">
        <v>2024</v>
      </c>
      <c r="AM275" s="6" t="s">
        <v>438</v>
      </c>
      <c r="AN275" s="7">
        <v>146.72999999999999</v>
      </c>
      <c r="AO275" s="8">
        <f t="shared" si="12"/>
        <v>275.11874999999998</v>
      </c>
      <c r="AP275" s="8">
        <f t="shared" si="13"/>
        <v>305.65693124999996</v>
      </c>
      <c r="AQ275" s="9">
        <f t="shared" si="14"/>
        <v>445.66486312499995</v>
      </c>
    </row>
    <row r="276" spans="1:43" x14ac:dyDescent="0.25">
      <c r="A276">
        <v>16</v>
      </c>
      <c r="B276">
        <v>12</v>
      </c>
      <c r="C276">
        <v>2024</v>
      </c>
      <c r="D276" t="s">
        <v>43</v>
      </c>
      <c r="E276" t="s">
        <v>128</v>
      </c>
      <c r="F276" t="s">
        <v>129</v>
      </c>
      <c r="G276">
        <v>17</v>
      </c>
      <c r="H276">
        <v>1791882490001</v>
      </c>
      <c r="I276" t="s">
        <v>46</v>
      </c>
      <c r="J276" t="s">
        <v>65</v>
      </c>
      <c r="K276" t="s">
        <v>48</v>
      </c>
      <c r="L276" t="s">
        <v>49</v>
      </c>
      <c r="M276" t="s">
        <v>50</v>
      </c>
      <c r="N276" t="s">
        <v>51</v>
      </c>
      <c r="O276">
        <v>8483909000</v>
      </c>
      <c r="P276" t="s">
        <v>334</v>
      </c>
      <c r="Q276" t="s">
        <v>439</v>
      </c>
      <c r="R276" t="s">
        <v>54</v>
      </c>
      <c r="S276" t="s">
        <v>55</v>
      </c>
      <c r="T276">
        <v>9</v>
      </c>
      <c r="U276">
        <v>2</v>
      </c>
      <c r="V276" t="s">
        <v>135</v>
      </c>
      <c r="W276">
        <v>0</v>
      </c>
      <c r="X276">
        <v>1202.33</v>
      </c>
      <c r="Y276">
        <v>157.46</v>
      </c>
      <c r="Z276">
        <v>8.25</v>
      </c>
      <c r="AA276">
        <v>1368.04</v>
      </c>
      <c r="AB276" t="s">
        <v>57</v>
      </c>
      <c r="AC276" t="s">
        <v>131</v>
      </c>
      <c r="AD276" t="s">
        <v>48</v>
      </c>
      <c r="AE276">
        <v>0</v>
      </c>
      <c r="AF276">
        <v>3.98</v>
      </c>
      <c r="AG276" t="s">
        <v>59</v>
      </c>
      <c r="AH276">
        <v>325395</v>
      </c>
      <c r="AI276" t="s">
        <v>60</v>
      </c>
      <c r="AJ276" t="s">
        <v>78</v>
      </c>
      <c r="AK276" t="s">
        <v>54</v>
      </c>
      <c r="AL276">
        <v>2024</v>
      </c>
      <c r="AM276" s="6" t="s">
        <v>440</v>
      </c>
      <c r="AN276" s="7">
        <v>601.16999999999996</v>
      </c>
      <c r="AO276" s="8">
        <f t="shared" si="12"/>
        <v>1127.1937499999999</v>
      </c>
      <c r="AP276" s="8">
        <f t="shared" si="13"/>
        <v>1252.3122562499998</v>
      </c>
      <c r="AQ276" s="9">
        <f t="shared" si="14"/>
        <v>1825.9411556249997</v>
      </c>
    </row>
    <row r="277" spans="1:43" x14ac:dyDescent="0.25">
      <c r="A277">
        <v>3</v>
      </c>
      <c r="B277">
        <v>4</v>
      </c>
      <c r="C277">
        <v>2024</v>
      </c>
      <c r="D277" t="s">
        <v>43</v>
      </c>
      <c r="E277" t="s">
        <v>73</v>
      </c>
      <c r="F277" t="s">
        <v>74</v>
      </c>
      <c r="G277">
        <v>11</v>
      </c>
      <c r="H277">
        <v>1791882490001</v>
      </c>
      <c r="I277" t="s">
        <v>46</v>
      </c>
      <c r="J277" t="s">
        <v>263</v>
      </c>
      <c r="K277" t="s">
        <v>48</v>
      </c>
      <c r="L277" t="s">
        <v>49</v>
      </c>
      <c r="M277" t="s">
        <v>50</v>
      </c>
      <c r="N277" t="s">
        <v>51</v>
      </c>
      <c r="O277">
        <v>2818200000</v>
      </c>
      <c r="P277" t="s">
        <v>441</v>
      </c>
      <c r="Q277" t="s">
        <v>442</v>
      </c>
      <c r="R277" t="s">
        <v>54</v>
      </c>
      <c r="S277" t="s">
        <v>55</v>
      </c>
      <c r="T277">
        <v>6</v>
      </c>
      <c r="U277">
        <v>4</v>
      </c>
      <c r="V277" t="s">
        <v>56</v>
      </c>
      <c r="W277">
        <v>0</v>
      </c>
      <c r="X277">
        <v>393.87</v>
      </c>
      <c r="Y277">
        <v>46.01</v>
      </c>
      <c r="Z277">
        <v>2.58</v>
      </c>
      <c r="AA277">
        <v>442.45</v>
      </c>
      <c r="AB277" t="s">
        <v>57</v>
      </c>
      <c r="AC277" t="s">
        <v>58</v>
      </c>
      <c r="AD277" t="s">
        <v>48</v>
      </c>
      <c r="AE277">
        <v>0</v>
      </c>
      <c r="AF277">
        <v>5.33</v>
      </c>
      <c r="AG277" t="s">
        <v>59</v>
      </c>
      <c r="AH277">
        <v>438183</v>
      </c>
      <c r="AI277" t="s">
        <v>60</v>
      </c>
      <c r="AJ277" t="s">
        <v>60</v>
      </c>
      <c r="AK277" t="s">
        <v>54</v>
      </c>
      <c r="AL277">
        <v>2024</v>
      </c>
      <c r="AM277" s="6" t="s">
        <v>443</v>
      </c>
      <c r="AN277" s="7">
        <v>98.47</v>
      </c>
      <c r="AO277" s="8">
        <f t="shared" si="12"/>
        <v>184.63124999999999</v>
      </c>
      <c r="AP277" s="8">
        <f t="shared" si="13"/>
        <v>205.12531874999999</v>
      </c>
      <c r="AQ277" s="9">
        <f t="shared" si="14"/>
        <v>299.08416187499995</v>
      </c>
    </row>
    <row r="278" spans="1:43" x14ac:dyDescent="0.25">
      <c r="A278">
        <v>28</v>
      </c>
      <c r="B278">
        <v>8</v>
      </c>
      <c r="C278">
        <v>2024</v>
      </c>
      <c r="D278" t="s">
        <v>43</v>
      </c>
      <c r="E278" t="s">
        <v>91</v>
      </c>
      <c r="F278" t="s">
        <v>92</v>
      </c>
      <c r="G278">
        <v>20</v>
      </c>
      <c r="H278">
        <v>1791882490001</v>
      </c>
      <c r="I278" t="s">
        <v>46</v>
      </c>
      <c r="J278" t="s">
        <v>259</v>
      </c>
      <c r="K278" t="s">
        <v>48</v>
      </c>
      <c r="L278" t="s">
        <v>49</v>
      </c>
      <c r="M278" t="s">
        <v>50</v>
      </c>
      <c r="N278" t="s">
        <v>51</v>
      </c>
      <c r="O278">
        <v>8421999000</v>
      </c>
      <c r="P278" t="s">
        <v>66</v>
      </c>
      <c r="Q278" t="s">
        <v>312</v>
      </c>
      <c r="R278" t="s">
        <v>54</v>
      </c>
      <c r="S278" t="s">
        <v>55</v>
      </c>
      <c r="T278">
        <v>8</v>
      </c>
      <c r="U278">
        <v>1</v>
      </c>
      <c r="V278" t="s">
        <v>135</v>
      </c>
      <c r="W278">
        <v>0</v>
      </c>
      <c r="X278">
        <v>22.67</v>
      </c>
      <c r="Y278">
        <v>2.5099999999999998</v>
      </c>
      <c r="Z278">
        <v>0.15</v>
      </c>
      <c r="AA278">
        <v>25.33</v>
      </c>
      <c r="AB278" t="s">
        <v>57</v>
      </c>
      <c r="AC278" t="s">
        <v>94</v>
      </c>
      <c r="AD278" t="s">
        <v>48</v>
      </c>
      <c r="AE278">
        <v>0</v>
      </c>
      <c r="AF278">
        <v>0.26</v>
      </c>
      <c r="AG278" t="s">
        <v>59</v>
      </c>
      <c r="AH278">
        <v>150511</v>
      </c>
      <c r="AI278" t="s">
        <v>60</v>
      </c>
      <c r="AJ278" t="s">
        <v>60</v>
      </c>
      <c r="AK278" t="s">
        <v>54</v>
      </c>
      <c r="AL278">
        <v>2024</v>
      </c>
      <c r="AM278" s="6" t="s">
        <v>444</v>
      </c>
      <c r="AN278" s="7">
        <v>22.67</v>
      </c>
      <c r="AO278" s="8">
        <f t="shared" si="12"/>
        <v>42.506250000000001</v>
      </c>
      <c r="AP278" s="8">
        <f t="shared" si="13"/>
        <v>47.224443749999999</v>
      </c>
      <c r="AQ278" s="9">
        <f t="shared" si="14"/>
        <v>68.855874374999999</v>
      </c>
    </row>
    <row r="279" spans="1:43" x14ac:dyDescent="0.25">
      <c r="A279">
        <v>19</v>
      </c>
      <c r="B279">
        <v>8</v>
      </c>
      <c r="C279">
        <v>2024</v>
      </c>
      <c r="D279" t="s">
        <v>43</v>
      </c>
      <c r="E279" t="s">
        <v>84</v>
      </c>
      <c r="F279" t="s">
        <v>85</v>
      </c>
      <c r="G279">
        <v>19</v>
      </c>
      <c r="H279">
        <v>1791882490001</v>
      </c>
      <c r="I279" t="s">
        <v>46</v>
      </c>
      <c r="J279" t="s">
        <v>48</v>
      </c>
      <c r="K279" t="s">
        <v>48</v>
      </c>
      <c r="L279" t="s">
        <v>49</v>
      </c>
      <c r="M279" t="s">
        <v>50</v>
      </c>
      <c r="N279" t="s">
        <v>51</v>
      </c>
      <c r="O279">
        <v>7318159000</v>
      </c>
      <c r="P279" t="s">
        <v>88</v>
      </c>
      <c r="Q279" t="s">
        <v>445</v>
      </c>
      <c r="R279" t="s">
        <v>54</v>
      </c>
      <c r="S279" t="s">
        <v>55</v>
      </c>
      <c r="T279">
        <v>6</v>
      </c>
      <c r="U279">
        <v>1</v>
      </c>
      <c r="V279" t="s">
        <v>56</v>
      </c>
      <c r="W279">
        <v>0.54</v>
      </c>
      <c r="X279">
        <v>11.42</v>
      </c>
      <c r="Y279">
        <v>1.47</v>
      </c>
      <c r="Z279">
        <v>0.08</v>
      </c>
      <c r="AA279">
        <v>12.97</v>
      </c>
      <c r="AB279" t="s">
        <v>57</v>
      </c>
      <c r="AC279" t="s">
        <v>58</v>
      </c>
      <c r="AD279" t="s">
        <v>48</v>
      </c>
      <c r="AE279">
        <v>0</v>
      </c>
      <c r="AF279">
        <v>1.39</v>
      </c>
      <c r="AG279" t="s">
        <v>59</v>
      </c>
      <c r="AH279">
        <v>144527</v>
      </c>
      <c r="AI279" t="s">
        <v>60</v>
      </c>
      <c r="AJ279" t="s">
        <v>60</v>
      </c>
      <c r="AK279" t="s">
        <v>54</v>
      </c>
      <c r="AL279">
        <v>2024</v>
      </c>
      <c r="AM279" s="6" t="s">
        <v>446</v>
      </c>
      <c r="AN279" s="7">
        <v>11.42</v>
      </c>
      <c r="AO279" s="8">
        <f t="shared" si="12"/>
        <v>21.412500000000001</v>
      </c>
      <c r="AP279" s="8">
        <f t="shared" si="13"/>
        <v>23.7892875</v>
      </c>
      <c r="AQ279" s="9">
        <f t="shared" si="14"/>
        <v>34.686108750000002</v>
      </c>
    </row>
    <row r="280" spans="1:43" x14ac:dyDescent="0.25">
      <c r="A280">
        <v>3</v>
      </c>
      <c r="B280">
        <v>4</v>
      </c>
      <c r="C280">
        <v>2024</v>
      </c>
      <c r="D280" t="s">
        <v>43</v>
      </c>
      <c r="E280" t="s">
        <v>73</v>
      </c>
      <c r="F280" t="s">
        <v>74</v>
      </c>
      <c r="G280">
        <v>12</v>
      </c>
      <c r="H280">
        <v>1791882490001</v>
      </c>
      <c r="I280" t="s">
        <v>46</v>
      </c>
      <c r="J280" t="s">
        <v>133</v>
      </c>
      <c r="K280" t="s">
        <v>48</v>
      </c>
      <c r="L280" t="s">
        <v>49</v>
      </c>
      <c r="M280" t="s">
        <v>50</v>
      </c>
      <c r="N280" t="s">
        <v>51</v>
      </c>
      <c r="O280">
        <v>8481805900</v>
      </c>
      <c r="P280" t="s">
        <v>103</v>
      </c>
      <c r="Q280" t="s">
        <v>447</v>
      </c>
      <c r="R280" t="s">
        <v>54</v>
      </c>
      <c r="S280" t="s">
        <v>55</v>
      </c>
      <c r="T280">
        <v>6</v>
      </c>
      <c r="U280">
        <v>1</v>
      </c>
      <c r="V280" t="s">
        <v>135</v>
      </c>
      <c r="W280">
        <v>0</v>
      </c>
      <c r="X280">
        <v>156.47999999999999</v>
      </c>
      <c r="Y280">
        <v>18.28</v>
      </c>
      <c r="Z280">
        <v>1.02</v>
      </c>
      <c r="AA280">
        <v>175.78</v>
      </c>
      <c r="AB280" t="s">
        <v>57</v>
      </c>
      <c r="AC280" t="s">
        <v>58</v>
      </c>
      <c r="AD280" t="s">
        <v>48</v>
      </c>
      <c r="AE280">
        <v>0</v>
      </c>
      <c r="AF280">
        <v>1.33</v>
      </c>
      <c r="AG280" t="s">
        <v>59</v>
      </c>
      <c r="AH280">
        <v>438183</v>
      </c>
      <c r="AI280" t="s">
        <v>60</v>
      </c>
      <c r="AJ280" t="s">
        <v>60</v>
      </c>
      <c r="AK280" t="s">
        <v>54</v>
      </c>
      <c r="AL280">
        <v>2024</v>
      </c>
      <c r="AM280" s="6" t="s">
        <v>448</v>
      </c>
      <c r="AN280" s="7">
        <v>156.47999999999999</v>
      </c>
      <c r="AO280" s="8">
        <f t="shared" si="12"/>
        <v>293.39999999999998</v>
      </c>
      <c r="AP280" s="8">
        <f t="shared" si="13"/>
        <v>325.9674</v>
      </c>
      <c r="AQ280" s="9">
        <f t="shared" si="14"/>
        <v>475.27865999999995</v>
      </c>
    </row>
    <row r="281" spans="1:43" x14ac:dyDescent="0.25">
      <c r="A281">
        <v>2</v>
      </c>
      <c r="B281">
        <v>1</v>
      </c>
      <c r="C281">
        <v>2024</v>
      </c>
      <c r="D281" t="s">
        <v>43</v>
      </c>
      <c r="E281" t="s">
        <v>181</v>
      </c>
      <c r="F281" t="s">
        <v>182</v>
      </c>
      <c r="G281">
        <v>13</v>
      </c>
      <c r="H281">
        <v>1791882490001</v>
      </c>
      <c r="I281" t="s">
        <v>46</v>
      </c>
      <c r="J281" t="s">
        <v>65</v>
      </c>
      <c r="K281" t="s">
        <v>48</v>
      </c>
      <c r="L281" t="s">
        <v>49</v>
      </c>
      <c r="M281" t="s">
        <v>50</v>
      </c>
      <c r="N281" t="s">
        <v>51</v>
      </c>
      <c r="O281">
        <v>9027909000</v>
      </c>
      <c r="P281" t="s">
        <v>449</v>
      </c>
      <c r="Q281" t="s">
        <v>450</v>
      </c>
      <c r="R281" t="s">
        <v>54</v>
      </c>
      <c r="S281" t="s">
        <v>55</v>
      </c>
      <c r="T281">
        <v>8</v>
      </c>
      <c r="U281">
        <v>2</v>
      </c>
      <c r="V281" t="s">
        <v>135</v>
      </c>
      <c r="W281">
        <v>0</v>
      </c>
      <c r="X281">
        <v>277.2</v>
      </c>
      <c r="Y281">
        <v>56.32</v>
      </c>
      <c r="Z281">
        <v>1.78</v>
      </c>
      <c r="AA281">
        <v>335.3</v>
      </c>
      <c r="AB281" t="s">
        <v>57</v>
      </c>
      <c r="AC281" t="s">
        <v>81</v>
      </c>
      <c r="AD281" t="s">
        <v>48</v>
      </c>
      <c r="AE281">
        <v>0</v>
      </c>
      <c r="AF281">
        <v>6.48</v>
      </c>
      <c r="AG281" t="s">
        <v>59</v>
      </c>
      <c r="AH281">
        <v>413505</v>
      </c>
      <c r="AI281" t="s">
        <v>60</v>
      </c>
      <c r="AJ281" t="s">
        <v>60</v>
      </c>
      <c r="AK281" t="s">
        <v>54</v>
      </c>
      <c r="AL281">
        <v>2023</v>
      </c>
      <c r="AM281" s="6" t="s">
        <v>451</v>
      </c>
      <c r="AN281" s="7">
        <v>138.6</v>
      </c>
      <c r="AO281" s="8">
        <f t="shared" si="12"/>
        <v>259.875</v>
      </c>
      <c r="AP281" s="8">
        <f t="shared" si="13"/>
        <v>288.72112499999997</v>
      </c>
      <c r="AQ281" s="9">
        <f t="shared" si="14"/>
        <v>420.97151249999996</v>
      </c>
    </row>
    <row r="282" spans="1:43" x14ac:dyDescent="0.25">
      <c r="A282">
        <v>28</v>
      </c>
      <c r="B282">
        <v>8</v>
      </c>
      <c r="C282">
        <v>2024</v>
      </c>
      <c r="D282" t="s">
        <v>43</v>
      </c>
      <c r="E282" t="s">
        <v>91</v>
      </c>
      <c r="F282" t="s">
        <v>92</v>
      </c>
      <c r="G282">
        <v>21</v>
      </c>
      <c r="H282">
        <v>1791882490001</v>
      </c>
      <c r="I282" t="s">
        <v>46</v>
      </c>
      <c r="J282" t="s">
        <v>133</v>
      </c>
      <c r="K282" t="s">
        <v>48</v>
      </c>
      <c r="L282" t="s">
        <v>49</v>
      </c>
      <c r="M282" t="s">
        <v>50</v>
      </c>
      <c r="N282" t="s">
        <v>51</v>
      </c>
      <c r="O282">
        <v>8537109090</v>
      </c>
      <c r="P282" t="s">
        <v>66</v>
      </c>
      <c r="Q282" t="s">
        <v>452</v>
      </c>
      <c r="R282" t="s">
        <v>54</v>
      </c>
      <c r="S282" t="s">
        <v>55</v>
      </c>
      <c r="T282">
        <v>8</v>
      </c>
      <c r="U282">
        <v>1</v>
      </c>
      <c r="V282" t="s">
        <v>135</v>
      </c>
      <c r="W282">
        <v>0</v>
      </c>
      <c r="X282">
        <v>293.91000000000003</v>
      </c>
      <c r="Y282">
        <v>32.47</v>
      </c>
      <c r="Z282">
        <v>1.98</v>
      </c>
      <c r="AA282">
        <v>328.36</v>
      </c>
      <c r="AB282" t="s">
        <v>57</v>
      </c>
      <c r="AC282" t="s">
        <v>94</v>
      </c>
      <c r="AD282" t="s">
        <v>48</v>
      </c>
      <c r="AE282">
        <v>0</v>
      </c>
      <c r="AF282">
        <v>3.38</v>
      </c>
      <c r="AG282" t="s">
        <v>59</v>
      </c>
      <c r="AH282">
        <v>150511</v>
      </c>
      <c r="AI282" t="s">
        <v>60</v>
      </c>
      <c r="AJ282" t="s">
        <v>60</v>
      </c>
      <c r="AK282" t="s">
        <v>54</v>
      </c>
      <c r="AL282">
        <v>2024</v>
      </c>
      <c r="AM282" s="6" t="s">
        <v>453</v>
      </c>
      <c r="AN282" s="7">
        <v>293.91000000000003</v>
      </c>
      <c r="AO282" s="8">
        <f t="shared" ref="AO282:AO345" si="15">SUM(AN282)*1.875</f>
        <v>551.08125000000007</v>
      </c>
      <c r="AP282" s="8">
        <f t="shared" ref="AP282:AP345" si="16">SUM(AO282)*1.111</f>
        <v>612.25126875000012</v>
      </c>
      <c r="AQ282" s="9">
        <f t="shared" si="14"/>
        <v>892.69651687500004</v>
      </c>
    </row>
    <row r="283" spans="1:43" x14ac:dyDescent="0.25">
      <c r="A283">
        <v>3</v>
      </c>
      <c r="B283">
        <v>4</v>
      </c>
      <c r="C283">
        <v>2024</v>
      </c>
      <c r="D283" t="s">
        <v>43</v>
      </c>
      <c r="E283" t="s">
        <v>73</v>
      </c>
      <c r="F283" t="s">
        <v>74</v>
      </c>
      <c r="G283">
        <v>13</v>
      </c>
      <c r="H283">
        <v>1791882490001</v>
      </c>
      <c r="I283" t="s">
        <v>46</v>
      </c>
      <c r="J283" t="s">
        <v>65</v>
      </c>
      <c r="K283" t="s">
        <v>48</v>
      </c>
      <c r="L283" t="s">
        <v>49</v>
      </c>
      <c r="M283" t="s">
        <v>50</v>
      </c>
      <c r="N283" t="s">
        <v>51</v>
      </c>
      <c r="O283">
        <v>8482500000</v>
      </c>
      <c r="P283" t="s">
        <v>454</v>
      </c>
      <c r="Q283" t="s">
        <v>455</v>
      </c>
      <c r="R283" t="s">
        <v>54</v>
      </c>
      <c r="S283" t="s">
        <v>55</v>
      </c>
      <c r="T283">
        <v>6</v>
      </c>
      <c r="U283">
        <v>1</v>
      </c>
      <c r="V283" t="s">
        <v>135</v>
      </c>
      <c r="W283">
        <v>0</v>
      </c>
      <c r="X283">
        <v>383.69</v>
      </c>
      <c r="Y283">
        <v>44.82</v>
      </c>
      <c r="Z283">
        <v>2.5099999999999998</v>
      </c>
      <c r="AA283">
        <v>431.02</v>
      </c>
      <c r="AB283" t="s">
        <v>57</v>
      </c>
      <c r="AC283" t="s">
        <v>58</v>
      </c>
      <c r="AD283" t="s">
        <v>48</v>
      </c>
      <c r="AE283">
        <v>0</v>
      </c>
      <c r="AF283">
        <v>1.33</v>
      </c>
      <c r="AG283" t="s">
        <v>59</v>
      </c>
      <c r="AH283">
        <v>438183</v>
      </c>
      <c r="AI283" t="s">
        <v>60</v>
      </c>
      <c r="AJ283" t="s">
        <v>60</v>
      </c>
      <c r="AK283" t="s">
        <v>54</v>
      </c>
      <c r="AL283">
        <v>2024</v>
      </c>
      <c r="AM283" s="6" t="s">
        <v>456</v>
      </c>
      <c r="AN283" s="7">
        <v>383.69</v>
      </c>
      <c r="AO283" s="8">
        <f t="shared" si="15"/>
        <v>719.41875000000005</v>
      </c>
      <c r="AP283" s="8">
        <f t="shared" si="16"/>
        <v>799.27423125000007</v>
      </c>
      <c r="AQ283" s="9">
        <f t="shared" si="14"/>
        <v>1165.3864331249999</v>
      </c>
    </row>
    <row r="284" spans="1:43" x14ac:dyDescent="0.25">
      <c r="A284">
        <v>13</v>
      </c>
      <c r="B284">
        <v>3</v>
      </c>
      <c r="C284">
        <v>2024</v>
      </c>
      <c r="D284" t="s">
        <v>43</v>
      </c>
      <c r="E284" t="s">
        <v>69</v>
      </c>
      <c r="F284" t="s">
        <v>70</v>
      </c>
      <c r="G284">
        <v>16</v>
      </c>
      <c r="H284">
        <v>1791882490001</v>
      </c>
      <c r="I284" t="s">
        <v>46</v>
      </c>
      <c r="J284" t="s">
        <v>47</v>
      </c>
      <c r="K284" t="s">
        <v>48</v>
      </c>
      <c r="L284" t="s">
        <v>49</v>
      </c>
      <c r="M284" t="s">
        <v>50</v>
      </c>
      <c r="N284" t="s">
        <v>51</v>
      </c>
      <c r="O284">
        <v>4016999000</v>
      </c>
      <c r="P284" t="s">
        <v>103</v>
      </c>
      <c r="Q284" t="s">
        <v>457</v>
      </c>
      <c r="R284" t="s">
        <v>54</v>
      </c>
      <c r="S284" t="s">
        <v>55</v>
      </c>
      <c r="T284">
        <v>11</v>
      </c>
      <c r="U284">
        <v>20</v>
      </c>
      <c r="V284" t="s">
        <v>135</v>
      </c>
      <c r="W284">
        <v>0</v>
      </c>
      <c r="X284">
        <v>125.08</v>
      </c>
      <c r="Y284">
        <v>16.38</v>
      </c>
      <c r="Z284">
        <v>0.84</v>
      </c>
      <c r="AA284">
        <v>142.31</v>
      </c>
      <c r="AB284" t="s">
        <v>54</v>
      </c>
      <c r="AC284" t="s">
        <v>71</v>
      </c>
      <c r="AD284" t="s">
        <v>48</v>
      </c>
      <c r="AE284">
        <v>0</v>
      </c>
      <c r="AF284">
        <v>40.78</v>
      </c>
      <c r="AG284" t="s">
        <v>59</v>
      </c>
      <c r="AH284">
        <v>895279</v>
      </c>
      <c r="AI284" t="s">
        <v>60</v>
      </c>
      <c r="AJ284" t="s">
        <v>60</v>
      </c>
      <c r="AK284" t="s">
        <v>54</v>
      </c>
      <c r="AL284">
        <v>2024</v>
      </c>
      <c r="AM284" s="6" t="s">
        <v>458</v>
      </c>
      <c r="AN284" s="7">
        <v>6.25</v>
      </c>
      <c r="AO284" s="8">
        <f t="shared" si="15"/>
        <v>11.71875</v>
      </c>
      <c r="AP284" s="8">
        <f t="shared" si="16"/>
        <v>13.01953125</v>
      </c>
      <c r="AQ284" s="9">
        <f t="shared" si="14"/>
        <v>18.983203124999999</v>
      </c>
    </row>
    <row r="285" spans="1:43" x14ac:dyDescent="0.25">
      <c r="A285">
        <v>20</v>
      </c>
      <c r="B285">
        <v>2</v>
      </c>
      <c r="C285">
        <v>2024</v>
      </c>
      <c r="D285" t="s">
        <v>43</v>
      </c>
      <c r="E285" t="s">
        <v>140</v>
      </c>
      <c r="F285" t="s">
        <v>141</v>
      </c>
      <c r="G285">
        <v>24</v>
      </c>
      <c r="H285">
        <v>1791882490001</v>
      </c>
      <c r="I285" t="s">
        <v>46</v>
      </c>
      <c r="J285" t="s">
        <v>47</v>
      </c>
      <c r="K285" t="s">
        <v>48</v>
      </c>
      <c r="L285" t="s">
        <v>49</v>
      </c>
      <c r="M285" t="s">
        <v>50</v>
      </c>
      <c r="N285" t="s">
        <v>51</v>
      </c>
      <c r="O285">
        <v>8487909000</v>
      </c>
      <c r="P285" t="s">
        <v>66</v>
      </c>
      <c r="Q285" t="s">
        <v>459</v>
      </c>
      <c r="R285" t="s">
        <v>54</v>
      </c>
      <c r="S285" t="s">
        <v>55</v>
      </c>
      <c r="T285">
        <v>6</v>
      </c>
      <c r="U285">
        <v>8</v>
      </c>
      <c r="V285" t="s">
        <v>135</v>
      </c>
      <c r="W285">
        <v>0</v>
      </c>
      <c r="X285">
        <v>59.63</v>
      </c>
      <c r="Y285">
        <v>5.35</v>
      </c>
      <c r="Z285">
        <v>0.4</v>
      </c>
      <c r="AA285">
        <v>65.38</v>
      </c>
      <c r="AB285" t="s">
        <v>54</v>
      </c>
      <c r="AC285" t="s">
        <v>143</v>
      </c>
      <c r="AD285" t="s">
        <v>48</v>
      </c>
      <c r="AE285">
        <v>0</v>
      </c>
      <c r="AF285">
        <v>14.97</v>
      </c>
      <c r="AG285" t="s">
        <v>59</v>
      </c>
      <c r="AH285">
        <v>876053</v>
      </c>
      <c r="AI285" t="s">
        <v>60</v>
      </c>
      <c r="AJ285" t="s">
        <v>60</v>
      </c>
      <c r="AK285" t="s">
        <v>54</v>
      </c>
      <c r="AL285">
        <v>2024</v>
      </c>
      <c r="AM285" s="6" t="s">
        <v>460</v>
      </c>
      <c r="AN285" s="7">
        <v>7.45</v>
      </c>
      <c r="AO285" s="8">
        <f t="shared" si="15"/>
        <v>13.96875</v>
      </c>
      <c r="AP285" s="8">
        <f t="shared" si="16"/>
        <v>15.519281250000001</v>
      </c>
      <c r="AQ285" s="9">
        <f t="shared" si="14"/>
        <v>22.627978124999998</v>
      </c>
    </row>
    <row r="286" spans="1:43" x14ac:dyDescent="0.25">
      <c r="A286">
        <v>26</v>
      </c>
      <c r="B286">
        <v>12</v>
      </c>
      <c r="C286">
        <v>2024</v>
      </c>
      <c r="D286" t="s">
        <v>43</v>
      </c>
      <c r="E286" t="s">
        <v>222</v>
      </c>
      <c r="F286" t="s">
        <v>223</v>
      </c>
      <c r="G286">
        <v>11</v>
      </c>
      <c r="H286">
        <v>1791882490001</v>
      </c>
      <c r="I286" t="s">
        <v>46</v>
      </c>
      <c r="J286" t="s">
        <v>47</v>
      </c>
      <c r="K286" t="s">
        <v>48</v>
      </c>
      <c r="L286" t="s">
        <v>49</v>
      </c>
      <c r="M286" t="s">
        <v>50</v>
      </c>
      <c r="N286" t="s">
        <v>224</v>
      </c>
      <c r="O286">
        <v>8487909000</v>
      </c>
      <c r="P286" t="s">
        <v>66</v>
      </c>
      <c r="Q286" t="s">
        <v>461</v>
      </c>
      <c r="R286" t="s">
        <v>54</v>
      </c>
      <c r="S286" t="s">
        <v>55</v>
      </c>
      <c r="T286">
        <v>8</v>
      </c>
      <c r="U286">
        <v>12</v>
      </c>
      <c r="V286" t="s">
        <v>135</v>
      </c>
      <c r="W286">
        <v>0</v>
      </c>
      <c r="X286">
        <v>94.64</v>
      </c>
      <c r="Y286">
        <v>19.600000000000001</v>
      </c>
      <c r="Z286">
        <v>0.95</v>
      </c>
      <c r="AA286">
        <v>115.19</v>
      </c>
      <c r="AB286" t="s">
        <v>57</v>
      </c>
      <c r="AC286" t="s">
        <v>225</v>
      </c>
      <c r="AD286" t="s">
        <v>48</v>
      </c>
      <c r="AE286">
        <v>0</v>
      </c>
      <c r="AF286">
        <v>24.72</v>
      </c>
      <c r="AG286" t="s">
        <v>59</v>
      </c>
      <c r="AH286">
        <v>341996</v>
      </c>
      <c r="AI286" t="s">
        <v>60</v>
      </c>
      <c r="AJ286" t="s">
        <v>60</v>
      </c>
      <c r="AK286" t="s">
        <v>54</v>
      </c>
      <c r="AL286">
        <v>2024</v>
      </c>
      <c r="AM286" s="6" t="s">
        <v>460</v>
      </c>
      <c r="AN286" s="7">
        <v>7.89</v>
      </c>
      <c r="AO286" s="8">
        <f t="shared" si="15"/>
        <v>14.793749999999999</v>
      </c>
      <c r="AP286" s="8">
        <f t="shared" si="16"/>
        <v>16.435856250000001</v>
      </c>
      <c r="AQ286" s="9">
        <f t="shared" si="14"/>
        <v>23.964395624999998</v>
      </c>
    </row>
    <row r="287" spans="1:43" x14ac:dyDescent="0.25">
      <c r="A287">
        <v>12</v>
      </c>
      <c r="B287">
        <v>6</v>
      </c>
      <c r="C287">
        <v>2024</v>
      </c>
      <c r="D287" t="s">
        <v>43</v>
      </c>
      <c r="E287" t="s">
        <v>96</v>
      </c>
      <c r="F287" t="s">
        <v>97</v>
      </c>
      <c r="G287">
        <v>20</v>
      </c>
      <c r="H287">
        <v>1791882490001</v>
      </c>
      <c r="I287" t="s">
        <v>46</v>
      </c>
      <c r="J287" t="s">
        <v>65</v>
      </c>
      <c r="K287" t="s">
        <v>48</v>
      </c>
      <c r="L287" t="s">
        <v>49</v>
      </c>
      <c r="M287" t="s">
        <v>50</v>
      </c>
      <c r="N287" t="s">
        <v>51</v>
      </c>
      <c r="O287">
        <v>4009220000</v>
      </c>
      <c r="P287" t="s">
        <v>142</v>
      </c>
      <c r="Q287" t="s">
        <v>67</v>
      </c>
      <c r="R287" t="s">
        <v>54</v>
      </c>
      <c r="S287" t="s">
        <v>55</v>
      </c>
      <c r="T287">
        <v>7</v>
      </c>
      <c r="U287">
        <v>1</v>
      </c>
      <c r="V287" t="s">
        <v>56</v>
      </c>
      <c r="W287">
        <v>0</v>
      </c>
      <c r="X287">
        <v>188.65</v>
      </c>
      <c r="Y287">
        <v>16.36</v>
      </c>
      <c r="Z287">
        <v>1.27</v>
      </c>
      <c r="AA287">
        <v>206.28</v>
      </c>
      <c r="AB287" t="s">
        <v>57</v>
      </c>
      <c r="AC287" t="s">
        <v>94</v>
      </c>
      <c r="AD287" t="s">
        <v>48</v>
      </c>
      <c r="AE287">
        <v>0</v>
      </c>
      <c r="AF287">
        <v>1.8</v>
      </c>
      <c r="AG287" t="s">
        <v>59</v>
      </c>
      <c r="AH287" t="s">
        <v>98</v>
      </c>
      <c r="AI287" t="s">
        <v>60</v>
      </c>
      <c r="AJ287" t="s">
        <v>60</v>
      </c>
      <c r="AK287" t="s">
        <v>54</v>
      </c>
      <c r="AL287">
        <v>2024</v>
      </c>
      <c r="AM287" s="6" t="s">
        <v>462</v>
      </c>
      <c r="AN287" s="7">
        <v>188.65</v>
      </c>
      <c r="AO287" s="8">
        <f t="shared" si="15"/>
        <v>353.71875</v>
      </c>
      <c r="AP287" s="8">
        <f t="shared" si="16"/>
        <v>392.98153124999999</v>
      </c>
      <c r="AQ287" s="9">
        <f t="shared" si="14"/>
        <v>572.98900312499995</v>
      </c>
    </row>
    <row r="288" spans="1:43" x14ac:dyDescent="0.25">
      <c r="A288">
        <v>12</v>
      </c>
      <c r="B288">
        <v>6</v>
      </c>
      <c r="C288">
        <v>2024</v>
      </c>
      <c r="D288" t="s">
        <v>43</v>
      </c>
      <c r="E288" t="s">
        <v>96</v>
      </c>
      <c r="F288" t="s">
        <v>97</v>
      </c>
      <c r="G288">
        <v>21</v>
      </c>
      <c r="H288">
        <v>1791882490001</v>
      </c>
      <c r="I288" t="s">
        <v>46</v>
      </c>
      <c r="J288" t="s">
        <v>65</v>
      </c>
      <c r="K288" t="s">
        <v>48</v>
      </c>
      <c r="L288" t="s">
        <v>49</v>
      </c>
      <c r="M288" t="s">
        <v>50</v>
      </c>
      <c r="N288" t="s">
        <v>51</v>
      </c>
      <c r="O288">
        <v>4009220000</v>
      </c>
      <c r="P288" t="s">
        <v>142</v>
      </c>
      <c r="Q288" t="s">
        <v>67</v>
      </c>
      <c r="R288" t="s">
        <v>54</v>
      </c>
      <c r="S288" t="s">
        <v>55</v>
      </c>
      <c r="T288">
        <v>7</v>
      </c>
      <c r="U288">
        <v>1</v>
      </c>
      <c r="V288" t="s">
        <v>56</v>
      </c>
      <c r="W288">
        <v>0</v>
      </c>
      <c r="X288">
        <v>254.84</v>
      </c>
      <c r="Y288">
        <v>22.1</v>
      </c>
      <c r="Z288">
        <v>1.72</v>
      </c>
      <c r="AA288">
        <v>278.64999999999998</v>
      </c>
      <c r="AB288" t="s">
        <v>57</v>
      </c>
      <c r="AC288" t="s">
        <v>94</v>
      </c>
      <c r="AD288" t="s">
        <v>48</v>
      </c>
      <c r="AE288">
        <v>0</v>
      </c>
      <c r="AF288">
        <v>1.8</v>
      </c>
      <c r="AG288" t="s">
        <v>59</v>
      </c>
      <c r="AH288" t="s">
        <v>98</v>
      </c>
      <c r="AI288" t="s">
        <v>60</v>
      </c>
      <c r="AJ288" t="s">
        <v>60</v>
      </c>
      <c r="AK288" t="s">
        <v>54</v>
      </c>
      <c r="AL288">
        <v>2024</v>
      </c>
      <c r="AM288" s="6" t="s">
        <v>463</v>
      </c>
      <c r="AN288" s="7">
        <v>254.84</v>
      </c>
      <c r="AO288" s="8">
        <f t="shared" si="15"/>
        <v>477.82499999999999</v>
      </c>
      <c r="AP288" s="8">
        <f t="shared" si="16"/>
        <v>530.86357499999997</v>
      </c>
      <c r="AQ288" s="9">
        <f t="shared" si="14"/>
        <v>774.02871749999997</v>
      </c>
    </row>
    <row r="289" spans="1:43" x14ac:dyDescent="0.25">
      <c r="A289">
        <v>12</v>
      </c>
      <c r="B289">
        <v>6</v>
      </c>
      <c r="C289">
        <v>2024</v>
      </c>
      <c r="D289" t="s">
        <v>43</v>
      </c>
      <c r="E289" t="s">
        <v>96</v>
      </c>
      <c r="F289" t="s">
        <v>97</v>
      </c>
      <c r="G289">
        <v>22</v>
      </c>
      <c r="H289">
        <v>1791882490001</v>
      </c>
      <c r="I289" t="s">
        <v>46</v>
      </c>
      <c r="J289" t="s">
        <v>65</v>
      </c>
      <c r="K289" t="s">
        <v>48</v>
      </c>
      <c r="L289" t="s">
        <v>49</v>
      </c>
      <c r="M289" t="s">
        <v>50</v>
      </c>
      <c r="N289" t="s">
        <v>51</v>
      </c>
      <c r="O289">
        <v>4009220000</v>
      </c>
      <c r="P289" t="s">
        <v>142</v>
      </c>
      <c r="Q289" t="s">
        <v>67</v>
      </c>
      <c r="R289" t="s">
        <v>54</v>
      </c>
      <c r="S289" t="s">
        <v>55</v>
      </c>
      <c r="T289">
        <v>7</v>
      </c>
      <c r="U289">
        <v>1</v>
      </c>
      <c r="V289" t="s">
        <v>56</v>
      </c>
      <c r="W289">
        <v>0</v>
      </c>
      <c r="X289">
        <v>254.3</v>
      </c>
      <c r="Y289">
        <v>22.06</v>
      </c>
      <c r="Z289">
        <v>1.71</v>
      </c>
      <c r="AA289">
        <v>278.07</v>
      </c>
      <c r="AB289" t="s">
        <v>57</v>
      </c>
      <c r="AC289" t="s">
        <v>94</v>
      </c>
      <c r="AD289" t="s">
        <v>48</v>
      </c>
      <c r="AE289">
        <v>0</v>
      </c>
      <c r="AF289">
        <v>1.8</v>
      </c>
      <c r="AG289" t="s">
        <v>59</v>
      </c>
      <c r="AH289" t="s">
        <v>98</v>
      </c>
      <c r="AI289" t="s">
        <v>60</v>
      </c>
      <c r="AJ289" t="s">
        <v>60</v>
      </c>
      <c r="AK289" t="s">
        <v>54</v>
      </c>
      <c r="AL289">
        <v>2024</v>
      </c>
      <c r="AM289" s="6" t="s">
        <v>464</v>
      </c>
      <c r="AN289" s="7">
        <v>254.3</v>
      </c>
      <c r="AO289" s="8">
        <f t="shared" si="15"/>
        <v>476.8125</v>
      </c>
      <c r="AP289" s="8">
        <f t="shared" si="16"/>
        <v>529.73868749999997</v>
      </c>
      <c r="AQ289" s="9">
        <f t="shared" si="14"/>
        <v>772.38856874999999</v>
      </c>
    </row>
    <row r="290" spans="1:43" x14ac:dyDescent="0.25">
      <c r="A290">
        <v>20</v>
      </c>
      <c r="B290">
        <v>2</v>
      </c>
      <c r="C290">
        <v>2024</v>
      </c>
      <c r="D290" t="s">
        <v>43</v>
      </c>
      <c r="E290" t="s">
        <v>140</v>
      </c>
      <c r="F290" t="s">
        <v>141</v>
      </c>
      <c r="G290">
        <v>73</v>
      </c>
      <c r="H290">
        <v>1791882490001</v>
      </c>
      <c r="I290" t="s">
        <v>46</v>
      </c>
      <c r="J290" t="s">
        <v>65</v>
      </c>
      <c r="K290" t="s">
        <v>48</v>
      </c>
      <c r="L290" t="s">
        <v>49</v>
      </c>
      <c r="M290" t="s">
        <v>50</v>
      </c>
      <c r="N290" t="s">
        <v>51</v>
      </c>
      <c r="O290">
        <v>4009320000</v>
      </c>
      <c r="P290" t="s">
        <v>142</v>
      </c>
      <c r="Q290" t="s">
        <v>67</v>
      </c>
      <c r="R290" t="s">
        <v>54</v>
      </c>
      <c r="S290" t="s">
        <v>55</v>
      </c>
      <c r="T290">
        <v>6</v>
      </c>
      <c r="U290">
        <v>1</v>
      </c>
      <c r="V290" t="s">
        <v>56</v>
      </c>
      <c r="W290">
        <v>0</v>
      </c>
      <c r="X290">
        <v>96.64</v>
      </c>
      <c r="Y290">
        <v>8.67</v>
      </c>
      <c r="Z290">
        <v>0.65</v>
      </c>
      <c r="AA290">
        <v>105.96</v>
      </c>
      <c r="AB290" t="s">
        <v>54</v>
      </c>
      <c r="AC290" t="s">
        <v>143</v>
      </c>
      <c r="AD290" t="s">
        <v>48</v>
      </c>
      <c r="AE290">
        <v>0</v>
      </c>
      <c r="AF290">
        <v>1.87</v>
      </c>
      <c r="AG290" t="s">
        <v>59</v>
      </c>
      <c r="AH290">
        <v>876053</v>
      </c>
      <c r="AI290" t="s">
        <v>60</v>
      </c>
      <c r="AJ290" t="s">
        <v>60</v>
      </c>
      <c r="AK290" t="s">
        <v>54</v>
      </c>
      <c r="AL290">
        <v>2024</v>
      </c>
      <c r="AM290" s="6" t="s">
        <v>465</v>
      </c>
      <c r="AN290" s="7">
        <v>96.64</v>
      </c>
      <c r="AO290" s="8">
        <f t="shared" si="15"/>
        <v>181.2</v>
      </c>
      <c r="AP290" s="8">
        <f t="shared" si="16"/>
        <v>201.31319999999999</v>
      </c>
      <c r="AQ290" s="9">
        <f t="shared" si="14"/>
        <v>293.52587999999997</v>
      </c>
    </row>
    <row r="291" spans="1:43" x14ac:dyDescent="0.25">
      <c r="A291">
        <v>3</v>
      </c>
      <c r="B291">
        <v>4</v>
      </c>
      <c r="C291">
        <v>2024</v>
      </c>
      <c r="D291" t="s">
        <v>43</v>
      </c>
      <c r="E291" t="s">
        <v>73</v>
      </c>
      <c r="F291" t="s">
        <v>74</v>
      </c>
      <c r="G291">
        <v>14</v>
      </c>
      <c r="H291">
        <v>1791882490001</v>
      </c>
      <c r="I291" t="s">
        <v>46</v>
      </c>
      <c r="J291" t="s">
        <v>48</v>
      </c>
      <c r="K291" t="s">
        <v>48</v>
      </c>
      <c r="L291" t="s">
        <v>49</v>
      </c>
      <c r="M291" t="s">
        <v>50</v>
      </c>
      <c r="N291" t="s">
        <v>51</v>
      </c>
      <c r="O291">
        <v>8307100090</v>
      </c>
      <c r="P291" t="s">
        <v>66</v>
      </c>
      <c r="Q291" t="s">
        <v>67</v>
      </c>
      <c r="R291" t="s">
        <v>54</v>
      </c>
      <c r="S291" t="s">
        <v>55</v>
      </c>
      <c r="T291">
        <v>6</v>
      </c>
      <c r="U291">
        <v>1</v>
      </c>
      <c r="V291" t="s">
        <v>56</v>
      </c>
      <c r="W291">
        <v>0</v>
      </c>
      <c r="X291">
        <v>199.92</v>
      </c>
      <c r="Y291">
        <v>23.35</v>
      </c>
      <c r="Z291">
        <v>1.31</v>
      </c>
      <c r="AA291">
        <v>224.58</v>
      </c>
      <c r="AB291" t="s">
        <v>57</v>
      </c>
      <c r="AC291" t="s">
        <v>58</v>
      </c>
      <c r="AD291" t="s">
        <v>48</v>
      </c>
      <c r="AE291">
        <v>0</v>
      </c>
      <c r="AF291">
        <v>1.33</v>
      </c>
      <c r="AG291" t="s">
        <v>59</v>
      </c>
      <c r="AH291">
        <v>438183</v>
      </c>
      <c r="AI291" t="s">
        <v>60</v>
      </c>
      <c r="AJ291" t="s">
        <v>60</v>
      </c>
      <c r="AK291" t="s">
        <v>54</v>
      </c>
      <c r="AL291">
        <v>2024</v>
      </c>
      <c r="AM291" s="6" t="s">
        <v>466</v>
      </c>
      <c r="AN291" s="7">
        <v>199.92</v>
      </c>
      <c r="AO291" s="8">
        <f t="shared" si="15"/>
        <v>374.84999999999997</v>
      </c>
      <c r="AP291" s="8">
        <f t="shared" si="16"/>
        <v>416.45834999999994</v>
      </c>
      <c r="AQ291" s="9">
        <f t="shared" si="14"/>
        <v>607.21951499999989</v>
      </c>
    </row>
    <row r="292" spans="1:43" x14ac:dyDescent="0.25">
      <c r="A292">
        <v>16</v>
      </c>
      <c r="B292">
        <v>12</v>
      </c>
      <c r="C292">
        <v>2024</v>
      </c>
      <c r="D292" t="s">
        <v>43</v>
      </c>
      <c r="E292" t="s">
        <v>128</v>
      </c>
      <c r="F292" t="s">
        <v>129</v>
      </c>
      <c r="G292">
        <v>18</v>
      </c>
      <c r="H292">
        <v>1791882490001</v>
      </c>
      <c r="I292" t="s">
        <v>46</v>
      </c>
      <c r="J292" t="s">
        <v>65</v>
      </c>
      <c r="K292" t="s">
        <v>48</v>
      </c>
      <c r="L292" t="s">
        <v>49</v>
      </c>
      <c r="M292" t="s">
        <v>50</v>
      </c>
      <c r="N292" t="s">
        <v>51</v>
      </c>
      <c r="O292">
        <v>8421299090</v>
      </c>
      <c r="P292" t="s">
        <v>52</v>
      </c>
      <c r="Q292" t="s">
        <v>305</v>
      </c>
      <c r="R292" t="s">
        <v>54</v>
      </c>
      <c r="S292" t="s">
        <v>55</v>
      </c>
      <c r="T292">
        <v>9</v>
      </c>
      <c r="U292">
        <v>3</v>
      </c>
      <c r="V292" t="s">
        <v>135</v>
      </c>
      <c r="W292">
        <v>0</v>
      </c>
      <c r="X292">
        <v>273.57</v>
      </c>
      <c r="Y292">
        <v>35.83</v>
      </c>
      <c r="Z292">
        <v>1.88</v>
      </c>
      <c r="AA292">
        <v>311.27</v>
      </c>
      <c r="AB292" t="s">
        <v>57</v>
      </c>
      <c r="AC292" t="s">
        <v>131</v>
      </c>
      <c r="AD292" t="s">
        <v>48</v>
      </c>
      <c r="AE292">
        <v>0</v>
      </c>
      <c r="AF292">
        <v>5.97</v>
      </c>
      <c r="AG292" t="s">
        <v>59</v>
      </c>
      <c r="AH292">
        <v>325395</v>
      </c>
      <c r="AI292" t="s">
        <v>60</v>
      </c>
      <c r="AJ292" t="s">
        <v>78</v>
      </c>
      <c r="AK292" t="s">
        <v>54</v>
      </c>
      <c r="AL292">
        <v>2024</v>
      </c>
      <c r="AM292" s="6" t="s">
        <v>467</v>
      </c>
      <c r="AN292" s="7">
        <v>91.19</v>
      </c>
      <c r="AO292" s="8">
        <f t="shared" si="15"/>
        <v>170.98124999999999</v>
      </c>
      <c r="AP292" s="8">
        <f t="shared" si="16"/>
        <v>189.96016874999998</v>
      </c>
      <c r="AQ292" s="9">
        <f t="shared" si="14"/>
        <v>276.97252687499997</v>
      </c>
    </row>
    <row r="293" spans="1:43" x14ac:dyDescent="0.25">
      <c r="A293">
        <v>20</v>
      </c>
      <c r="B293">
        <v>2</v>
      </c>
      <c r="C293">
        <v>2024</v>
      </c>
      <c r="D293" t="s">
        <v>43</v>
      </c>
      <c r="E293" t="s">
        <v>140</v>
      </c>
      <c r="F293" t="s">
        <v>141</v>
      </c>
      <c r="G293">
        <v>25</v>
      </c>
      <c r="H293">
        <v>1791882490001</v>
      </c>
      <c r="I293" t="s">
        <v>46</v>
      </c>
      <c r="J293" t="s">
        <v>48</v>
      </c>
      <c r="K293" t="s">
        <v>48</v>
      </c>
      <c r="L293" t="s">
        <v>49</v>
      </c>
      <c r="M293" t="s">
        <v>50</v>
      </c>
      <c r="N293" t="s">
        <v>51</v>
      </c>
      <c r="O293">
        <v>8307100090</v>
      </c>
      <c r="P293" t="s">
        <v>66</v>
      </c>
      <c r="Q293" t="s">
        <v>67</v>
      </c>
      <c r="R293" t="s">
        <v>54</v>
      </c>
      <c r="S293" t="s">
        <v>55</v>
      </c>
      <c r="T293">
        <v>6</v>
      </c>
      <c r="U293">
        <v>1</v>
      </c>
      <c r="V293" t="s">
        <v>56</v>
      </c>
      <c r="W293">
        <v>0</v>
      </c>
      <c r="X293">
        <v>365.41</v>
      </c>
      <c r="Y293">
        <v>32.79</v>
      </c>
      <c r="Z293">
        <v>2.46</v>
      </c>
      <c r="AA293">
        <v>400.65</v>
      </c>
      <c r="AB293" t="s">
        <v>54</v>
      </c>
      <c r="AC293" t="s">
        <v>143</v>
      </c>
      <c r="AD293" t="s">
        <v>48</v>
      </c>
      <c r="AE293">
        <v>0</v>
      </c>
      <c r="AF293">
        <v>1.87</v>
      </c>
      <c r="AG293" t="s">
        <v>59</v>
      </c>
      <c r="AH293">
        <v>876053</v>
      </c>
      <c r="AI293" t="s">
        <v>60</v>
      </c>
      <c r="AJ293" t="s">
        <v>60</v>
      </c>
      <c r="AK293" t="s">
        <v>54</v>
      </c>
      <c r="AL293">
        <v>2024</v>
      </c>
      <c r="AM293" s="6" t="s">
        <v>468</v>
      </c>
      <c r="AN293" s="7">
        <v>365.41</v>
      </c>
      <c r="AO293" s="8">
        <f t="shared" si="15"/>
        <v>685.14375000000007</v>
      </c>
      <c r="AP293" s="8">
        <f t="shared" si="16"/>
        <v>761.19470625000008</v>
      </c>
      <c r="AQ293" s="9">
        <f t="shared" si="14"/>
        <v>1109.864360625</v>
      </c>
    </row>
    <row r="294" spans="1:43" x14ac:dyDescent="0.25">
      <c r="A294">
        <v>3</v>
      </c>
      <c r="B294">
        <v>4</v>
      </c>
      <c r="C294">
        <v>2024</v>
      </c>
      <c r="D294" t="s">
        <v>43</v>
      </c>
      <c r="E294" t="s">
        <v>73</v>
      </c>
      <c r="F294" t="s">
        <v>74</v>
      </c>
      <c r="G294">
        <v>15</v>
      </c>
      <c r="H294">
        <v>1791882490001</v>
      </c>
      <c r="I294" t="s">
        <v>46</v>
      </c>
      <c r="J294" t="s">
        <v>48</v>
      </c>
      <c r="K294" t="s">
        <v>48</v>
      </c>
      <c r="L294" t="s">
        <v>49</v>
      </c>
      <c r="M294" t="s">
        <v>50</v>
      </c>
      <c r="N294" t="s">
        <v>51</v>
      </c>
      <c r="O294">
        <v>8307100090</v>
      </c>
      <c r="P294" t="s">
        <v>66</v>
      </c>
      <c r="Q294" t="s">
        <v>67</v>
      </c>
      <c r="R294" t="s">
        <v>54</v>
      </c>
      <c r="S294" t="s">
        <v>55</v>
      </c>
      <c r="T294">
        <v>6</v>
      </c>
      <c r="U294">
        <v>1</v>
      </c>
      <c r="V294" t="s">
        <v>56</v>
      </c>
      <c r="W294">
        <v>0</v>
      </c>
      <c r="X294">
        <v>425.51</v>
      </c>
      <c r="Y294">
        <v>49.7</v>
      </c>
      <c r="Z294">
        <v>2.78</v>
      </c>
      <c r="AA294">
        <v>478</v>
      </c>
      <c r="AB294" t="s">
        <v>57</v>
      </c>
      <c r="AC294" t="s">
        <v>58</v>
      </c>
      <c r="AD294" t="s">
        <v>48</v>
      </c>
      <c r="AE294">
        <v>0</v>
      </c>
      <c r="AF294">
        <v>1.33</v>
      </c>
      <c r="AG294" t="s">
        <v>59</v>
      </c>
      <c r="AH294">
        <v>438183</v>
      </c>
      <c r="AI294" t="s">
        <v>60</v>
      </c>
      <c r="AJ294" t="s">
        <v>60</v>
      </c>
      <c r="AK294" t="s">
        <v>54</v>
      </c>
      <c r="AL294">
        <v>2024</v>
      </c>
      <c r="AM294" s="6" t="s">
        <v>469</v>
      </c>
      <c r="AN294" s="7">
        <v>425.51</v>
      </c>
      <c r="AO294" s="8">
        <f t="shared" si="15"/>
        <v>797.83124999999995</v>
      </c>
      <c r="AP294" s="8">
        <f t="shared" si="16"/>
        <v>886.39051874999996</v>
      </c>
      <c r="AQ294" s="9">
        <f t="shared" si="14"/>
        <v>1292.4068418749998</v>
      </c>
    </row>
    <row r="295" spans="1:43" x14ac:dyDescent="0.25">
      <c r="A295">
        <v>20</v>
      </c>
      <c r="B295">
        <v>2</v>
      </c>
      <c r="C295">
        <v>2024</v>
      </c>
      <c r="D295" t="s">
        <v>43</v>
      </c>
      <c r="E295" t="s">
        <v>140</v>
      </c>
      <c r="F295" t="s">
        <v>141</v>
      </c>
      <c r="G295">
        <v>26</v>
      </c>
      <c r="H295">
        <v>1791882490001</v>
      </c>
      <c r="I295" t="s">
        <v>46</v>
      </c>
      <c r="J295" t="s">
        <v>48</v>
      </c>
      <c r="K295" t="s">
        <v>48</v>
      </c>
      <c r="L295" t="s">
        <v>49</v>
      </c>
      <c r="M295" t="s">
        <v>50</v>
      </c>
      <c r="N295" t="s">
        <v>51</v>
      </c>
      <c r="O295">
        <v>8307100090</v>
      </c>
      <c r="P295" t="s">
        <v>66</v>
      </c>
      <c r="Q295" t="s">
        <v>67</v>
      </c>
      <c r="R295" t="s">
        <v>54</v>
      </c>
      <c r="S295" t="s">
        <v>55</v>
      </c>
      <c r="T295">
        <v>6</v>
      </c>
      <c r="U295">
        <v>1</v>
      </c>
      <c r="V295" t="s">
        <v>56</v>
      </c>
      <c r="W295">
        <v>0</v>
      </c>
      <c r="X295">
        <v>344.53</v>
      </c>
      <c r="Y295">
        <v>30.92</v>
      </c>
      <c r="Z295">
        <v>2.3199999999999998</v>
      </c>
      <c r="AA295">
        <v>377.76</v>
      </c>
      <c r="AB295" t="s">
        <v>54</v>
      </c>
      <c r="AC295" t="s">
        <v>143</v>
      </c>
      <c r="AD295" t="s">
        <v>48</v>
      </c>
      <c r="AE295">
        <v>0</v>
      </c>
      <c r="AF295">
        <v>1.87</v>
      </c>
      <c r="AG295" t="s">
        <v>59</v>
      </c>
      <c r="AH295">
        <v>876053</v>
      </c>
      <c r="AI295" t="s">
        <v>60</v>
      </c>
      <c r="AJ295" t="s">
        <v>60</v>
      </c>
      <c r="AK295" t="s">
        <v>54</v>
      </c>
      <c r="AL295">
        <v>2024</v>
      </c>
      <c r="AM295" s="6" t="s">
        <v>470</v>
      </c>
      <c r="AN295" s="7">
        <v>344.53</v>
      </c>
      <c r="AO295" s="8">
        <f t="shared" si="15"/>
        <v>645.99374999999998</v>
      </c>
      <c r="AP295" s="8">
        <f t="shared" si="16"/>
        <v>717.69905625000001</v>
      </c>
      <c r="AQ295" s="9">
        <f t="shared" si="14"/>
        <v>1046.4452756249998</v>
      </c>
    </row>
    <row r="296" spans="1:43" x14ac:dyDescent="0.25">
      <c r="A296">
        <v>20</v>
      </c>
      <c r="B296">
        <v>2</v>
      </c>
      <c r="C296">
        <v>2024</v>
      </c>
      <c r="D296" t="s">
        <v>43</v>
      </c>
      <c r="E296" t="s">
        <v>140</v>
      </c>
      <c r="F296" t="s">
        <v>141</v>
      </c>
      <c r="G296">
        <v>27</v>
      </c>
      <c r="H296">
        <v>1791882490001</v>
      </c>
      <c r="I296" t="s">
        <v>46</v>
      </c>
      <c r="J296" t="s">
        <v>133</v>
      </c>
      <c r="K296" t="s">
        <v>48</v>
      </c>
      <c r="L296" t="s">
        <v>49</v>
      </c>
      <c r="M296" t="s">
        <v>50</v>
      </c>
      <c r="N296" t="s">
        <v>51</v>
      </c>
      <c r="O296">
        <v>4009220000</v>
      </c>
      <c r="P296" t="s">
        <v>142</v>
      </c>
      <c r="Q296" t="s">
        <v>67</v>
      </c>
      <c r="R296" t="s">
        <v>54</v>
      </c>
      <c r="S296" t="s">
        <v>55</v>
      </c>
      <c r="T296">
        <v>6</v>
      </c>
      <c r="U296">
        <v>1</v>
      </c>
      <c r="V296" t="s">
        <v>56</v>
      </c>
      <c r="W296">
        <v>0</v>
      </c>
      <c r="X296">
        <v>51.88</v>
      </c>
      <c r="Y296">
        <v>4.66</v>
      </c>
      <c r="Z296">
        <v>0.35</v>
      </c>
      <c r="AA296">
        <v>56.88</v>
      </c>
      <c r="AB296" t="s">
        <v>54</v>
      </c>
      <c r="AC296" t="s">
        <v>143</v>
      </c>
      <c r="AD296" t="s">
        <v>48</v>
      </c>
      <c r="AE296">
        <v>0</v>
      </c>
      <c r="AF296">
        <v>1.87</v>
      </c>
      <c r="AG296" t="s">
        <v>59</v>
      </c>
      <c r="AH296">
        <v>876053</v>
      </c>
      <c r="AI296" t="s">
        <v>60</v>
      </c>
      <c r="AJ296" t="s">
        <v>60</v>
      </c>
      <c r="AK296" t="s">
        <v>54</v>
      </c>
      <c r="AL296">
        <v>2024</v>
      </c>
      <c r="AM296" s="6" t="s">
        <v>471</v>
      </c>
      <c r="AN296" s="7">
        <v>51.88</v>
      </c>
      <c r="AO296" s="8">
        <f t="shared" si="15"/>
        <v>97.275000000000006</v>
      </c>
      <c r="AP296" s="8">
        <f t="shared" si="16"/>
        <v>108.072525</v>
      </c>
      <c r="AQ296" s="9">
        <f t="shared" si="14"/>
        <v>157.5757725</v>
      </c>
    </row>
    <row r="297" spans="1:43" x14ac:dyDescent="0.25">
      <c r="A297">
        <v>20</v>
      </c>
      <c r="B297">
        <v>2</v>
      </c>
      <c r="C297">
        <v>2024</v>
      </c>
      <c r="D297" t="s">
        <v>43</v>
      </c>
      <c r="E297" t="s">
        <v>140</v>
      </c>
      <c r="F297" t="s">
        <v>141</v>
      </c>
      <c r="G297">
        <v>28</v>
      </c>
      <c r="H297">
        <v>1791882490001</v>
      </c>
      <c r="I297" t="s">
        <v>46</v>
      </c>
      <c r="J297" t="s">
        <v>133</v>
      </c>
      <c r="K297" t="s">
        <v>48</v>
      </c>
      <c r="L297" t="s">
        <v>49</v>
      </c>
      <c r="M297" t="s">
        <v>50</v>
      </c>
      <c r="N297" t="s">
        <v>51</v>
      </c>
      <c r="O297">
        <v>4009220000</v>
      </c>
      <c r="P297" t="s">
        <v>142</v>
      </c>
      <c r="Q297" t="s">
        <v>67</v>
      </c>
      <c r="R297" t="s">
        <v>54</v>
      </c>
      <c r="S297" t="s">
        <v>55</v>
      </c>
      <c r="T297">
        <v>6</v>
      </c>
      <c r="U297">
        <v>1</v>
      </c>
      <c r="V297" t="s">
        <v>56</v>
      </c>
      <c r="W297">
        <v>0</v>
      </c>
      <c r="X297">
        <v>66.36</v>
      </c>
      <c r="Y297">
        <v>5.95</v>
      </c>
      <c r="Z297">
        <v>0.45</v>
      </c>
      <c r="AA297">
        <v>72.760000000000005</v>
      </c>
      <c r="AB297" t="s">
        <v>54</v>
      </c>
      <c r="AC297" t="s">
        <v>143</v>
      </c>
      <c r="AD297" t="s">
        <v>48</v>
      </c>
      <c r="AE297">
        <v>0</v>
      </c>
      <c r="AF297">
        <v>1.87</v>
      </c>
      <c r="AG297" t="s">
        <v>59</v>
      </c>
      <c r="AH297">
        <v>876053</v>
      </c>
      <c r="AI297" t="s">
        <v>60</v>
      </c>
      <c r="AJ297" t="s">
        <v>60</v>
      </c>
      <c r="AK297" t="s">
        <v>54</v>
      </c>
      <c r="AL297">
        <v>2024</v>
      </c>
      <c r="AM297" s="6" t="s">
        <v>472</v>
      </c>
      <c r="AN297" s="7">
        <v>66.36</v>
      </c>
      <c r="AO297" s="8">
        <f t="shared" si="15"/>
        <v>124.425</v>
      </c>
      <c r="AP297" s="8">
        <f t="shared" si="16"/>
        <v>138.236175</v>
      </c>
      <c r="AQ297" s="9">
        <f t="shared" si="14"/>
        <v>201.55605749999998</v>
      </c>
    </row>
    <row r="298" spans="1:43" x14ac:dyDescent="0.25">
      <c r="A298">
        <v>20</v>
      </c>
      <c r="B298">
        <v>2</v>
      </c>
      <c r="C298">
        <v>2024</v>
      </c>
      <c r="D298" t="s">
        <v>43</v>
      </c>
      <c r="E298" t="s">
        <v>140</v>
      </c>
      <c r="F298" t="s">
        <v>141</v>
      </c>
      <c r="G298">
        <v>29</v>
      </c>
      <c r="H298">
        <v>1791882490001</v>
      </c>
      <c r="I298" t="s">
        <v>46</v>
      </c>
      <c r="J298" t="s">
        <v>133</v>
      </c>
      <c r="K298" t="s">
        <v>48</v>
      </c>
      <c r="L298" t="s">
        <v>49</v>
      </c>
      <c r="M298" t="s">
        <v>50</v>
      </c>
      <c r="N298" t="s">
        <v>51</v>
      </c>
      <c r="O298">
        <v>4009220000</v>
      </c>
      <c r="P298" t="s">
        <v>142</v>
      </c>
      <c r="Q298" t="s">
        <v>67</v>
      </c>
      <c r="R298" t="s">
        <v>54</v>
      </c>
      <c r="S298" t="s">
        <v>55</v>
      </c>
      <c r="T298">
        <v>6</v>
      </c>
      <c r="U298">
        <v>2</v>
      </c>
      <c r="V298" t="s">
        <v>56</v>
      </c>
      <c r="W298">
        <v>0</v>
      </c>
      <c r="X298">
        <v>159.16999999999999</v>
      </c>
      <c r="Y298">
        <v>14.28</v>
      </c>
      <c r="Z298">
        <v>1.07</v>
      </c>
      <c r="AA298">
        <v>174.52</v>
      </c>
      <c r="AB298" t="s">
        <v>54</v>
      </c>
      <c r="AC298" t="s">
        <v>143</v>
      </c>
      <c r="AD298" t="s">
        <v>48</v>
      </c>
      <c r="AE298">
        <v>0</v>
      </c>
      <c r="AF298">
        <v>3.74</v>
      </c>
      <c r="AG298" t="s">
        <v>59</v>
      </c>
      <c r="AH298">
        <v>876053</v>
      </c>
      <c r="AI298" t="s">
        <v>60</v>
      </c>
      <c r="AJ298" t="s">
        <v>60</v>
      </c>
      <c r="AK298" t="s">
        <v>54</v>
      </c>
      <c r="AL298">
        <v>2024</v>
      </c>
      <c r="AM298" s="6" t="s">
        <v>473</v>
      </c>
      <c r="AN298" s="7">
        <v>79.59</v>
      </c>
      <c r="AO298" s="8">
        <f t="shared" si="15"/>
        <v>149.23125000000002</v>
      </c>
      <c r="AP298" s="8">
        <f t="shared" si="16"/>
        <v>165.79591875000003</v>
      </c>
      <c r="AQ298" s="9">
        <f t="shared" si="14"/>
        <v>241.73970187500001</v>
      </c>
    </row>
    <row r="299" spans="1:43" x14ac:dyDescent="0.25">
      <c r="A299">
        <v>8</v>
      </c>
      <c r="B299">
        <v>7</v>
      </c>
      <c r="C299">
        <v>2024</v>
      </c>
      <c r="D299" t="s">
        <v>43</v>
      </c>
      <c r="E299" t="s">
        <v>75</v>
      </c>
      <c r="F299" t="s">
        <v>76</v>
      </c>
      <c r="G299">
        <v>21</v>
      </c>
      <c r="H299">
        <v>1791882490001</v>
      </c>
      <c r="I299" t="s">
        <v>46</v>
      </c>
      <c r="J299" t="s">
        <v>65</v>
      </c>
      <c r="K299" t="s">
        <v>48</v>
      </c>
      <c r="L299" t="s">
        <v>49</v>
      </c>
      <c r="M299" t="s">
        <v>50</v>
      </c>
      <c r="N299" t="s">
        <v>51</v>
      </c>
      <c r="O299">
        <v>3917399000</v>
      </c>
      <c r="P299" t="s">
        <v>66</v>
      </c>
      <c r="Q299" t="s">
        <v>474</v>
      </c>
      <c r="R299" t="s">
        <v>54</v>
      </c>
      <c r="S299" t="s">
        <v>55</v>
      </c>
      <c r="T299">
        <v>8</v>
      </c>
      <c r="U299">
        <v>1</v>
      </c>
      <c r="V299" t="s">
        <v>56</v>
      </c>
      <c r="W299">
        <v>0</v>
      </c>
      <c r="X299">
        <v>101.2</v>
      </c>
      <c r="Y299">
        <v>8.65</v>
      </c>
      <c r="Z299">
        <v>0.66</v>
      </c>
      <c r="AA299">
        <v>110.51</v>
      </c>
      <c r="AB299" t="s">
        <v>57</v>
      </c>
      <c r="AC299" t="s">
        <v>77</v>
      </c>
      <c r="AD299" t="s">
        <v>48</v>
      </c>
      <c r="AE299">
        <v>0</v>
      </c>
      <c r="AF299">
        <v>0.67</v>
      </c>
      <c r="AG299" t="s">
        <v>59</v>
      </c>
      <c r="AH299">
        <v>107711</v>
      </c>
      <c r="AI299" t="s">
        <v>60</v>
      </c>
      <c r="AJ299" t="s">
        <v>78</v>
      </c>
      <c r="AK299" t="s">
        <v>54</v>
      </c>
      <c r="AL299">
        <v>2024</v>
      </c>
      <c r="AM299" s="6" t="s">
        <v>475</v>
      </c>
      <c r="AN299" s="7">
        <v>101.2</v>
      </c>
      <c r="AO299" s="8">
        <f t="shared" si="15"/>
        <v>189.75</v>
      </c>
      <c r="AP299" s="8">
        <f t="shared" si="16"/>
        <v>210.81225000000001</v>
      </c>
      <c r="AQ299" s="9">
        <f t="shared" si="14"/>
        <v>307.37602499999997</v>
      </c>
    </row>
    <row r="300" spans="1:43" x14ac:dyDescent="0.25">
      <c r="A300">
        <v>8</v>
      </c>
      <c r="B300">
        <v>7</v>
      </c>
      <c r="C300">
        <v>2024</v>
      </c>
      <c r="D300" t="s">
        <v>43</v>
      </c>
      <c r="E300" t="s">
        <v>75</v>
      </c>
      <c r="F300" t="s">
        <v>76</v>
      </c>
      <c r="G300">
        <v>21</v>
      </c>
      <c r="H300">
        <v>1791882490001</v>
      </c>
      <c r="I300" t="s">
        <v>46</v>
      </c>
      <c r="J300" t="s">
        <v>65</v>
      </c>
      <c r="K300" t="s">
        <v>48</v>
      </c>
      <c r="L300" t="s">
        <v>49</v>
      </c>
      <c r="M300" t="s">
        <v>50</v>
      </c>
      <c r="N300" t="s">
        <v>51</v>
      </c>
      <c r="O300">
        <v>3917399000</v>
      </c>
      <c r="P300" t="s">
        <v>66</v>
      </c>
      <c r="Q300" t="s">
        <v>474</v>
      </c>
      <c r="R300" t="s">
        <v>54</v>
      </c>
      <c r="S300" t="s">
        <v>55</v>
      </c>
      <c r="T300">
        <v>8</v>
      </c>
      <c r="U300">
        <v>1</v>
      </c>
      <c r="V300" t="s">
        <v>56</v>
      </c>
      <c r="W300">
        <v>0</v>
      </c>
      <c r="X300">
        <v>101.2</v>
      </c>
      <c r="Y300">
        <v>8.65</v>
      </c>
      <c r="Z300">
        <v>0.66</v>
      </c>
      <c r="AA300">
        <v>110.51</v>
      </c>
      <c r="AB300" t="s">
        <v>57</v>
      </c>
      <c r="AC300" t="s">
        <v>77</v>
      </c>
      <c r="AD300" t="s">
        <v>48</v>
      </c>
      <c r="AE300">
        <v>0</v>
      </c>
      <c r="AF300">
        <v>0.67</v>
      </c>
      <c r="AG300" t="s">
        <v>59</v>
      </c>
      <c r="AH300">
        <v>107711</v>
      </c>
      <c r="AI300" t="s">
        <v>60</v>
      </c>
      <c r="AJ300" t="s">
        <v>78</v>
      </c>
      <c r="AK300" t="s">
        <v>54</v>
      </c>
      <c r="AL300">
        <v>2024</v>
      </c>
      <c r="AM300" s="6" t="s">
        <v>475</v>
      </c>
      <c r="AN300" s="7">
        <v>101.2</v>
      </c>
      <c r="AO300" s="8">
        <f t="shared" si="15"/>
        <v>189.75</v>
      </c>
      <c r="AP300" s="8">
        <f t="shared" si="16"/>
        <v>210.81225000000001</v>
      </c>
      <c r="AQ300" s="9">
        <f t="shared" si="14"/>
        <v>307.37602499999997</v>
      </c>
    </row>
    <row r="301" spans="1:43" x14ac:dyDescent="0.25">
      <c r="A301">
        <v>10</v>
      </c>
      <c r="B301">
        <v>10</v>
      </c>
      <c r="C301">
        <v>2024</v>
      </c>
      <c r="D301" t="s">
        <v>43</v>
      </c>
      <c r="E301" t="s">
        <v>44</v>
      </c>
      <c r="F301" t="s">
        <v>45</v>
      </c>
      <c r="G301">
        <v>22</v>
      </c>
      <c r="H301">
        <v>1791882490001</v>
      </c>
      <c r="I301" t="s">
        <v>46</v>
      </c>
      <c r="J301" t="s">
        <v>65</v>
      </c>
      <c r="K301" t="s">
        <v>48</v>
      </c>
      <c r="L301" t="s">
        <v>49</v>
      </c>
      <c r="M301" t="s">
        <v>50</v>
      </c>
      <c r="N301" t="s">
        <v>51</v>
      </c>
      <c r="O301">
        <v>8421299090</v>
      </c>
      <c r="P301" t="s">
        <v>52</v>
      </c>
      <c r="Q301" t="s">
        <v>305</v>
      </c>
      <c r="R301" t="s">
        <v>54</v>
      </c>
      <c r="S301" t="s">
        <v>55</v>
      </c>
      <c r="T301">
        <v>7</v>
      </c>
      <c r="U301">
        <v>5</v>
      </c>
      <c r="V301" t="s">
        <v>135</v>
      </c>
      <c r="W301">
        <v>0</v>
      </c>
      <c r="X301">
        <v>261.98</v>
      </c>
      <c r="Y301">
        <v>45.77</v>
      </c>
      <c r="Z301">
        <v>1.89</v>
      </c>
      <c r="AA301">
        <v>309.64</v>
      </c>
      <c r="AB301" t="s">
        <v>57</v>
      </c>
      <c r="AC301" t="s">
        <v>58</v>
      </c>
      <c r="AD301" t="s">
        <v>48</v>
      </c>
      <c r="AE301">
        <v>0</v>
      </c>
      <c r="AF301">
        <v>2.83</v>
      </c>
      <c r="AG301" t="s">
        <v>59</v>
      </c>
      <c r="AH301">
        <v>179772</v>
      </c>
      <c r="AI301" t="s">
        <v>60</v>
      </c>
      <c r="AJ301" t="s">
        <v>60</v>
      </c>
      <c r="AK301" t="s">
        <v>54</v>
      </c>
      <c r="AL301">
        <v>2024</v>
      </c>
      <c r="AM301" s="6" t="s">
        <v>476</v>
      </c>
      <c r="AN301" s="7">
        <v>52.4</v>
      </c>
      <c r="AO301" s="8">
        <f t="shared" si="15"/>
        <v>98.25</v>
      </c>
      <c r="AP301" s="8">
        <f t="shared" si="16"/>
        <v>109.15575</v>
      </c>
      <c r="AQ301" s="9">
        <f t="shared" si="14"/>
        <v>159.15517499999999</v>
      </c>
    </row>
    <row r="302" spans="1:43" x14ac:dyDescent="0.25">
      <c r="A302">
        <v>16</v>
      </c>
      <c r="B302">
        <v>12</v>
      </c>
      <c r="C302">
        <v>2024</v>
      </c>
      <c r="D302" t="s">
        <v>43</v>
      </c>
      <c r="E302" t="s">
        <v>128</v>
      </c>
      <c r="F302" t="s">
        <v>129</v>
      </c>
      <c r="G302">
        <v>19</v>
      </c>
      <c r="H302">
        <v>1791882490001</v>
      </c>
      <c r="I302" t="s">
        <v>46</v>
      </c>
      <c r="J302" t="s">
        <v>65</v>
      </c>
      <c r="K302" t="s">
        <v>48</v>
      </c>
      <c r="L302" t="s">
        <v>49</v>
      </c>
      <c r="M302" t="s">
        <v>50</v>
      </c>
      <c r="N302" t="s">
        <v>51</v>
      </c>
      <c r="O302">
        <v>8421299090</v>
      </c>
      <c r="P302" t="s">
        <v>52</v>
      </c>
      <c r="Q302" t="s">
        <v>305</v>
      </c>
      <c r="R302" t="s">
        <v>54</v>
      </c>
      <c r="S302" t="s">
        <v>55</v>
      </c>
      <c r="T302">
        <v>9</v>
      </c>
      <c r="U302">
        <v>5</v>
      </c>
      <c r="V302" t="s">
        <v>135</v>
      </c>
      <c r="W302">
        <v>0</v>
      </c>
      <c r="X302">
        <v>261.86</v>
      </c>
      <c r="Y302">
        <v>34.29</v>
      </c>
      <c r="Z302">
        <v>1.8</v>
      </c>
      <c r="AA302">
        <v>297.95999999999998</v>
      </c>
      <c r="AB302" t="s">
        <v>57</v>
      </c>
      <c r="AC302" t="s">
        <v>131</v>
      </c>
      <c r="AD302" t="s">
        <v>48</v>
      </c>
      <c r="AE302">
        <v>0</v>
      </c>
      <c r="AF302">
        <v>9.94</v>
      </c>
      <c r="AG302" t="s">
        <v>59</v>
      </c>
      <c r="AH302">
        <v>325395</v>
      </c>
      <c r="AI302" t="s">
        <v>60</v>
      </c>
      <c r="AJ302" t="s">
        <v>78</v>
      </c>
      <c r="AK302" t="s">
        <v>54</v>
      </c>
      <c r="AL302">
        <v>2024</v>
      </c>
      <c r="AM302" s="6" t="s">
        <v>476</v>
      </c>
      <c r="AN302" s="7">
        <v>52.37</v>
      </c>
      <c r="AO302" s="8">
        <f t="shared" si="15"/>
        <v>98.193749999999994</v>
      </c>
      <c r="AP302" s="8">
        <f t="shared" si="16"/>
        <v>109.09325625</v>
      </c>
      <c r="AQ302" s="9">
        <f t="shared" si="14"/>
        <v>159.06405562499998</v>
      </c>
    </row>
    <row r="303" spans="1:43" x14ac:dyDescent="0.25">
      <c r="A303">
        <v>10</v>
      </c>
      <c r="B303">
        <v>10</v>
      </c>
      <c r="C303">
        <v>2024</v>
      </c>
      <c r="D303" t="s">
        <v>43</v>
      </c>
      <c r="E303" t="s">
        <v>44</v>
      </c>
      <c r="F303" t="s">
        <v>45</v>
      </c>
      <c r="G303">
        <v>23</v>
      </c>
      <c r="H303">
        <v>1791882490001</v>
      </c>
      <c r="I303" t="s">
        <v>46</v>
      </c>
      <c r="J303" t="s">
        <v>65</v>
      </c>
      <c r="K303" t="s">
        <v>48</v>
      </c>
      <c r="L303" t="s">
        <v>49</v>
      </c>
      <c r="M303" t="s">
        <v>50</v>
      </c>
      <c r="N303" t="s">
        <v>51</v>
      </c>
      <c r="O303">
        <v>8421999000</v>
      </c>
      <c r="P303" t="s">
        <v>52</v>
      </c>
      <c r="Q303" t="s">
        <v>477</v>
      </c>
      <c r="R303" t="s">
        <v>54</v>
      </c>
      <c r="S303" t="s">
        <v>55</v>
      </c>
      <c r="T303">
        <v>7</v>
      </c>
      <c r="U303">
        <v>1</v>
      </c>
      <c r="V303" t="s">
        <v>135</v>
      </c>
      <c r="W303">
        <v>0</v>
      </c>
      <c r="X303">
        <v>133.94999999999999</v>
      </c>
      <c r="Y303">
        <v>23.4</v>
      </c>
      <c r="Z303">
        <v>0.97</v>
      </c>
      <c r="AA303">
        <v>158.32</v>
      </c>
      <c r="AB303" t="s">
        <v>57</v>
      </c>
      <c r="AC303" t="s">
        <v>58</v>
      </c>
      <c r="AD303" t="s">
        <v>48</v>
      </c>
      <c r="AE303">
        <v>0</v>
      </c>
      <c r="AF303">
        <v>1.45</v>
      </c>
      <c r="AG303" t="s">
        <v>59</v>
      </c>
      <c r="AH303">
        <v>179772</v>
      </c>
      <c r="AI303" t="s">
        <v>60</v>
      </c>
      <c r="AJ303" t="s">
        <v>60</v>
      </c>
      <c r="AK303" t="s">
        <v>54</v>
      </c>
      <c r="AL303">
        <v>2024</v>
      </c>
      <c r="AM303" s="6" t="s">
        <v>478</v>
      </c>
      <c r="AN303" s="7">
        <v>133.94999999999999</v>
      </c>
      <c r="AO303" s="8">
        <f t="shared" si="15"/>
        <v>251.15624999999997</v>
      </c>
      <c r="AP303" s="8">
        <f t="shared" si="16"/>
        <v>279.03459374999994</v>
      </c>
      <c r="AQ303" s="9">
        <f t="shared" si="14"/>
        <v>406.84800937499995</v>
      </c>
    </row>
    <row r="304" spans="1:43" x14ac:dyDescent="0.25">
      <c r="A304">
        <v>28</v>
      </c>
      <c r="B304">
        <v>8</v>
      </c>
      <c r="C304">
        <v>2024</v>
      </c>
      <c r="D304" t="s">
        <v>43</v>
      </c>
      <c r="E304" t="s">
        <v>91</v>
      </c>
      <c r="F304" t="s">
        <v>92</v>
      </c>
      <c r="G304">
        <v>22</v>
      </c>
      <c r="H304">
        <v>1791882490001</v>
      </c>
      <c r="I304" t="s">
        <v>46</v>
      </c>
      <c r="J304" t="s">
        <v>65</v>
      </c>
      <c r="K304" t="s">
        <v>48</v>
      </c>
      <c r="L304" t="s">
        <v>49</v>
      </c>
      <c r="M304" t="s">
        <v>50</v>
      </c>
      <c r="N304" t="s">
        <v>51</v>
      </c>
      <c r="O304">
        <v>8421392000</v>
      </c>
      <c r="P304" t="s">
        <v>253</v>
      </c>
      <c r="Q304" t="s">
        <v>261</v>
      </c>
      <c r="R304" t="s">
        <v>54</v>
      </c>
      <c r="S304" t="s">
        <v>55</v>
      </c>
      <c r="T304">
        <v>8</v>
      </c>
      <c r="U304">
        <v>3</v>
      </c>
      <c r="V304" t="s">
        <v>135</v>
      </c>
      <c r="W304">
        <v>0</v>
      </c>
      <c r="X304">
        <v>536.89</v>
      </c>
      <c r="Y304">
        <v>59.32</v>
      </c>
      <c r="Z304">
        <v>3.61</v>
      </c>
      <c r="AA304">
        <v>599.82000000000005</v>
      </c>
      <c r="AB304" t="s">
        <v>57</v>
      </c>
      <c r="AC304" t="s">
        <v>94</v>
      </c>
      <c r="AD304" t="s">
        <v>48</v>
      </c>
      <c r="AE304">
        <v>0</v>
      </c>
      <c r="AF304">
        <v>6.18</v>
      </c>
      <c r="AG304" t="s">
        <v>59</v>
      </c>
      <c r="AH304">
        <v>150511</v>
      </c>
      <c r="AI304" t="s">
        <v>60</v>
      </c>
      <c r="AJ304" t="s">
        <v>60</v>
      </c>
      <c r="AK304" t="s">
        <v>54</v>
      </c>
      <c r="AL304">
        <v>2024</v>
      </c>
      <c r="AM304" s="6" t="s">
        <v>479</v>
      </c>
      <c r="AN304" s="7">
        <v>178.96</v>
      </c>
      <c r="AO304" s="8">
        <f t="shared" si="15"/>
        <v>335.55</v>
      </c>
      <c r="AP304" s="8">
        <f t="shared" si="16"/>
        <v>372.79605000000004</v>
      </c>
      <c r="AQ304" s="9">
        <f t="shared" si="14"/>
        <v>543.55744500000003</v>
      </c>
    </row>
    <row r="305" spans="1:43" x14ac:dyDescent="0.25">
      <c r="A305">
        <v>10</v>
      </c>
      <c r="B305">
        <v>10</v>
      </c>
      <c r="C305">
        <v>2024</v>
      </c>
      <c r="D305" t="s">
        <v>43</v>
      </c>
      <c r="E305" t="s">
        <v>44</v>
      </c>
      <c r="F305" t="s">
        <v>45</v>
      </c>
      <c r="G305">
        <v>24</v>
      </c>
      <c r="H305">
        <v>1791882490001</v>
      </c>
      <c r="I305" t="s">
        <v>46</v>
      </c>
      <c r="J305" t="s">
        <v>65</v>
      </c>
      <c r="K305" t="s">
        <v>48</v>
      </c>
      <c r="L305" t="s">
        <v>49</v>
      </c>
      <c r="M305" t="s">
        <v>50</v>
      </c>
      <c r="N305" t="s">
        <v>51</v>
      </c>
      <c r="O305">
        <v>8421392000</v>
      </c>
      <c r="P305" t="s">
        <v>480</v>
      </c>
      <c r="Q305" t="s">
        <v>261</v>
      </c>
      <c r="R305" t="s">
        <v>54</v>
      </c>
      <c r="S305" t="s">
        <v>55</v>
      </c>
      <c r="T305">
        <v>7</v>
      </c>
      <c r="U305">
        <v>3</v>
      </c>
      <c r="V305" t="s">
        <v>135</v>
      </c>
      <c r="W305">
        <v>0</v>
      </c>
      <c r="X305">
        <v>543.88</v>
      </c>
      <c r="Y305">
        <v>95.03</v>
      </c>
      <c r="Z305">
        <v>3.92</v>
      </c>
      <c r="AA305">
        <v>642.83000000000004</v>
      </c>
      <c r="AB305" t="s">
        <v>57</v>
      </c>
      <c r="AC305" t="s">
        <v>58</v>
      </c>
      <c r="AD305" t="s">
        <v>48</v>
      </c>
      <c r="AE305">
        <v>0</v>
      </c>
      <c r="AF305">
        <v>5.87</v>
      </c>
      <c r="AG305" t="s">
        <v>59</v>
      </c>
      <c r="AH305">
        <v>179772</v>
      </c>
      <c r="AI305" t="s">
        <v>60</v>
      </c>
      <c r="AJ305" t="s">
        <v>60</v>
      </c>
      <c r="AK305" t="s">
        <v>54</v>
      </c>
      <c r="AL305">
        <v>2024</v>
      </c>
      <c r="AM305" s="6" t="s">
        <v>479</v>
      </c>
      <c r="AN305" s="7">
        <v>181.29</v>
      </c>
      <c r="AO305" s="8">
        <f t="shared" si="15"/>
        <v>339.91874999999999</v>
      </c>
      <c r="AP305" s="8">
        <f t="shared" si="16"/>
        <v>377.64973125</v>
      </c>
      <c r="AQ305" s="9">
        <f t="shared" si="14"/>
        <v>550.634383125</v>
      </c>
    </row>
    <row r="306" spans="1:43" x14ac:dyDescent="0.25">
      <c r="A306">
        <v>16</v>
      </c>
      <c r="B306">
        <v>12</v>
      </c>
      <c r="C306">
        <v>2024</v>
      </c>
      <c r="D306" t="s">
        <v>43</v>
      </c>
      <c r="E306" t="s">
        <v>128</v>
      </c>
      <c r="F306" t="s">
        <v>129</v>
      </c>
      <c r="G306">
        <v>20</v>
      </c>
      <c r="H306">
        <v>1791882490001</v>
      </c>
      <c r="I306" t="s">
        <v>46</v>
      </c>
      <c r="J306" t="s">
        <v>65</v>
      </c>
      <c r="K306" t="s">
        <v>48</v>
      </c>
      <c r="L306" t="s">
        <v>49</v>
      </c>
      <c r="M306" t="s">
        <v>50</v>
      </c>
      <c r="N306" t="s">
        <v>51</v>
      </c>
      <c r="O306">
        <v>8421392000</v>
      </c>
      <c r="P306" t="s">
        <v>480</v>
      </c>
      <c r="Q306" t="s">
        <v>261</v>
      </c>
      <c r="R306" t="s">
        <v>54</v>
      </c>
      <c r="S306" t="s">
        <v>55</v>
      </c>
      <c r="T306">
        <v>9</v>
      </c>
      <c r="U306">
        <v>5</v>
      </c>
      <c r="V306" t="s">
        <v>135</v>
      </c>
      <c r="W306">
        <v>0</v>
      </c>
      <c r="X306">
        <v>906.06</v>
      </c>
      <c r="Y306">
        <v>118.66</v>
      </c>
      <c r="Z306">
        <v>6.21</v>
      </c>
      <c r="AA306">
        <v>1030.94</v>
      </c>
      <c r="AB306" t="s">
        <v>57</v>
      </c>
      <c r="AC306" t="s">
        <v>131</v>
      </c>
      <c r="AD306" t="s">
        <v>48</v>
      </c>
      <c r="AE306">
        <v>0</v>
      </c>
      <c r="AF306">
        <v>9.94</v>
      </c>
      <c r="AG306" t="s">
        <v>59</v>
      </c>
      <c r="AH306">
        <v>325395</v>
      </c>
      <c r="AI306" t="s">
        <v>60</v>
      </c>
      <c r="AJ306" t="s">
        <v>78</v>
      </c>
      <c r="AK306" t="s">
        <v>54</v>
      </c>
      <c r="AL306">
        <v>2024</v>
      </c>
      <c r="AM306" s="6" t="s">
        <v>479</v>
      </c>
      <c r="AN306" s="7">
        <v>181.21</v>
      </c>
      <c r="AO306" s="8">
        <f t="shared" si="15"/>
        <v>339.76875000000001</v>
      </c>
      <c r="AP306" s="8">
        <f t="shared" si="16"/>
        <v>377.48308125</v>
      </c>
      <c r="AQ306" s="9">
        <f t="shared" si="14"/>
        <v>550.39139812500002</v>
      </c>
    </row>
    <row r="307" spans="1:43" x14ac:dyDescent="0.25">
      <c r="A307">
        <v>20</v>
      </c>
      <c r="B307">
        <v>2</v>
      </c>
      <c r="C307">
        <v>2024</v>
      </c>
      <c r="D307" t="s">
        <v>43</v>
      </c>
      <c r="E307" t="s">
        <v>140</v>
      </c>
      <c r="F307" t="s">
        <v>141</v>
      </c>
      <c r="G307">
        <v>30</v>
      </c>
      <c r="H307">
        <v>1791882490001</v>
      </c>
      <c r="I307" t="s">
        <v>46</v>
      </c>
      <c r="J307" t="s">
        <v>133</v>
      </c>
      <c r="K307" t="s">
        <v>48</v>
      </c>
      <c r="L307" t="s">
        <v>49</v>
      </c>
      <c r="M307" t="s">
        <v>50</v>
      </c>
      <c r="N307" t="s">
        <v>51</v>
      </c>
      <c r="O307">
        <v>4009220000</v>
      </c>
      <c r="P307" t="s">
        <v>142</v>
      </c>
      <c r="Q307" t="s">
        <v>67</v>
      </c>
      <c r="R307" t="s">
        <v>54</v>
      </c>
      <c r="S307" t="s">
        <v>55</v>
      </c>
      <c r="T307">
        <v>6</v>
      </c>
      <c r="U307">
        <v>3</v>
      </c>
      <c r="V307" t="s">
        <v>56</v>
      </c>
      <c r="W307">
        <v>0</v>
      </c>
      <c r="X307">
        <v>165.13</v>
      </c>
      <c r="Y307">
        <v>14.82</v>
      </c>
      <c r="Z307">
        <v>1.1100000000000001</v>
      </c>
      <c r="AA307">
        <v>181.06</v>
      </c>
      <c r="AB307" t="s">
        <v>54</v>
      </c>
      <c r="AC307" t="s">
        <v>143</v>
      </c>
      <c r="AD307" t="s">
        <v>48</v>
      </c>
      <c r="AE307">
        <v>0</v>
      </c>
      <c r="AF307">
        <v>5.61</v>
      </c>
      <c r="AG307" t="s">
        <v>59</v>
      </c>
      <c r="AH307">
        <v>876053</v>
      </c>
      <c r="AI307" t="s">
        <v>60</v>
      </c>
      <c r="AJ307" t="s">
        <v>60</v>
      </c>
      <c r="AK307" t="s">
        <v>54</v>
      </c>
      <c r="AL307">
        <v>2024</v>
      </c>
      <c r="AM307" s="6" t="s">
        <v>481</v>
      </c>
      <c r="AN307" s="7">
        <v>55.04</v>
      </c>
      <c r="AO307" s="8">
        <f t="shared" si="15"/>
        <v>103.2</v>
      </c>
      <c r="AP307" s="8">
        <f t="shared" si="16"/>
        <v>114.65520000000001</v>
      </c>
      <c r="AQ307" s="9">
        <f t="shared" si="14"/>
        <v>167.17367999999999</v>
      </c>
    </row>
    <row r="308" spans="1:43" x14ac:dyDescent="0.25">
      <c r="A308">
        <v>20</v>
      </c>
      <c r="B308">
        <v>2</v>
      </c>
      <c r="C308">
        <v>2024</v>
      </c>
      <c r="D308" t="s">
        <v>43</v>
      </c>
      <c r="E308" t="s">
        <v>140</v>
      </c>
      <c r="F308" t="s">
        <v>141</v>
      </c>
      <c r="G308">
        <v>31</v>
      </c>
      <c r="H308">
        <v>1791882490001</v>
      </c>
      <c r="I308" t="s">
        <v>46</v>
      </c>
      <c r="J308" t="s">
        <v>133</v>
      </c>
      <c r="K308" t="s">
        <v>48</v>
      </c>
      <c r="L308" t="s">
        <v>49</v>
      </c>
      <c r="M308" t="s">
        <v>50</v>
      </c>
      <c r="N308" t="s">
        <v>51</v>
      </c>
      <c r="O308">
        <v>4009220000</v>
      </c>
      <c r="P308" t="s">
        <v>142</v>
      </c>
      <c r="Q308" t="s">
        <v>67</v>
      </c>
      <c r="R308" t="s">
        <v>54</v>
      </c>
      <c r="S308" t="s">
        <v>55</v>
      </c>
      <c r="T308">
        <v>6</v>
      </c>
      <c r="U308">
        <v>3</v>
      </c>
      <c r="V308" t="s">
        <v>56</v>
      </c>
      <c r="W308">
        <v>0</v>
      </c>
      <c r="X308">
        <v>178.55</v>
      </c>
      <c r="Y308">
        <v>16.02</v>
      </c>
      <c r="Z308">
        <v>1.2</v>
      </c>
      <c r="AA308">
        <v>195.77</v>
      </c>
      <c r="AB308" t="s">
        <v>54</v>
      </c>
      <c r="AC308" t="s">
        <v>143</v>
      </c>
      <c r="AD308" t="s">
        <v>48</v>
      </c>
      <c r="AE308">
        <v>0</v>
      </c>
      <c r="AF308">
        <v>5.61</v>
      </c>
      <c r="AG308" t="s">
        <v>59</v>
      </c>
      <c r="AH308">
        <v>876053</v>
      </c>
      <c r="AI308" t="s">
        <v>60</v>
      </c>
      <c r="AJ308" t="s">
        <v>60</v>
      </c>
      <c r="AK308" t="s">
        <v>54</v>
      </c>
      <c r="AL308">
        <v>2024</v>
      </c>
      <c r="AM308" s="6" t="s">
        <v>482</v>
      </c>
      <c r="AN308" s="7">
        <v>59.52</v>
      </c>
      <c r="AO308" s="8">
        <f t="shared" si="15"/>
        <v>111.60000000000001</v>
      </c>
      <c r="AP308" s="8">
        <f t="shared" si="16"/>
        <v>123.98760000000001</v>
      </c>
      <c r="AQ308" s="9">
        <f t="shared" si="14"/>
        <v>180.78084000000001</v>
      </c>
    </row>
    <row r="309" spans="1:43" x14ac:dyDescent="0.25">
      <c r="A309">
        <v>20</v>
      </c>
      <c r="B309">
        <v>2</v>
      </c>
      <c r="C309">
        <v>2024</v>
      </c>
      <c r="D309" t="s">
        <v>43</v>
      </c>
      <c r="E309" t="s">
        <v>140</v>
      </c>
      <c r="F309" t="s">
        <v>141</v>
      </c>
      <c r="G309">
        <v>32</v>
      </c>
      <c r="H309">
        <v>1791882490001</v>
      </c>
      <c r="I309" t="s">
        <v>46</v>
      </c>
      <c r="J309" t="s">
        <v>133</v>
      </c>
      <c r="K309" t="s">
        <v>48</v>
      </c>
      <c r="L309" t="s">
        <v>49</v>
      </c>
      <c r="M309" t="s">
        <v>50</v>
      </c>
      <c r="N309" t="s">
        <v>51</v>
      </c>
      <c r="O309">
        <v>4009220000</v>
      </c>
      <c r="P309" t="s">
        <v>142</v>
      </c>
      <c r="Q309" t="s">
        <v>67</v>
      </c>
      <c r="R309" t="s">
        <v>54</v>
      </c>
      <c r="S309" t="s">
        <v>55</v>
      </c>
      <c r="T309">
        <v>6</v>
      </c>
      <c r="U309">
        <v>3</v>
      </c>
      <c r="V309" t="s">
        <v>56</v>
      </c>
      <c r="W309">
        <v>0</v>
      </c>
      <c r="X309">
        <v>129.69999999999999</v>
      </c>
      <c r="Y309">
        <v>11.64</v>
      </c>
      <c r="Z309">
        <v>0.87</v>
      </c>
      <c r="AA309">
        <v>142.21</v>
      </c>
      <c r="AB309" t="s">
        <v>54</v>
      </c>
      <c r="AC309" t="s">
        <v>143</v>
      </c>
      <c r="AD309" t="s">
        <v>48</v>
      </c>
      <c r="AE309">
        <v>0</v>
      </c>
      <c r="AF309">
        <v>5.61</v>
      </c>
      <c r="AG309" t="s">
        <v>59</v>
      </c>
      <c r="AH309">
        <v>876053</v>
      </c>
      <c r="AI309" t="s">
        <v>60</v>
      </c>
      <c r="AJ309" t="s">
        <v>60</v>
      </c>
      <c r="AK309" t="s">
        <v>54</v>
      </c>
      <c r="AL309">
        <v>2024</v>
      </c>
      <c r="AM309" s="6" t="s">
        <v>483</v>
      </c>
      <c r="AN309" s="7">
        <v>43.23</v>
      </c>
      <c r="AO309" s="8">
        <f t="shared" si="15"/>
        <v>81.056249999999991</v>
      </c>
      <c r="AP309" s="8">
        <f t="shared" si="16"/>
        <v>90.053493749999987</v>
      </c>
      <c r="AQ309" s="9">
        <f t="shared" si="14"/>
        <v>131.30301937499999</v>
      </c>
    </row>
    <row r="310" spans="1:43" x14ac:dyDescent="0.25">
      <c r="A310">
        <v>20</v>
      </c>
      <c r="B310">
        <v>2</v>
      </c>
      <c r="C310">
        <v>2024</v>
      </c>
      <c r="D310" t="s">
        <v>43</v>
      </c>
      <c r="E310" t="s">
        <v>140</v>
      </c>
      <c r="F310" t="s">
        <v>141</v>
      </c>
      <c r="G310">
        <v>33</v>
      </c>
      <c r="H310">
        <v>1791882490001</v>
      </c>
      <c r="I310" t="s">
        <v>46</v>
      </c>
      <c r="J310" t="s">
        <v>133</v>
      </c>
      <c r="K310" t="s">
        <v>48</v>
      </c>
      <c r="L310" t="s">
        <v>49</v>
      </c>
      <c r="M310" t="s">
        <v>50</v>
      </c>
      <c r="N310" t="s">
        <v>51</v>
      </c>
      <c r="O310">
        <v>4009220000</v>
      </c>
      <c r="P310" t="s">
        <v>142</v>
      </c>
      <c r="Q310" t="s">
        <v>67</v>
      </c>
      <c r="R310" t="s">
        <v>54</v>
      </c>
      <c r="S310" t="s">
        <v>55</v>
      </c>
      <c r="T310">
        <v>6</v>
      </c>
      <c r="U310">
        <v>3</v>
      </c>
      <c r="V310" t="s">
        <v>56</v>
      </c>
      <c r="W310">
        <v>0</v>
      </c>
      <c r="X310">
        <v>281.32</v>
      </c>
      <c r="Y310">
        <v>25.25</v>
      </c>
      <c r="Z310">
        <v>1.89</v>
      </c>
      <c r="AA310">
        <v>308.45</v>
      </c>
      <c r="AB310" t="s">
        <v>54</v>
      </c>
      <c r="AC310" t="s">
        <v>143</v>
      </c>
      <c r="AD310" t="s">
        <v>48</v>
      </c>
      <c r="AE310">
        <v>0</v>
      </c>
      <c r="AF310">
        <v>5.61</v>
      </c>
      <c r="AG310" t="s">
        <v>59</v>
      </c>
      <c r="AH310">
        <v>876053</v>
      </c>
      <c r="AI310" t="s">
        <v>60</v>
      </c>
      <c r="AJ310" t="s">
        <v>60</v>
      </c>
      <c r="AK310" t="s">
        <v>54</v>
      </c>
      <c r="AL310">
        <v>2024</v>
      </c>
      <c r="AM310" s="6" t="s">
        <v>484</v>
      </c>
      <c r="AN310" s="7">
        <v>93.77</v>
      </c>
      <c r="AO310" s="8">
        <f t="shared" si="15"/>
        <v>175.81874999999999</v>
      </c>
      <c r="AP310" s="8">
        <f t="shared" si="16"/>
        <v>195.33463125</v>
      </c>
      <c r="AQ310" s="9">
        <f t="shared" si="14"/>
        <v>284.80879312499997</v>
      </c>
    </row>
    <row r="311" spans="1:43" x14ac:dyDescent="0.25">
      <c r="A311">
        <v>20</v>
      </c>
      <c r="B311">
        <v>2</v>
      </c>
      <c r="C311">
        <v>2024</v>
      </c>
      <c r="D311" t="s">
        <v>43</v>
      </c>
      <c r="E311" t="s">
        <v>140</v>
      </c>
      <c r="F311" t="s">
        <v>141</v>
      </c>
      <c r="G311">
        <v>34</v>
      </c>
      <c r="H311">
        <v>1791882490001</v>
      </c>
      <c r="I311" t="s">
        <v>46</v>
      </c>
      <c r="J311" t="s">
        <v>133</v>
      </c>
      <c r="K311" t="s">
        <v>48</v>
      </c>
      <c r="L311" t="s">
        <v>49</v>
      </c>
      <c r="M311" t="s">
        <v>50</v>
      </c>
      <c r="N311" t="s">
        <v>51</v>
      </c>
      <c r="O311">
        <v>4009220000</v>
      </c>
      <c r="P311" t="s">
        <v>142</v>
      </c>
      <c r="Q311" t="s">
        <v>67</v>
      </c>
      <c r="R311" t="s">
        <v>54</v>
      </c>
      <c r="S311" t="s">
        <v>55</v>
      </c>
      <c r="T311">
        <v>6</v>
      </c>
      <c r="U311">
        <v>3</v>
      </c>
      <c r="V311" t="s">
        <v>56</v>
      </c>
      <c r="W311">
        <v>0</v>
      </c>
      <c r="X311">
        <v>267.19</v>
      </c>
      <c r="Y311">
        <v>23.98</v>
      </c>
      <c r="Z311">
        <v>1.8</v>
      </c>
      <c r="AA311">
        <v>292.97000000000003</v>
      </c>
      <c r="AB311" t="s">
        <v>54</v>
      </c>
      <c r="AC311" t="s">
        <v>143</v>
      </c>
      <c r="AD311" t="s">
        <v>48</v>
      </c>
      <c r="AE311">
        <v>0</v>
      </c>
      <c r="AF311">
        <v>5.61</v>
      </c>
      <c r="AG311" t="s">
        <v>59</v>
      </c>
      <c r="AH311">
        <v>876053</v>
      </c>
      <c r="AI311" t="s">
        <v>60</v>
      </c>
      <c r="AJ311" t="s">
        <v>60</v>
      </c>
      <c r="AK311" t="s">
        <v>54</v>
      </c>
      <c r="AL311">
        <v>2024</v>
      </c>
      <c r="AM311" s="6" t="s">
        <v>485</v>
      </c>
      <c r="AN311" s="7">
        <v>89.06</v>
      </c>
      <c r="AO311" s="8">
        <f t="shared" si="15"/>
        <v>166.98750000000001</v>
      </c>
      <c r="AP311" s="8">
        <f t="shared" si="16"/>
        <v>185.52311250000002</v>
      </c>
      <c r="AQ311" s="9">
        <f t="shared" si="14"/>
        <v>270.50305125</v>
      </c>
    </row>
    <row r="312" spans="1:43" x14ac:dyDescent="0.25">
      <c r="A312">
        <v>2</v>
      </c>
      <c r="B312">
        <v>1</v>
      </c>
      <c r="C312">
        <v>2024</v>
      </c>
      <c r="D312" t="s">
        <v>43</v>
      </c>
      <c r="E312" t="s">
        <v>181</v>
      </c>
      <c r="F312" t="s">
        <v>182</v>
      </c>
      <c r="G312">
        <v>14</v>
      </c>
      <c r="H312">
        <v>1791882490001</v>
      </c>
      <c r="I312" t="s">
        <v>46</v>
      </c>
      <c r="J312" t="s">
        <v>48</v>
      </c>
      <c r="K312" t="s">
        <v>48</v>
      </c>
      <c r="L312" t="s">
        <v>49</v>
      </c>
      <c r="M312" t="s">
        <v>50</v>
      </c>
      <c r="N312" t="s">
        <v>51</v>
      </c>
      <c r="O312">
        <v>8307100090</v>
      </c>
      <c r="P312" t="s">
        <v>52</v>
      </c>
      <c r="Q312" t="s">
        <v>67</v>
      </c>
      <c r="R312" t="s">
        <v>54</v>
      </c>
      <c r="S312" t="s">
        <v>55</v>
      </c>
      <c r="T312">
        <v>8</v>
      </c>
      <c r="U312">
        <v>1</v>
      </c>
      <c r="V312" t="s">
        <v>56</v>
      </c>
      <c r="W312">
        <v>0</v>
      </c>
      <c r="X312">
        <v>414.63</v>
      </c>
      <c r="Y312">
        <v>84.25</v>
      </c>
      <c r="Z312">
        <v>2.67</v>
      </c>
      <c r="AA312">
        <v>501.54</v>
      </c>
      <c r="AB312" t="s">
        <v>57</v>
      </c>
      <c r="AC312" t="s">
        <v>81</v>
      </c>
      <c r="AD312" t="s">
        <v>48</v>
      </c>
      <c r="AE312">
        <v>0</v>
      </c>
      <c r="AF312">
        <v>3.24</v>
      </c>
      <c r="AG312" t="s">
        <v>59</v>
      </c>
      <c r="AH312">
        <v>413505</v>
      </c>
      <c r="AI312" t="s">
        <v>60</v>
      </c>
      <c r="AJ312" t="s">
        <v>60</v>
      </c>
      <c r="AK312" t="s">
        <v>54</v>
      </c>
      <c r="AL312">
        <v>2023</v>
      </c>
      <c r="AM312" s="6" t="s">
        <v>486</v>
      </c>
      <c r="AN312" s="7">
        <v>414.63</v>
      </c>
      <c r="AO312" s="8">
        <f t="shared" si="15"/>
        <v>777.43124999999998</v>
      </c>
      <c r="AP312" s="8">
        <f t="shared" si="16"/>
        <v>863.72611874999996</v>
      </c>
      <c r="AQ312" s="9">
        <f t="shared" si="14"/>
        <v>1259.3608818749999</v>
      </c>
    </row>
    <row r="313" spans="1:43" x14ac:dyDescent="0.25">
      <c r="A313">
        <v>1</v>
      </c>
      <c r="B313">
        <v>2</v>
      </c>
      <c r="C313">
        <v>2024</v>
      </c>
      <c r="D313" t="s">
        <v>43</v>
      </c>
      <c r="E313" t="s">
        <v>174</v>
      </c>
      <c r="F313" t="s">
        <v>175</v>
      </c>
      <c r="G313">
        <v>8</v>
      </c>
      <c r="H313">
        <v>1791882490001</v>
      </c>
      <c r="I313" t="s">
        <v>46</v>
      </c>
      <c r="J313" t="s">
        <v>48</v>
      </c>
      <c r="K313" t="s">
        <v>48</v>
      </c>
      <c r="L313" t="s">
        <v>49</v>
      </c>
      <c r="M313" t="s">
        <v>50</v>
      </c>
      <c r="N313" t="s">
        <v>51</v>
      </c>
      <c r="O313">
        <v>8307100090</v>
      </c>
      <c r="P313" t="s">
        <v>66</v>
      </c>
      <c r="Q313" t="s">
        <v>67</v>
      </c>
      <c r="R313" t="s">
        <v>54</v>
      </c>
      <c r="S313" t="s">
        <v>55</v>
      </c>
      <c r="T313">
        <v>5</v>
      </c>
      <c r="U313">
        <v>3</v>
      </c>
      <c r="V313" t="s">
        <v>56</v>
      </c>
      <c r="W313">
        <v>0</v>
      </c>
      <c r="X313">
        <v>1236.48</v>
      </c>
      <c r="Y313">
        <v>91.92</v>
      </c>
      <c r="Z313">
        <v>7.39</v>
      </c>
      <c r="AA313">
        <v>1335.79</v>
      </c>
      <c r="AB313" t="s">
        <v>54</v>
      </c>
      <c r="AC313" t="s">
        <v>94</v>
      </c>
      <c r="AD313" t="s">
        <v>48</v>
      </c>
      <c r="AE313">
        <v>0</v>
      </c>
      <c r="AF313">
        <v>5.95</v>
      </c>
      <c r="AG313" t="s">
        <v>59</v>
      </c>
      <c r="AH313">
        <v>863266</v>
      </c>
      <c r="AI313" t="s">
        <v>60</v>
      </c>
      <c r="AJ313" t="s">
        <v>60</v>
      </c>
      <c r="AK313" t="s">
        <v>54</v>
      </c>
      <c r="AL313">
        <v>2023</v>
      </c>
      <c r="AM313" s="6" t="s">
        <v>486</v>
      </c>
      <c r="AN313" s="7">
        <v>412.16</v>
      </c>
      <c r="AO313" s="8">
        <f t="shared" si="15"/>
        <v>772.80000000000007</v>
      </c>
      <c r="AP313" s="8">
        <f t="shared" si="16"/>
        <v>858.58080000000007</v>
      </c>
      <c r="AQ313" s="9">
        <f t="shared" si="14"/>
        <v>1251.8587199999999</v>
      </c>
    </row>
    <row r="314" spans="1:43" x14ac:dyDescent="0.25">
      <c r="A314">
        <v>20</v>
      </c>
      <c r="B314">
        <v>2</v>
      </c>
      <c r="C314">
        <v>2024</v>
      </c>
      <c r="D314" t="s">
        <v>43</v>
      </c>
      <c r="E314" t="s">
        <v>140</v>
      </c>
      <c r="F314" t="s">
        <v>141</v>
      </c>
      <c r="G314">
        <v>35</v>
      </c>
      <c r="H314">
        <v>1791882490001</v>
      </c>
      <c r="I314" t="s">
        <v>46</v>
      </c>
      <c r="J314" t="s">
        <v>48</v>
      </c>
      <c r="K314" t="s">
        <v>48</v>
      </c>
      <c r="L314" t="s">
        <v>49</v>
      </c>
      <c r="M314" t="s">
        <v>50</v>
      </c>
      <c r="N314" t="s">
        <v>51</v>
      </c>
      <c r="O314">
        <v>8307100090</v>
      </c>
      <c r="P314" t="s">
        <v>66</v>
      </c>
      <c r="Q314" t="s">
        <v>67</v>
      </c>
      <c r="R314" t="s">
        <v>54</v>
      </c>
      <c r="S314" t="s">
        <v>55</v>
      </c>
      <c r="T314">
        <v>6</v>
      </c>
      <c r="U314">
        <v>2</v>
      </c>
      <c r="V314" t="s">
        <v>56</v>
      </c>
      <c r="W314">
        <v>0</v>
      </c>
      <c r="X314">
        <v>824.27</v>
      </c>
      <c r="Y314">
        <v>73.97</v>
      </c>
      <c r="Z314">
        <v>5.54</v>
      </c>
      <c r="AA314">
        <v>903.78</v>
      </c>
      <c r="AB314" t="s">
        <v>54</v>
      </c>
      <c r="AC314" t="s">
        <v>143</v>
      </c>
      <c r="AD314" t="s">
        <v>48</v>
      </c>
      <c r="AE314">
        <v>0</v>
      </c>
      <c r="AF314">
        <v>3.74</v>
      </c>
      <c r="AG314" t="s">
        <v>59</v>
      </c>
      <c r="AH314">
        <v>876053</v>
      </c>
      <c r="AI314" t="s">
        <v>60</v>
      </c>
      <c r="AJ314" t="s">
        <v>60</v>
      </c>
      <c r="AK314" t="s">
        <v>54</v>
      </c>
      <c r="AL314">
        <v>2024</v>
      </c>
      <c r="AM314" s="6" t="s">
        <v>486</v>
      </c>
      <c r="AN314" s="7">
        <v>412.14</v>
      </c>
      <c r="AO314" s="8">
        <f t="shared" si="15"/>
        <v>772.76249999999993</v>
      </c>
      <c r="AP314" s="8">
        <f t="shared" si="16"/>
        <v>858.53913749999992</v>
      </c>
      <c r="AQ314" s="9">
        <f t="shared" si="14"/>
        <v>1251.7979737499998</v>
      </c>
    </row>
    <row r="315" spans="1:43" x14ac:dyDescent="0.25">
      <c r="A315">
        <v>20</v>
      </c>
      <c r="B315">
        <v>2</v>
      </c>
      <c r="C315">
        <v>2024</v>
      </c>
      <c r="D315" t="s">
        <v>43</v>
      </c>
      <c r="E315" t="s">
        <v>140</v>
      </c>
      <c r="F315" t="s">
        <v>141</v>
      </c>
      <c r="G315">
        <v>36</v>
      </c>
      <c r="H315">
        <v>1791882490001</v>
      </c>
      <c r="I315" t="s">
        <v>46</v>
      </c>
      <c r="J315" t="s">
        <v>48</v>
      </c>
      <c r="K315" t="s">
        <v>48</v>
      </c>
      <c r="L315" t="s">
        <v>49</v>
      </c>
      <c r="M315" t="s">
        <v>50</v>
      </c>
      <c r="N315" t="s">
        <v>51</v>
      </c>
      <c r="O315">
        <v>8307100090</v>
      </c>
      <c r="P315" t="s">
        <v>66</v>
      </c>
      <c r="Q315" t="s">
        <v>67</v>
      </c>
      <c r="R315" t="s">
        <v>54</v>
      </c>
      <c r="S315" t="s">
        <v>55</v>
      </c>
      <c r="T315">
        <v>6</v>
      </c>
      <c r="U315">
        <v>1</v>
      </c>
      <c r="V315" t="s">
        <v>56</v>
      </c>
      <c r="W315">
        <v>0</v>
      </c>
      <c r="X315">
        <v>421.05</v>
      </c>
      <c r="Y315">
        <v>37.78</v>
      </c>
      <c r="Z315">
        <v>2.83</v>
      </c>
      <c r="AA315">
        <v>461.66</v>
      </c>
      <c r="AB315" t="s">
        <v>54</v>
      </c>
      <c r="AC315" t="s">
        <v>143</v>
      </c>
      <c r="AD315" t="s">
        <v>48</v>
      </c>
      <c r="AE315">
        <v>0</v>
      </c>
      <c r="AF315">
        <v>1.87</v>
      </c>
      <c r="AG315" t="s">
        <v>59</v>
      </c>
      <c r="AH315">
        <v>876053</v>
      </c>
      <c r="AI315" t="s">
        <v>60</v>
      </c>
      <c r="AJ315" t="s">
        <v>60</v>
      </c>
      <c r="AK315" t="s">
        <v>54</v>
      </c>
      <c r="AL315">
        <v>2024</v>
      </c>
      <c r="AM315" s="6" t="s">
        <v>487</v>
      </c>
      <c r="AN315" s="7">
        <v>421.05</v>
      </c>
      <c r="AO315" s="8">
        <f t="shared" si="15"/>
        <v>789.46875</v>
      </c>
      <c r="AP315" s="8">
        <f t="shared" si="16"/>
        <v>877.09978124999998</v>
      </c>
      <c r="AQ315" s="9">
        <f t="shared" si="14"/>
        <v>1278.860428125</v>
      </c>
    </row>
    <row r="316" spans="1:43" x14ac:dyDescent="0.25">
      <c r="A316">
        <v>20</v>
      </c>
      <c r="B316">
        <v>2</v>
      </c>
      <c r="C316">
        <v>2024</v>
      </c>
      <c r="D316" t="s">
        <v>43</v>
      </c>
      <c r="E316" t="s">
        <v>140</v>
      </c>
      <c r="F316" t="s">
        <v>141</v>
      </c>
      <c r="G316">
        <v>74</v>
      </c>
      <c r="H316">
        <v>1791882490001</v>
      </c>
      <c r="I316" t="s">
        <v>46</v>
      </c>
      <c r="J316" t="s">
        <v>48</v>
      </c>
      <c r="K316" t="s">
        <v>48</v>
      </c>
      <c r="L316" t="s">
        <v>49</v>
      </c>
      <c r="M316" t="s">
        <v>50</v>
      </c>
      <c r="N316" t="s">
        <v>51</v>
      </c>
      <c r="O316">
        <v>8307100090</v>
      </c>
      <c r="P316" t="s">
        <v>66</v>
      </c>
      <c r="Q316" t="s">
        <v>67</v>
      </c>
      <c r="R316" t="s">
        <v>54</v>
      </c>
      <c r="S316" t="s">
        <v>55</v>
      </c>
      <c r="T316">
        <v>6</v>
      </c>
      <c r="U316">
        <v>1</v>
      </c>
      <c r="V316" t="s">
        <v>56</v>
      </c>
      <c r="W316">
        <v>0</v>
      </c>
      <c r="X316">
        <v>316.66000000000003</v>
      </c>
      <c r="Y316">
        <v>28.42</v>
      </c>
      <c r="Z316">
        <v>2.13</v>
      </c>
      <c r="AA316">
        <v>347.2</v>
      </c>
      <c r="AB316" t="s">
        <v>54</v>
      </c>
      <c r="AC316" t="s">
        <v>143</v>
      </c>
      <c r="AD316" t="s">
        <v>48</v>
      </c>
      <c r="AE316">
        <v>0</v>
      </c>
      <c r="AF316">
        <v>1.87</v>
      </c>
      <c r="AG316" t="s">
        <v>59</v>
      </c>
      <c r="AH316">
        <v>876053</v>
      </c>
      <c r="AI316" t="s">
        <v>60</v>
      </c>
      <c r="AJ316" t="s">
        <v>60</v>
      </c>
      <c r="AK316" t="s">
        <v>54</v>
      </c>
      <c r="AL316">
        <v>2024</v>
      </c>
      <c r="AM316" s="6" t="s">
        <v>488</v>
      </c>
      <c r="AN316" s="7">
        <v>316.66000000000003</v>
      </c>
      <c r="AO316" s="8">
        <f t="shared" si="15"/>
        <v>593.73750000000007</v>
      </c>
      <c r="AP316" s="8">
        <f t="shared" si="16"/>
        <v>659.6423625000001</v>
      </c>
      <c r="AQ316" s="9">
        <f t="shared" si="14"/>
        <v>961.79537625</v>
      </c>
    </row>
    <row r="317" spans="1:43" x14ac:dyDescent="0.25">
      <c r="A317">
        <v>26</v>
      </c>
      <c r="B317">
        <v>12</v>
      </c>
      <c r="C317">
        <v>2024</v>
      </c>
      <c r="D317" t="s">
        <v>43</v>
      </c>
      <c r="E317" t="s">
        <v>222</v>
      </c>
      <c r="F317" t="s">
        <v>223</v>
      </c>
      <c r="G317">
        <v>12</v>
      </c>
      <c r="H317">
        <v>1791882490001</v>
      </c>
      <c r="I317" t="s">
        <v>46</v>
      </c>
      <c r="J317" t="s">
        <v>48</v>
      </c>
      <c r="K317" t="s">
        <v>48</v>
      </c>
      <c r="L317" t="s">
        <v>49</v>
      </c>
      <c r="M317" t="s">
        <v>50</v>
      </c>
      <c r="N317" t="s">
        <v>224</v>
      </c>
      <c r="O317">
        <v>8307100090</v>
      </c>
      <c r="P317" t="s">
        <v>52</v>
      </c>
      <c r="Q317" t="s">
        <v>67</v>
      </c>
      <c r="R317" t="s">
        <v>54</v>
      </c>
      <c r="S317" t="s">
        <v>55</v>
      </c>
      <c r="T317">
        <v>8</v>
      </c>
      <c r="U317">
        <v>1</v>
      </c>
      <c r="V317" t="s">
        <v>56</v>
      </c>
      <c r="W317">
        <v>0</v>
      </c>
      <c r="X317">
        <v>507.39</v>
      </c>
      <c r="Y317">
        <v>105.08</v>
      </c>
      <c r="Z317">
        <v>5.07</v>
      </c>
      <c r="AA317">
        <v>617.54999999999995</v>
      </c>
      <c r="AB317" t="s">
        <v>57</v>
      </c>
      <c r="AC317" t="s">
        <v>225</v>
      </c>
      <c r="AD317" t="s">
        <v>48</v>
      </c>
      <c r="AE317">
        <v>0</v>
      </c>
      <c r="AF317">
        <v>2.06</v>
      </c>
      <c r="AG317" t="s">
        <v>59</v>
      </c>
      <c r="AH317">
        <v>341996</v>
      </c>
      <c r="AI317" t="s">
        <v>60</v>
      </c>
      <c r="AJ317" t="s">
        <v>60</v>
      </c>
      <c r="AK317" t="s">
        <v>54</v>
      </c>
      <c r="AL317">
        <v>2024</v>
      </c>
      <c r="AM317" s="6" t="s">
        <v>489</v>
      </c>
      <c r="AN317" s="7">
        <v>507.39</v>
      </c>
      <c r="AO317" s="8">
        <f t="shared" si="15"/>
        <v>951.35624999999993</v>
      </c>
      <c r="AP317" s="8">
        <f t="shared" si="16"/>
        <v>1056.9567937499999</v>
      </c>
      <c r="AQ317" s="9">
        <f t="shared" si="14"/>
        <v>1541.1019893749999</v>
      </c>
    </row>
    <row r="318" spans="1:43" x14ac:dyDescent="0.25">
      <c r="A318">
        <v>12</v>
      </c>
      <c r="B318">
        <v>6</v>
      </c>
      <c r="C318">
        <v>2024</v>
      </c>
      <c r="D318" t="s">
        <v>43</v>
      </c>
      <c r="E318" t="s">
        <v>96</v>
      </c>
      <c r="F318" t="s">
        <v>97</v>
      </c>
      <c r="G318">
        <v>23</v>
      </c>
      <c r="H318">
        <v>1791882490001</v>
      </c>
      <c r="I318" t="s">
        <v>46</v>
      </c>
      <c r="J318" t="s">
        <v>48</v>
      </c>
      <c r="K318" t="s">
        <v>48</v>
      </c>
      <c r="L318" t="s">
        <v>49</v>
      </c>
      <c r="M318" t="s">
        <v>50</v>
      </c>
      <c r="N318" t="s">
        <v>51</v>
      </c>
      <c r="O318">
        <v>8307100090</v>
      </c>
      <c r="P318" t="s">
        <v>66</v>
      </c>
      <c r="Q318" t="s">
        <v>67</v>
      </c>
      <c r="R318" t="s">
        <v>54</v>
      </c>
      <c r="S318" t="s">
        <v>55</v>
      </c>
      <c r="T318">
        <v>7</v>
      </c>
      <c r="U318">
        <v>1</v>
      </c>
      <c r="V318" t="s">
        <v>56</v>
      </c>
      <c r="W318">
        <v>0</v>
      </c>
      <c r="X318">
        <v>450.64</v>
      </c>
      <c r="Y318">
        <v>39.08</v>
      </c>
      <c r="Z318">
        <v>3.03</v>
      </c>
      <c r="AA318">
        <v>492.76</v>
      </c>
      <c r="AB318" t="s">
        <v>57</v>
      </c>
      <c r="AC318" t="s">
        <v>94</v>
      </c>
      <c r="AD318" t="s">
        <v>48</v>
      </c>
      <c r="AE318">
        <v>0</v>
      </c>
      <c r="AF318">
        <v>1.8</v>
      </c>
      <c r="AG318" t="s">
        <v>59</v>
      </c>
      <c r="AH318" t="s">
        <v>98</v>
      </c>
      <c r="AI318" t="s">
        <v>60</v>
      </c>
      <c r="AJ318" t="s">
        <v>60</v>
      </c>
      <c r="AK318" t="s">
        <v>54</v>
      </c>
      <c r="AL318">
        <v>2024</v>
      </c>
      <c r="AM318" s="6" t="s">
        <v>490</v>
      </c>
      <c r="AN318" s="7">
        <v>450.64</v>
      </c>
      <c r="AO318" s="8">
        <f t="shared" si="15"/>
        <v>844.94999999999993</v>
      </c>
      <c r="AP318" s="8">
        <f t="shared" si="16"/>
        <v>938.73944999999992</v>
      </c>
      <c r="AQ318" s="9">
        <f t="shared" si="14"/>
        <v>1368.7345049999999</v>
      </c>
    </row>
    <row r="319" spans="1:43" x14ac:dyDescent="0.25">
      <c r="A319">
        <v>1</v>
      </c>
      <c r="B319">
        <v>2</v>
      </c>
      <c r="C319">
        <v>2024</v>
      </c>
      <c r="D319" t="s">
        <v>43</v>
      </c>
      <c r="E319" t="s">
        <v>174</v>
      </c>
      <c r="F319" t="s">
        <v>175</v>
      </c>
      <c r="G319">
        <v>9</v>
      </c>
      <c r="H319">
        <v>1791882490001</v>
      </c>
      <c r="I319" t="s">
        <v>46</v>
      </c>
      <c r="J319" t="s">
        <v>65</v>
      </c>
      <c r="K319" t="s">
        <v>48</v>
      </c>
      <c r="L319" t="s">
        <v>49</v>
      </c>
      <c r="M319" t="s">
        <v>50</v>
      </c>
      <c r="N319" t="s">
        <v>51</v>
      </c>
      <c r="O319">
        <v>3917399000</v>
      </c>
      <c r="P319" t="s">
        <v>66</v>
      </c>
      <c r="Q319" t="s">
        <v>67</v>
      </c>
      <c r="R319" t="s">
        <v>54</v>
      </c>
      <c r="S319" t="s">
        <v>55</v>
      </c>
      <c r="T319">
        <v>5</v>
      </c>
      <c r="U319">
        <v>2</v>
      </c>
      <c r="V319" t="s">
        <v>56</v>
      </c>
      <c r="W319">
        <v>0</v>
      </c>
      <c r="X319">
        <v>203.13</v>
      </c>
      <c r="Y319">
        <v>15.1</v>
      </c>
      <c r="Z319">
        <v>1.21</v>
      </c>
      <c r="AA319">
        <v>219.44</v>
      </c>
      <c r="AB319" t="s">
        <v>54</v>
      </c>
      <c r="AC319" t="s">
        <v>94</v>
      </c>
      <c r="AD319" t="s">
        <v>48</v>
      </c>
      <c r="AE319">
        <v>0</v>
      </c>
      <c r="AF319">
        <v>3.97</v>
      </c>
      <c r="AG319" t="s">
        <v>59</v>
      </c>
      <c r="AH319">
        <v>863266</v>
      </c>
      <c r="AI319" t="s">
        <v>60</v>
      </c>
      <c r="AJ319" t="s">
        <v>60</v>
      </c>
      <c r="AK319" t="s">
        <v>54</v>
      </c>
      <c r="AL319">
        <v>2023</v>
      </c>
      <c r="AM319" s="6" t="s">
        <v>491</v>
      </c>
      <c r="AN319" s="7">
        <v>101.56</v>
      </c>
      <c r="AO319" s="8">
        <f t="shared" si="15"/>
        <v>190.42500000000001</v>
      </c>
      <c r="AP319" s="8">
        <f t="shared" si="16"/>
        <v>211.562175</v>
      </c>
      <c r="AQ319" s="9">
        <f t="shared" si="14"/>
        <v>308.46945749999998</v>
      </c>
    </row>
    <row r="320" spans="1:43" x14ac:dyDescent="0.25">
      <c r="A320">
        <v>16</v>
      </c>
      <c r="B320">
        <v>12</v>
      </c>
      <c r="C320">
        <v>2024</v>
      </c>
      <c r="D320" t="s">
        <v>43</v>
      </c>
      <c r="E320" t="s">
        <v>128</v>
      </c>
      <c r="F320" t="s">
        <v>129</v>
      </c>
      <c r="G320">
        <v>21</v>
      </c>
      <c r="H320">
        <v>1791882490001</v>
      </c>
      <c r="I320" t="s">
        <v>46</v>
      </c>
      <c r="J320" t="s">
        <v>133</v>
      </c>
      <c r="K320" t="s">
        <v>48</v>
      </c>
      <c r="L320" t="s">
        <v>49</v>
      </c>
      <c r="M320" t="s">
        <v>50</v>
      </c>
      <c r="N320" t="s">
        <v>51</v>
      </c>
      <c r="O320">
        <v>8481809990</v>
      </c>
      <c r="P320" t="s">
        <v>232</v>
      </c>
      <c r="Q320" t="s">
        <v>492</v>
      </c>
      <c r="R320" t="s">
        <v>54</v>
      </c>
      <c r="S320" t="s">
        <v>55</v>
      </c>
      <c r="T320">
        <v>9</v>
      </c>
      <c r="U320">
        <v>1</v>
      </c>
      <c r="V320" t="s">
        <v>135</v>
      </c>
      <c r="W320">
        <v>0</v>
      </c>
      <c r="X320">
        <v>284.27</v>
      </c>
      <c r="Y320">
        <v>37.229999999999997</v>
      </c>
      <c r="Z320">
        <v>1.95</v>
      </c>
      <c r="AA320">
        <v>323.45</v>
      </c>
      <c r="AB320" t="s">
        <v>57</v>
      </c>
      <c r="AC320" t="s">
        <v>131</v>
      </c>
      <c r="AD320" t="s">
        <v>48</v>
      </c>
      <c r="AE320">
        <v>0</v>
      </c>
      <c r="AF320">
        <v>1.99</v>
      </c>
      <c r="AG320" t="s">
        <v>59</v>
      </c>
      <c r="AH320">
        <v>325395</v>
      </c>
      <c r="AI320" t="s">
        <v>60</v>
      </c>
      <c r="AJ320" t="s">
        <v>78</v>
      </c>
      <c r="AK320" t="s">
        <v>54</v>
      </c>
      <c r="AL320">
        <v>2024</v>
      </c>
      <c r="AM320" s="6" t="s">
        <v>493</v>
      </c>
      <c r="AN320" s="7">
        <v>284.27</v>
      </c>
      <c r="AO320" s="8">
        <f t="shared" si="15"/>
        <v>533.00624999999991</v>
      </c>
      <c r="AP320" s="8">
        <f t="shared" si="16"/>
        <v>592.1699437499999</v>
      </c>
      <c r="AQ320" s="9">
        <f t="shared" si="14"/>
        <v>863.41682437499981</v>
      </c>
    </row>
    <row r="321" spans="1:43" x14ac:dyDescent="0.25">
      <c r="A321">
        <v>3</v>
      </c>
      <c r="B321">
        <v>4</v>
      </c>
      <c r="C321">
        <v>2024</v>
      </c>
      <c r="D321" t="s">
        <v>43</v>
      </c>
      <c r="E321" t="s">
        <v>73</v>
      </c>
      <c r="F321" t="s">
        <v>74</v>
      </c>
      <c r="G321">
        <v>16</v>
      </c>
      <c r="H321">
        <v>1791882490001</v>
      </c>
      <c r="I321" t="s">
        <v>46</v>
      </c>
      <c r="J321" t="s">
        <v>65</v>
      </c>
      <c r="K321" t="s">
        <v>48</v>
      </c>
      <c r="L321" t="s">
        <v>49</v>
      </c>
      <c r="M321" t="s">
        <v>50</v>
      </c>
      <c r="N321" t="s">
        <v>51</v>
      </c>
      <c r="O321">
        <v>8414901000</v>
      </c>
      <c r="P321" t="s">
        <v>357</v>
      </c>
      <c r="Q321" t="s">
        <v>494</v>
      </c>
      <c r="R321" t="s">
        <v>54</v>
      </c>
      <c r="S321" t="s">
        <v>55</v>
      </c>
      <c r="T321">
        <v>6</v>
      </c>
      <c r="U321">
        <v>3</v>
      </c>
      <c r="V321" t="s">
        <v>135</v>
      </c>
      <c r="W321">
        <v>0</v>
      </c>
      <c r="X321">
        <v>470.64</v>
      </c>
      <c r="Y321">
        <v>54.97</v>
      </c>
      <c r="Z321">
        <v>3.08</v>
      </c>
      <c r="AA321">
        <v>528.69000000000005</v>
      </c>
      <c r="AB321" t="s">
        <v>57</v>
      </c>
      <c r="AC321" t="s">
        <v>58</v>
      </c>
      <c r="AD321" t="s">
        <v>48</v>
      </c>
      <c r="AE321">
        <v>0</v>
      </c>
      <c r="AF321">
        <v>4</v>
      </c>
      <c r="AG321" t="s">
        <v>59</v>
      </c>
      <c r="AH321">
        <v>438183</v>
      </c>
      <c r="AI321" t="s">
        <v>60</v>
      </c>
      <c r="AJ321" t="s">
        <v>60</v>
      </c>
      <c r="AK321" t="s">
        <v>54</v>
      </c>
      <c r="AL321">
        <v>2024</v>
      </c>
      <c r="AM321" s="6" t="s">
        <v>495</v>
      </c>
      <c r="AN321" s="7">
        <v>156.88</v>
      </c>
      <c r="AO321" s="8">
        <f t="shared" si="15"/>
        <v>294.14999999999998</v>
      </c>
      <c r="AP321" s="8">
        <f t="shared" si="16"/>
        <v>326.80064999999996</v>
      </c>
      <c r="AQ321" s="9">
        <f t="shared" si="14"/>
        <v>476.49358499999994</v>
      </c>
    </row>
    <row r="322" spans="1:43" x14ac:dyDescent="0.25">
      <c r="A322">
        <v>2</v>
      </c>
      <c r="B322">
        <v>1</v>
      </c>
      <c r="C322">
        <v>2024</v>
      </c>
      <c r="D322" t="s">
        <v>43</v>
      </c>
      <c r="E322" t="s">
        <v>181</v>
      </c>
      <c r="F322" t="s">
        <v>182</v>
      </c>
      <c r="G322">
        <v>49</v>
      </c>
      <c r="H322">
        <v>1791882490001</v>
      </c>
      <c r="I322" t="s">
        <v>46</v>
      </c>
      <c r="J322" t="s">
        <v>106</v>
      </c>
      <c r="K322" t="s">
        <v>48</v>
      </c>
      <c r="L322" t="s">
        <v>49</v>
      </c>
      <c r="M322" t="s">
        <v>50</v>
      </c>
      <c r="N322" t="s">
        <v>51</v>
      </c>
      <c r="O322">
        <v>7304490000</v>
      </c>
      <c r="P322" t="s">
        <v>52</v>
      </c>
      <c r="Q322" t="s">
        <v>496</v>
      </c>
      <c r="R322" t="s">
        <v>54</v>
      </c>
      <c r="S322" t="s">
        <v>55</v>
      </c>
      <c r="T322">
        <v>8</v>
      </c>
      <c r="U322">
        <v>1</v>
      </c>
      <c r="V322" t="s">
        <v>56</v>
      </c>
      <c r="W322">
        <v>0</v>
      </c>
      <c r="X322">
        <v>27.93</v>
      </c>
      <c r="Y322">
        <v>5.67</v>
      </c>
      <c r="Z322">
        <v>0.18</v>
      </c>
      <c r="AA322">
        <v>33.78</v>
      </c>
      <c r="AB322" t="s">
        <v>57</v>
      </c>
      <c r="AC322" t="s">
        <v>81</v>
      </c>
      <c r="AD322" t="s">
        <v>48</v>
      </c>
      <c r="AE322">
        <v>0</v>
      </c>
      <c r="AF322">
        <v>3.24</v>
      </c>
      <c r="AG322" t="s">
        <v>59</v>
      </c>
      <c r="AH322">
        <v>413505</v>
      </c>
      <c r="AI322" t="s">
        <v>60</v>
      </c>
      <c r="AJ322" t="s">
        <v>60</v>
      </c>
      <c r="AK322" t="s">
        <v>54</v>
      </c>
      <c r="AL322">
        <v>2023</v>
      </c>
      <c r="AM322" s="6" t="s">
        <v>497</v>
      </c>
      <c r="AN322" s="7">
        <v>27.93</v>
      </c>
      <c r="AO322" s="8">
        <f t="shared" si="15"/>
        <v>52.368749999999999</v>
      </c>
      <c r="AP322" s="8">
        <f t="shared" si="16"/>
        <v>58.181681249999997</v>
      </c>
      <c r="AQ322" s="9">
        <f t="shared" si="14"/>
        <v>84.832138124999986</v>
      </c>
    </row>
    <row r="323" spans="1:43" x14ac:dyDescent="0.25">
      <c r="A323">
        <v>20</v>
      </c>
      <c r="B323">
        <v>2</v>
      </c>
      <c r="C323">
        <v>2024</v>
      </c>
      <c r="D323" t="s">
        <v>43</v>
      </c>
      <c r="E323" t="s">
        <v>140</v>
      </c>
      <c r="F323" t="s">
        <v>141</v>
      </c>
      <c r="G323">
        <v>75</v>
      </c>
      <c r="H323">
        <v>1791882490001</v>
      </c>
      <c r="I323" t="s">
        <v>46</v>
      </c>
      <c r="J323" t="s">
        <v>65</v>
      </c>
      <c r="K323" t="s">
        <v>48</v>
      </c>
      <c r="L323" t="s">
        <v>49</v>
      </c>
      <c r="M323" t="s">
        <v>50</v>
      </c>
      <c r="N323" t="s">
        <v>51</v>
      </c>
      <c r="O323">
        <v>7304490000</v>
      </c>
      <c r="P323" t="s">
        <v>66</v>
      </c>
      <c r="Q323" t="s">
        <v>53</v>
      </c>
      <c r="R323" t="s">
        <v>54</v>
      </c>
      <c r="S323" t="s">
        <v>55</v>
      </c>
      <c r="T323">
        <v>6</v>
      </c>
      <c r="U323">
        <v>2</v>
      </c>
      <c r="V323" t="s">
        <v>56</v>
      </c>
      <c r="W323">
        <v>0</v>
      </c>
      <c r="X323">
        <v>57.57</v>
      </c>
      <c r="Y323">
        <v>5.17</v>
      </c>
      <c r="Z323">
        <v>0.39</v>
      </c>
      <c r="AA323">
        <v>63.13</v>
      </c>
      <c r="AB323" t="s">
        <v>54</v>
      </c>
      <c r="AC323" t="s">
        <v>143</v>
      </c>
      <c r="AD323" t="s">
        <v>48</v>
      </c>
      <c r="AE323">
        <v>0</v>
      </c>
      <c r="AF323">
        <v>3.74</v>
      </c>
      <c r="AG323" t="s">
        <v>59</v>
      </c>
      <c r="AH323">
        <v>876053</v>
      </c>
      <c r="AI323" t="s">
        <v>60</v>
      </c>
      <c r="AJ323" t="s">
        <v>60</v>
      </c>
      <c r="AK323" t="s">
        <v>54</v>
      </c>
      <c r="AL323">
        <v>2024</v>
      </c>
      <c r="AM323" s="6" t="s">
        <v>497</v>
      </c>
      <c r="AN323" s="7">
        <v>28.79</v>
      </c>
      <c r="AO323" s="8">
        <f t="shared" si="15"/>
        <v>53.981249999999996</v>
      </c>
      <c r="AP323" s="8">
        <f t="shared" si="16"/>
        <v>59.973168749999992</v>
      </c>
      <c r="AQ323" s="9">
        <f t="shared" ref="AQ323:AQ386" si="17">SUM(AO323)*1.6199</f>
        <v>87.444226874999984</v>
      </c>
    </row>
    <row r="324" spans="1:43" x14ac:dyDescent="0.25">
      <c r="A324">
        <v>16</v>
      </c>
      <c r="B324">
        <v>12</v>
      </c>
      <c r="C324">
        <v>2024</v>
      </c>
      <c r="D324" t="s">
        <v>43</v>
      </c>
      <c r="E324" t="s">
        <v>128</v>
      </c>
      <c r="F324" t="s">
        <v>129</v>
      </c>
      <c r="G324">
        <v>22</v>
      </c>
      <c r="H324">
        <v>1791882490001</v>
      </c>
      <c r="I324" t="s">
        <v>46</v>
      </c>
      <c r="J324" t="s">
        <v>106</v>
      </c>
      <c r="K324" t="s">
        <v>48</v>
      </c>
      <c r="L324" t="s">
        <v>49</v>
      </c>
      <c r="M324" t="s">
        <v>50</v>
      </c>
      <c r="N324" t="s">
        <v>51</v>
      </c>
      <c r="O324">
        <v>7304490000</v>
      </c>
      <c r="P324" t="s">
        <v>52</v>
      </c>
      <c r="Q324" t="s">
        <v>53</v>
      </c>
      <c r="R324" t="s">
        <v>54</v>
      </c>
      <c r="S324" t="s">
        <v>55</v>
      </c>
      <c r="T324">
        <v>9</v>
      </c>
      <c r="U324">
        <v>1</v>
      </c>
      <c r="V324" t="s">
        <v>56</v>
      </c>
      <c r="W324">
        <v>0</v>
      </c>
      <c r="X324">
        <v>28.87</v>
      </c>
      <c r="Y324">
        <v>3.78</v>
      </c>
      <c r="Z324">
        <v>0.2</v>
      </c>
      <c r="AA324">
        <v>32.85</v>
      </c>
      <c r="AB324" t="s">
        <v>57</v>
      </c>
      <c r="AC324" t="s">
        <v>131</v>
      </c>
      <c r="AD324" t="s">
        <v>48</v>
      </c>
      <c r="AE324">
        <v>0</v>
      </c>
      <c r="AF324">
        <v>1.99</v>
      </c>
      <c r="AG324" t="s">
        <v>59</v>
      </c>
      <c r="AH324">
        <v>325395</v>
      </c>
      <c r="AI324" t="s">
        <v>60</v>
      </c>
      <c r="AJ324" t="s">
        <v>78</v>
      </c>
      <c r="AK324" t="s">
        <v>54</v>
      </c>
      <c r="AL324">
        <v>2024</v>
      </c>
      <c r="AM324" s="6" t="s">
        <v>497</v>
      </c>
      <c r="AN324" s="7">
        <v>28.87</v>
      </c>
      <c r="AO324" s="8">
        <f t="shared" si="15"/>
        <v>54.131250000000001</v>
      </c>
      <c r="AP324" s="8">
        <f t="shared" si="16"/>
        <v>60.139818750000003</v>
      </c>
      <c r="AQ324" s="9">
        <f t="shared" si="17"/>
        <v>87.687211875000003</v>
      </c>
    </row>
    <row r="325" spans="1:43" x14ac:dyDescent="0.25">
      <c r="A325">
        <v>26</v>
      </c>
      <c r="B325">
        <v>12</v>
      </c>
      <c r="C325">
        <v>2024</v>
      </c>
      <c r="D325" t="s">
        <v>43</v>
      </c>
      <c r="E325" t="s">
        <v>222</v>
      </c>
      <c r="F325" t="s">
        <v>223</v>
      </c>
      <c r="G325">
        <v>13</v>
      </c>
      <c r="H325">
        <v>1791882490001</v>
      </c>
      <c r="I325" t="s">
        <v>46</v>
      </c>
      <c r="J325" t="s">
        <v>106</v>
      </c>
      <c r="K325" t="s">
        <v>48</v>
      </c>
      <c r="L325" t="s">
        <v>49</v>
      </c>
      <c r="M325" t="s">
        <v>50</v>
      </c>
      <c r="N325" t="s">
        <v>224</v>
      </c>
      <c r="O325">
        <v>7304490000</v>
      </c>
      <c r="P325" t="s">
        <v>52</v>
      </c>
      <c r="Q325" t="s">
        <v>53</v>
      </c>
      <c r="R325" t="s">
        <v>54</v>
      </c>
      <c r="S325" t="s">
        <v>55</v>
      </c>
      <c r="T325">
        <v>8</v>
      </c>
      <c r="U325">
        <v>2</v>
      </c>
      <c r="V325" t="s">
        <v>56</v>
      </c>
      <c r="W325">
        <v>0</v>
      </c>
      <c r="X325">
        <v>59.46</v>
      </c>
      <c r="Y325">
        <v>12.31</v>
      </c>
      <c r="Z325">
        <v>0.6</v>
      </c>
      <c r="AA325">
        <v>72.37</v>
      </c>
      <c r="AB325" t="s">
        <v>57</v>
      </c>
      <c r="AC325" t="s">
        <v>225</v>
      </c>
      <c r="AD325" t="s">
        <v>48</v>
      </c>
      <c r="AE325">
        <v>0</v>
      </c>
      <c r="AF325">
        <v>4.12</v>
      </c>
      <c r="AG325" t="s">
        <v>59</v>
      </c>
      <c r="AH325">
        <v>341996</v>
      </c>
      <c r="AI325" t="s">
        <v>60</v>
      </c>
      <c r="AJ325" t="s">
        <v>60</v>
      </c>
      <c r="AK325" t="s">
        <v>54</v>
      </c>
      <c r="AL325">
        <v>2024</v>
      </c>
      <c r="AM325" s="6" t="s">
        <v>497</v>
      </c>
      <c r="AN325" s="7">
        <v>29.73</v>
      </c>
      <c r="AO325" s="8">
        <f t="shared" si="15"/>
        <v>55.743749999999999</v>
      </c>
      <c r="AP325" s="8">
        <f t="shared" si="16"/>
        <v>61.931306249999999</v>
      </c>
      <c r="AQ325" s="9">
        <f t="shared" si="17"/>
        <v>90.299300624999987</v>
      </c>
    </row>
    <row r="326" spans="1:43" x14ac:dyDescent="0.25">
      <c r="A326">
        <v>12</v>
      </c>
      <c r="B326">
        <v>6</v>
      </c>
      <c r="C326">
        <v>2024</v>
      </c>
      <c r="D326" t="s">
        <v>43</v>
      </c>
      <c r="E326" t="s">
        <v>96</v>
      </c>
      <c r="F326" t="s">
        <v>97</v>
      </c>
      <c r="G326">
        <v>24</v>
      </c>
      <c r="H326">
        <v>1791882490001</v>
      </c>
      <c r="I326" t="s">
        <v>46</v>
      </c>
      <c r="J326" t="s">
        <v>48</v>
      </c>
      <c r="K326" t="s">
        <v>48</v>
      </c>
      <c r="L326" t="s">
        <v>49</v>
      </c>
      <c r="M326" t="s">
        <v>50</v>
      </c>
      <c r="N326" t="s">
        <v>51</v>
      </c>
      <c r="O326">
        <v>8414901000</v>
      </c>
      <c r="P326" t="s">
        <v>357</v>
      </c>
      <c r="Q326" t="s">
        <v>498</v>
      </c>
      <c r="R326" t="s">
        <v>54</v>
      </c>
      <c r="S326" t="s">
        <v>55</v>
      </c>
      <c r="T326">
        <v>7</v>
      </c>
      <c r="U326">
        <v>1</v>
      </c>
      <c r="V326" t="s">
        <v>135</v>
      </c>
      <c r="W326">
        <v>0</v>
      </c>
      <c r="X326">
        <v>686.34</v>
      </c>
      <c r="Y326">
        <v>59.52</v>
      </c>
      <c r="Z326">
        <v>4.62</v>
      </c>
      <c r="AA326">
        <v>750.49</v>
      </c>
      <c r="AB326" t="s">
        <v>57</v>
      </c>
      <c r="AC326" t="s">
        <v>94</v>
      </c>
      <c r="AD326" t="s">
        <v>48</v>
      </c>
      <c r="AE326">
        <v>0</v>
      </c>
      <c r="AF326">
        <v>1.8</v>
      </c>
      <c r="AG326" t="s">
        <v>59</v>
      </c>
      <c r="AH326" t="s">
        <v>98</v>
      </c>
      <c r="AI326" t="s">
        <v>60</v>
      </c>
      <c r="AJ326" t="s">
        <v>60</v>
      </c>
      <c r="AK326" t="s">
        <v>54</v>
      </c>
      <c r="AL326">
        <v>2024</v>
      </c>
      <c r="AM326" s="6" t="s">
        <v>499</v>
      </c>
      <c r="AN326" s="7">
        <v>686.34</v>
      </c>
      <c r="AO326" s="8">
        <f t="shared" si="15"/>
        <v>1286.8875</v>
      </c>
      <c r="AP326" s="8">
        <f t="shared" si="16"/>
        <v>1429.7320125000001</v>
      </c>
      <c r="AQ326" s="9">
        <f t="shared" si="17"/>
        <v>2084.6290612499997</v>
      </c>
    </row>
    <row r="327" spans="1:43" x14ac:dyDescent="0.25">
      <c r="A327">
        <v>2</v>
      </c>
      <c r="B327">
        <v>1</v>
      </c>
      <c r="C327">
        <v>2024</v>
      </c>
      <c r="D327" t="s">
        <v>43</v>
      </c>
      <c r="E327" t="s">
        <v>181</v>
      </c>
      <c r="F327" t="s">
        <v>182</v>
      </c>
      <c r="G327">
        <v>15</v>
      </c>
      <c r="H327">
        <v>1791882490001</v>
      </c>
      <c r="I327" t="s">
        <v>46</v>
      </c>
      <c r="J327" t="s">
        <v>48</v>
      </c>
      <c r="K327" t="s">
        <v>48</v>
      </c>
      <c r="L327" t="s">
        <v>49</v>
      </c>
      <c r="M327" t="s">
        <v>50</v>
      </c>
      <c r="N327" t="s">
        <v>51</v>
      </c>
      <c r="O327">
        <v>8481100000</v>
      </c>
      <c r="P327" t="s">
        <v>500</v>
      </c>
      <c r="Q327" t="s">
        <v>291</v>
      </c>
      <c r="R327" t="s">
        <v>54</v>
      </c>
      <c r="S327" t="s">
        <v>55</v>
      </c>
      <c r="T327">
        <v>8</v>
      </c>
      <c r="U327">
        <v>2</v>
      </c>
      <c r="V327" t="s">
        <v>135</v>
      </c>
      <c r="W327">
        <v>0</v>
      </c>
      <c r="X327">
        <v>494.72</v>
      </c>
      <c r="Y327">
        <v>100.52</v>
      </c>
      <c r="Z327">
        <v>3.18</v>
      </c>
      <c r="AA327">
        <v>598.41999999999996</v>
      </c>
      <c r="AB327" t="s">
        <v>57</v>
      </c>
      <c r="AC327" t="s">
        <v>81</v>
      </c>
      <c r="AD327" t="s">
        <v>48</v>
      </c>
      <c r="AE327">
        <v>0</v>
      </c>
      <c r="AF327">
        <v>6.48</v>
      </c>
      <c r="AG327" t="s">
        <v>59</v>
      </c>
      <c r="AH327">
        <v>413505</v>
      </c>
      <c r="AI327" t="s">
        <v>60</v>
      </c>
      <c r="AJ327" t="s">
        <v>60</v>
      </c>
      <c r="AK327" t="s">
        <v>54</v>
      </c>
      <c r="AL327">
        <v>2023</v>
      </c>
      <c r="AM327" s="6" t="s">
        <v>501</v>
      </c>
      <c r="AN327" s="7">
        <v>247.36</v>
      </c>
      <c r="AO327" s="8">
        <f t="shared" si="15"/>
        <v>463.8</v>
      </c>
      <c r="AP327" s="8">
        <f t="shared" si="16"/>
        <v>515.28179999999998</v>
      </c>
      <c r="AQ327" s="9">
        <f t="shared" si="17"/>
        <v>751.30962</v>
      </c>
    </row>
    <row r="328" spans="1:43" x14ac:dyDescent="0.25">
      <c r="A328">
        <v>20</v>
      </c>
      <c r="B328">
        <v>2</v>
      </c>
      <c r="C328">
        <v>2024</v>
      </c>
      <c r="D328" t="s">
        <v>43</v>
      </c>
      <c r="E328" t="s">
        <v>140</v>
      </c>
      <c r="F328" t="s">
        <v>141</v>
      </c>
      <c r="G328">
        <v>37</v>
      </c>
      <c r="H328">
        <v>1791882490001</v>
      </c>
      <c r="I328" t="s">
        <v>46</v>
      </c>
      <c r="J328" t="s">
        <v>48</v>
      </c>
      <c r="K328" t="s">
        <v>48</v>
      </c>
      <c r="L328" t="s">
        <v>49</v>
      </c>
      <c r="M328" t="s">
        <v>50</v>
      </c>
      <c r="N328" t="s">
        <v>51</v>
      </c>
      <c r="O328">
        <v>8307100090</v>
      </c>
      <c r="P328" t="s">
        <v>66</v>
      </c>
      <c r="Q328" t="s">
        <v>67</v>
      </c>
      <c r="R328" t="s">
        <v>54</v>
      </c>
      <c r="S328" t="s">
        <v>55</v>
      </c>
      <c r="T328">
        <v>6</v>
      </c>
      <c r="U328">
        <v>1</v>
      </c>
      <c r="V328" t="s">
        <v>56</v>
      </c>
      <c r="W328">
        <v>0</v>
      </c>
      <c r="X328">
        <v>442.9</v>
      </c>
      <c r="Y328">
        <v>39.74</v>
      </c>
      <c r="Z328">
        <v>2.98</v>
      </c>
      <c r="AA328">
        <v>485.62</v>
      </c>
      <c r="AB328" t="s">
        <v>54</v>
      </c>
      <c r="AC328" t="s">
        <v>143</v>
      </c>
      <c r="AD328" t="s">
        <v>48</v>
      </c>
      <c r="AE328">
        <v>0</v>
      </c>
      <c r="AF328">
        <v>1.87</v>
      </c>
      <c r="AG328" t="s">
        <v>59</v>
      </c>
      <c r="AH328">
        <v>876053</v>
      </c>
      <c r="AI328" t="s">
        <v>60</v>
      </c>
      <c r="AJ328" t="s">
        <v>60</v>
      </c>
      <c r="AK328" t="s">
        <v>54</v>
      </c>
      <c r="AL328">
        <v>2024</v>
      </c>
      <c r="AM328" s="6" t="s">
        <v>502</v>
      </c>
      <c r="AN328" s="7">
        <v>442.9</v>
      </c>
      <c r="AO328" s="8">
        <f t="shared" si="15"/>
        <v>830.4375</v>
      </c>
      <c r="AP328" s="8">
        <f t="shared" si="16"/>
        <v>922.6160625</v>
      </c>
      <c r="AQ328" s="9">
        <f t="shared" si="17"/>
        <v>1345.2257062499998</v>
      </c>
    </row>
    <row r="329" spans="1:43" x14ac:dyDescent="0.25">
      <c r="A329">
        <v>11</v>
      </c>
      <c r="B329">
        <v>6</v>
      </c>
      <c r="C329">
        <v>2024</v>
      </c>
      <c r="D329" t="s">
        <v>43</v>
      </c>
      <c r="E329" t="s">
        <v>503</v>
      </c>
      <c r="F329" t="s">
        <v>504</v>
      </c>
      <c r="G329">
        <v>1</v>
      </c>
      <c r="H329">
        <v>1791882490001</v>
      </c>
      <c r="I329" t="s">
        <v>46</v>
      </c>
      <c r="J329" t="s">
        <v>106</v>
      </c>
      <c r="K329" t="s">
        <v>48</v>
      </c>
      <c r="L329" t="s">
        <v>49</v>
      </c>
      <c r="M329" t="s">
        <v>50</v>
      </c>
      <c r="N329" t="s">
        <v>51</v>
      </c>
      <c r="O329">
        <v>8419509099</v>
      </c>
      <c r="P329" t="s">
        <v>66</v>
      </c>
      <c r="Q329" t="s">
        <v>407</v>
      </c>
      <c r="R329" t="s">
        <v>54</v>
      </c>
      <c r="S329" t="s">
        <v>55</v>
      </c>
      <c r="T329">
        <v>1</v>
      </c>
      <c r="U329">
        <v>1</v>
      </c>
      <c r="V329" t="s">
        <v>135</v>
      </c>
      <c r="W329">
        <v>362.28</v>
      </c>
      <c r="X329">
        <v>1433.7</v>
      </c>
      <c r="Y329">
        <v>1.07</v>
      </c>
      <c r="Z329">
        <v>14.34</v>
      </c>
      <c r="AA329">
        <v>1449.11</v>
      </c>
      <c r="AB329" t="s">
        <v>57</v>
      </c>
      <c r="AC329" t="s">
        <v>94</v>
      </c>
      <c r="AD329" t="s">
        <v>48</v>
      </c>
      <c r="AE329">
        <v>0</v>
      </c>
      <c r="AF329">
        <v>21</v>
      </c>
      <c r="AG329" t="s">
        <v>59</v>
      </c>
      <c r="AH329" t="s">
        <v>505</v>
      </c>
      <c r="AI329" t="s">
        <v>60</v>
      </c>
      <c r="AJ329" t="s">
        <v>60</v>
      </c>
      <c r="AK329" t="s">
        <v>54</v>
      </c>
      <c r="AL329">
        <v>2024</v>
      </c>
      <c r="AM329" s="6" t="s">
        <v>506</v>
      </c>
      <c r="AN329" s="7">
        <v>1433.7</v>
      </c>
      <c r="AO329" s="8">
        <f t="shared" si="15"/>
        <v>2688.1875</v>
      </c>
      <c r="AP329" s="8">
        <f t="shared" si="16"/>
        <v>2986.5763124999999</v>
      </c>
      <c r="AQ329" s="9">
        <f t="shared" si="17"/>
        <v>4354.5949312499997</v>
      </c>
    </row>
    <row r="330" spans="1:43" x14ac:dyDescent="0.25">
      <c r="A330">
        <v>8</v>
      </c>
      <c r="B330">
        <v>7</v>
      </c>
      <c r="C330">
        <v>2024</v>
      </c>
      <c r="D330" t="s">
        <v>43</v>
      </c>
      <c r="E330" t="s">
        <v>75</v>
      </c>
      <c r="F330" t="s">
        <v>76</v>
      </c>
      <c r="G330">
        <v>22</v>
      </c>
      <c r="H330">
        <v>1791882490001</v>
      </c>
      <c r="I330" t="s">
        <v>46</v>
      </c>
      <c r="J330" t="s">
        <v>133</v>
      </c>
      <c r="K330" t="s">
        <v>48</v>
      </c>
      <c r="L330" t="s">
        <v>49</v>
      </c>
      <c r="M330" t="s">
        <v>50</v>
      </c>
      <c r="N330" t="s">
        <v>51</v>
      </c>
      <c r="O330">
        <v>8481805900</v>
      </c>
      <c r="P330" t="s">
        <v>103</v>
      </c>
      <c r="Q330" t="s">
        <v>507</v>
      </c>
      <c r="R330" t="s">
        <v>54</v>
      </c>
      <c r="S330" t="s">
        <v>55</v>
      </c>
      <c r="T330">
        <v>8</v>
      </c>
      <c r="U330">
        <v>1</v>
      </c>
      <c r="V330" t="s">
        <v>135</v>
      </c>
      <c r="W330">
        <v>0</v>
      </c>
      <c r="X330">
        <v>449.25</v>
      </c>
      <c r="Y330">
        <v>38.369999999999997</v>
      </c>
      <c r="Z330">
        <v>2.92</v>
      </c>
      <c r="AA330">
        <v>490.54</v>
      </c>
      <c r="AB330" t="s">
        <v>57</v>
      </c>
      <c r="AC330" t="s">
        <v>77</v>
      </c>
      <c r="AD330" t="s">
        <v>48</v>
      </c>
      <c r="AE330">
        <v>0</v>
      </c>
      <c r="AF330">
        <v>2.97</v>
      </c>
      <c r="AG330" t="s">
        <v>59</v>
      </c>
      <c r="AH330">
        <v>107711</v>
      </c>
      <c r="AI330" t="s">
        <v>60</v>
      </c>
      <c r="AJ330" t="s">
        <v>78</v>
      </c>
      <c r="AK330" t="s">
        <v>54</v>
      </c>
      <c r="AL330">
        <v>2024</v>
      </c>
      <c r="AM330" s="6" t="s">
        <v>508</v>
      </c>
      <c r="AN330" s="7">
        <v>449.25</v>
      </c>
      <c r="AO330" s="8">
        <f t="shared" si="15"/>
        <v>842.34375</v>
      </c>
      <c r="AP330" s="8">
        <f t="shared" si="16"/>
        <v>935.84390625000003</v>
      </c>
      <c r="AQ330" s="9">
        <f t="shared" si="17"/>
        <v>1364.5126406249999</v>
      </c>
    </row>
    <row r="331" spans="1:43" x14ac:dyDescent="0.25">
      <c r="A331">
        <v>8</v>
      </c>
      <c r="B331">
        <v>7</v>
      </c>
      <c r="C331">
        <v>2024</v>
      </c>
      <c r="D331" t="s">
        <v>43</v>
      </c>
      <c r="E331" t="s">
        <v>75</v>
      </c>
      <c r="F331" t="s">
        <v>76</v>
      </c>
      <c r="G331">
        <v>22</v>
      </c>
      <c r="H331">
        <v>1791882490001</v>
      </c>
      <c r="I331" t="s">
        <v>46</v>
      </c>
      <c r="J331" t="s">
        <v>133</v>
      </c>
      <c r="K331" t="s">
        <v>48</v>
      </c>
      <c r="L331" t="s">
        <v>49</v>
      </c>
      <c r="M331" t="s">
        <v>50</v>
      </c>
      <c r="N331" t="s">
        <v>51</v>
      </c>
      <c r="O331">
        <v>8481805900</v>
      </c>
      <c r="P331" t="s">
        <v>103</v>
      </c>
      <c r="Q331" t="s">
        <v>507</v>
      </c>
      <c r="R331" t="s">
        <v>54</v>
      </c>
      <c r="S331" t="s">
        <v>55</v>
      </c>
      <c r="T331">
        <v>8</v>
      </c>
      <c r="U331">
        <v>1</v>
      </c>
      <c r="V331" t="s">
        <v>135</v>
      </c>
      <c r="W331">
        <v>0</v>
      </c>
      <c r="X331">
        <v>449.25</v>
      </c>
      <c r="Y331">
        <v>38.369999999999997</v>
      </c>
      <c r="Z331">
        <v>2.92</v>
      </c>
      <c r="AA331">
        <v>490.54</v>
      </c>
      <c r="AB331" t="s">
        <v>57</v>
      </c>
      <c r="AC331" t="s">
        <v>77</v>
      </c>
      <c r="AD331" t="s">
        <v>48</v>
      </c>
      <c r="AE331">
        <v>0</v>
      </c>
      <c r="AF331">
        <v>2.97</v>
      </c>
      <c r="AG331" t="s">
        <v>59</v>
      </c>
      <c r="AH331">
        <v>107711</v>
      </c>
      <c r="AI331" t="s">
        <v>60</v>
      </c>
      <c r="AJ331" t="s">
        <v>78</v>
      </c>
      <c r="AK331" t="s">
        <v>54</v>
      </c>
      <c r="AL331">
        <v>2024</v>
      </c>
      <c r="AM331" s="6" t="s">
        <v>508</v>
      </c>
      <c r="AN331" s="7">
        <v>449.25</v>
      </c>
      <c r="AO331" s="8">
        <f t="shared" si="15"/>
        <v>842.34375</v>
      </c>
      <c r="AP331" s="8">
        <f t="shared" si="16"/>
        <v>935.84390625000003</v>
      </c>
      <c r="AQ331" s="9">
        <f t="shared" si="17"/>
        <v>1364.5126406249999</v>
      </c>
    </row>
    <row r="332" spans="1:43" x14ac:dyDescent="0.25">
      <c r="A332">
        <v>19</v>
      </c>
      <c r="B332">
        <v>8</v>
      </c>
      <c r="C332">
        <v>2024</v>
      </c>
      <c r="D332" t="s">
        <v>43</v>
      </c>
      <c r="E332" t="s">
        <v>84</v>
      </c>
      <c r="F332" t="s">
        <v>85</v>
      </c>
      <c r="G332">
        <v>20</v>
      </c>
      <c r="H332">
        <v>1791882490001</v>
      </c>
      <c r="I332" t="s">
        <v>46</v>
      </c>
      <c r="J332" t="s">
        <v>133</v>
      </c>
      <c r="K332" t="s">
        <v>48</v>
      </c>
      <c r="L332" t="s">
        <v>49</v>
      </c>
      <c r="M332" t="s">
        <v>50</v>
      </c>
      <c r="N332" t="s">
        <v>51</v>
      </c>
      <c r="O332">
        <v>8481805900</v>
      </c>
      <c r="P332" t="s">
        <v>103</v>
      </c>
      <c r="Q332" t="s">
        <v>299</v>
      </c>
      <c r="R332" t="s">
        <v>54</v>
      </c>
      <c r="S332" t="s">
        <v>55</v>
      </c>
      <c r="T332">
        <v>6</v>
      </c>
      <c r="U332">
        <v>2</v>
      </c>
      <c r="V332" t="s">
        <v>135</v>
      </c>
      <c r="W332">
        <v>0</v>
      </c>
      <c r="X332">
        <v>865.26</v>
      </c>
      <c r="Y332">
        <v>111.65</v>
      </c>
      <c r="Z332">
        <v>5.92</v>
      </c>
      <c r="AA332">
        <v>982.83</v>
      </c>
      <c r="AB332" t="s">
        <v>57</v>
      </c>
      <c r="AC332" t="s">
        <v>58</v>
      </c>
      <c r="AD332" t="s">
        <v>48</v>
      </c>
      <c r="AE332">
        <v>0</v>
      </c>
      <c r="AF332">
        <v>2.79</v>
      </c>
      <c r="AG332" t="s">
        <v>59</v>
      </c>
      <c r="AH332">
        <v>144527</v>
      </c>
      <c r="AI332" t="s">
        <v>60</v>
      </c>
      <c r="AJ332" t="s">
        <v>60</v>
      </c>
      <c r="AK332" t="s">
        <v>54</v>
      </c>
      <c r="AL332">
        <v>2024</v>
      </c>
      <c r="AM332" s="6" t="s">
        <v>508</v>
      </c>
      <c r="AN332" s="7">
        <v>432.63</v>
      </c>
      <c r="AO332" s="8">
        <f t="shared" si="15"/>
        <v>811.18124999999998</v>
      </c>
      <c r="AP332" s="8">
        <f t="shared" si="16"/>
        <v>901.22236874999999</v>
      </c>
      <c r="AQ332" s="9">
        <f t="shared" si="17"/>
        <v>1314.0325068749999</v>
      </c>
    </row>
    <row r="333" spans="1:43" x14ac:dyDescent="0.25">
      <c r="A333">
        <v>13</v>
      </c>
      <c r="B333">
        <v>3</v>
      </c>
      <c r="C333">
        <v>2024</v>
      </c>
      <c r="D333" t="s">
        <v>43</v>
      </c>
      <c r="E333" t="s">
        <v>69</v>
      </c>
      <c r="F333" t="s">
        <v>70</v>
      </c>
      <c r="G333">
        <v>17</v>
      </c>
      <c r="H333">
        <v>1791882490001</v>
      </c>
      <c r="I333" t="s">
        <v>46</v>
      </c>
      <c r="J333" t="s">
        <v>65</v>
      </c>
      <c r="K333" t="s">
        <v>48</v>
      </c>
      <c r="L333" t="s">
        <v>49</v>
      </c>
      <c r="M333" t="s">
        <v>50</v>
      </c>
      <c r="N333" t="s">
        <v>51</v>
      </c>
      <c r="O333">
        <v>8414590000</v>
      </c>
      <c r="P333" t="s">
        <v>66</v>
      </c>
      <c r="Q333" t="s">
        <v>509</v>
      </c>
      <c r="R333" t="s">
        <v>54</v>
      </c>
      <c r="S333" t="s">
        <v>55</v>
      </c>
      <c r="T333">
        <v>11</v>
      </c>
      <c r="U333">
        <v>1</v>
      </c>
      <c r="V333" t="s">
        <v>135</v>
      </c>
      <c r="W333">
        <v>0</v>
      </c>
      <c r="X333">
        <v>972.72</v>
      </c>
      <c r="Y333">
        <v>127.38</v>
      </c>
      <c r="Z333">
        <v>6.55</v>
      </c>
      <c r="AA333">
        <v>1106.6400000000001</v>
      </c>
      <c r="AB333" t="s">
        <v>54</v>
      </c>
      <c r="AC333" t="s">
        <v>71</v>
      </c>
      <c r="AD333" t="s">
        <v>48</v>
      </c>
      <c r="AE333">
        <v>0</v>
      </c>
      <c r="AF333">
        <v>2.04</v>
      </c>
      <c r="AG333" t="s">
        <v>59</v>
      </c>
      <c r="AH333">
        <v>895279</v>
      </c>
      <c r="AI333" t="s">
        <v>60</v>
      </c>
      <c r="AJ333" t="s">
        <v>60</v>
      </c>
      <c r="AK333" t="s">
        <v>54</v>
      </c>
      <c r="AL333">
        <v>2024</v>
      </c>
      <c r="AM333" s="6" t="s">
        <v>510</v>
      </c>
      <c r="AN333" s="7">
        <v>972.72</v>
      </c>
      <c r="AO333" s="8">
        <f t="shared" si="15"/>
        <v>1823.8500000000001</v>
      </c>
      <c r="AP333" s="8">
        <f t="shared" si="16"/>
        <v>2026.2973500000001</v>
      </c>
      <c r="AQ333" s="9">
        <f t="shared" si="17"/>
        <v>2954.4546150000001</v>
      </c>
    </row>
    <row r="334" spans="1:43" x14ac:dyDescent="0.25">
      <c r="A334">
        <v>1</v>
      </c>
      <c r="B334">
        <v>2</v>
      </c>
      <c r="C334">
        <v>2024</v>
      </c>
      <c r="D334" t="s">
        <v>43</v>
      </c>
      <c r="E334" t="s">
        <v>174</v>
      </c>
      <c r="F334" t="s">
        <v>175</v>
      </c>
      <c r="G334">
        <v>10</v>
      </c>
      <c r="H334">
        <v>1791882490001</v>
      </c>
      <c r="I334" t="s">
        <v>46</v>
      </c>
      <c r="J334" t="s">
        <v>48</v>
      </c>
      <c r="K334" t="s">
        <v>48</v>
      </c>
      <c r="L334" t="s">
        <v>49</v>
      </c>
      <c r="M334" t="s">
        <v>50</v>
      </c>
      <c r="N334" t="s">
        <v>51</v>
      </c>
      <c r="O334">
        <v>4009220000</v>
      </c>
      <c r="P334" t="s">
        <v>142</v>
      </c>
      <c r="Q334" t="s">
        <v>511</v>
      </c>
      <c r="R334" t="s">
        <v>54</v>
      </c>
      <c r="S334" t="s">
        <v>55</v>
      </c>
      <c r="T334">
        <v>5</v>
      </c>
      <c r="U334">
        <v>1</v>
      </c>
      <c r="V334" t="s">
        <v>56</v>
      </c>
      <c r="W334">
        <v>0</v>
      </c>
      <c r="X334">
        <v>924.51</v>
      </c>
      <c r="Y334">
        <v>68.73</v>
      </c>
      <c r="Z334">
        <v>5.52</v>
      </c>
      <c r="AA334">
        <v>998.76</v>
      </c>
      <c r="AB334" t="s">
        <v>54</v>
      </c>
      <c r="AC334" t="s">
        <v>94</v>
      </c>
      <c r="AD334" t="s">
        <v>48</v>
      </c>
      <c r="AE334">
        <v>0</v>
      </c>
      <c r="AF334">
        <v>1.98</v>
      </c>
      <c r="AG334" t="s">
        <v>59</v>
      </c>
      <c r="AH334">
        <v>863266</v>
      </c>
      <c r="AI334" t="s">
        <v>60</v>
      </c>
      <c r="AJ334" t="s">
        <v>60</v>
      </c>
      <c r="AK334" t="s">
        <v>54</v>
      </c>
      <c r="AL334">
        <v>2023</v>
      </c>
      <c r="AM334" s="6" t="s">
        <v>512</v>
      </c>
      <c r="AN334" s="7">
        <v>924.51</v>
      </c>
      <c r="AO334" s="8">
        <f t="shared" si="15"/>
        <v>1733.45625</v>
      </c>
      <c r="AP334" s="8">
        <f t="shared" si="16"/>
        <v>1925.8698937499998</v>
      </c>
      <c r="AQ334" s="9">
        <f t="shared" si="17"/>
        <v>2808.0257793749997</v>
      </c>
    </row>
    <row r="335" spans="1:43" x14ac:dyDescent="0.25">
      <c r="A335">
        <v>26</v>
      </c>
      <c r="B335">
        <v>12</v>
      </c>
      <c r="C335">
        <v>2024</v>
      </c>
      <c r="D335" t="s">
        <v>43</v>
      </c>
      <c r="E335" t="s">
        <v>222</v>
      </c>
      <c r="F335" t="s">
        <v>223</v>
      </c>
      <c r="G335">
        <v>14</v>
      </c>
      <c r="H335">
        <v>1791882490001</v>
      </c>
      <c r="I335" t="s">
        <v>46</v>
      </c>
      <c r="J335" t="s">
        <v>48</v>
      </c>
      <c r="K335" t="s">
        <v>48</v>
      </c>
      <c r="L335" t="s">
        <v>49</v>
      </c>
      <c r="M335" t="s">
        <v>50</v>
      </c>
      <c r="N335" t="s">
        <v>224</v>
      </c>
      <c r="O335">
        <v>7318159000</v>
      </c>
      <c r="P335" t="s">
        <v>52</v>
      </c>
      <c r="Q335" t="s">
        <v>513</v>
      </c>
      <c r="R335" t="s">
        <v>54</v>
      </c>
      <c r="S335" t="s">
        <v>55</v>
      </c>
      <c r="T335">
        <v>8</v>
      </c>
      <c r="U335">
        <v>1</v>
      </c>
      <c r="V335" t="s">
        <v>56</v>
      </c>
      <c r="W335">
        <v>0.61</v>
      </c>
      <c r="X335">
        <v>11.94</v>
      </c>
      <c r="Y335">
        <v>2.4700000000000002</v>
      </c>
      <c r="Z335">
        <v>0.12</v>
      </c>
      <c r="AA335">
        <v>14.54</v>
      </c>
      <c r="AB335" t="s">
        <v>57</v>
      </c>
      <c r="AC335" t="s">
        <v>225</v>
      </c>
      <c r="AD335" t="s">
        <v>48</v>
      </c>
      <c r="AE335">
        <v>0</v>
      </c>
      <c r="AF335">
        <v>2.06</v>
      </c>
      <c r="AG335" t="s">
        <v>59</v>
      </c>
      <c r="AH335">
        <v>341996</v>
      </c>
      <c r="AI335" t="s">
        <v>60</v>
      </c>
      <c r="AJ335" t="s">
        <v>60</v>
      </c>
      <c r="AK335" t="s">
        <v>54</v>
      </c>
      <c r="AL335">
        <v>2024</v>
      </c>
      <c r="AM335" s="6" t="s">
        <v>514</v>
      </c>
      <c r="AN335" s="7">
        <v>11.94</v>
      </c>
      <c r="AO335" s="8">
        <f t="shared" si="15"/>
        <v>22.387499999999999</v>
      </c>
      <c r="AP335" s="8">
        <f t="shared" si="16"/>
        <v>24.872512499999999</v>
      </c>
      <c r="AQ335" s="9">
        <f t="shared" si="17"/>
        <v>36.265511249999996</v>
      </c>
    </row>
    <row r="336" spans="1:43" x14ac:dyDescent="0.25">
      <c r="A336">
        <v>2</v>
      </c>
      <c r="B336">
        <v>1</v>
      </c>
      <c r="C336">
        <v>2024</v>
      </c>
      <c r="D336" t="s">
        <v>43</v>
      </c>
      <c r="E336" t="s">
        <v>181</v>
      </c>
      <c r="F336" t="s">
        <v>182</v>
      </c>
      <c r="G336">
        <v>16</v>
      </c>
      <c r="H336">
        <v>1791882490001</v>
      </c>
      <c r="I336" t="s">
        <v>46</v>
      </c>
      <c r="J336" t="s">
        <v>425</v>
      </c>
      <c r="K336" t="s">
        <v>48</v>
      </c>
      <c r="L336" t="s">
        <v>49</v>
      </c>
      <c r="M336" t="s">
        <v>50</v>
      </c>
      <c r="N336" t="s">
        <v>51</v>
      </c>
      <c r="O336">
        <v>8414901000</v>
      </c>
      <c r="P336" t="s">
        <v>363</v>
      </c>
      <c r="Q336" t="s">
        <v>515</v>
      </c>
      <c r="R336" t="s">
        <v>54</v>
      </c>
      <c r="S336" t="s">
        <v>55</v>
      </c>
      <c r="T336">
        <v>8</v>
      </c>
      <c r="U336">
        <v>2</v>
      </c>
      <c r="V336" t="s">
        <v>135</v>
      </c>
      <c r="W336">
        <v>0</v>
      </c>
      <c r="X336">
        <v>316.32</v>
      </c>
      <c r="Y336">
        <v>64.27</v>
      </c>
      <c r="Z336">
        <v>2.04</v>
      </c>
      <c r="AA336">
        <v>382.62</v>
      </c>
      <c r="AB336" t="s">
        <v>57</v>
      </c>
      <c r="AC336" t="s">
        <v>81</v>
      </c>
      <c r="AD336" t="s">
        <v>48</v>
      </c>
      <c r="AE336">
        <v>0</v>
      </c>
      <c r="AF336">
        <v>6.48</v>
      </c>
      <c r="AG336" t="s">
        <v>59</v>
      </c>
      <c r="AH336">
        <v>413505</v>
      </c>
      <c r="AI336" t="s">
        <v>60</v>
      </c>
      <c r="AJ336" t="s">
        <v>60</v>
      </c>
      <c r="AK336" t="s">
        <v>54</v>
      </c>
      <c r="AL336">
        <v>2023</v>
      </c>
      <c r="AM336" s="6" t="s">
        <v>516</v>
      </c>
      <c r="AN336" s="7">
        <v>158.16</v>
      </c>
      <c r="AO336" s="8">
        <f t="shared" si="15"/>
        <v>296.55</v>
      </c>
      <c r="AP336" s="8">
        <f t="shared" si="16"/>
        <v>329.46705000000003</v>
      </c>
      <c r="AQ336" s="9">
        <f t="shared" si="17"/>
        <v>480.38134500000001</v>
      </c>
    </row>
    <row r="337" spans="1:43" x14ac:dyDescent="0.25">
      <c r="A337">
        <v>11</v>
      </c>
      <c r="B337">
        <v>7</v>
      </c>
      <c r="C337">
        <v>2024</v>
      </c>
      <c r="D337" t="s">
        <v>43</v>
      </c>
      <c r="E337" t="s">
        <v>116</v>
      </c>
      <c r="F337" t="s">
        <v>117</v>
      </c>
      <c r="G337">
        <v>12</v>
      </c>
      <c r="H337">
        <v>1791882490001</v>
      </c>
      <c r="I337" t="s">
        <v>46</v>
      </c>
      <c r="J337" t="s">
        <v>48</v>
      </c>
      <c r="K337" t="s">
        <v>48</v>
      </c>
      <c r="L337" t="s">
        <v>119</v>
      </c>
      <c r="M337" t="s">
        <v>120</v>
      </c>
      <c r="N337" t="s">
        <v>121</v>
      </c>
      <c r="O337">
        <v>8481809990</v>
      </c>
      <c r="P337" t="s">
        <v>103</v>
      </c>
      <c r="Q337" t="s">
        <v>517</v>
      </c>
      <c r="R337" t="s">
        <v>54</v>
      </c>
      <c r="S337" t="s">
        <v>55</v>
      </c>
      <c r="T337">
        <v>9</v>
      </c>
      <c r="U337">
        <v>3</v>
      </c>
      <c r="V337" t="s">
        <v>135</v>
      </c>
      <c r="W337">
        <v>0</v>
      </c>
      <c r="X337">
        <v>470.48</v>
      </c>
      <c r="Y337">
        <v>42.37</v>
      </c>
      <c r="Z337">
        <v>3.16</v>
      </c>
      <c r="AA337">
        <v>516.01</v>
      </c>
      <c r="AB337" t="s">
        <v>124</v>
      </c>
      <c r="AC337" t="s">
        <v>125</v>
      </c>
      <c r="AD337" t="s">
        <v>48</v>
      </c>
      <c r="AE337">
        <v>0</v>
      </c>
      <c r="AF337">
        <v>6.05</v>
      </c>
      <c r="AG337" t="s">
        <v>59</v>
      </c>
      <c r="AH337">
        <v>486256</v>
      </c>
      <c r="AI337" t="s">
        <v>60</v>
      </c>
      <c r="AJ337" t="s">
        <v>78</v>
      </c>
      <c r="AK337" t="s">
        <v>54</v>
      </c>
      <c r="AL337">
        <v>2024</v>
      </c>
      <c r="AM337" s="6" t="s">
        <v>516</v>
      </c>
      <c r="AN337" s="7">
        <v>156.83000000000001</v>
      </c>
      <c r="AO337" s="8">
        <f t="shared" si="15"/>
        <v>294.05625000000003</v>
      </c>
      <c r="AP337" s="8">
        <f t="shared" si="16"/>
        <v>326.69649375000006</v>
      </c>
      <c r="AQ337" s="9">
        <f t="shared" si="17"/>
        <v>476.34171937500003</v>
      </c>
    </row>
    <row r="338" spans="1:43" x14ac:dyDescent="0.25">
      <c r="A338">
        <v>13</v>
      </c>
      <c r="B338">
        <v>3</v>
      </c>
      <c r="C338">
        <v>2024</v>
      </c>
      <c r="D338" t="s">
        <v>43</v>
      </c>
      <c r="E338" t="s">
        <v>69</v>
      </c>
      <c r="F338" t="s">
        <v>70</v>
      </c>
      <c r="G338">
        <v>18</v>
      </c>
      <c r="H338">
        <v>1791882490001</v>
      </c>
      <c r="I338" t="s">
        <v>46</v>
      </c>
      <c r="J338" t="s">
        <v>133</v>
      </c>
      <c r="K338" t="s">
        <v>48</v>
      </c>
      <c r="L338" t="s">
        <v>49</v>
      </c>
      <c r="M338" t="s">
        <v>50</v>
      </c>
      <c r="N338" t="s">
        <v>51</v>
      </c>
      <c r="O338">
        <v>4009220000</v>
      </c>
      <c r="P338" t="s">
        <v>142</v>
      </c>
      <c r="Q338" t="s">
        <v>67</v>
      </c>
      <c r="R338" t="s">
        <v>54</v>
      </c>
      <c r="S338" t="s">
        <v>55</v>
      </c>
      <c r="T338">
        <v>11</v>
      </c>
      <c r="U338">
        <v>1</v>
      </c>
      <c r="V338" t="s">
        <v>56</v>
      </c>
      <c r="W338">
        <v>0</v>
      </c>
      <c r="X338">
        <v>194.56</v>
      </c>
      <c r="Y338">
        <v>25.48</v>
      </c>
      <c r="Z338">
        <v>1.31</v>
      </c>
      <c r="AA338">
        <v>221.35</v>
      </c>
      <c r="AB338" t="s">
        <v>54</v>
      </c>
      <c r="AC338" t="s">
        <v>71</v>
      </c>
      <c r="AD338" t="s">
        <v>48</v>
      </c>
      <c r="AE338">
        <v>0</v>
      </c>
      <c r="AF338">
        <v>2.04</v>
      </c>
      <c r="AG338" t="s">
        <v>59</v>
      </c>
      <c r="AH338">
        <v>895279</v>
      </c>
      <c r="AI338" t="s">
        <v>60</v>
      </c>
      <c r="AJ338" t="s">
        <v>60</v>
      </c>
      <c r="AK338" t="s">
        <v>54</v>
      </c>
      <c r="AL338">
        <v>2024</v>
      </c>
      <c r="AM338" s="6" t="s">
        <v>518</v>
      </c>
      <c r="AN338" s="7">
        <v>194.56</v>
      </c>
      <c r="AO338" s="8">
        <f t="shared" si="15"/>
        <v>364.8</v>
      </c>
      <c r="AP338" s="8">
        <f t="shared" si="16"/>
        <v>405.2928</v>
      </c>
      <c r="AQ338" s="9">
        <f t="shared" si="17"/>
        <v>590.93952000000002</v>
      </c>
    </row>
    <row r="339" spans="1:43" x14ac:dyDescent="0.25">
      <c r="A339">
        <v>8</v>
      </c>
      <c r="B339">
        <v>7</v>
      </c>
      <c r="C339">
        <v>2024</v>
      </c>
      <c r="D339" t="s">
        <v>43</v>
      </c>
      <c r="E339" t="s">
        <v>75</v>
      </c>
      <c r="F339" t="s">
        <v>76</v>
      </c>
      <c r="G339">
        <v>23</v>
      </c>
      <c r="H339">
        <v>1791882490001</v>
      </c>
      <c r="I339" t="s">
        <v>46</v>
      </c>
      <c r="J339" t="s">
        <v>133</v>
      </c>
      <c r="K339" t="s">
        <v>48</v>
      </c>
      <c r="L339" t="s">
        <v>49</v>
      </c>
      <c r="M339" t="s">
        <v>50</v>
      </c>
      <c r="N339" t="s">
        <v>51</v>
      </c>
      <c r="O339">
        <v>4009220000</v>
      </c>
      <c r="P339" t="s">
        <v>142</v>
      </c>
      <c r="Q339" t="s">
        <v>67</v>
      </c>
      <c r="R339" t="s">
        <v>54</v>
      </c>
      <c r="S339" t="s">
        <v>55</v>
      </c>
      <c r="T339">
        <v>8</v>
      </c>
      <c r="U339">
        <v>1</v>
      </c>
      <c r="V339" t="s">
        <v>56</v>
      </c>
      <c r="W339">
        <v>0</v>
      </c>
      <c r="X339">
        <v>199.76</v>
      </c>
      <c r="Y339">
        <v>17.059999999999999</v>
      </c>
      <c r="Z339">
        <v>1.3</v>
      </c>
      <c r="AA339">
        <v>218.12</v>
      </c>
      <c r="AB339" t="s">
        <v>57</v>
      </c>
      <c r="AC339" t="s">
        <v>77</v>
      </c>
      <c r="AD339" t="s">
        <v>48</v>
      </c>
      <c r="AE339">
        <v>0</v>
      </c>
      <c r="AF339">
        <v>1.32</v>
      </c>
      <c r="AG339" t="s">
        <v>59</v>
      </c>
      <c r="AH339">
        <v>107711</v>
      </c>
      <c r="AI339" t="s">
        <v>60</v>
      </c>
      <c r="AJ339" t="s">
        <v>78</v>
      </c>
      <c r="AK339" t="s">
        <v>54</v>
      </c>
      <c r="AL339">
        <v>2024</v>
      </c>
      <c r="AM339" s="6" t="s">
        <v>518</v>
      </c>
      <c r="AN339" s="7">
        <v>199.76</v>
      </c>
      <c r="AO339" s="8">
        <f t="shared" si="15"/>
        <v>374.54999999999995</v>
      </c>
      <c r="AP339" s="8">
        <f t="shared" si="16"/>
        <v>416.12504999999993</v>
      </c>
      <c r="AQ339" s="9">
        <f t="shared" si="17"/>
        <v>606.73354499999994</v>
      </c>
    </row>
    <row r="340" spans="1:43" x14ac:dyDescent="0.25">
      <c r="A340">
        <v>8</v>
      </c>
      <c r="B340">
        <v>7</v>
      </c>
      <c r="C340">
        <v>2024</v>
      </c>
      <c r="D340" t="s">
        <v>43</v>
      </c>
      <c r="E340" t="s">
        <v>75</v>
      </c>
      <c r="F340" t="s">
        <v>76</v>
      </c>
      <c r="G340">
        <v>23</v>
      </c>
      <c r="H340">
        <v>1791882490001</v>
      </c>
      <c r="I340" t="s">
        <v>46</v>
      </c>
      <c r="J340" t="s">
        <v>133</v>
      </c>
      <c r="K340" t="s">
        <v>48</v>
      </c>
      <c r="L340" t="s">
        <v>49</v>
      </c>
      <c r="M340" t="s">
        <v>50</v>
      </c>
      <c r="N340" t="s">
        <v>51</v>
      </c>
      <c r="O340">
        <v>4009220000</v>
      </c>
      <c r="P340" t="s">
        <v>142</v>
      </c>
      <c r="Q340" t="s">
        <v>67</v>
      </c>
      <c r="R340" t="s">
        <v>54</v>
      </c>
      <c r="S340" t="s">
        <v>55</v>
      </c>
      <c r="T340">
        <v>8</v>
      </c>
      <c r="U340">
        <v>1</v>
      </c>
      <c r="V340" t="s">
        <v>56</v>
      </c>
      <c r="W340">
        <v>0</v>
      </c>
      <c r="X340">
        <v>199.76</v>
      </c>
      <c r="Y340">
        <v>17.059999999999999</v>
      </c>
      <c r="Z340">
        <v>1.3</v>
      </c>
      <c r="AA340">
        <v>218.12</v>
      </c>
      <c r="AB340" t="s">
        <v>57</v>
      </c>
      <c r="AC340" t="s">
        <v>77</v>
      </c>
      <c r="AD340" t="s">
        <v>48</v>
      </c>
      <c r="AE340">
        <v>0</v>
      </c>
      <c r="AF340">
        <v>1.32</v>
      </c>
      <c r="AG340" t="s">
        <v>59</v>
      </c>
      <c r="AH340">
        <v>107711</v>
      </c>
      <c r="AI340" t="s">
        <v>60</v>
      </c>
      <c r="AJ340" t="s">
        <v>78</v>
      </c>
      <c r="AK340" t="s">
        <v>54</v>
      </c>
      <c r="AL340">
        <v>2024</v>
      </c>
      <c r="AM340" s="6" t="s">
        <v>518</v>
      </c>
      <c r="AN340" s="7">
        <v>199.76</v>
      </c>
      <c r="AO340" s="8">
        <f t="shared" si="15"/>
        <v>374.54999999999995</v>
      </c>
      <c r="AP340" s="8">
        <f t="shared" si="16"/>
        <v>416.12504999999993</v>
      </c>
      <c r="AQ340" s="9">
        <f t="shared" si="17"/>
        <v>606.73354499999994</v>
      </c>
    </row>
    <row r="341" spans="1:43" x14ac:dyDescent="0.25">
      <c r="A341">
        <v>13</v>
      </c>
      <c r="B341">
        <v>3</v>
      </c>
      <c r="C341">
        <v>2024</v>
      </c>
      <c r="D341" t="s">
        <v>43</v>
      </c>
      <c r="E341" t="s">
        <v>69</v>
      </c>
      <c r="F341" t="s">
        <v>70</v>
      </c>
      <c r="G341">
        <v>57</v>
      </c>
      <c r="H341">
        <v>1791882490001</v>
      </c>
      <c r="I341" t="s">
        <v>46</v>
      </c>
      <c r="J341" t="s">
        <v>133</v>
      </c>
      <c r="K341" t="s">
        <v>48</v>
      </c>
      <c r="L341" t="s">
        <v>49</v>
      </c>
      <c r="M341" t="s">
        <v>50</v>
      </c>
      <c r="N341" t="s">
        <v>51</v>
      </c>
      <c r="O341">
        <v>4009320000</v>
      </c>
      <c r="P341" t="s">
        <v>142</v>
      </c>
      <c r="Q341" t="s">
        <v>67</v>
      </c>
      <c r="R341" t="s">
        <v>54</v>
      </c>
      <c r="S341" t="s">
        <v>55</v>
      </c>
      <c r="T341">
        <v>11</v>
      </c>
      <c r="U341">
        <v>1</v>
      </c>
      <c r="V341" t="s">
        <v>56</v>
      </c>
      <c r="W341">
        <v>0</v>
      </c>
      <c r="X341">
        <v>95.98</v>
      </c>
      <c r="Y341">
        <v>12.57</v>
      </c>
      <c r="Z341">
        <v>0.65</v>
      </c>
      <c r="AA341">
        <v>109.2</v>
      </c>
      <c r="AB341" t="s">
        <v>54</v>
      </c>
      <c r="AC341" t="s">
        <v>71</v>
      </c>
      <c r="AD341" t="s">
        <v>48</v>
      </c>
      <c r="AE341">
        <v>0</v>
      </c>
      <c r="AF341">
        <v>2.04</v>
      </c>
      <c r="AG341" t="s">
        <v>59</v>
      </c>
      <c r="AH341">
        <v>895279</v>
      </c>
      <c r="AI341" t="s">
        <v>60</v>
      </c>
      <c r="AJ341" t="s">
        <v>60</v>
      </c>
      <c r="AK341" t="s">
        <v>54</v>
      </c>
      <c r="AL341">
        <v>2024</v>
      </c>
      <c r="AM341" s="6" t="s">
        <v>519</v>
      </c>
      <c r="AN341" s="7">
        <v>95.98</v>
      </c>
      <c r="AO341" s="8">
        <f t="shared" si="15"/>
        <v>179.96250000000001</v>
      </c>
      <c r="AP341" s="8">
        <f t="shared" si="16"/>
        <v>199.93833750000002</v>
      </c>
      <c r="AQ341" s="9">
        <f t="shared" si="17"/>
        <v>291.52125374999997</v>
      </c>
    </row>
    <row r="342" spans="1:43" x14ac:dyDescent="0.25">
      <c r="A342">
        <v>8</v>
      </c>
      <c r="B342">
        <v>7</v>
      </c>
      <c r="C342">
        <v>2024</v>
      </c>
      <c r="D342" t="s">
        <v>43</v>
      </c>
      <c r="E342" t="s">
        <v>75</v>
      </c>
      <c r="F342" t="s">
        <v>76</v>
      </c>
      <c r="G342">
        <v>24</v>
      </c>
      <c r="H342">
        <v>1791882490001</v>
      </c>
      <c r="I342" t="s">
        <v>46</v>
      </c>
      <c r="J342" t="s">
        <v>133</v>
      </c>
      <c r="K342" t="s">
        <v>48</v>
      </c>
      <c r="L342" t="s">
        <v>49</v>
      </c>
      <c r="M342" t="s">
        <v>50</v>
      </c>
      <c r="N342" t="s">
        <v>51</v>
      </c>
      <c r="O342">
        <v>4009220000</v>
      </c>
      <c r="P342" t="s">
        <v>142</v>
      </c>
      <c r="Q342" t="s">
        <v>67</v>
      </c>
      <c r="R342" t="s">
        <v>54</v>
      </c>
      <c r="S342" t="s">
        <v>55</v>
      </c>
      <c r="T342">
        <v>8</v>
      </c>
      <c r="U342">
        <v>1</v>
      </c>
      <c r="V342" t="s">
        <v>56</v>
      </c>
      <c r="W342">
        <v>0</v>
      </c>
      <c r="X342">
        <v>103.84</v>
      </c>
      <c r="Y342">
        <v>8.8699999999999992</v>
      </c>
      <c r="Z342">
        <v>0.68</v>
      </c>
      <c r="AA342">
        <v>113.39</v>
      </c>
      <c r="AB342" t="s">
        <v>57</v>
      </c>
      <c r="AC342" t="s">
        <v>77</v>
      </c>
      <c r="AD342" t="s">
        <v>48</v>
      </c>
      <c r="AE342">
        <v>0</v>
      </c>
      <c r="AF342">
        <v>0.69</v>
      </c>
      <c r="AG342" t="s">
        <v>59</v>
      </c>
      <c r="AH342">
        <v>107711</v>
      </c>
      <c r="AI342" t="s">
        <v>60</v>
      </c>
      <c r="AJ342" t="s">
        <v>78</v>
      </c>
      <c r="AK342" t="s">
        <v>54</v>
      </c>
      <c r="AL342">
        <v>2024</v>
      </c>
      <c r="AM342" s="6" t="s">
        <v>519</v>
      </c>
      <c r="AN342" s="7">
        <v>103.84</v>
      </c>
      <c r="AO342" s="8">
        <f t="shared" si="15"/>
        <v>194.70000000000002</v>
      </c>
      <c r="AP342" s="8">
        <f t="shared" si="16"/>
        <v>216.31170000000003</v>
      </c>
      <c r="AQ342" s="9">
        <f t="shared" si="17"/>
        <v>315.39453000000003</v>
      </c>
    </row>
    <row r="343" spans="1:43" x14ac:dyDescent="0.25">
      <c r="A343">
        <v>8</v>
      </c>
      <c r="B343">
        <v>7</v>
      </c>
      <c r="C343">
        <v>2024</v>
      </c>
      <c r="D343" t="s">
        <v>43</v>
      </c>
      <c r="E343" t="s">
        <v>75</v>
      </c>
      <c r="F343" t="s">
        <v>76</v>
      </c>
      <c r="G343">
        <v>24</v>
      </c>
      <c r="H343">
        <v>1791882490001</v>
      </c>
      <c r="I343" t="s">
        <v>46</v>
      </c>
      <c r="J343" t="s">
        <v>133</v>
      </c>
      <c r="K343" t="s">
        <v>48</v>
      </c>
      <c r="L343" t="s">
        <v>49</v>
      </c>
      <c r="M343" t="s">
        <v>50</v>
      </c>
      <c r="N343" t="s">
        <v>51</v>
      </c>
      <c r="O343">
        <v>4009220000</v>
      </c>
      <c r="P343" t="s">
        <v>142</v>
      </c>
      <c r="Q343" t="s">
        <v>67</v>
      </c>
      <c r="R343" t="s">
        <v>54</v>
      </c>
      <c r="S343" t="s">
        <v>55</v>
      </c>
      <c r="T343">
        <v>8</v>
      </c>
      <c r="U343">
        <v>1</v>
      </c>
      <c r="V343" t="s">
        <v>56</v>
      </c>
      <c r="W343">
        <v>0</v>
      </c>
      <c r="X343">
        <v>103.84</v>
      </c>
      <c r="Y343">
        <v>8.8699999999999992</v>
      </c>
      <c r="Z343">
        <v>0.68</v>
      </c>
      <c r="AA343">
        <v>113.39</v>
      </c>
      <c r="AB343" t="s">
        <v>57</v>
      </c>
      <c r="AC343" t="s">
        <v>77</v>
      </c>
      <c r="AD343" t="s">
        <v>48</v>
      </c>
      <c r="AE343">
        <v>0</v>
      </c>
      <c r="AF343">
        <v>0.69</v>
      </c>
      <c r="AG343" t="s">
        <v>59</v>
      </c>
      <c r="AH343">
        <v>107711</v>
      </c>
      <c r="AI343" t="s">
        <v>60</v>
      </c>
      <c r="AJ343" t="s">
        <v>78</v>
      </c>
      <c r="AK343" t="s">
        <v>54</v>
      </c>
      <c r="AL343">
        <v>2024</v>
      </c>
      <c r="AM343" s="6" t="s">
        <v>519</v>
      </c>
      <c r="AN343" s="7">
        <v>103.84</v>
      </c>
      <c r="AO343" s="8">
        <f t="shared" si="15"/>
        <v>194.70000000000002</v>
      </c>
      <c r="AP343" s="8">
        <f t="shared" si="16"/>
        <v>216.31170000000003</v>
      </c>
      <c r="AQ343" s="9">
        <f t="shared" si="17"/>
        <v>315.39453000000003</v>
      </c>
    </row>
    <row r="344" spans="1:43" x14ac:dyDescent="0.25">
      <c r="A344">
        <v>15</v>
      </c>
      <c r="B344">
        <v>4</v>
      </c>
      <c r="C344">
        <v>2024</v>
      </c>
      <c r="D344" t="s">
        <v>43</v>
      </c>
      <c r="E344" t="s">
        <v>63</v>
      </c>
      <c r="F344" t="s">
        <v>64</v>
      </c>
      <c r="G344">
        <v>26</v>
      </c>
      <c r="H344">
        <v>1791882490001</v>
      </c>
      <c r="I344" t="s">
        <v>46</v>
      </c>
      <c r="J344" t="s">
        <v>48</v>
      </c>
      <c r="K344" t="s">
        <v>48</v>
      </c>
      <c r="L344" t="s">
        <v>49</v>
      </c>
      <c r="M344" t="s">
        <v>50</v>
      </c>
      <c r="N344" t="s">
        <v>51</v>
      </c>
      <c r="O344">
        <v>7326909090</v>
      </c>
      <c r="P344" t="s">
        <v>103</v>
      </c>
      <c r="Q344" t="s">
        <v>520</v>
      </c>
      <c r="R344" t="s">
        <v>54</v>
      </c>
      <c r="S344" t="s">
        <v>55</v>
      </c>
      <c r="T344">
        <v>6</v>
      </c>
      <c r="U344">
        <v>1</v>
      </c>
      <c r="V344" t="s">
        <v>135</v>
      </c>
      <c r="W344">
        <v>0.72</v>
      </c>
      <c r="X344">
        <v>11.56</v>
      </c>
      <c r="Y344">
        <v>1.22</v>
      </c>
      <c r="Z344">
        <v>0.08</v>
      </c>
      <c r="AA344">
        <v>12.86</v>
      </c>
      <c r="AB344" t="s">
        <v>57</v>
      </c>
      <c r="AC344" t="s">
        <v>58</v>
      </c>
      <c r="AD344" t="s">
        <v>48</v>
      </c>
      <c r="AE344">
        <v>0</v>
      </c>
      <c r="AF344">
        <v>0.11</v>
      </c>
      <c r="AG344" t="s">
        <v>59</v>
      </c>
      <c r="AH344">
        <v>443965</v>
      </c>
      <c r="AI344" t="s">
        <v>60</v>
      </c>
      <c r="AJ344" t="s">
        <v>60</v>
      </c>
      <c r="AK344" t="s">
        <v>54</v>
      </c>
      <c r="AL344">
        <v>2024</v>
      </c>
      <c r="AM344" s="6" t="s">
        <v>521</v>
      </c>
      <c r="AN344" s="7">
        <v>11.56</v>
      </c>
      <c r="AO344" s="8">
        <f t="shared" si="15"/>
        <v>21.675000000000001</v>
      </c>
      <c r="AP344" s="8">
        <f t="shared" si="16"/>
        <v>24.080925000000001</v>
      </c>
      <c r="AQ344" s="9">
        <f t="shared" si="17"/>
        <v>35.111332499999996</v>
      </c>
    </row>
    <row r="345" spans="1:43" x14ac:dyDescent="0.25">
      <c r="A345">
        <v>20</v>
      </c>
      <c r="B345">
        <v>2</v>
      </c>
      <c r="C345">
        <v>2024</v>
      </c>
      <c r="D345" t="s">
        <v>43</v>
      </c>
      <c r="E345" t="s">
        <v>140</v>
      </c>
      <c r="F345" t="s">
        <v>141</v>
      </c>
      <c r="G345">
        <v>38</v>
      </c>
      <c r="H345">
        <v>1791882490001</v>
      </c>
      <c r="I345" t="s">
        <v>46</v>
      </c>
      <c r="J345" t="s">
        <v>166</v>
      </c>
      <c r="K345" t="s">
        <v>48</v>
      </c>
      <c r="L345" t="s">
        <v>49</v>
      </c>
      <c r="M345" t="s">
        <v>50</v>
      </c>
      <c r="N345" t="s">
        <v>51</v>
      </c>
      <c r="O345">
        <v>8544429000</v>
      </c>
      <c r="P345" t="s">
        <v>66</v>
      </c>
      <c r="Q345" t="s">
        <v>331</v>
      </c>
      <c r="R345" t="s">
        <v>54</v>
      </c>
      <c r="S345" t="s">
        <v>55</v>
      </c>
      <c r="T345">
        <v>6</v>
      </c>
      <c r="U345">
        <v>3</v>
      </c>
      <c r="V345" t="s">
        <v>56</v>
      </c>
      <c r="W345">
        <v>7.34</v>
      </c>
      <c r="X345">
        <v>159.34</v>
      </c>
      <c r="Y345">
        <v>14.3</v>
      </c>
      <c r="Z345">
        <v>1.07</v>
      </c>
      <c r="AA345">
        <v>174.7</v>
      </c>
      <c r="AB345" t="s">
        <v>54</v>
      </c>
      <c r="AC345" t="s">
        <v>143</v>
      </c>
      <c r="AD345" t="s">
        <v>48</v>
      </c>
      <c r="AE345">
        <v>0</v>
      </c>
      <c r="AF345">
        <v>5.61</v>
      </c>
      <c r="AG345" t="s">
        <v>59</v>
      </c>
      <c r="AH345">
        <v>876053</v>
      </c>
      <c r="AI345" t="s">
        <v>60</v>
      </c>
      <c r="AJ345" t="s">
        <v>60</v>
      </c>
      <c r="AK345" t="s">
        <v>54</v>
      </c>
      <c r="AL345">
        <v>2024</v>
      </c>
      <c r="AM345" s="6" t="s">
        <v>522</v>
      </c>
      <c r="AN345" s="7">
        <v>53.11</v>
      </c>
      <c r="AO345" s="8">
        <f t="shared" si="15"/>
        <v>99.581249999999997</v>
      </c>
      <c r="AP345" s="8">
        <f t="shared" si="16"/>
        <v>110.63476874999999</v>
      </c>
      <c r="AQ345" s="9">
        <f t="shared" si="17"/>
        <v>161.31166687499999</v>
      </c>
    </row>
    <row r="346" spans="1:43" x14ac:dyDescent="0.25">
      <c r="A346">
        <v>10</v>
      </c>
      <c r="B346">
        <v>10</v>
      </c>
      <c r="C346">
        <v>2024</v>
      </c>
      <c r="D346" t="s">
        <v>43</v>
      </c>
      <c r="E346" t="s">
        <v>44</v>
      </c>
      <c r="F346" t="s">
        <v>45</v>
      </c>
      <c r="G346">
        <v>25</v>
      </c>
      <c r="H346">
        <v>1791882490001</v>
      </c>
      <c r="I346" t="s">
        <v>46</v>
      </c>
      <c r="J346" t="s">
        <v>166</v>
      </c>
      <c r="K346" t="s">
        <v>48</v>
      </c>
      <c r="L346" t="s">
        <v>49</v>
      </c>
      <c r="M346" t="s">
        <v>50</v>
      </c>
      <c r="N346" t="s">
        <v>51</v>
      </c>
      <c r="O346">
        <v>8544429000</v>
      </c>
      <c r="P346" t="s">
        <v>333</v>
      </c>
      <c r="Q346" t="s">
        <v>331</v>
      </c>
      <c r="R346" t="s">
        <v>54</v>
      </c>
      <c r="S346" t="s">
        <v>55</v>
      </c>
      <c r="T346">
        <v>7</v>
      </c>
      <c r="U346">
        <v>3</v>
      </c>
      <c r="V346" t="s">
        <v>56</v>
      </c>
      <c r="W346">
        <v>28.34</v>
      </c>
      <c r="X346">
        <v>159.85</v>
      </c>
      <c r="Y346">
        <v>27.93</v>
      </c>
      <c r="Z346">
        <v>1.1499999999999999</v>
      </c>
      <c r="AA346">
        <v>188.93</v>
      </c>
      <c r="AB346" t="s">
        <v>57</v>
      </c>
      <c r="AC346" t="s">
        <v>58</v>
      </c>
      <c r="AD346" t="s">
        <v>48</v>
      </c>
      <c r="AE346">
        <v>0</v>
      </c>
      <c r="AF346">
        <v>1.73</v>
      </c>
      <c r="AG346" t="s">
        <v>59</v>
      </c>
      <c r="AH346">
        <v>179772</v>
      </c>
      <c r="AI346" t="s">
        <v>60</v>
      </c>
      <c r="AJ346" t="s">
        <v>60</v>
      </c>
      <c r="AK346" t="s">
        <v>54</v>
      </c>
      <c r="AL346">
        <v>2024</v>
      </c>
      <c r="AM346" s="6" t="s">
        <v>522</v>
      </c>
      <c r="AN346" s="7">
        <v>53.28</v>
      </c>
      <c r="AO346" s="8">
        <f t="shared" ref="AO346:AO409" si="18">SUM(AN346)*1.875</f>
        <v>99.9</v>
      </c>
      <c r="AP346" s="8">
        <f t="shared" ref="AP346:AP409" si="19">SUM(AO346)*1.111</f>
        <v>110.9889</v>
      </c>
      <c r="AQ346" s="9">
        <f t="shared" si="17"/>
        <v>161.82801000000001</v>
      </c>
    </row>
    <row r="347" spans="1:43" x14ac:dyDescent="0.25">
      <c r="A347">
        <v>20</v>
      </c>
      <c r="B347">
        <v>2</v>
      </c>
      <c r="C347">
        <v>2024</v>
      </c>
      <c r="D347" t="s">
        <v>43</v>
      </c>
      <c r="E347" t="s">
        <v>140</v>
      </c>
      <c r="F347" t="s">
        <v>141</v>
      </c>
      <c r="G347">
        <v>39</v>
      </c>
      <c r="H347">
        <v>1791882490001</v>
      </c>
      <c r="I347" t="s">
        <v>46</v>
      </c>
      <c r="J347" t="s">
        <v>65</v>
      </c>
      <c r="K347" t="s">
        <v>48</v>
      </c>
      <c r="L347" t="s">
        <v>49</v>
      </c>
      <c r="M347" t="s">
        <v>50</v>
      </c>
      <c r="N347" t="s">
        <v>51</v>
      </c>
      <c r="O347">
        <v>8481805900</v>
      </c>
      <c r="P347" t="s">
        <v>103</v>
      </c>
      <c r="Q347" t="s">
        <v>228</v>
      </c>
      <c r="R347" t="s">
        <v>54</v>
      </c>
      <c r="S347" t="s">
        <v>55</v>
      </c>
      <c r="T347">
        <v>6</v>
      </c>
      <c r="U347">
        <v>5</v>
      </c>
      <c r="V347" t="s">
        <v>135</v>
      </c>
      <c r="W347">
        <v>0</v>
      </c>
      <c r="X347">
        <v>1153.94</v>
      </c>
      <c r="Y347">
        <v>103.55</v>
      </c>
      <c r="Z347">
        <v>7.76</v>
      </c>
      <c r="AA347">
        <v>1265.25</v>
      </c>
      <c r="AB347" t="s">
        <v>54</v>
      </c>
      <c r="AC347" t="s">
        <v>143</v>
      </c>
      <c r="AD347" t="s">
        <v>48</v>
      </c>
      <c r="AE347">
        <v>0</v>
      </c>
      <c r="AF347">
        <v>9.36</v>
      </c>
      <c r="AG347" t="s">
        <v>59</v>
      </c>
      <c r="AH347">
        <v>876053</v>
      </c>
      <c r="AI347" t="s">
        <v>60</v>
      </c>
      <c r="AJ347" t="s">
        <v>60</v>
      </c>
      <c r="AK347" t="s">
        <v>54</v>
      </c>
      <c r="AL347">
        <v>2024</v>
      </c>
      <c r="AM347" s="6" t="s">
        <v>523</v>
      </c>
      <c r="AN347" s="7">
        <v>230.79</v>
      </c>
      <c r="AO347" s="8">
        <f t="shared" si="18"/>
        <v>432.73124999999999</v>
      </c>
      <c r="AP347" s="8">
        <f t="shared" si="19"/>
        <v>480.76441875</v>
      </c>
      <c r="AQ347" s="9">
        <f t="shared" si="17"/>
        <v>700.98135187499997</v>
      </c>
    </row>
    <row r="348" spans="1:43" x14ac:dyDescent="0.25">
      <c r="A348">
        <v>20</v>
      </c>
      <c r="B348">
        <v>2</v>
      </c>
      <c r="C348">
        <v>2024</v>
      </c>
      <c r="D348" t="s">
        <v>43</v>
      </c>
      <c r="E348" t="s">
        <v>140</v>
      </c>
      <c r="F348" t="s">
        <v>141</v>
      </c>
      <c r="G348">
        <v>40</v>
      </c>
      <c r="H348">
        <v>1791882490001</v>
      </c>
      <c r="I348" t="s">
        <v>46</v>
      </c>
      <c r="J348" t="s">
        <v>343</v>
      </c>
      <c r="K348" t="s">
        <v>48</v>
      </c>
      <c r="L348" t="s">
        <v>49</v>
      </c>
      <c r="M348" t="s">
        <v>50</v>
      </c>
      <c r="N348" t="s">
        <v>51</v>
      </c>
      <c r="O348">
        <v>8544429000</v>
      </c>
      <c r="P348" t="s">
        <v>66</v>
      </c>
      <c r="Q348" t="s">
        <v>331</v>
      </c>
      <c r="R348" t="s">
        <v>54</v>
      </c>
      <c r="S348" t="s">
        <v>55</v>
      </c>
      <c r="T348">
        <v>6</v>
      </c>
      <c r="U348">
        <v>1</v>
      </c>
      <c r="V348" t="s">
        <v>56</v>
      </c>
      <c r="W348">
        <v>9.1999999999999993</v>
      </c>
      <c r="X348">
        <v>199.88</v>
      </c>
      <c r="Y348">
        <v>17.940000000000001</v>
      </c>
      <c r="Z348">
        <v>1.34</v>
      </c>
      <c r="AA348">
        <v>219.16</v>
      </c>
      <c r="AB348" t="s">
        <v>54</v>
      </c>
      <c r="AC348" t="s">
        <v>143</v>
      </c>
      <c r="AD348" t="s">
        <v>48</v>
      </c>
      <c r="AE348">
        <v>0</v>
      </c>
      <c r="AF348">
        <v>1.87</v>
      </c>
      <c r="AG348" t="s">
        <v>59</v>
      </c>
      <c r="AH348">
        <v>876053</v>
      </c>
      <c r="AI348" t="s">
        <v>60</v>
      </c>
      <c r="AJ348" t="s">
        <v>60</v>
      </c>
      <c r="AK348" t="s">
        <v>54</v>
      </c>
      <c r="AL348">
        <v>2024</v>
      </c>
      <c r="AM348" s="6" t="s">
        <v>524</v>
      </c>
      <c r="AN348" s="7">
        <v>199.88</v>
      </c>
      <c r="AO348" s="8">
        <f t="shared" si="18"/>
        <v>374.77499999999998</v>
      </c>
      <c r="AP348" s="8">
        <f t="shared" si="19"/>
        <v>416.37502499999999</v>
      </c>
      <c r="AQ348" s="9">
        <f t="shared" si="17"/>
        <v>607.09802249999996</v>
      </c>
    </row>
    <row r="349" spans="1:43" x14ac:dyDescent="0.25">
      <c r="A349">
        <v>16</v>
      </c>
      <c r="B349">
        <v>12</v>
      </c>
      <c r="C349">
        <v>2024</v>
      </c>
      <c r="D349" t="s">
        <v>43</v>
      </c>
      <c r="E349" t="s">
        <v>128</v>
      </c>
      <c r="F349" t="s">
        <v>129</v>
      </c>
      <c r="G349">
        <v>23</v>
      </c>
      <c r="H349">
        <v>1791882490001</v>
      </c>
      <c r="I349" t="s">
        <v>46</v>
      </c>
      <c r="J349" t="s">
        <v>343</v>
      </c>
      <c r="K349" t="s">
        <v>48</v>
      </c>
      <c r="L349" t="s">
        <v>49</v>
      </c>
      <c r="M349" t="s">
        <v>50</v>
      </c>
      <c r="N349" t="s">
        <v>51</v>
      </c>
      <c r="O349">
        <v>8544429000</v>
      </c>
      <c r="P349" t="s">
        <v>333</v>
      </c>
      <c r="Q349" t="s">
        <v>331</v>
      </c>
      <c r="R349" t="s">
        <v>54</v>
      </c>
      <c r="S349" t="s">
        <v>55</v>
      </c>
      <c r="T349">
        <v>9</v>
      </c>
      <c r="U349">
        <v>1</v>
      </c>
      <c r="V349" t="s">
        <v>56</v>
      </c>
      <c r="W349">
        <v>10.01</v>
      </c>
      <c r="X349">
        <v>209.44</v>
      </c>
      <c r="Y349">
        <v>27.43</v>
      </c>
      <c r="Z349">
        <v>1.44</v>
      </c>
      <c r="AA349">
        <v>238.31</v>
      </c>
      <c r="AB349" t="s">
        <v>57</v>
      </c>
      <c r="AC349" t="s">
        <v>131</v>
      </c>
      <c r="AD349" t="s">
        <v>48</v>
      </c>
      <c r="AE349">
        <v>0</v>
      </c>
      <c r="AF349">
        <v>1.99</v>
      </c>
      <c r="AG349" t="s">
        <v>59</v>
      </c>
      <c r="AH349">
        <v>325395</v>
      </c>
      <c r="AI349" t="s">
        <v>60</v>
      </c>
      <c r="AJ349" t="s">
        <v>78</v>
      </c>
      <c r="AK349" t="s">
        <v>54</v>
      </c>
      <c r="AL349">
        <v>2024</v>
      </c>
      <c r="AM349" s="6" t="s">
        <v>524</v>
      </c>
      <c r="AN349" s="7">
        <v>209.44</v>
      </c>
      <c r="AO349" s="8">
        <f t="shared" si="18"/>
        <v>392.7</v>
      </c>
      <c r="AP349" s="8">
        <f t="shared" si="19"/>
        <v>436.28969999999998</v>
      </c>
      <c r="AQ349" s="9">
        <f t="shared" si="17"/>
        <v>636.13472999999999</v>
      </c>
    </row>
    <row r="350" spans="1:43" x14ac:dyDescent="0.25">
      <c r="A350">
        <v>26</v>
      </c>
      <c r="B350">
        <v>12</v>
      </c>
      <c r="C350">
        <v>2024</v>
      </c>
      <c r="D350" t="s">
        <v>43</v>
      </c>
      <c r="E350" t="s">
        <v>222</v>
      </c>
      <c r="F350" t="s">
        <v>223</v>
      </c>
      <c r="G350">
        <v>15</v>
      </c>
      <c r="H350">
        <v>1791882490001</v>
      </c>
      <c r="I350" t="s">
        <v>46</v>
      </c>
      <c r="J350" t="s">
        <v>259</v>
      </c>
      <c r="K350" t="s">
        <v>48</v>
      </c>
      <c r="L350" t="s">
        <v>49</v>
      </c>
      <c r="M350" t="s">
        <v>50</v>
      </c>
      <c r="N350" t="s">
        <v>224</v>
      </c>
      <c r="O350">
        <v>8481809990</v>
      </c>
      <c r="P350" t="s">
        <v>232</v>
      </c>
      <c r="Q350" t="s">
        <v>447</v>
      </c>
      <c r="R350" t="s">
        <v>54</v>
      </c>
      <c r="S350" t="s">
        <v>55</v>
      </c>
      <c r="T350">
        <v>8</v>
      </c>
      <c r="U350">
        <v>1</v>
      </c>
      <c r="V350" t="s">
        <v>135</v>
      </c>
      <c r="W350">
        <v>0</v>
      </c>
      <c r="X350">
        <v>78.75</v>
      </c>
      <c r="Y350">
        <v>16.309999999999999</v>
      </c>
      <c r="Z350">
        <v>0.79</v>
      </c>
      <c r="AA350">
        <v>95.85</v>
      </c>
      <c r="AB350" t="s">
        <v>57</v>
      </c>
      <c r="AC350" t="s">
        <v>225</v>
      </c>
      <c r="AD350" t="s">
        <v>48</v>
      </c>
      <c r="AE350">
        <v>0</v>
      </c>
      <c r="AF350">
        <v>2.06</v>
      </c>
      <c r="AG350" t="s">
        <v>59</v>
      </c>
      <c r="AH350">
        <v>341996</v>
      </c>
      <c r="AI350" t="s">
        <v>60</v>
      </c>
      <c r="AJ350" t="s">
        <v>60</v>
      </c>
      <c r="AK350" t="s">
        <v>54</v>
      </c>
      <c r="AL350">
        <v>2024</v>
      </c>
      <c r="AM350" s="6" t="s">
        <v>525</v>
      </c>
      <c r="AN350" s="7">
        <v>78.75</v>
      </c>
      <c r="AO350" s="8">
        <f t="shared" si="18"/>
        <v>147.65625</v>
      </c>
      <c r="AP350" s="8">
        <f t="shared" si="19"/>
        <v>164.04609375000001</v>
      </c>
      <c r="AQ350" s="9">
        <f t="shared" si="17"/>
        <v>239.18835937499998</v>
      </c>
    </row>
    <row r="351" spans="1:43" x14ac:dyDescent="0.25">
      <c r="A351">
        <v>19</v>
      </c>
      <c r="B351">
        <v>8</v>
      </c>
      <c r="C351">
        <v>2024</v>
      </c>
      <c r="D351" t="s">
        <v>43</v>
      </c>
      <c r="E351" t="s">
        <v>84</v>
      </c>
      <c r="F351" t="s">
        <v>85</v>
      </c>
      <c r="G351">
        <v>21</v>
      </c>
      <c r="H351">
        <v>1791882490001</v>
      </c>
      <c r="I351" t="s">
        <v>46</v>
      </c>
      <c r="J351" t="s">
        <v>259</v>
      </c>
      <c r="K351" t="s">
        <v>48</v>
      </c>
      <c r="L351" t="s">
        <v>49</v>
      </c>
      <c r="M351" t="s">
        <v>50</v>
      </c>
      <c r="N351" t="s">
        <v>51</v>
      </c>
      <c r="O351">
        <v>9026200000</v>
      </c>
      <c r="P351" t="s">
        <v>526</v>
      </c>
      <c r="Q351" t="s">
        <v>527</v>
      </c>
      <c r="R351" t="s">
        <v>54</v>
      </c>
      <c r="S351" t="s">
        <v>55</v>
      </c>
      <c r="T351">
        <v>6</v>
      </c>
      <c r="U351">
        <v>1</v>
      </c>
      <c r="V351" t="s">
        <v>135</v>
      </c>
      <c r="W351">
        <v>0</v>
      </c>
      <c r="X351">
        <v>38.31</v>
      </c>
      <c r="Y351">
        <v>4.9400000000000004</v>
      </c>
      <c r="Z351">
        <v>0.26</v>
      </c>
      <c r="AA351">
        <v>43.51</v>
      </c>
      <c r="AB351" t="s">
        <v>57</v>
      </c>
      <c r="AC351" t="s">
        <v>58</v>
      </c>
      <c r="AD351" t="s">
        <v>48</v>
      </c>
      <c r="AE351">
        <v>0</v>
      </c>
      <c r="AF351">
        <v>1.39</v>
      </c>
      <c r="AG351" t="s">
        <v>59</v>
      </c>
      <c r="AH351">
        <v>144527</v>
      </c>
      <c r="AI351" t="s">
        <v>60</v>
      </c>
      <c r="AJ351" t="s">
        <v>60</v>
      </c>
      <c r="AK351" t="s">
        <v>54</v>
      </c>
      <c r="AL351">
        <v>2024</v>
      </c>
      <c r="AM351" s="6" t="s">
        <v>528</v>
      </c>
      <c r="AN351" s="7">
        <v>38.31</v>
      </c>
      <c r="AO351" s="8">
        <f t="shared" si="18"/>
        <v>71.831250000000011</v>
      </c>
      <c r="AP351" s="8">
        <f t="shared" si="19"/>
        <v>79.804518750000014</v>
      </c>
      <c r="AQ351" s="9">
        <f t="shared" si="17"/>
        <v>116.35944187500002</v>
      </c>
    </row>
    <row r="352" spans="1:43" x14ac:dyDescent="0.25">
      <c r="A352">
        <v>8</v>
      </c>
      <c r="B352">
        <v>4</v>
      </c>
      <c r="C352">
        <v>2024</v>
      </c>
      <c r="D352" t="s">
        <v>43</v>
      </c>
      <c r="E352" t="s">
        <v>355</v>
      </c>
      <c r="F352" t="s">
        <v>356</v>
      </c>
      <c r="G352">
        <v>3</v>
      </c>
      <c r="H352">
        <v>1791882490001</v>
      </c>
      <c r="I352" t="s">
        <v>46</v>
      </c>
      <c r="J352" t="s">
        <v>65</v>
      </c>
      <c r="K352" t="s">
        <v>48</v>
      </c>
      <c r="L352" t="s">
        <v>119</v>
      </c>
      <c r="M352" t="s">
        <v>120</v>
      </c>
      <c r="N352" t="s">
        <v>121</v>
      </c>
      <c r="O352">
        <v>8421999000</v>
      </c>
      <c r="P352" t="s">
        <v>66</v>
      </c>
      <c r="Q352" t="s">
        <v>254</v>
      </c>
      <c r="R352" t="s">
        <v>54</v>
      </c>
      <c r="S352" t="s">
        <v>55</v>
      </c>
      <c r="T352">
        <v>10</v>
      </c>
      <c r="U352">
        <v>4</v>
      </c>
      <c r="V352" t="s">
        <v>135</v>
      </c>
      <c r="W352">
        <v>0</v>
      </c>
      <c r="X352">
        <v>795.58</v>
      </c>
      <c r="Y352">
        <v>39.78</v>
      </c>
      <c r="Z352">
        <v>5.08</v>
      </c>
      <c r="AA352">
        <v>840.45</v>
      </c>
      <c r="AB352" t="s">
        <v>359</v>
      </c>
      <c r="AC352" t="s">
        <v>125</v>
      </c>
      <c r="AD352" t="s">
        <v>48</v>
      </c>
      <c r="AE352">
        <v>1</v>
      </c>
      <c r="AF352">
        <v>54.49</v>
      </c>
      <c r="AG352" t="s">
        <v>59</v>
      </c>
      <c r="AH352">
        <v>882904</v>
      </c>
      <c r="AI352" t="s">
        <v>60</v>
      </c>
      <c r="AJ352" t="s">
        <v>60</v>
      </c>
      <c r="AK352" t="s">
        <v>54</v>
      </c>
      <c r="AL352">
        <v>2024</v>
      </c>
      <c r="AM352" s="6" t="s">
        <v>529</v>
      </c>
      <c r="AN352" s="7">
        <v>198.9</v>
      </c>
      <c r="AO352" s="8">
        <f t="shared" si="18"/>
        <v>372.9375</v>
      </c>
      <c r="AP352" s="8">
        <f t="shared" si="19"/>
        <v>414.33356249999997</v>
      </c>
      <c r="AQ352" s="9">
        <f t="shared" si="17"/>
        <v>604.12145624999994</v>
      </c>
    </row>
    <row r="353" spans="1:43" x14ac:dyDescent="0.25">
      <c r="A353">
        <v>12</v>
      </c>
      <c r="B353">
        <v>6</v>
      </c>
      <c r="C353">
        <v>2024</v>
      </c>
      <c r="D353" t="s">
        <v>43</v>
      </c>
      <c r="E353" t="s">
        <v>96</v>
      </c>
      <c r="F353" t="s">
        <v>97</v>
      </c>
      <c r="G353">
        <v>25</v>
      </c>
      <c r="H353">
        <v>1791882490001</v>
      </c>
      <c r="I353" t="s">
        <v>46</v>
      </c>
      <c r="J353" t="s">
        <v>65</v>
      </c>
      <c r="K353" t="s">
        <v>48</v>
      </c>
      <c r="L353" t="s">
        <v>49</v>
      </c>
      <c r="M353" t="s">
        <v>50</v>
      </c>
      <c r="N353" t="s">
        <v>51</v>
      </c>
      <c r="O353">
        <v>8421999000</v>
      </c>
      <c r="P353" t="s">
        <v>66</v>
      </c>
      <c r="Q353" t="s">
        <v>268</v>
      </c>
      <c r="R353" t="s">
        <v>54</v>
      </c>
      <c r="S353" t="s">
        <v>55</v>
      </c>
      <c r="T353">
        <v>7</v>
      </c>
      <c r="U353">
        <v>3</v>
      </c>
      <c r="V353" t="s">
        <v>135</v>
      </c>
      <c r="W353">
        <v>0</v>
      </c>
      <c r="X353">
        <v>618.85</v>
      </c>
      <c r="Y353">
        <v>53.67</v>
      </c>
      <c r="Z353">
        <v>4.17</v>
      </c>
      <c r="AA353">
        <v>676.69</v>
      </c>
      <c r="AB353" t="s">
        <v>57</v>
      </c>
      <c r="AC353" t="s">
        <v>94</v>
      </c>
      <c r="AD353" t="s">
        <v>48</v>
      </c>
      <c r="AE353">
        <v>0</v>
      </c>
      <c r="AF353">
        <v>5.4</v>
      </c>
      <c r="AG353" t="s">
        <v>59</v>
      </c>
      <c r="AH353" t="s">
        <v>98</v>
      </c>
      <c r="AI353" t="s">
        <v>60</v>
      </c>
      <c r="AJ353" t="s">
        <v>60</v>
      </c>
      <c r="AK353" t="s">
        <v>54</v>
      </c>
      <c r="AL353">
        <v>2024</v>
      </c>
      <c r="AM353" s="6" t="s">
        <v>529</v>
      </c>
      <c r="AN353" s="7">
        <v>206.28</v>
      </c>
      <c r="AO353" s="8">
        <f t="shared" si="18"/>
        <v>386.77499999999998</v>
      </c>
      <c r="AP353" s="8">
        <f t="shared" si="19"/>
        <v>429.70702499999999</v>
      </c>
      <c r="AQ353" s="9">
        <f t="shared" si="17"/>
        <v>626.53682249999997</v>
      </c>
    </row>
    <row r="354" spans="1:43" x14ac:dyDescent="0.25">
      <c r="A354">
        <v>19</v>
      </c>
      <c r="B354">
        <v>8</v>
      </c>
      <c r="C354">
        <v>2024</v>
      </c>
      <c r="D354" t="s">
        <v>43</v>
      </c>
      <c r="E354" t="s">
        <v>84</v>
      </c>
      <c r="F354" t="s">
        <v>85</v>
      </c>
      <c r="G354">
        <v>22</v>
      </c>
      <c r="H354">
        <v>1791882490001</v>
      </c>
      <c r="I354" t="s">
        <v>46</v>
      </c>
      <c r="J354" t="s">
        <v>65</v>
      </c>
      <c r="K354" t="s">
        <v>48</v>
      </c>
      <c r="L354" t="s">
        <v>49</v>
      </c>
      <c r="M354" t="s">
        <v>50</v>
      </c>
      <c r="N354" t="s">
        <v>51</v>
      </c>
      <c r="O354">
        <v>8421999000</v>
      </c>
      <c r="P354" t="s">
        <v>66</v>
      </c>
      <c r="Q354" t="s">
        <v>254</v>
      </c>
      <c r="R354" t="s">
        <v>54</v>
      </c>
      <c r="S354" t="s">
        <v>55</v>
      </c>
      <c r="T354">
        <v>6</v>
      </c>
      <c r="U354">
        <v>5</v>
      </c>
      <c r="V354" t="s">
        <v>135</v>
      </c>
      <c r="W354">
        <v>0</v>
      </c>
      <c r="X354">
        <v>1022.47</v>
      </c>
      <c r="Y354">
        <v>131.93</v>
      </c>
      <c r="Z354">
        <v>6.99</v>
      </c>
      <c r="AA354">
        <v>1161.3900000000001</v>
      </c>
      <c r="AB354" t="s">
        <v>57</v>
      </c>
      <c r="AC354" t="s">
        <v>58</v>
      </c>
      <c r="AD354" t="s">
        <v>48</v>
      </c>
      <c r="AE354">
        <v>0</v>
      </c>
      <c r="AF354">
        <v>6.98</v>
      </c>
      <c r="AG354" t="s">
        <v>59</v>
      </c>
      <c r="AH354">
        <v>144527</v>
      </c>
      <c r="AI354" t="s">
        <v>60</v>
      </c>
      <c r="AJ354" t="s">
        <v>60</v>
      </c>
      <c r="AK354" t="s">
        <v>54</v>
      </c>
      <c r="AL354">
        <v>2024</v>
      </c>
      <c r="AM354" s="6" t="s">
        <v>529</v>
      </c>
      <c r="AN354" s="7">
        <v>204.49</v>
      </c>
      <c r="AO354" s="8">
        <f t="shared" si="18"/>
        <v>383.41875000000005</v>
      </c>
      <c r="AP354" s="8">
        <f t="shared" si="19"/>
        <v>425.97823125000002</v>
      </c>
      <c r="AQ354" s="9">
        <f t="shared" si="17"/>
        <v>621.10003312499998</v>
      </c>
    </row>
    <row r="355" spans="1:43" x14ac:dyDescent="0.25">
      <c r="A355">
        <v>10</v>
      </c>
      <c r="B355">
        <v>10</v>
      </c>
      <c r="C355">
        <v>2024</v>
      </c>
      <c r="D355" t="s">
        <v>43</v>
      </c>
      <c r="E355" t="s">
        <v>44</v>
      </c>
      <c r="F355" t="s">
        <v>45</v>
      </c>
      <c r="G355">
        <v>26</v>
      </c>
      <c r="H355">
        <v>1791882490001</v>
      </c>
      <c r="I355" t="s">
        <v>46</v>
      </c>
      <c r="J355" t="s">
        <v>65</v>
      </c>
      <c r="K355" t="s">
        <v>48</v>
      </c>
      <c r="L355" t="s">
        <v>49</v>
      </c>
      <c r="M355" t="s">
        <v>50</v>
      </c>
      <c r="N355" t="s">
        <v>51</v>
      </c>
      <c r="O355">
        <v>8421999000</v>
      </c>
      <c r="P355" t="s">
        <v>52</v>
      </c>
      <c r="Q355" t="s">
        <v>254</v>
      </c>
      <c r="R355" t="s">
        <v>54</v>
      </c>
      <c r="S355" t="s">
        <v>55</v>
      </c>
      <c r="T355">
        <v>7</v>
      </c>
      <c r="U355">
        <v>2</v>
      </c>
      <c r="V355" t="s">
        <v>135</v>
      </c>
      <c r="W355">
        <v>0</v>
      </c>
      <c r="X355">
        <v>413.39</v>
      </c>
      <c r="Y355">
        <v>72.23</v>
      </c>
      <c r="Z355">
        <v>2.98</v>
      </c>
      <c r="AA355">
        <v>488.6</v>
      </c>
      <c r="AB355" t="s">
        <v>57</v>
      </c>
      <c r="AC355" t="s">
        <v>58</v>
      </c>
      <c r="AD355" t="s">
        <v>48</v>
      </c>
      <c r="AE355">
        <v>0</v>
      </c>
      <c r="AF355">
        <v>4.46</v>
      </c>
      <c r="AG355" t="s">
        <v>59</v>
      </c>
      <c r="AH355">
        <v>179772</v>
      </c>
      <c r="AI355" t="s">
        <v>60</v>
      </c>
      <c r="AJ355" t="s">
        <v>60</v>
      </c>
      <c r="AK355" t="s">
        <v>54</v>
      </c>
      <c r="AL355">
        <v>2024</v>
      </c>
      <c r="AM355" s="6" t="s">
        <v>529</v>
      </c>
      <c r="AN355" s="7">
        <v>206.7</v>
      </c>
      <c r="AO355" s="8">
        <f t="shared" si="18"/>
        <v>387.5625</v>
      </c>
      <c r="AP355" s="8">
        <f t="shared" si="19"/>
        <v>430.58193749999998</v>
      </c>
      <c r="AQ355" s="9">
        <f t="shared" si="17"/>
        <v>627.81249374999993</v>
      </c>
    </row>
    <row r="356" spans="1:43" x14ac:dyDescent="0.25">
      <c r="A356">
        <v>10</v>
      </c>
      <c r="B356">
        <v>10</v>
      </c>
      <c r="C356">
        <v>2024</v>
      </c>
      <c r="D356" t="s">
        <v>43</v>
      </c>
      <c r="E356" t="s">
        <v>44</v>
      </c>
      <c r="F356" t="s">
        <v>45</v>
      </c>
      <c r="G356">
        <v>27</v>
      </c>
      <c r="H356">
        <v>1791882490001</v>
      </c>
      <c r="I356" t="s">
        <v>46</v>
      </c>
      <c r="J356" t="s">
        <v>65</v>
      </c>
      <c r="K356" t="s">
        <v>48</v>
      </c>
      <c r="L356" t="s">
        <v>49</v>
      </c>
      <c r="M356" t="s">
        <v>50</v>
      </c>
      <c r="N356" t="s">
        <v>51</v>
      </c>
      <c r="O356">
        <v>8421999000</v>
      </c>
      <c r="P356" t="s">
        <v>52</v>
      </c>
      <c r="Q356" t="s">
        <v>254</v>
      </c>
      <c r="R356" t="s">
        <v>54</v>
      </c>
      <c r="S356" t="s">
        <v>55</v>
      </c>
      <c r="T356">
        <v>7</v>
      </c>
      <c r="U356">
        <v>2</v>
      </c>
      <c r="V356" t="s">
        <v>135</v>
      </c>
      <c r="W356">
        <v>0</v>
      </c>
      <c r="X356">
        <v>413.39</v>
      </c>
      <c r="Y356">
        <v>72.23</v>
      </c>
      <c r="Z356">
        <v>2.98</v>
      </c>
      <c r="AA356">
        <v>488.6</v>
      </c>
      <c r="AB356" t="s">
        <v>57</v>
      </c>
      <c r="AC356" t="s">
        <v>58</v>
      </c>
      <c r="AD356" t="s">
        <v>48</v>
      </c>
      <c r="AE356">
        <v>0</v>
      </c>
      <c r="AF356">
        <v>4.46</v>
      </c>
      <c r="AG356" t="s">
        <v>59</v>
      </c>
      <c r="AH356">
        <v>179772</v>
      </c>
      <c r="AI356" t="s">
        <v>60</v>
      </c>
      <c r="AJ356" t="s">
        <v>60</v>
      </c>
      <c r="AK356" t="s">
        <v>54</v>
      </c>
      <c r="AL356">
        <v>2024</v>
      </c>
      <c r="AM356" s="6" t="s">
        <v>529</v>
      </c>
      <c r="AN356" s="7">
        <v>206.7</v>
      </c>
      <c r="AO356" s="8">
        <f t="shared" si="18"/>
        <v>387.5625</v>
      </c>
      <c r="AP356" s="8">
        <f t="shared" si="19"/>
        <v>430.58193749999998</v>
      </c>
      <c r="AQ356" s="9">
        <f t="shared" si="17"/>
        <v>627.81249374999993</v>
      </c>
    </row>
    <row r="357" spans="1:43" x14ac:dyDescent="0.25">
      <c r="A357">
        <v>16</v>
      </c>
      <c r="B357">
        <v>12</v>
      </c>
      <c r="C357">
        <v>2024</v>
      </c>
      <c r="D357" t="s">
        <v>43</v>
      </c>
      <c r="E357" t="s">
        <v>128</v>
      </c>
      <c r="F357" t="s">
        <v>129</v>
      </c>
      <c r="G357">
        <v>24</v>
      </c>
      <c r="H357">
        <v>1791882490001</v>
      </c>
      <c r="I357" t="s">
        <v>46</v>
      </c>
      <c r="J357" t="s">
        <v>65</v>
      </c>
      <c r="K357" t="s">
        <v>48</v>
      </c>
      <c r="L357" t="s">
        <v>49</v>
      </c>
      <c r="M357" t="s">
        <v>50</v>
      </c>
      <c r="N357" t="s">
        <v>51</v>
      </c>
      <c r="O357">
        <v>8421999000</v>
      </c>
      <c r="P357" t="s">
        <v>52</v>
      </c>
      <c r="Q357" t="s">
        <v>268</v>
      </c>
      <c r="R357" t="s">
        <v>54</v>
      </c>
      <c r="S357" t="s">
        <v>55</v>
      </c>
      <c r="T357">
        <v>9</v>
      </c>
      <c r="U357">
        <v>2</v>
      </c>
      <c r="V357" t="s">
        <v>135</v>
      </c>
      <c r="W357">
        <v>0</v>
      </c>
      <c r="X357">
        <v>366.67</v>
      </c>
      <c r="Y357">
        <v>48.02</v>
      </c>
      <c r="Z357">
        <v>2.52</v>
      </c>
      <c r="AA357">
        <v>417.21</v>
      </c>
      <c r="AB357" t="s">
        <v>57</v>
      </c>
      <c r="AC357" t="s">
        <v>131</v>
      </c>
      <c r="AD357" t="s">
        <v>48</v>
      </c>
      <c r="AE357">
        <v>0</v>
      </c>
      <c r="AF357">
        <v>3.98</v>
      </c>
      <c r="AG357" t="s">
        <v>59</v>
      </c>
      <c r="AH357">
        <v>325395</v>
      </c>
      <c r="AI357" t="s">
        <v>60</v>
      </c>
      <c r="AJ357" t="s">
        <v>78</v>
      </c>
      <c r="AK357" t="s">
        <v>54</v>
      </c>
      <c r="AL357">
        <v>2024</v>
      </c>
      <c r="AM357" s="6" t="s">
        <v>529</v>
      </c>
      <c r="AN357" s="7">
        <v>183.34</v>
      </c>
      <c r="AO357" s="8">
        <f t="shared" si="18"/>
        <v>343.76249999999999</v>
      </c>
      <c r="AP357" s="8">
        <f t="shared" si="19"/>
        <v>381.92013750000001</v>
      </c>
      <c r="AQ357" s="9">
        <f t="shared" si="17"/>
        <v>556.86087375</v>
      </c>
    </row>
    <row r="358" spans="1:43" x14ac:dyDescent="0.25">
      <c r="A358">
        <v>3</v>
      </c>
      <c r="B358">
        <v>4</v>
      </c>
      <c r="C358">
        <v>2024</v>
      </c>
      <c r="D358" t="s">
        <v>43</v>
      </c>
      <c r="E358" t="s">
        <v>73</v>
      </c>
      <c r="F358" t="s">
        <v>74</v>
      </c>
      <c r="G358">
        <v>17</v>
      </c>
      <c r="H358">
        <v>1791882490001</v>
      </c>
      <c r="I358" t="s">
        <v>46</v>
      </c>
      <c r="J358" t="s">
        <v>65</v>
      </c>
      <c r="K358" t="s">
        <v>48</v>
      </c>
      <c r="L358" t="s">
        <v>49</v>
      </c>
      <c r="M358" t="s">
        <v>50</v>
      </c>
      <c r="N358" t="s">
        <v>51</v>
      </c>
      <c r="O358">
        <v>8421999000</v>
      </c>
      <c r="P358" t="s">
        <v>66</v>
      </c>
      <c r="Q358" t="s">
        <v>254</v>
      </c>
      <c r="R358" t="s">
        <v>54</v>
      </c>
      <c r="S358" t="s">
        <v>55</v>
      </c>
      <c r="T358">
        <v>6</v>
      </c>
      <c r="U358">
        <v>4</v>
      </c>
      <c r="V358" t="s">
        <v>135</v>
      </c>
      <c r="W358">
        <v>0</v>
      </c>
      <c r="X358">
        <v>1132.6600000000001</v>
      </c>
      <c r="Y358">
        <v>132.30000000000001</v>
      </c>
      <c r="Z358">
        <v>7.41</v>
      </c>
      <c r="AA358">
        <v>1272.3599999999999</v>
      </c>
      <c r="AB358" t="s">
        <v>57</v>
      </c>
      <c r="AC358" t="s">
        <v>58</v>
      </c>
      <c r="AD358" t="s">
        <v>48</v>
      </c>
      <c r="AE358">
        <v>0</v>
      </c>
      <c r="AF358">
        <v>5.33</v>
      </c>
      <c r="AG358" t="s">
        <v>59</v>
      </c>
      <c r="AH358">
        <v>438183</v>
      </c>
      <c r="AI358" t="s">
        <v>60</v>
      </c>
      <c r="AJ358" t="s">
        <v>60</v>
      </c>
      <c r="AK358" t="s">
        <v>54</v>
      </c>
      <c r="AL358">
        <v>2024</v>
      </c>
      <c r="AM358" s="6" t="s">
        <v>530</v>
      </c>
      <c r="AN358" s="7">
        <v>283.16000000000003</v>
      </c>
      <c r="AO358" s="8">
        <f t="shared" si="18"/>
        <v>530.92500000000007</v>
      </c>
      <c r="AP358" s="8">
        <f t="shared" si="19"/>
        <v>589.85767500000009</v>
      </c>
      <c r="AQ358" s="9">
        <f t="shared" si="17"/>
        <v>860.04540750000001</v>
      </c>
    </row>
    <row r="359" spans="1:43" x14ac:dyDescent="0.25">
      <c r="A359">
        <v>8</v>
      </c>
      <c r="B359">
        <v>4</v>
      </c>
      <c r="C359">
        <v>2024</v>
      </c>
      <c r="D359" t="s">
        <v>43</v>
      </c>
      <c r="E359" t="s">
        <v>355</v>
      </c>
      <c r="F359" t="s">
        <v>356</v>
      </c>
      <c r="G359">
        <v>4</v>
      </c>
      <c r="H359">
        <v>1791882490001</v>
      </c>
      <c r="I359" t="s">
        <v>46</v>
      </c>
      <c r="J359" t="s">
        <v>65</v>
      </c>
      <c r="K359" t="s">
        <v>48</v>
      </c>
      <c r="L359" t="s">
        <v>119</v>
      </c>
      <c r="M359" t="s">
        <v>120</v>
      </c>
      <c r="N359" t="s">
        <v>121</v>
      </c>
      <c r="O359">
        <v>8421999000</v>
      </c>
      <c r="P359" t="s">
        <v>66</v>
      </c>
      <c r="Q359" t="s">
        <v>254</v>
      </c>
      <c r="R359" t="s">
        <v>54</v>
      </c>
      <c r="S359" t="s">
        <v>55</v>
      </c>
      <c r="T359">
        <v>10</v>
      </c>
      <c r="U359">
        <v>4</v>
      </c>
      <c r="V359" t="s">
        <v>135</v>
      </c>
      <c r="W359">
        <v>0</v>
      </c>
      <c r="X359">
        <v>1045.21</v>
      </c>
      <c r="Y359">
        <v>52.26</v>
      </c>
      <c r="Z359">
        <v>6.68</v>
      </c>
      <c r="AA359">
        <v>1104.1500000000001</v>
      </c>
      <c r="AB359" t="s">
        <v>359</v>
      </c>
      <c r="AC359" t="s">
        <v>125</v>
      </c>
      <c r="AD359" t="s">
        <v>48</v>
      </c>
      <c r="AE359">
        <v>1</v>
      </c>
      <c r="AF359">
        <v>54.49</v>
      </c>
      <c r="AG359" t="s">
        <v>59</v>
      </c>
      <c r="AH359">
        <v>882904</v>
      </c>
      <c r="AI359" t="s">
        <v>60</v>
      </c>
      <c r="AJ359" t="s">
        <v>60</v>
      </c>
      <c r="AK359" t="s">
        <v>54</v>
      </c>
      <c r="AL359">
        <v>2024</v>
      </c>
      <c r="AM359" s="6" t="s">
        <v>530</v>
      </c>
      <c r="AN359" s="7">
        <v>261.3</v>
      </c>
      <c r="AO359" s="8">
        <f t="shared" si="18"/>
        <v>489.9375</v>
      </c>
      <c r="AP359" s="8">
        <f t="shared" si="19"/>
        <v>544.32056249999994</v>
      </c>
      <c r="AQ359" s="9">
        <f t="shared" si="17"/>
        <v>793.64975625</v>
      </c>
    </row>
    <row r="360" spans="1:43" x14ac:dyDescent="0.25">
      <c r="A360">
        <v>15</v>
      </c>
      <c r="B360">
        <v>4</v>
      </c>
      <c r="C360">
        <v>2024</v>
      </c>
      <c r="D360" t="s">
        <v>43</v>
      </c>
      <c r="E360" t="s">
        <v>63</v>
      </c>
      <c r="F360" t="s">
        <v>64</v>
      </c>
      <c r="G360">
        <v>27</v>
      </c>
      <c r="H360">
        <v>1791882490001</v>
      </c>
      <c r="I360" t="s">
        <v>46</v>
      </c>
      <c r="J360" t="s">
        <v>65</v>
      </c>
      <c r="K360" t="s">
        <v>48</v>
      </c>
      <c r="L360" t="s">
        <v>49</v>
      </c>
      <c r="M360" t="s">
        <v>50</v>
      </c>
      <c r="N360" t="s">
        <v>51</v>
      </c>
      <c r="O360">
        <v>8421999000</v>
      </c>
      <c r="P360" t="s">
        <v>66</v>
      </c>
      <c r="Q360" t="s">
        <v>254</v>
      </c>
      <c r="R360" t="s">
        <v>54</v>
      </c>
      <c r="S360" t="s">
        <v>55</v>
      </c>
      <c r="T360">
        <v>6</v>
      </c>
      <c r="U360">
        <v>2</v>
      </c>
      <c r="V360" t="s">
        <v>135</v>
      </c>
      <c r="W360">
        <v>0</v>
      </c>
      <c r="X360">
        <v>549.82000000000005</v>
      </c>
      <c r="Y360">
        <v>57.88</v>
      </c>
      <c r="Z360">
        <v>3.69</v>
      </c>
      <c r="AA360">
        <v>611.39</v>
      </c>
      <c r="AB360" t="s">
        <v>57</v>
      </c>
      <c r="AC360" t="s">
        <v>58</v>
      </c>
      <c r="AD360" t="s">
        <v>48</v>
      </c>
      <c r="AE360">
        <v>0</v>
      </c>
      <c r="AF360">
        <v>5.27</v>
      </c>
      <c r="AG360" t="s">
        <v>59</v>
      </c>
      <c r="AH360">
        <v>443965</v>
      </c>
      <c r="AI360" t="s">
        <v>60</v>
      </c>
      <c r="AJ360" t="s">
        <v>60</v>
      </c>
      <c r="AK360" t="s">
        <v>54</v>
      </c>
      <c r="AL360">
        <v>2024</v>
      </c>
      <c r="AM360" s="6" t="s">
        <v>530</v>
      </c>
      <c r="AN360" s="7">
        <v>274.91000000000003</v>
      </c>
      <c r="AO360" s="8">
        <f t="shared" si="18"/>
        <v>515.45625000000007</v>
      </c>
      <c r="AP360" s="8">
        <f t="shared" si="19"/>
        <v>572.67189375000009</v>
      </c>
      <c r="AQ360" s="9">
        <f t="shared" si="17"/>
        <v>834.98757937500011</v>
      </c>
    </row>
    <row r="361" spans="1:43" x14ac:dyDescent="0.25">
      <c r="A361">
        <v>17</v>
      </c>
      <c r="B361">
        <v>5</v>
      </c>
      <c r="C361">
        <v>2024</v>
      </c>
      <c r="D361" t="s">
        <v>43</v>
      </c>
      <c r="E361" t="s">
        <v>79</v>
      </c>
      <c r="F361" t="s">
        <v>80</v>
      </c>
      <c r="G361">
        <v>19</v>
      </c>
      <c r="H361">
        <v>1791882490001</v>
      </c>
      <c r="I361" t="s">
        <v>46</v>
      </c>
      <c r="J361" t="s">
        <v>65</v>
      </c>
      <c r="K361" t="s">
        <v>48</v>
      </c>
      <c r="L361" t="s">
        <v>49</v>
      </c>
      <c r="M361" t="s">
        <v>50</v>
      </c>
      <c r="N361" t="s">
        <v>51</v>
      </c>
      <c r="O361">
        <v>8421999000</v>
      </c>
      <c r="P361" t="s">
        <v>66</v>
      </c>
      <c r="Q361" t="s">
        <v>254</v>
      </c>
      <c r="R361" t="s">
        <v>54</v>
      </c>
      <c r="S361" t="s">
        <v>55</v>
      </c>
      <c r="T361">
        <v>6</v>
      </c>
      <c r="U361">
        <v>4</v>
      </c>
      <c r="V361" t="s">
        <v>135</v>
      </c>
      <c r="W361">
        <v>0</v>
      </c>
      <c r="X361">
        <v>1100.55</v>
      </c>
      <c r="Y361">
        <v>106.25</v>
      </c>
      <c r="Z361">
        <v>7.33</v>
      </c>
      <c r="AA361">
        <v>1214.1199999999999</v>
      </c>
      <c r="AB361" t="s">
        <v>57</v>
      </c>
      <c r="AC361" t="s">
        <v>81</v>
      </c>
      <c r="AD361" t="s">
        <v>48</v>
      </c>
      <c r="AE361">
        <v>0</v>
      </c>
      <c r="AF361">
        <v>4.33</v>
      </c>
      <c r="AG361" t="s">
        <v>82</v>
      </c>
      <c r="AH361">
        <v>471463</v>
      </c>
      <c r="AI361" t="s">
        <v>60</v>
      </c>
      <c r="AJ361" t="s">
        <v>60</v>
      </c>
      <c r="AK361" t="s">
        <v>54</v>
      </c>
      <c r="AL361">
        <v>2024</v>
      </c>
      <c r="AM361" s="6" t="s">
        <v>530</v>
      </c>
      <c r="AN361" s="7">
        <v>275.14</v>
      </c>
      <c r="AO361" s="8">
        <f t="shared" si="18"/>
        <v>515.88749999999993</v>
      </c>
      <c r="AP361" s="8">
        <f t="shared" si="19"/>
        <v>573.15101249999987</v>
      </c>
      <c r="AQ361" s="9">
        <f t="shared" si="17"/>
        <v>835.68616124999983</v>
      </c>
    </row>
    <row r="362" spans="1:43" x14ac:dyDescent="0.25">
      <c r="A362">
        <v>8</v>
      </c>
      <c r="B362">
        <v>7</v>
      </c>
      <c r="C362">
        <v>2024</v>
      </c>
      <c r="D362" t="s">
        <v>43</v>
      </c>
      <c r="E362" t="s">
        <v>75</v>
      </c>
      <c r="F362" t="s">
        <v>76</v>
      </c>
      <c r="G362">
        <v>25</v>
      </c>
      <c r="H362">
        <v>1791882490001</v>
      </c>
      <c r="I362" t="s">
        <v>46</v>
      </c>
      <c r="J362" t="s">
        <v>65</v>
      </c>
      <c r="K362" t="s">
        <v>48</v>
      </c>
      <c r="L362" t="s">
        <v>49</v>
      </c>
      <c r="M362" t="s">
        <v>50</v>
      </c>
      <c r="N362" t="s">
        <v>51</v>
      </c>
      <c r="O362">
        <v>8421999000</v>
      </c>
      <c r="P362" t="s">
        <v>66</v>
      </c>
      <c r="Q362" t="s">
        <v>531</v>
      </c>
      <c r="R362" t="s">
        <v>54</v>
      </c>
      <c r="S362" t="s">
        <v>55</v>
      </c>
      <c r="T362">
        <v>8</v>
      </c>
      <c r="U362">
        <v>4</v>
      </c>
      <c r="V362" t="s">
        <v>135</v>
      </c>
      <c r="W362">
        <v>0</v>
      </c>
      <c r="X362">
        <v>1141.5899999999999</v>
      </c>
      <c r="Y362">
        <v>97.51</v>
      </c>
      <c r="Z362">
        <v>7.42</v>
      </c>
      <c r="AA362">
        <v>1246.52</v>
      </c>
      <c r="AB362" t="s">
        <v>57</v>
      </c>
      <c r="AC362" t="s">
        <v>77</v>
      </c>
      <c r="AD362" t="s">
        <v>48</v>
      </c>
      <c r="AE362">
        <v>0</v>
      </c>
      <c r="AF362">
        <v>7.55</v>
      </c>
      <c r="AG362" t="s">
        <v>59</v>
      </c>
      <c r="AH362">
        <v>107711</v>
      </c>
      <c r="AI362" t="s">
        <v>60</v>
      </c>
      <c r="AJ362" t="s">
        <v>78</v>
      </c>
      <c r="AK362" t="s">
        <v>54</v>
      </c>
      <c r="AL362">
        <v>2024</v>
      </c>
      <c r="AM362" s="6" t="s">
        <v>530</v>
      </c>
      <c r="AN362" s="7">
        <v>285.39999999999998</v>
      </c>
      <c r="AO362" s="8">
        <f t="shared" si="18"/>
        <v>535.125</v>
      </c>
      <c r="AP362" s="8">
        <f t="shared" si="19"/>
        <v>594.52387499999998</v>
      </c>
      <c r="AQ362" s="9">
        <f t="shared" si="17"/>
        <v>866.84898749999991</v>
      </c>
    </row>
    <row r="363" spans="1:43" x14ac:dyDescent="0.25">
      <c r="A363">
        <v>8</v>
      </c>
      <c r="B363">
        <v>7</v>
      </c>
      <c r="C363">
        <v>2024</v>
      </c>
      <c r="D363" t="s">
        <v>43</v>
      </c>
      <c r="E363" t="s">
        <v>75</v>
      </c>
      <c r="F363" t="s">
        <v>76</v>
      </c>
      <c r="G363">
        <v>25</v>
      </c>
      <c r="H363">
        <v>1791882490001</v>
      </c>
      <c r="I363" t="s">
        <v>46</v>
      </c>
      <c r="J363" t="s">
        <v>65</v>
      </c>
      <c r="K363" t="s">
        <v>48</v>
      </c>
      <c r="L363" t="s">
        <v>49</v>
      </c>
      <c r="M363" t="s">
        <v>50</v>
      </c>
      <c r="N363" t="s">
        <v>51</v>
      </c>
      <c r="O363">
        <v>8421999000</v>
      </c>
      <c r="P363" t="s">
        <v>66</v>
      </c>
      <c r="Q363" t="s">
        <v>531</v>
      </c>
      <c r="R363" t="s">
        <v>54</v>
      </c>
      <c r="S363" t="s">
        <v>55</v>
      </c>
      <c r="T363">
        <v>8</v>
      </c>
      <c r="U363">
        <v>4</v>
      </c>
      <c r="V363" t="s">
        <v>135</v>
      </c>
      <c r="W363">
        <v>0</v>
      </c>
      <c r="X363">
        <v>1141.5899999999999</v>
      </c>
      <c r="Y363">
        <v>97.51</v>
      </c>
      <c r="Z363">
        <v>7.42</v>
      </c>
      <c r="AA363">
        <v>1246.52</v>
      </c>
      <c r="AB363" t="s">
        <v>57</v>
      </c>
      <c r="AC363" t="s">
        <v>77</v>
      </c>
      <c r="AD363" t="s">
        <v>48</v>
      </c>
      <c r="AE363">
        <v>0</v>
      </c>
      <c r="AF363">
        <v>7.55</v>
      </c>
      <c r="AG363" t="s">
        <v>59</v>
      </c>
      <c r="AH363">
        <v>107711</v>
      </c>
      <c r="AI363" t="s">
        <v>60</v>
      </c>
      <c r="AJ363" t="s">
        <v>78</v>
      </c>
      <c r="AK363" t="s">
        <v>54</v>
      </c>
      <c r="AL363">
        <v>2024</v>
      </c>
      <c r="AM363" s="6" t="s">
        <v>530</v>
      </c>
      <c r="AN363" s="7">
        <v>285.39999999999998</v>
      </c>
      <c r="AO363" s="8">
        <f t="shared" si="18"/>
        <v>535.125</v>
      </c>
      <c r="AP363" s="8">
        <f t="shared" si="19"/>
        <v>594.52387499999998</v>
      </c>
      <c r="AQ363" s="9">
        <f t="shared" si="17"/>
        <v>866.84898749999991</v>
      </c>
    </row>
    <row r="364" spans="1:43" x14ac:dyDescent="0.25">
      <c r="A364">
        <v>11</v>
      </c>
      <c r="B364">
        <v>7</v>
      </c>
      <c r="C364">
        <v>2024</v>
      </c>
      <c r="D364" t="s">
        <v>43</v>
      </c>
      <c r="E364" t="s">
        <v>116</v>
      </c>
      <c r="F364" t="s">
        <v>117</v>
      </c>
      <c r="G364">
        <v>13</v>
      </c>
      <c r="H364">
        <v>1791882490001</v>
      </c>
      <c r="I364" t="s">
        <v>46</v>
      </c>
      <c r="J364" t="s">
        <v>65</v>
      </c>
      <c r="K364" t="s">
        <v>48</v>
      </c>
      <c r="L364" t="s">
        <v>119</v>
      </c>
      <c r="M364" t="s">
        <v>120</v>
      </c>
      <c r="N364" t="s">
        <v>121</v>
      </c>
      <c r="O364">
        <v>8421999000</v>
      </c>
      <c r="P364" t="s">
        <v>66</v>
      </c>
      <c r="Q364" t="s">
        <v>254</v>
      </c>
      <c r="R364" t="s">
        <v>54</v>
      </c>
      <c r="S364" t="s">
        <v>55</v>
      </c>
      <c r="T364">
        <v>9</v>
      </c>
      <c r="U364">
        <v>2</v>
      </c>
      <c r="V364" t="s">
        <v>135</v>
      </c>
      <c r="W364">
        <v>0</v>
      </c>
      <c r="X364">
        <v>552.48</v>
      </c>
      <c r="Y364">
        <v>49.75</v>
      </c>
      <c r="Z364">
        <v>3.71</v>
      </c>
      <c r="AA364">
        <v>605.94000000000005</v>
      </c>
      <c r="AB364" t="s">
        <v>124</v>
      </c>
      <c r="AC364" t="s">
        <v>125</v>
      </c>
      <c r="AD364" t="s">
        <v>48</v>
      </c>
      <c r="AE364">
        <v>0</v>
      </c>
      <c r="AF364">
        <v>4.03</v>
      </c>
      <c r="AG364" t="s">
        <v>59</v>
      </c>
      <c r="AH364">
        <v>486256</v>
      </c>
      <c r="AI364" t="s">
        <v>60</v>
      </c>
      <c r="AJ364" t="s">
        <v>78</v>
      </c>
      <c r="AK364" t="s">
        <v>54</v>
      </c>
      <c r="AL364">
        <v>2024</v>
      </c>
      <c r="AM364" s="6" t="s">
        <v>530</v>
      </c>
      <c r="AN364" s="7">
        <v>276.24</v>
      </c>
      <c r="AO364" s="8">
        <f t="shared" si="18"/>
        <v>517.95000000000005</v>
      </c>
      <c r="AP364" s="8">
        <f t="shared" si="19"/>
        <v>575.44245000000001</v>
      </c>
      <c r="AQ364" s="9">
        <f t="shared" si="17"/>
        <v>839.02720499999998</v>
      </c>
    </row>
    <row r="365" spans="1:43" x14ac:dyDescent="0.25">
      <c r="A365">
        <v>11</v>
      </c>
      <c r="B365">
        <v>7</v>
      </c>
      <c r="C365">
        <v>2024</v>
      </c>
      <c r="D365" t="s">
        <v>43</v>
      </c>
      <c r="E365" t="s">
        <v>116</v>
      </c>
      <c r="F365" t="s">
        <v>117</v>
      </c>
      <c r="G365">
        <v>14</v>
      </c>
      <c r="H365">
        <v>1791882490001</v>
      </c>
      <c r="I365" t="s">
        <v>46</v>
      </c>
      <c r="J365" t="s">
        <v>65</v>
      </c>
      <c r="K365" t="s">
        <v>48</v>
      </c>
      <c r="L365" t="s">
        <v>119</v>
      </c>
      <c r="M365" t="s">
        <v>120</v>
      </c>
      <c r="N365" t="s">
        <v>121</v>
      </c>
      <c r="O365">
        <v>8421999000</v>
      </c>
      <c r="P365" t="s">
        <v>66</v>
      </c>
      <c r="Q365" t="s">
        <v>254</v>
      </c>
      <c r="R365" t="s">
        <v>54</v>
      </c>
      <c r="S365" t="s">
        <v>55</v>
      </c>
      <c r="T365">
        <v>9</v>
      </c>
      <c r="U365">
        <v>3</v>
      </c>
      <c r="V365" t="s">
        <v>135</v>
      </c>
      <c r="W365">
        <v>0</v>
      </c>
      <c r="X365">
        <v>828.72</v>
      </c>
      <c r="Y365">
        <v>74.64</v>
      </c>
      <c r="Z365">
        <v>5.56</v>
      </c>
      <c r="AA365">
        <v>908.92</v>
      </c>
      <c r="AB365" t="s">
        <v>124</v>
      </c>
      <c r="AC365" t="s">
        <v>125</v>
      </c>
      <c r="AD365" t="s">
        <v>48</v>
      </c>
      <c r="AE365">
        <v>0</v>
      </c>
      <c r="AF365">
        <v>6.05</v>
      </c>
      <c r="AG365" t="s">
        <v>59</v>
      </c>
      <c r="AH365">
        <v>486256</v>
      </c>
      <c r="AI365" t="s">
        <v>60</v>
      </c>
      <c r="AJ365" t="s">
        <v>78</v>
      </c>
      <c r="AK365" t="s">
        <v>54</v>
      </c>
      <c r="AL365">
        <v>2024</v>
      </c>
      <c r="AM365" s="6" t="s">
        <v>530</v>
      </c>
      <c r="AN365" s="7">
        <v>276.24</v>
      </c>
      <c r="AO365" s="8">
        <f t="shared" si="18"/>
        <v>517.95000000000005</v>
      </c>
      <c r="AP365" s="8">
        <f t="shared" si="19"/>
        <v>575.44245000000001</v>
      </c>
      <c r="AQ365" s="9">
        <f t="shared" si="17"/>
        <v>839.02720499999998</v>
      </c>
    </row>
    <row r="366" spans="1:43" x14ac:dyDescent="0.25">
      <c r="A366">
        <v>10</v>
      </c>
      <c r="B366">
        <v>10</v>
      </c>
      <c r="C366">
        <v>2024</v>
      </c>
      <c r="D366" t="s">
        <v>43</v>
      </c>
      <c r="E366" t="s">
        <v>44</v>
      </c>
      <c r="F366" t="s">
        <v>45</v>
      </c>
      <c r="G366">
        <v>28</v>
      </c>
      <c r="H366">
        <v>1791882490001</v>
      </c>
      <c r="I366" t="s">
        <v>46</v>
      </c>
      <c r="J366" t="s">
        <v>65</v>
      </c>
      <c r="K366" t="s">
        <v>48</v>
      </c>
      <c r="L366" t="s">
        <v>49</v>
      </c>
      <c r="M366" t="s">
        <v>50</v>
      </c>
      <c r="N366" t="s">
        <v>51</v>
      </c>
      <c r="O366">
        <v>8421999000</v>
      </c>
      <c r="P366" t="s">
        <v>52</v>
      </c>
      <c r="Q366" t="s">
        <v>254</v>
      </c>
      <c r="R366" t="s">
        <v>54</v>
      </c>
      <c r="S366" t="s">
        <v>55</v>
      </c>
      <c r="T366">
        <v>7</v>
      </c>
      <c r="U366">
        <v>4</v>
      </c>
      <c r="V366" t="s">
        <v>135</v>
      </c>
      <c r="W366">
        <v>0</v>
      </c>
      <c r="X366">
        <v>1111.21</v>
      </c>
      <c r="Y366">
        <v>194.15</v>
      </c>
      <c r="Z366">
        <v>8.01</v>
      </c>
      <c r="AA366">
        <v>1313.38</v>
      </c>
      <c r="AB366" t="s">
        <v>57</v>
      </c>
      <c r="AC366" t="s">
        <v>58</v>
      </c>
      <c r="AD366" t="s">
        <v>48</v>
      </c>
      <c r="AE366">
        <v>0</v>
      </c>
      <c r="AF366">
        <v>11.99</v>
      </c>
      <c r="AG366" t="s">
        <v>59</v>
      </c>
      <c r="AH366">
        <v>179772</v>
      </c>
      <c r="AI366" t="s">
        <v>60</v>
      </c>
      <c r="AJ366" t="s">
        <v>60</v>
      </c>
      <c r="AK366" t="s">
        <v>54</v>
      </c>
      <c r="AL366">
        <v>2024</v>
      </c>
      <c r="AM366" s="6" t="s">
        <v>530</v>
      </c>
      <c r="AN366" s="7">
        <v>277.8</v>
      </c>
      <c r="AO366" s="8">
        <f t="shared" si="18"/>
        <v>520.875</v>
      </c>
      <c r="AP366" s="8">
        <f t="shared" si="19"/>
        <v>578.69212500000003</v>
      </c>
      <c r="AQ366" s="9">
        <f t="shared" si="17"/>
        <v>843.76541249999991</v>
      </c>
    </row>
    <row r="367" spans="1:43" x14ac:dyDescent="0.25">
      <c r="A367">
        <v>16</v>
      </c>
      <c r="B367">
        <v>12</v>
      </c>
      <c r="C367">
        <v>2024</v>
      </c>
      <c r="D367" t="s">
        <v>43</v>
      </c>
      <c r="E367" t="s">
        <v>128</v>
      </c>
      <c r="F367" t="s">
        <v>129</v>
      </c>
      <c r="G367">
        <v>25</v>
      </c>
      <c r="H367">
        <v>1791882490001</v>
      </c>
      <c r="I367" t="s">
        <v>46</v>
      </c>
      <c r="J367" t="s">
        <v>65</v>
      </c>
      <c r="K367" t="s">
        <v>48</v>
      </c>
      <c r="L367" t="s">
        <v>49</v>
      </c>
      <c r="M367" t="s">
        <v>50</v>
      </c>
      <c r="N367" t="s">
        <v>51</v>
      </c>
      <c r="O367">
        <v>8421999000</v>
      </c>
      <c r="P367" t="s">
        <v>52</v>
      </c>
      <c r="Q367" t="s">
        <v>268</v>
      </c>
      <c r="R367" t="s">
        <v>54</v>
      </c>
      <c r="S367" t="s">
        <v>55</v>
      </c>
      <c r="T367">
        <v>9</v>
      </c>
      <c r="U367">
        <v>3</v>
      </c>
      <c r="V367" t="s">
        <v>135</v>
      </c>
      <c r="W367">
        <v>0</v>
      </c>
      <c r="X367">
        <v>833.04</v>
      </c>
      <c r="Y367">
        <v>109.1</v>
      </c>
      <c r="Z367">
        <v>5.71</v>
      </c>
      <c r="AA367">
        <v>947.85</v>
      </c>
      <c r="AB367" t="s">
        <v>57</v>
      </c>
      <c r="AC367" t="s">
        <v>131</v>
      </c>
      <c r="AD367" t="s">
        <v>48</v>
      </c>
      <c r="AE367">
        <v>0</v>
      </c>
      <c r="AF367">
        <v>5.97</v>
      </c>
      <c r="AG367" t="s">
        <v>59</v>
      </c>
      <c r="AH367">
        <v>325395</v>
      </c>
      <c r="AI367" t="s">
        <v>60</v>
      </c>
      <c r="AJ367" t="s">
        <v>78</v>
      </c>
      <c r="AK367" t="s">
        <v>54</v>
      </c>
      <c r="AL367">
        <v>2024</v>
      </c>
      <c r="AM367" s="6" t="s">
        <v>530</v>
      </c>
      <c r="AN367" s="7">
        <v>277.68</v>
      </c>
      <c r="AO367" s="8">
        <f t="shared" si="18"/>
        <v>520.65</v>
      </c>
      <c r="AP367" s="8">
        <f t="shared" si="19"/>
        <v>578.44214999999997</v>
      </c>
      <c r="AQ367" s="9">
        <f t="shared" si="17"/>
        <v>843.40093499999989</v>
      </c>
    </row>
    <row r="368" spans="1:43" x14ac:dyDescent="0.25">
      <c r="A368">
        <v>26</v>
      </c>
      <c r="B368">
        <v>12</v>
      </c>
      <c r="C368">
        <v>2024</v>
      </c>
      <c r="D368" t="s">
        <v>43</v>
      </c>
      <c r="E368" t="s">
        <v>222</v>
      </c>
      <c r="F368" t="s">
        <v>223</v>
      </c>
      <c r="G368">
        <v>16</v>
      </c>
      <c r="H368">
        <v>1791882490001</v>
      </c>
      <c r="I368" t="s">
        <v>46</v>
      </c>
      <c r="J368" t="s">
        <v>65</v>
      </c>
      <c r="K368" t="s">
        <v>48</v>
      </c>
      <c r="L368" t="s">
        <v>49</v>
      </c>
      <c r="M368" t="s">
        <v>50</v>
      </c>
      <c r="N368" t="s">
        <v>224</v>
      </c>
      <c r="O368">
        <v>8421999000</v>
      </c>
      <c r="P368" t="s">
        <v>52</v>
      </c>
      <c r="Q368" t="s">
        <v>254</v>
      </c>
      <c r="R368" t="s">
        <v>54</v>
      </c>
      <c r="S368" t="s">
        <v>55</v>
      </c>
      <c r="T368">
        <v>8</v>
      </c>
      <c r="U368">
        <v>4</v>
      </c>
      <c r="V368" t="s">
        <v>135</v>
      </c>
      <c r="W368">
        <v>0</v>
      </c>
      <c r="X368">
        <v>1123.93</v>
      </c>
      <c r="Y368">
        <v>232.76</v>
      </c>
      <c r="Z368">
        <v>11.24</v>
      </c>
      <c r="AA368">
        <v>1367.93</v>
      </c>
      <c r="AB368" t="s">
        <v>57</v>
      </c>
      <c r="AC368" t="s">
        <v>225</v>
      </c>
      <c r="AD368" t="s">
        <v>48</v>
      </c>
      <c r="AE368">
        <v>0</v>
      </c>
      <c r="AF368">
        <v>8.24</v>
      </c>
      <c r="AG368" t="s">
        <v>59</v>
      </c>
      <c r="AH368">
        <v>341996</v>
      </c>
      <c r="AI368" t="s">
        <v>60</v>
      </c>
      <c r="AJ368" t="s">
        <v>60</v>
      </c>
      <c r="AK368" t="s">
        <v>54</v>
      </c>
      <c r="AL368">
        <v>2024</v>
      </c>
      <c r="AM368" s="6" t="s">
        <v>530</v>
      </c>
      <c r="AN368" s="7">
        <v>280.98</v>
      </c>
      <c r="AO368" s="8">
        <f t="shared" si="18"/>
        <v>526.83750000000009</v>
      </c>
      <c r="AP368" s="8">
        <f t="shared" si="19"/>
        <v>585.31646250000006</v>
      </c>
      <c r="AQ368" s="9">
        <f t="shared" si="17"/>
        <v>853.42406625000012</v>
      </c>
    </row>
    <row r="369" spans="1:43" x14ac:dyDescent="0.25">
      <c r="A369">
        <v>26</v>
      </c>
      <c r="B369">
        <v>12</v>
      </c>
      <c r="C369">
        <v>2024</v>
      </c>
      <c r="D369" t="s">
        <v>43</v>
      </c>
      <c r="E369" t="s">
        <v>222</v>
      </c>
      <c r="F369" t="s">
        <v>223</v>
      </c>
      <c r="G369">
        <v>17</v>
      </c>
      <c r="H369">
        <v>1791882490001</v>
      </c>
      <c r="I369" t="s">
        <v>46</v>
      </c>
      <c r="J369" t="s">
        <v>65</v>
      </c>
      <c r="K369" t="s">
        <v>48</v>
      </c>
      <c r="L369" t="s">
        <v>49</v>
      </c>
      <c r="M369" t="s">
        <v>50</v>
      </c>
      <c r="N369" t="s">
        <v>224</v>
      </c>
      <c r="O369">
        <v>8421999000</v>
      </c>
      <c r="P369" t="s">
        <v>52</v>
      </c>
      <c r="Q369" t="s">
        <v>254</v>
      </c>
      <c r="R369" t="s">
        <v>54</v>
      </c>
      <c r="S369" t="s">
        <v>55</v>
      </c>
      <c r="T369">
        <v>8</v>
      </c>
      <c r="U369">
        <v>3</v>
      </c>
      <c r="V369" t="s">
        <v>135</v>
      </c>
      <c r="W369">
        <v>0</v>
      </c>
      <c r="X369">
        <v>1808.11</v>
      </c>
      <c r="Y369">
        <v>374.45</v>
      </c>
      <c r="Z369">
        <v>18.079999999999998</v>
      </c>
      <c r="AA369">
        <v>2200.64</v>
      </c>
      <c r="AB369" t="s">
        <v>57</v>
      </c>
      <c r="AC369" t="s">
        <v>225</v>
      </c>
      <c r="AD369" t="s">
        <v>48</v>
      </c>
      <c r="AE369">
        <v>0</v>
      </c>
      <c r="AF369">
        <v>6.18</v>
      </c>
      <c r="AG369" t="s">
        <v>59</v>
      </c>
      <c r="AH369">
        <v>341996</v>
      </c>
      <c r="AI369" t="s">
        <v>60</v>
      </c>
      <c r="AJ369" t="s">
        <v>60</v>
      </c>
      <c r="AK369" t="s">
        <v>54</v>
      </c>
      <c r="AL369">
        <v>2024</v>
      </c>
      <c r="AM369" s="6" t="s">
        <v>532</v>
      </c>
      <c r="AN369" s="7">
        <v>602.70000000000005</v>
      </c>
      <c r="AO369" s="8">
        <f t="shared" si="18"/>
        <v>1130.0625</v>
      </c>
      <c r="AP369" s="8">
        <f t="shared" si="19"/>
        <v>1255.4994374999999</v>
      </c>
      <c r="AQ369" s="9">
        <f t="shared" si="17"/>
        <v>1830.5882437499999</v>
      </c>
    </row>
    <row r="370" spans="1:43" x14ac:dyDescent="0.25">
      <c r="A370">
        <v>8</v>
      </c>
      <c r="B370">
        <v>4</v>
      </c>
      <c r="C370">
        <v>2024</v>
      </c>
      <c r="D370" t="s">
        <v>43</v>
      </c>
      <c r="E370" t="s">
        <v>355</v>
      </c>
      <c r="F370" t="s">
        <v>356</v>
      </c>
      <c r="G370">
        <v>5</v>
      </c>
      <c r="H370">
        <v>1791882490001</v>
      </c>
      <c r="I370" t="s">
        <v>46</v>
      </c>
      <c r="J370" t="s">
        <v>533</v>
      </c>
      <c r="K370" t="s">
        <v>48</v>
      </c>
      <c r="L370" t="s">
        <v>119</v>
      </c>
      <c r="M370" t="s">
        <v>120</v>
      </c>
      <c r="N370" t="s">
        <v>121</v>
      </c>
      <c r="O370">
        <v>3403990000</v>
      </c>
      <c r="P370" t="s">
        <v>103</v>
      </c>
      <c r="Q370" t="s">
        <v>534</v>
      </c>
      <c r="R370" t="s">
        <v>54</v>
      </c>
      <c r="S370" t="s">
        <v>55</v>
      </c>
      <c r="T370">
        <v>10</v>
      </c>
      <c r="U370">
        <v>1</v>
      </c>
      <c r="V370" t="s">
        <v>56</v>
      </c>
      <c r="W370">
        <v>0</v>
      </c>
      <c r="X370">
        <v>421.16</v>
      </c>
      <c r="Y370">
        <v>21.06</v>
      </c>
      <c r="Z370">
        <v>2.69</v>
      </c>
      <c r="AA370">
        <v>444.91</v>
      </c>
      <c r="AB370" t="s">
        <v>359</v>
      </c>
      <c r="AC370" t="s">
        <v>125</v>
      </c>
      <c r="AD370" t="s">
        <v>48</v>
      </c>
      <c r="AE370">
        <v>1</v>
      </c>
      <c r="AF370">
        <v>13.62</v>
      </c>
      <c r="AG370" t="s">
        <v>59</v>
      </c>
      <c r="AH370">
        <v>882904</v>
      </c>
      <c r="AI370" t="s">
        <v>60</v>
      </c>
      <c r="AJ370" t="s">
        <v>60</v>
      </c>
      <c r="AK370" t="s">
        <v>54</v>
      </c>
      <c r="AL370">
        <v>2024</v>
      </c>
      <c r="AM370" s="6" t="s">
        <v>535</v>
      </c>
      <c r="AN370" s="7">
        <v>421.16</v>
      </c>
      <c r="AO370" s="8">
        <f t="shared" si="18"/>
        <v>789.67500000000007</v>
      </c>
      <c r="AP370" s="8">
        <f t="shared" si="19"/>
        <v>877.32892500000003</v>
      </c>
      <c r="AQ370" s="9">
        <f t="shared" si="17"/>
        <v>1279.1945324999999</v>
      </c>
    </row>
    <row r="371" spans="1:43" x14ac:dyDescent="0.25">
      <c r="A371">
        <v>8</v>
      </c>
      <c r="B371">
        <v>4</v>
      </c>
      <c r="C371">
        <v>2024</v>
      </c>
      <c r="D371" t="s">
        <v>43</v>
      </c>
      <c r="E371" t="s">
        <v>355</v>
      </c>
      <c r="F371" t="s">
        <v>356</v>
      </c>
      <c r="G371">
        <v>6</v>
      </c>
      <c r="H371">
        <v>1791882490001</v>
      </c>
      <c r="I371" t="s">
        <v>46</v>
      </c>
      <c r="J371" t="s">
        <v>533</v>
      </c>
      <c r="K371" t="s">
        <v>48</v>
      </c>
      <c r="L371" t="s">
        <v>119</v>
      </c>
      <c r="M371" t="s">
        <v>120</v>
      </c>
      <c r="N371" t="s">
        <v>121</v>
      </c>
      <c r="O371">
        <v>3403990000</v>
      </c>
      <c r="P371" t="s">
        <v>103</v>
      </c>
      <c r="Q371" t="s">
        <v>534</v>
      </c>
      <c r="R371" t="s">
        <v>54</v>
      </c>
      <c r="S371" t="s">
        <v>55</v>
      </c>
      <c r="T371">
        <v>10</v>
      </c>
      <c r="U371">
        <v>1</v>
      </c>
      <c r="V371" t="s">
        <v>56</v>
      </c>
      <c r="W371">
        <v>0</v>
      </c>
      <c r="X371">
        <v>421.16</v>
      </c>
      <c r="Y371">
        <v>21.06</v>
      </c>
      <c r="Z371">
        <v>2.69</v>
      </c>
      <c r="AA371">
        <v>444.91</v>
      </c>
      <c r="AB371" t="s">
        <v>359</v>
      </c>
      <c r="AC371" t="s">
        <v>125</v>
      </c>
      <c r="AD371" t="s">
        <v>48</v>
      </c>
      <c r="AE371">
        <v>1</v>
      </c>
      <c r="AF371">
        <v>13.62</v>
      </c>
      <c r="AG371" t="s">
        <v>59</v>
      </c>
      <c r="AH371">
        <v>882904</v>
      </c>
      <c r="AI371" t="s">
        <v>60</v>
      </c>
      <c r="AJ371" t="s">
        <v>60</v>
      </c>
      <c r="AK371" t="s">
        <v>54</v>
      </c>
      <c r="AL371">
        <v>2024</v>
      </c>
      <c r="AM371" s="6" t="s">
        <v>535</v>
      </c>
      <c r="AN371" s="7">
        <v>421.16</v>
      </c>
      <c r="AO371" s="8">
        <f t="shared" si="18"/>
        <v>789.67500000000007</v>
      </c>
      <c r="AP371" s="8">
        <f t="shared" si="19"/>
        <v>877.32892500000003</v>
      </c>
      <c r="AQ371" s="9">
        <f t="shared" si="17"/>
        <v>1279.1945324999999</v>
      </c>
    </row>
    <row r="372" spans="1:43" x14ac:dyDescent="0.25">
      <c r="A372">
        <v>8</v>
      </c>
      <c r="B372">
        <v>4</v>
      </c>
      <c r="C372">
        <v>2024</v>
      </c>
      <c r="D372" t="s">
        <v>43</v>
      </c>
      <c r="E372" t="s">
        <v>355</v>
      </c>
      <c r="F372" t="s">
        <v>356</v>
      </c>
      <c r="G372">
        <v>7</v>
      </c>
      <c r="H372">
        <v>1791882490001</v>
      </c>
      <c r="I372" t="s">
        <v>46</v>
      </c>
      <c r="J372" t="s">
        <v>533</v>
      </c>
      <c r="K372" t="s">
        <v>48</v>
      </c>
      <c r="L372" t="s">
        <v>119</v>
      </c>
      <c r="M372" t="s">
        <v>120</v>
      </c>
      <c r="N372" t="s">
        <v>121</v>
      </c>
      <c r="O372">
        <v>3403990000</v>
      </c>
      <c r="P372" t="s">
        <v>103</v>
      </c>
      <c r="Q372" t="s">
        <v>534</v>
      </c>
      <c r="R372" t="s">
        <v>54</v>
      </c>
      <c r="S372" t="s">
        <v>55</v>
      </c>
      <c r="T372">
        <v>10</v>
      </c>
      <c r="U372">
        <v>1</v>
      </c>
      <c r="V372" t="s">
        <v>56</v>
      </c>
      <c r="W372">
        <v>0</v>
      </c>
      <c r="X372">
        <v>421.16</v>
      </c>
      <c r="Y372">
        <v>21.06</v>
      </c>
      <c r="Z372">
        <v>2.69</v>
      </c>
      <c r="AA372">
        <v>444.91</v>
      </c>
      <c r="AB372" t="s">
        <v>359</v>
      </c>
      <c r="AC372" t="s">
        <v>125</v>
      </c>
      <c r="AD372" t="s">
        <v>48</v>
      </c>
      <c r="AE372">
        <v>1</v>
      </c>
      <c r="AF372">
        <v>13.62</v>
      </c>
      <c r="AG372" t="s">
        <v>59</v>
      </c>
      <c r="AH372">
        <v>882904</v>
      </c>
      <c r="AI372" t="s">
        <v>60</v>
      </c>
      <c r="AJ372" t="s">
        <v>60</v>
      </c>
      <c r="AK372" t="s">
        <v>54</v>
      </c>
      <c r="AL372">
        <v>2024</v>
      </c>
      <c r="AM372" s="6" t="s">
        <v>535</v>
      </c>
      <c r="AN372" s="7">
        <v>421.16</v>
      </c>
      <c r="AO372" s="8">
        <f t="shared" si="18"/>
        <v>789.67500000000007</v>
      </c>
      <c r="AP372" s="8">
        <f t="shared" si="19"/>
        <v>877.32892500000003</v>
      </c>
      <c r="AQ372" s="9">
        <f t="shared" si="17"/>
        <v>1279.1945324999999</v>
      </c>
    </row>
    <row r="373" spans="1:43" x14ac:dyDescent="0.25">
      <c r="A373">
        <v>8</v>
      </c>
      <c r="B373">
        <v>4</v>
      </c>
      <c r="C373">
        <v>2024</v>
      </c>
      <c r="D373" t="s">
        <v>43</v>
      </c>
      <c r="E373" t="s">
        <v>355</v>
      </c>
      <c r="F373" t="s">
        <v>356</v>
      </c>
      <c r="G373">
        <v>8</v>
      </c>
      <c r="H373">
        <v>1791882490001</v>
      </c>
      <c r="I373" t="s">
        <v>46</v>
      </c>
      <c r="J373" t="s">
        <v>533</v>
      </c>
      <c r="K373" t="s">
        <v>48</v>
      </c>
      <c r="L373" t="s">
        <v>119</v>
      </c>
      <c r="M373" t="s">
        <v>120</v>
      </c>
      <c r="N373" t="s">
        <v>121</v>
      </c>
      <c r="O373">
        <v>3403990000</v>
      </c>
      <c r="P373" t="s">
        <v>103</v>
      </c>
      <c r="Q373" t="s">
        <v>534</v>
      </c>
      <c r="R373" t="s">
        <v>54</v>
      </c>
      <c r="S373" t="s">
        <v>55</v>
      </c>
      <c r="T373">
        <v>10</v>
      </c>
      <c r="U373">
        <v>12</v>
      </c>
      <c r="V373" t="s">
        <v>56</v>
      </c>
      <c r="W373">
        <v>0</v>
      </c>
      <c r="X373">
        <v>5053.93</v>
      </c>
      <c r="Y373">
        <v>252.72</v>
      </c>
      <c r="Z373">
        <v>32.28</v>
      </c>
      <c r="AA373">
        <v>5338.93</v>
      </c>
      <c r="AB373" t="s">
        <v>359</v>
      </c>
      <c r="AC373" t="s">
        <v>125</v>
      </c>
      <c r="AD373" t="s">
        <v>48</v>
      </c>
      <c r="AE373">
        <v>1</v>
      </c>
      <c r="AF373">
        <v>163.47999999999999</v>
      </c>
      <c r="AG373" t="s">
        <v>59</v>
      </c>
      <c r="AH373">
        <v>882904</v>
      </c>
      <c r="AI373" t="s">
        <v>60</v>
      </c>
      <c r="AJ373" t="s">
        <v>60</v>
      </c>
      <c r="AK373" t="s">
        <v>54</v>
      </c>
      <c r="AL373">
        <v>2024</v>
      </c>
      <c r="AM373" s="6" t="s">
        <v>535</v>
      </c>
      <c r="AN373" s="7">
        <v>421.16</v>
      </c>
      <c r="AO373" s="8">
        <f t="shared" si="18"/>
        <v>789.67500000000007</v>
      </c>
      <c r="AP373" s="8">
        <f t="shared" si="19"/>
        <v>877.32892500000003</v>
      </c>
      <c r="AQ373" s="9">
        <f t="shared" si="17"/>
        <v>1279.1945324999999</v>
      </c>
    </row>
    <row r="374" spans="1:43" x14ac:dyDescent="0.25">
      <c r="A374">
        <v>8</v>
      </c>
      <c r="B374">
        <v>4</v>
      </c>
      <c r="C374">
        <v>2024</v>
      </c>
      <c r="D374" t="s">
        <v>43</v>
      </c>
      <c r="E374" t="s">
        <v>536</v>
      </c>
      <c r="F374" t="s">
        <v>537</v>
      </c>
      <c r="G374">
        <v>1</v>
      </c>
      <c r="H374">
        <v>1791882490001</v>
      </c>
      <c r="I374" t="s">
        <v>46</v>
      </c>
      <c r="J374" t="s">
        <v>65</v>
      </c>
      <c r="K374" t="s">
        <v>48</v>
      </c>
      <c r="L374" t="s">
        <v>119</v>
      </c>
      <c r="M374" t="s">
        <v>120</v>
      </c>
      <c r="N374" t="s">
        <v>121</v>
      </c>
      <c r="O374">
        <v>3403990000</v>
      </c>
      <c r="P374" t="s">
        <v>103</v>
      </c>
      <c r="Q374" t="s">
        <v>534</v>
      </c>
      <c r="R374" t="s">
        <v>54</v>
      </c>
      <c r="S374" t="s">
        <v>55</v>
      </c>
      <c r="T374">
        <v>8</v>
      </c>
      <c r="U374">
        <v>1</v>
      </c>
      <c r="V374" t="s">
        <v>56</v>
      </c>
      <c r="W374">
        <v>0</v>
      </c>
      <c r="X374">
        <v>422.27</v>
      </c>
      <c r="Y374">
        <v>26.01</v>
      </c>
      <c r="Z374">
        <v>2.73</v>
      </c>
      <c r="AA374">
        <v>451.01</v>
      </c>
      <c r="AB374" t="s">
        <v>359</v>
      </c>
      <c r="AC374" t="s">
        <v>125</v>
      </c>
      <c r="AD374" t="s">
        <v>48</v>
      </c>
      <c r="AE374">
        <v>1</v>
      </c>
      <c r="AF374">
        <v>240.36</v>
      </c>
      <c r="AG374" t="s">
        <v>59</v>
      </c>
      <c r="AH374">
        <v>887430</v>
      </c>
      <c r="AI374" t="s">
        <v>534</v>
      </c>
      <c r="AJ374" t="s">
        <v>538</v>
      </c>
      <c r="AK374" t="s">
        <v>54</v>
      </c>
      <c r="AL374">
        <v>2024</v>
      </c>
      <c r="AM374" s="6" t="s">
        <v>535</v>
      </c>
      <c r="AN374" s="7">
        <v>422.27</v>
      </c>
      <c r="AO374" s="8">
        <f t="shared" si="18"/>
        <v>791.75624999999991</v>
      </c>
      <c r="AP374" s="8">
        <f t="shared" si="19"/>
        <v>879.64119374999984</v>
      </c>
      <c r="AQ374" s="9">
        <f t="shared" si="17"/>
        <v>1282.5659493749997</v>
      </c>
    </row>
    <row r="375" spans="1:43" x14ac:dyDescent="0.25">
      <c r="A375">
        <v>8</v>
      </c>
      <c r="B375">
        <v>4</v>
      </c>
      <c r="C375">
        <v>2024</v>
      </c>
      <c r="D375" t="s">
        <v>43</v>
      </c>
      <c r="E375" t="s">
        <v>536</v>
      </c>
      <c r="F375" t="s">
        <v>537</v>
      </c>
      <c r="G375">
        <v>2</v>
      </c>
      <c r="H375">
        <v>1791882490001</v>
      </c>
      <c r="I375" t="s">
        <v>46</v>
      </c>
      <c r="J375" t="s">
        <v>65</v>
      </c>
      <c r="K375" t="s">
        <v>48</v>
      </c>
      <c r="L375" t="s">
        <v>119</v>
      </c>
      <c r="M375" t="s">
        <v>120</v>
      </c>
      <c r="N375" t="s">
        <v>121</v>
      </c>
      <c r="O375">
        <v>3403990000</v>
      </c>
      <c r="P375" t="s">
        <v>103</v>
      </c>
      <c r="Q375" t="s">
        <v>534</v>
      </c>
      <c r="R375" t="s">
        <v>54</v>
      </c>
      <c r="S375" t="s">
        <v>55</v>
      </c>
      <c r="T375">
        <v>8</v>
      </c>
      <c r="U375">
        <v>1</v>
      </c>
      <c r="V375" t="s">
        <v>56</v>
      </c>
      <c r="W375">
        <v>0</v>
      </c>
      <c r="X375">
        <v>422.27</v>
      </c>
      <c r="Y375">
        <v>26.01</v>
      </c>
      <c r="Z375">
        <v>2.73</v>
      </c>
      <c r="AA375">
        <v>451.01</v>
      </c>
      <c r="AB375" t="s">
        <v>359</v>
      </c>
      <c r="AC375" t="s">
        <v>125</v>
      </c>
      <c r="AD375" t="s">
        <v>48</v>
      </c>
      <c r="AE375">
        <v>1</v>
      </c>
      <c r="AF375">
        <v>240.36</v>
      </c>
      <c r="AG375" t="s">
        <v>59</v>
      </c>
      <c r="AH375">
        <v>887430</v>
      </c>
      <c r="AI375" t="s">
        <v>534</v>
      </c>
      <c r="AJ375" t="s">
        <v>538</v>
      </c>
      <c r="AK375" t="s">
        <v>54</v>
      </c>
      <c r="AL375">
        <v>2024</v>
      </c>
      <c r="AM375" s="6" t="s">
        <v>535</v>
      </c>
      <c r="AN375" s="7">
        <v>422.27</v>
      </c>
      <c r="AO375" s="8">
        <f t="shared" si="18"/>
        <v>791.75624999999991</v>
      </c>
      <c r="AP375" s="8">
        <f t="shared" si="19"/>
        <v>879.64119374999984</v>
      </c>
      <c r="AQ375" s="9">
        <f t="shared" si="17"/>
        <v>1282.5659493749997</v>
      </c>
    </row>
    <row r="376" spans="1:43" x14ac:dyDescent="0.25">
      <c r="A376">
        <v>8</v>
      </c>
      <c r="B376">
        <v>4</v>
      </c>
      <c r="C376">
        <v>2024</v>
      </c>
      <c r="D376" t="s">
        <v>43</v>
      </c>
      <c r="E376" t="s">
        <v>536</v>
      </c>
      <c r="F376" t="s">
        <v>537</v>
      </c>
      <c r="G376">
        <v>3</v>
      </c>
      <c r="H376">
        <v>1791882490001</v>
      </c>
      <c r="I376" t="s">
        <v>46</v>
      </c>
      <c r="J376" t="s">
        <v>65</v>
      </c>
      <c r="K376" t="s">
        <v>48</v>
      </c>
      <c r="L376" t="s">
        <v>119</v>
      </c>
      <c r="M376" t="s">
        <v>120</v>
      </c>
      <c r="N376" t="s">
        <v>121</v>
      </c>
      <c r="O376">
        <v>3403990000</v>
      </c>
      <c r="P376" t="s">
        <v>103</v>
      </c>
      <c r="Q376" t="s">
        <v>534</v>
      </c>
      <c r="R376" t="s">
        <v>54</v>
      </c>
      <c r="S376" t="s">
        <v>55</v>
      </c>
      <c r="T376">
        <v>8</v>
      </c>
      <c r="U376">
        <v>1</v>
      </c>
      <c r="V376" t="s">
        <v>56</v>
      </c>
      <c r="W376">
        <v>0</v>
      </c>
      <c r="X376">
        <v>422.27</v>
      </c>
      <c r="Y376">
        <v>26.01</v>
      </c>
      <c r="Z376">
        <v>2.73</v>
      </c>
      <c r="AA376">
        <v>451.01</v>
      </c>
      <c r="AB376" t="s">
        <v>359</v>
      </c>
      <c r="AC376" t="s">
        <v>125</v>
      </c>
      <c r="AD376" t="s">
        <v>48</v>
      </c>
      <c r="AE376">
        <v>1</v>
      </c>
      <c r="AF376">
        <v>240.36</v>
      </c>
      <c r="AG376" t="s">
        <v>59</v>
      </c>
      <c r="AH376">
        <v>887430</v>
      </c>
      <c r="AI376" t="s">
        <v>534</v>
      </c>
      <c r="AJ376" t="s">
        <v>538</v>
      </c>
      <c r="AK376" t="s">
        <v>54</v>
      </c>
      <c r="AL376">
        <v>2024</v>
      </c>
      <c r="AM376" s="6" t="s">
        <v>535</v>
      </c>
      <c r="AN376" s="7">
        <v>422.27</v>
      </c>
      <c r="AO376" s="8">
        <f t="shared" si="18"/>
        <v>791.75624999999991</v>
      </c>
      <c r="AP376" s="8">
        <f t="shared" si="19"/>
        <v>879.64119374999984</v>
      </c>
      <c r="AQ376" s="9">
        <f t="shared" si="17"/>
        <v>1282.5659493749997</v>
      </c>
    </row>
    <row r="377" spans="1:43" x14ac:dyDescent="0.25">
      <c r="A377">
        <v>8</v>
      </c>
      <c r="B377">
        <v>4</v>
      </c>
      <c r="C377">
        <v>2024</v>
      </c>
      <c r="D377" t="s">
        <v>43</v>
      </c>
      <c r="E377" t="s">
        <v>536</v>
      </c>
      <c r="F377" t="s">
        <v>537</v>
      </c>
      <c r="G377">
        <v>4</v>
      </c>
      <c r="H377">
        <v>1791882490001</v>
      </c>
      <c r="I377" t="s">
        <v>46</v>
      </c>
      <c r="J377" t="s">
        <v>65</v>
      </c>
      <c r="K377" t="s">
        <v>48</v>
      </c>
      <c r="L377" t="s">
        <v>119</v>
      </c>
      <c r="M377" t="s">
        <v>120</v>
      </c>
      <c r="N377" t="s">
        <v>121</v>
      </c>
      <c r="O377">
        <v>3403990000</v>
      </c>
      <c r="P377" t="s">
        <v>103</v>
      </c>
      <c r="Q377" t="s">
        <v>534</v>
      </c>
      <c r="R377" t="s">
        <v>54</v>
      </c>
      <c r="S377" t="s">
        <v>55</v>
      </c>
      <c r="T377">
        <v>8</v>
      </c>
      <c r="U377">
        <v>12</v>
      </c>
      <c r="V377" t="s">
        <v>56</v>
      </c>
      <c r="W377">
        <v>0</v>
      </c>
      <c r="X377">
        <v>5067.28</v>
      </c>
      <c r="Y377">
        <v>312.14999999999998</v>
      </c>
      <c r="Z377">
        <v>32.71</v>
      </c>
      <c r="AA377">
        <v>5412.14</v>
      </c>
      <c r="AB377" t="s">
        <v>359</v>
      </c>
      <c r="AC377" t="s">
        <v>125</v>
      </c>
      <c r="AD377" t="s">
        <v>48</v>
      </c>
      <c r="AE377">
        <v>1</v>
      </c>
      <c r="AF377">
        <v>2884.36</v>
      </c>
      <c r="AG377" t="s">
        <v>59</v>
      </c>
      <c r="AH377">
        <v>887430</v>
      </c>
      <c r="AI377" t="s">
        <v>534</v>
      </c>
      <c r="AJ377" t="s">
        <v>538</v>
      </c>
      <c r="AK377" t="s">
        <v>54</v>
      </c>
      <c r="AL377">
        <v>2024</v>
      </c>
      <c r="AM377" s="6" t="s">
        <v>535</v>
      </c>
      <c r="AN377" s="7">
        <v>422.27</v>
      </c>
      <c r="AO377" s="8">
        <f t="shared" si="18"/>
        <v>791.75624999999991</v>
      </c>
      <c r="AP377" s="8">
        <f t="shared" si="19"/>
        <v>879.64119374999984</v>
      </c>
      <c r="AQ377" s="9">
        <f t="shared" si="17"/>
        <v>1282.5659493749997</v>
      </c>
    </row>
    <row r="378" spans="1:43" x14ac:dyDescent="0.25">
      <c r="A378">
        <v>10</v>
      </c>
      <c r="B378">
        <v>9</v>
      </c>
      <c r="C378">
        <v>2024</v>
      </c>
      <c r="D378" t="s">
        <v>43</v>
      </c>
      <c r="E378" t="s">
        <v>539</v>
      </c>
      <c r="F378" t="s">
        <v>540</v>
      </c>
      <c r="G378">
        <v>1</v>
      </c>
      <c r="H378">
        <v>1791882490001</v>
      </c>
      <c r="I378" t="s">
        <v>46</v>
      </c>
      <c r="J378" t="s">
        <v>533</v>
      </c>
      <c r="K378" t="s">
        <v>48</v>
      </c>
      <c r="L378" t="s">
        <v>119</v>
      </c>
      <c r="M378" t="s">
        <v>120</v>
      </c>
      <c r="N378" t="s">
        <v>121</v>
      </c>
      <c r="O378">
        <v>3403990000</v>
      </c>
      <c r="P378" t="s">
        <v>103</v>
      </c>
      <c r="Q378" t="s">
        <v>534</v>
      </c>
      <c r="R378" t="s">
        <v>54</v>
      </c>
      <c r="S378" t="s">
        <v>55</v>
      </c>
      <c r="T378">
        <v>12</v>
      </c>
      <c r="U378">
        <v>1</v>
      </c>
      <c r="V378" t="s">
        <v>56</v>
      </c>
      <c r="W378">
        <v>0</v>
      </c>
      <c r="X378">
        <v>426.66</v>
      </c>
      <c r="Y378">
        <v>39.31</v>
      </c>
      <c r="Z378">
        <v>2.8</v>
      </c>
      <c r="AA378">
        <v>468.76</v>
      </c>
      <c r="AB378" t="s">
        <v>124</v>
      </c>
      <c r="AC378" t="s">
        <v>541</v>
      </c>
      <c r="AD378" t="s">
        <v>48</v>
      </c>
      <c r="AE378">
        <v>0</v>
      </c>
      <c r="AF378">
        <v>18</v>
      </c>
      <c r="AG378" t="s">
        <v>59</v>
      </c>
      <c r="AH378">
        <v>123588</v>
      </c>
      <c r="AI378" t="s">
        <v>534</v>
      </c>
      <c r="AJ378" t="s">
        <v>534</v>
      </c>
      <c r="AK378" t="s">
        <v>54</v>
      </c>
      <c r="AL378">
        <v>2024</v>
      </c>
      <c r="AM378" s="6" t="s">
        <v>535</v>
      </c>
      <c r="AN378" s="7">
        <v>426.66</v>
      </c>
      <c r="AO378" s="8">
        <f t="shared" si="18"/>
        <v>799.98750000000007</v>
      </c>
      <c r="AP378" s="8">
        <f t="shared" si="19"/>
        <v>888.78611250000006</v>
      </c>
      <c r="AQ378" s="9">
        <f t="shared" si="17"/>
        <v>1295.89975125</v>
      </c>
    </row>
    <row r="379" spans="1:43" x14ac:dyDescent="0.25">
      <c r="A379">
        <v>10</v>
      </c>
      <c r="B379">
        <v>9</v>
      </c>
      <c r="C379">
        <v>2024</v>
      </c>
      <c r="D379" t="s">
        <v>43</v>
      </c>
      <c r="E379" t="s">
        <v>539</v>
      </c>
      <c r="F379" t="s">
        <v>540</v>
      </c>
      <c r="G379">
        <v>2</v>
      </c>
      <c r="H379">
        <v>1791882490001</v>
      </c>
      <c r="I379" t="s">
        <v>46</v>
      </c>
      <c r="J379" t="s">
        <v>533</v>
      </c>
      <c r="K379" t="s">
        <v>48</v>
      </c>
      <c r="L379" t="s">
        <v>119</v>
      </c>
      <c r="M379" t="s">
        <v>120</v>
      </c>
      <c r="N379" t="s">
        <v>121</v>
      </c>
      <c r="O379">
        <v>3403990000</v>
      </c>
      <c r="P379" t="s">
        <v>103</v>
      </c>
      <c r="Q379" t="s">
        <v>534</v>
      </c>
      <c r="R379" t="s">
        <v>54</v>
      </c>
      <c r="S379" t="s">
        <v>55</v>
      </c>
      <c r="T379">
        <v>12</v>
      </c>
      <c r="U379">
        <v>1</v>
      </c>
      <c r="V379" t="s">
        <v>56</v>
      </c>
      <c r="W379">
        <v>0</v>
      </c>
      <c r="X379">
        <v>426.66</v>
      </c>
      <c r="Y379">
        <v>39.31</v>
      </c>
      <c r="Z379">
        <v>2.8</v>
      </c>
      <c r="AA379">
        <v>468.76</v>
      </c>
      <c r="AB379" t="s">
        <v>124</v>
      </c>
      <c r="AC379" t="s">
        <v>541</v>
      </c>
      <c r="AD379" t="s">
        <v>48</v>
      </c>
      <c r="AE379">
        <v>0</v>
      </c>
      <c r="AF379">
        <v>18</v>
      </c>
      <c r="AG379" t="s">
        <v>59</v>
      </c>
      <c r="AH379">
        <v>123588</v>
      </c>
      <c r="AI379" t="s">
        <v>534</v>
      </c>
      <c r="AJ379" t="s">
        <v>534</v>
      </c>
      <c r="AK379" t="s">
        <v>54</v>
      </c>
      <c r="AL379">
        <v>2024</v>
      </c>
      <c r="AM379" s="6" t="s">
        <v>535</v>
      </c>
      <c r="AN379" s="7">
        <v>426.66</v>
      </c>
      <c r="AO379" s="8">
        <f t="shared" si="18"/>
        <v>799.98750000000007</v>
      </c>
      <c r="AP379" s="8">
        <f t="shared" si="19"/>
        <v>888.78611250000006</v>
      </c>
      <c r="AQ379" s="9">
        <f t="shared" si="17"/>
        <v>1295.89975125</v>
      </c>
    </row>
    <row r="380" spans="1:43" x14ac:dyDescent="0.25">
      <c r="A380">
        <v>10</v>
      </c>
      <c r="B380">
        <v>9</v>
      </c>
      <c r="C380">
        <v>2024</v>
      </c>
      <c r="D380" t="s">
        <v>43</v>
      </c>
      <c r="E380" t="s">
        <v>539</v>
      </c>
      <c r="F380" t="s">
        <v>540</v>
      </c>
      <c r="G380">
        <v>3</v>
      </c>
      <c r="H380">
        <v>1791882490001</v>
      </c>
      <c r="I380" t="s">
        <v>46</v>
      </c>
      <c r="J380" t="s">
        <v>533</v>
      </c>
      <c r="K380" t="s">
        <v>48</v>
      </c>
      <c r="L380" t="s">
        <v>119</v>
      </c>
      <c r="M380" t="s">
        <v>120</v>
      </c>
      <c r="N380" t="s">
        <v>121</v>
      </c>
      <c r="O380">
        <v>3403990000</v>
      </c>
      <c r="P380" t="s">
        <v>103</v>
      </c>
      <c r="Q380" t="s">
        <v>534</v>
      </c>
      <c r="R380" t="s">
        <v>54</v>
      </c>
      <c r="S380" t="s">
        <v>55</v>
      </c>
      <c r="T380">
        <v>12</v>
      </c>
      <c r="U380">
        <v>1</v>
      </c>
      <c r="V380" t="s">
        <v>56</v>
      </c>
      <c r="W380">
        <v>0</v>
      </c>
      <c r="X380">
        <v>426.66</v>
      </c>
      <c r="Y380">
        <v>39.31</v>
      </c>
      <c r="Z380">
        <v>2.8</v>
      </c>
      <c r="AA380">
        <v>468.76</v>
      </c>
      <c r="AB380" t="s">
        <v>124</v>
      </c>
      <c r="AC380" t="s">
        <v>541</v>
      </c>
      <c r="AD380" t="s">
        <v>48</v>
      </c>
      <c r="AE380">
        <v>0</v>
      </c>
      <c r="AF380">
        <v>18</v>
      </c>
      <c r="AG380" t="s">
        <v>59</v>
      </c>
      <c r="AH380">
        <v>123588</v>
      </c>
      <c r="AI380" t="s">
        <v>534</v>
      </c>
      <c r="AJ380" t="s">
        <v>534</v>
      </c>
      <c r="AK380" t="s">
        <v>54</v>
      </c>
      <c r="AL380">
        <v>2024</v>
      </c>
      <c r="AM380" s="6" t="s">
        <v>535</v>
      </c>
      <c r="AN380" s="7">
        <v>426.66</v>
      </c>
      <c r="AO380" s="8">
        <f t="shared" si="18"/>
        <v>799.98750000000007</v>
      </c>
      <c r="AP380" s="8">
        <f t="shared" si="19"/>
        <v>888.78611250000006</v>
      </c>
      <c r="AQ380" s="9">
        <f t="shared" si="17"/>
        <v>1295.89975125</v>
      </c>
    </row>
    <row r="381" spans="1:43" x14ac:dyDescent="0.25">
      <c r="A381">
        <v>10</v>
      </c>
      <c r="B381">
        <v>9</v>
      </c>
      <c r="C381">
        <v>2024</v>
      </c>
      <c r="D381" t="s">
        <v>43</v>
      </c>
      <c r="E381" t="s">
        <v>539</v>
      </c>
      <c r="F381" t="s">
        <v>540</v>
      </c>
      <c r="G381">
        <v>4</v>
      </c>
      <c r="H381">
        <v>1791882490001</v>
      </c>
      <c r="I381" t="s">
        <v>46</v>
      </c>
      <c r="J381" t="s">
        <v>533</v>
      </c>
      <c r="K381" t="s">
        <v>48</v>
      </c>
      <c r="L381" t="s">
        <v>119</v>
      </c>
      <c r="M381" t="s">
        <v>120</v>
      </c>
      <c r="N381" t="s">
        <v>121</v>
      </c>
      <c r="O381">
        <v>3403990000</v>
      </c>
      <c r="P381" t="s">
        <v>103</v>
      </c>
      <c r="Q381" t="s">
        <v>534</v>
      </c>
      <c r="R381" t="s">
        <v>54</v>
      </c>
      <c r="S381" t="s">
        <v>55</v>
      </c>
      <c r="T381">
        <v>12</v>
      </c>
      <c r="U381">
        <v>12</v>
      </c>
      <c r="V381" t="s">
        <v>56</v>
      </c>
      <c r="W381">
        <v>0</v>
      </c>
      <c r="X381">
        <v>5119.91</v>
      </c>
      <c r="Y381">
        <v>471.66</v>
      </c>
      <c r="Z381">
        <v>33.58</v>
      </c>
      <c r="AA381">
        <v>5625.15</v>
      </c>
      <c r="AB381" t="s">
        <v>124</v>
      </c>
      <c r="AC381" t="s">
        <v>541</v>
      </c>
      <c r="AD381" t="s">
        <v>48</v>
      </c>
      <c r="AE381">
        <v>0</v>
      </c>
      <c r="AF381">
        <v>242</v>
      </c>
      <c r="AG381" t="s">
        <v>59</v>
      </c>
      <c r="AH381">
        <v>123588</v>
      </c>
      <c r="AI381" t="s">
        <v>534</v>
      </c>
      <c r="AJ381" t="s">
        <v>534</v>
      </c>
      <c r="AK381" t="s">
        <v>54</v>
      </c>
      <c r="AL381">
        <v>2024</v>
      </c>
      <c r="AM381" s="6" t="s">
        <v>535</v>
      </c>
      <c r="AN381" s="7">
        <v>426.66</v>
      </c>
      <c r="AO381" s="8">
        <f t="shared" si="18"/>
        <v>799.98750000000007</v>
      </c>
      <c r="AP381" s="8">
        <f t="shared" si="19"/>
        <v>888.78611250000006</v>
      </c>
      <c r="AQ381" s="9">
        <f t="shared" si="17"/>
        <v>1295.89975125</v>
      </c>
    </row>
    <row r="382" spans="1:43" x14ac:dyDescent="0.25">
      <c r="A382">
        <v>16</v>
      </c>
      <c r="B382">
        <v>12</v>
      </c>
      <c r="C382">
        <v>2024</v>
      </c>
      <c r="D382" t="s">
        <v>43</v>
      </c>
      <c r="E382" t="s">
        <v>128</v>
      </c>
      <c r="F382" t="s">
        <v>129</v>
      </c>
      <c r="G382">
        <v>26</v>
      </c>
      <c r="H382">
        <v>1791882490001</v>
      </c>
      <c r="I382" t="s">
        <v>46</v>
      </c>
      <c r="J382" t="s">
        <v>247</v>
      </c>
      <c r="K382" t="s">
        <v>48</v>
      </c>
      <c r="L382" t="s">
        <v>49</v>
      </c>
      <c r="M382" t="s">
        <v>50</v>
      </c>
      <c r="N382" t="s">
        <v>51</v>
      </c>
      <c r="O382">
        <v>5911909090</v>
      </c>
      <c r="P382" t="s">
        <v>52</v>
      </c>
      <c r="Q382" t="s">
        <v>268</v>
      </c>
      <c r="R382" t="s">
        <v>54</v>
      </c>
      <c r="S382" t="s">
        <v>55</v>
      </c>
      <c r="T382">
        <v>9</v>
      </c>
      <c r="U382">
        <v>2</v>
      </c>
      <c r="V382" t="s">
        <v>56</v>
      </c>
      <c r="W382">
        <v>3.98</v>
      </c>
      <c r="X382">
        <v>23.32</v>
      </c>
      <c r="Y382">
        <v>3.05</v>
      </c>
      <c r="Z382">
        <v>0.16</v>
      </c>
      <c r="AA382">
        <v>26.53</v>
      </c>
      <c r="AB382" t="s">
        <v>57</v>
      </c>
      <c r="AC382" t="s">
        <v>131</v>
      </c>
      <c r="AD382" t="s">
        <v>48</v>
      </c>
      <c r="AE382">
        <v>0</v>
      </c>
      <c r="AF382">
        <v>3.98</v>
      </c>
      <c r="AG382" t="s">
        <v>59</v>
      </c>
      <c r="AH382">
        <v>325395</v>
      </c>
      <c r="AI382" t="s">
        <v>60</v>
      </c>
      <c r="AJ382" t="s">
        <v>78</v>
      </c>
      <c r="AK382" t="s">
        <v>54</v>
      </c>
      <c r="AL382">
        <v>2024</v>
      </c>
      <c r="AM382" s="6" t="s">
        <v>542</v>
      </c>
      <c r="AN382" s="7">
        <v>11.66</v>
      </c>
      <c r="AO382" s="8">
        <f t="shared" si="18"/>
        <v>21.862500000000001</v>
      </c>
      <c r="AP382" s="8">
        <f t="shared" si="19"/>
        <v>24.289237500000002</v>
      </c>
      <c r="AQ382" s="9">
        <f t="shared" si="17"/>
        <v>35.415063750000002</v>
      </c>
    </row>
    <row r="383" spans="1:43" x14ac:dyDescent="0.25">
      <c r="A383">
        <v>28</v>
      </c>
      <c r="B383">
        <v>8</v>
      </c>
      <c r="C383">
        <v>2024</v>
      </c>
      <c r="D383" t="s">
        <v>43</v>
      </c>
      <c r="E383" t="s">
        <v>91</v>
      </c>
      <c r="F383" t="s">
        <v>92</v>
      </c>
      <c r="G383">
        <v>23</v>
      </c>
      <c r="H383">
        <v>1791882490001</v>
      </c>
      <c r="I383" t="s">
        <v>46</v>
      </c>
      <c r="J383" t="s">
        <v>65</v>
      </c>
      <c r="K383" t="s">
        <v>48</v>
      </c>
      <c r="L383" t="s">
        <v>49</v>
      </c>
      <c r="M383" t="s">
        <v>50</v>
      </c>
      <c r="N383" t="s">
        <v>51</v>
      </c>
      <c r="O383">
        <v>8414590000</v>
      </c>
      <c r="P383" t="s">
        <v>66</v>
      </c>
      <c r="Q383" t="s">
        <v>401</v>
      </c>
      <c r="R383" t="s">
        <v>54</v>
      </c>
      <c r="S383" t="s">
        <v>55</v>
      </c>
      <c r="T383">
        <v>8</v>
      </c>
      <c r="U383">
        <v>1</v>
      </c>
      <c r="V383" t="s">
        <v>135</v>
      </c>
      <c r="W383">
        <v>0</v>
      </c>
      <c r="X383">
        <v>1198.97</v>
      </c>
      <c r="Y383">
        <v>132.47</v>
      </c>
      <c r="Z383">
        <v>8.06</v>
      </c>
      <c r="AA383">
        <v>1339.51</v>
      </c>
      <c r="AB383" t="s">
        <v>57</v>
      </c>
      <c r="AC383" t="s">
        <v>94</v>
      </c>
      <c r="AD383" t="s">
        <v>48</v>
      </c>
      <c r="AE383">
        <v>0</v>
      </c>
      <c r="AF383">
        <v>13.8</v>
      </c>
      <c r="AG383" t="s">
        <v>59</v>
      </c>
      <c r="AH383">
        <v>150511</v>
      </c>
      <c r="AI383" t="s">
        <v>60</v>
      </c>
      <c r="AJ383" t="s">
        <v>60</v>
      </c>
      <c r="AK383" t="s">
        <v>54</v>
      </c>
      <c r="AL383">
        <v>2024</v>
      </c>
      <c r="AM383" s="6" t="s">
        <v>543</v>
      </c>
      <c r="AN383" s="7">
        <v>1198.97</v>
      </c>
      <c r="AO383" s="8">
        <f t="shared" si="18"/>
        <v>2248.0687499999999</v>
      </c>
      <c r="AP383" s="8">
        <f t="shared" si="19"/>
        <v>2497.6043812499997</v>
      </c>
      <c r="AQ383" s="9">
        <f t="shared" si="17"/>
        <v>3641.6465681249997</v>
      </c>
    </row>
    <row r="384" spans="1:43" x14ac:dyDescent="0.25">
      <c r="A384">
        <v>8</v>
      </c>
      <c r="B384">
        <v>4</v>
      </c>
      <c r="C384">
        <v>2024</v>
      </c>
      <c r="D384" t="s">
        <v>43</v>
      </c>
      <c r="E384" t="s">
        <v>536</v>
      </c>
      <c r="F384" t="s">
        <v>537</v>
      </c>
      <c r="G384">
        <v>5</v>
      </c>
      <c r="H384">
        <v>1791882490001</v>
      </c>
      <c r="I384" t="s">
        <v>46</v>
      </c>
      <c r="J384" t="s">
        <v>118</v>
      </c>
      <c r="K384" t="s">
        <v>48</v>
      </c>
      <c r="L384" t="s">
        <v>119</v>
      </c>
      <c r="M384" t="s">
        <v>120</v>
      </c>
      <c r="N384" t="s">
        <v>121</v>
      </c>
      <c r="O384">
        <v>2710193900</v>
      </c>
      <c r="P384" t="s">
        <v>66</v>
      </c>
      <c r="Q384" t="s">
        <v>544</v>
      </c>
      <c r="R384" t="s">
        <v>54</v>
      </c>
      <c r="S384" t="s">
        <v>55</v>
      </c>
      <c r="T384">
        <v>8</v>
      </c>
      <c r="U384">
        <v>1</v>
      </c>
      <c r="V384" t="s">
        <v>545</v>
      </c>
      <c r="W384">
        <v>0</v>
      </c>
      <c r="X384">
        <v>6941.45</v>
      </c>
      <c r="Y384">
        <v>427.61</v>
      </c>
      <c r="Z384">
        <v>44.81</v>
      </c>
      <c r="AA384">
        <v>7413.86</v>
      </c>
      <c r="AB384" t="s">
        <v>359</v>
      </c>
      <c r="AC384" t="s">
        <v>125</v>
      </c>
      <c r="AD384" t="s">
        <v>48</v>
      </c>
      <c r="AE384">
        <v>1</v>
      </c>
      <c r="AF384">
        <v>240.36</v>
      </c>
      <c r="AG384" t="s">
        <v>59</v>
      </c>
      <c r="AH384">
        <v>887430</v>
      </c>
      <c r="AI384" t="s">
        <v>544</v>
      </c>
      <c r="AJ384" t="s">
        <v>538</v>
      </c>
      <c r="AK384" t="s">
        <v>54</v>
      </c>
      <c r="AL384">
        <v>2024</v>
      </c>
      <c r="AM384" s="6" t="s">
        <v>546</v>
      </c>
      <c r="AN384" s="7">
        <v>6941.45</v>
      </c>
      <c r="AO384" s="8">
        <f t="shared" si="18"/>
        <v>13015.21875</v>
      </c>
      <c r="AP384" s="8">
        <f t="shared" si="19"/>
        <v>14459.908031249999</v>
      </c>
      <c r="AQ384" s="9">
        <f t="shared" si="17"/>
        <v>21083.352853124998</v>
      </c>
    </row>
    <row r="385" spans="1:45" x14ac:dyDescent="0.25">
      <c r="A385">
        <v>8</v>
      </c>
      <c r="B385">
        <v>4</v>
      </c>
      <c r="C385">
        <v>2024</v>
      </c>
      <c r="D385" t="s">
        <v>43</v>
      </c>
      <c r="E385" t="s">
        <v>536</v>
      </c>
      <c r="F385" t="s">
        <v>537</v>
      </c>
      <c r="G385">
        <v>6</v>
      </c>
      <c r="H385">
        <v>1791882490001</v>
      </c>
      <c r="I385" t="s">
        <v>46</v>
      </c>
      <c r="J385" t="s">
        <v>118</v>
      </c>
      <c r="K385" t="s">
        <v>48</v>
      </c>
      <c r="L385" t="s">
        <v>119</v>
      </c>
      <c r="M385" t="s">
        <v>120</v>
      </c>
      <c r="N385" t="s">
        <v>121</v>
      </c>
      <c r="O385">
        <v>2710193900</v>
      </c>
      <c r="P385" t="s">
        <v>66</v>
      </c>
      <c r="Q385" t="s">
        <v>544</v>
      </c>
      <c r="R385" t="s">
        <v>54</v>
      </c>
      <c r="S385" t="s">
        <v>55</v>
      </c>
      <c r="T385">
        <v>8</v>
      </c>
      <c r="U385">
        <v>1</v>
      </c>
      <c r="V385" t="s">
        <v>545</v>
      </c>
      <c r="W385">
        <v>0</v>
      </c>
      <c r="X385">
        <v>6941.45</v>
      </c>
      <c r="Y385">
        <v>427.61</v>
      </c>
      <c r="Z385">
        <v>44.81</v>
      </c>
      <c r="AA385">
        <v>7413.86</v>
      </c>
      <c r="AB385" t="s">
        <v>359</v>
      </c>
      <c r="AC385" t="s">
        <v>125</v>
      </c>
      <c r="AD385" t="s">
        <v>48</v>
      </c>
      <c r="AE385">
        <v>1</v>
      </c>
      <c r="AF385">
        <v>240.36</v>
      </c>
      <c r="AG385" t="s">
        <v>59</v>
      </c>
      <c r="AH385">
        <v>887430</v>
      </c>
      <c r="AI385" t="s">
        <v>544</v>
      </c>
      <c r="AJ385" t="s">
        <v>538</v>
      </c>
      <c r="AK385" t="s">
        <v>54</v>
      </c>
      <c r="AL385">
        <v>2024</v>
      </c>
      <c r="AM385" s="6" t="s">
        <v>546</v>
      </c>
      <c r="AN385" s="7">
        <v>6941.45</v>
      </c>
      <c r="AO385" s="8">
        <f t="shared" si="18"/>
        <v>13015.21875</v>
      </c>
      <c r="AP385" s="8">
        <f t="shared" si="19"/>
        <v>14459.908031249999</v>
      </c>
      <c r="AQ385" s="9">
        <f t="shared" si="17"/>
        <v>21083.352853124998</v>
      </c>
    </row>
    <row r="386" spans="1:45" x14ac:dyDescent="0.25">
      <c r="A386">
        <v>8</v>
      </c>
      <c r="B386">
        <v>4</v>
      </c>
      <c r="C386">
        <v>2024</v>
      </c>
      <c r="D386" t="s">
        <v>43</v>
      </c>
      <c r="E386" t="s">
        <v>536</v>
      </c>
      <c r="F386" t="s">
        <v>537</v>
      </c>
      <c r="G386">
        <v>7</v>
      </c>
      <c r="H386">
        <v>1791882490001</v>
      </c>
      <c r="I386" t="s">
        <v>46</v>
      </c>
      <c r="J386" t="s">
        <v>118</v>
      </c>
      <c r="K386" t="s">
        <v>48</v>
      </c>
      <c r="L386" t="s">
        <v>119</v>
      </c>
      <c r="M386" t="s">
        <v>120</v>
      </c>
      <c r="N386" t="s">
        <v>121</v>
      </c>
      <c r="O386">
        <v>2710193900</v>
      </c>
      <c r="P386" t="s">
        <v>66</v>
      </c>
      <c r="Q386" t="s">
        <v>544</v>
      </c>
      <c r="R386" t="s">
        <v>54</v>
      </c>
      <c r="S386" t="s">
        <v>55</v>
      </c>
      <c r="T386">
        <v>8</v>
      </c>
      <c r="U386">
        <v>1</v>
      </c>
      <c r="V386" t="s">
        <v>545</v>
      </c>
      <c r="W386">
        <v>0</v>
      </c>
      <c r="X386">
        <v>6941.45</v>
      </c>
      <c r="Y386">
        <v>427.61</v>
      </c>
      <c r="Z386">
        <v>44.81</v>
      </c>
      <c r="AA386">
        <v>7413.86</v>
      </c>
      <c r="AB386" t="s">
        <v>359</v>
      </c>
      <c r="AC386" t="s">
        <v>125</v>
      </c>
      <c r="AD386" t="s">
        <v>48</v>
      </c>
      <c r="AE386">
        <v>1</v>
      </c>
      <c r="AF386">
        <v>240.36</v>
      </c>
      <c r="AG386" t="s">
        <v>59</v>
      </c>
      <c r="AH386">
        <v>887430</v>
      </c>
      <c r="AI386" t="s">
        <v>544</v>
      </c>
      <c r="AJ386" t="s">
        <v>538</v>
      </c>
      <c r="AK386" t="s">
        <v>54</v>
      </c>
      <c r="AL386">
        <v>2024</v>
      </c>
      <c r="AM386" s="6" t="s">
        <v>546</v>
      </c>
      <c r="AN386" s="7">
        <v>6941.45</v>
      </c>
      <c r="AO386" s="8">
        <f t="shared" si="18"/>
        <v>13015.21875</v>
      </c>
      <c r="AP386" s="8">
        <f t="shared" si="19"/>
        <v>14459.908031249999</v>
      </c>
      <c r="AQ386" s="9">
        <f t="shared" si="17"/>
        <v>21083.352853124998</v>
      </c>
    </row>
    <row r="387" spans="1:45" x14ac:dyDescent="0.25">
      <c r="A387">
        <v>8</v>
      </c>
      <c r="B387">
        <v>4</v>
      </c>
      <c r="C387">
        <v>2024</v>
      </c>
      <c r="D387" t="s">
        <v>43</v>
      </c>
      <c r="E387" t="s">
        <v>536</v>
      </c>
      <c r="F387" t="s">
        <v>537</v>
      </c>
      <c r="G387">
        <v>8</v>
      </c>
      <c r="H387">
        <v>1791882490001</v>
      </c>
      <c r="I387" t="s">
        <v>46</v>
      </c>
      <c r="J387" t="s">
        <v>118</v>
      </c>
      <c r="K387" t="s">
        <v>48</v>
      </c>
      <c r="L387" t="s">
        <v>119</v>
      </c>
      <c r="M387" t="s">
        <v>120</v>
      </c>
      <c r="N387" t="s">
        <v>121</v>
      </c>
      <c r="O387">
        <v>2710193900</v>
      </c>
      <c r="P387" t="s">
        <v>66</v>
      </c>
      <c r="Q387" t="s">
        <v>544</v>
      </c>
      <c r="R387" t="s">
        <v>54</v>
      </c>
      <c r="S387" t="s">
        <v>55</v>
      </c>
      <c r="T387">
        <v>8</v>
      </c>
      <c r="U387">
        <v>1</v>
      </c>
      <c r="V387" t="s">
        <v>545</v>
      </c>
      <c r="W387">
        <v>0</v>
      </c>
      <c r="X387">
        <v>6941.45</v>
      </c>
      <c r="Y387">
        <v>427.61</v>
      </c>
      <c r="Z387">
        <v>44.81</v>
      </c>
      <c r="AA387">
        <v>7413.86</v>
      </c>
      <c r="AB387" t="s">
        <v>359</v>
      </c>
      <c r="AC387" t="s">
        <v>125</v>
      </c>
      <c r="AD387" t="s">
        <v>48</v>
      </c>
      <c r="AE387">
        <v>1</v>
      </c>
      <c r="AF387">
        <v>240.36</v>
      </c>
      <c r="AG387" t="s">
        <v>59</v>
      </c>
      <c r="AH387">
        <v>887430</v>
      </c>
      <c r="AI387" t="s">
        <v>544</v>
      </c>
      <c r="AJ387" t="s">
        <v>538</v>
      </c>
      <c r="AK387" t="s">
        <v>54</v>
      </c>
      <c r="AL387">
        <v>2024</v>
      </c>
      <c r="AM387" s="6" t="s">
        <v>546</v>
      </c>
      <c r="AN387" s="7">
        <v>6941.45</v>
      </c>
      <c r="AO387" s="8">
        <f t="shared" si="18"/>
        <v>13015.21875</v>
      </c>
      <c r="AP387" s="8">
        <f t="shared" si="19"/>
        <v>14459.908031249999</v>
      </c>
      <c r="AQ387" s="9">
        <f t="shared" ref="AQ387:AQ450" si="20">SUM(AO387)*1.6199</f>
        <v>21083.352853124998</v>
      </c>
    </row>
    <row r="388" spans="1:45" x14ac:dyDescent="0.25">
      <c r="A388">
        <v>8</v>
      </c>
      <c r="B388">
        <v>4</v>
      </c>
      <c r="C388">
        <v>2024</v>
      </c>
      <c r="D388" t="s">
        <v>43</v>
      </c>
      <c r="E388" t="s">
        <v>536</v>
      </c>
      <c r="F388" t="s">
        <v>537</v>
      </c>
      <c r="G388">
        <v>9</v>
      </c>
      <c r="H388">
        <v>1791882490001</v>
      </c>
      <c r="I388" t="s">
        <v>46</v>
      </c>
      <c r="J388" t="s">
        <v>118</v>
      </c>
      <c r="K388" t="s">
        <v>48</v>
      </c>
      <c r="L388" t="s">
        <v>119</v>
      </c>
      <c r="M388" t="s">
        <v>120</v>
      </c>
      <c r="N388" t="s">
        <v>121</v>
      </c>
      <c r="O388">
        <v>2710193900</v>
      </c>
      <c r="P388" t="s">
        <v>66</v>
      </c>
      <c r="Q388" t="s">
        <v>544</v>
      </c>
      <c r="R388" t="s">
        <v>54</v>
      </c>
      <c r="S388" t="s">
        <v>55</v>
      </c>
      <c r="T388">
        <v>8</v>
      </c>
      <c r="U388">
        <v>1</v>
      </c>
      <c r="V388" t="s">
        <v>545</v>
      </c>
      <c r="W388">
        <v>0</v>
      </c>
      <c r="X388">
        <v>6941.45</v>
      </c>
      <c r="Y388">
        <v>427.61</v>
      </c>
      <c r="Z388">
        <v>44.81</v>
      </c>
      <c r="AA388">
        <v>7413.86</v>
      </c>
      <c r="AB388" t="s">
        <v>359</v>
      </c>
      <c r="AC388" t="s">
        <v>125</v>
      </c>
      <c r="AD388" t="s">
        <v>48</v>
      </c>
      <c r="AE388">
        <v>1</v>
      </c>
      <c r="AF388">
        <v>240.36</v>
      </c>
      <c r="AG388" t="s">
        <v>59</v>
      </c>
      <c r="AH388">
        <v>887430</v>
      </c>
      <c r="AI388" t="s">
        <v>544</v>
      </c>
      <c r="AJ388" t="s">
        <v>538</v>
      </c>
      <c r="AK388" t="s">
        <v>54</v>
      </c>
      <c r="AL388">
        <v>2024</v>
      </c>
      <c r="AM388" s="6" t="s">
        <v>546</v>
      </c>
      <c r="AN388" s="7">
        <v>6941.45</v>
      </c>
      <c r="AO388" s="8">
        <f t="shared" si="18"/>
        <v>13015.21875</v>
      </c>
      <c r="AP388" s="8">
        <f t="shared" si="19"/>
        <v>14459.908031249999</v>
      </c>
      <c r="AQ388" s="9">
        <f t="shared" si="20"/>
        <v>21083.352853124998</v>
      </c>
    </row>
    <row r="389" spans="1:45" x14ac:dyDescent="0.25">
      <c r="A389">
        <v>10</v>
      </c>
      <c r="B389">
        <v>9</v>
      </c>
      <c r="C389">
        <v>2024</v>
      </c>
      <c r="D389" t="s">
        <v>43</v>
      </c>
      <c r="E389" t="s">
        <v>539</v>
      </c>
      <c r="F389" t="s">
        <v>540</v>
      </c>
      <c r="G389">
        <v>5</v>
      </c>
      <c r="H389">
        <v>1791882490001</v>
      </c>
      <c r="I389" t="s">
        <v>46</v>
      </c>
      <c r="J389" t="s">
        <v>118</v>
      </c>
      <c r="K389" t="s">
        <v>48</v>
      </c>
      <c r="L389" t="s">
        <v>119</v>
      </c>
      <c r="M389" t="s">
        <v>120</v>
      </c>
      <c r="N389" t="s">
        <v>121</v>
      </c>
      <c r="O389">
        <v>2710193900</v>
      </c>
      <c r="P389" t="s">
        <v>66</v>
      </c>
      <c r="Q389" t="s">
        <v>544</v>
      </c>
      <c r="R389" t="s">
        <v>54</v>
      </c>
      <c r="S389" t="s">
        <v>55</v>
      </c>
      <c r="T389">
        <v>12</v>
      </c>
      <c r="U389">
        <v>1</v>
      </c>
      <c r="V389" t="s">
        <v>545</v>
      </c>
      <c r="W389">
        <v>0</v>
      </c>
      <c r="X389">
        <v>7013.55</v>
      </c>
      <c r="Y389">
        <v>646.11</v>
      </c>
      <c r="Z389">
        <v>45.99</v>
      </c>
      <c r="AA389">
        <v>7705.65</v>
      </c>
      <c r="AB389" t="s">
        <v>124</v>
      </c>
      <c r="AC389" t="s">
        <v>541</v>
      </c>
      <c r="AD389" t="s">
        <v>48</v>
      </c>
      <c r="AE389">
        <v>0</v>
      </c>
      <c r="AF389">
        <v>919</v>
      </c>
      <c r="AG389" t="s">
        <v>59</v>
      </c>
      <c r="AH389">
        <v>123588</v>
      </c>
      <c r="AI389" t="s">
        <v>544</v>
      </c>
      <c r="AJ389" t="s">
        <v>544</v>
      </c>
      <c r="AK389" t="s">
        <v>54</v>
      </c>
      <c r="AL389">
        <v>2024</v>
      </c>
      <c r="AM389" s="6" t="s">
        <v>546</v>
      </c>
      <c r="AN389" s="7">
        <v>7013.55</v>
      </c>
      <c r="AO389" s="8">
        <f t="shared" si="18"/>
        <v>13150.40625</v>
      </c>
      <c r="AP389" s="8">
        <f t="shared" si="19"/>
        <v>14610.101343750001</v>
      </c>
      <c r="AQ389" s="9">
        <f t="shared" si="20"/>
        <v>21302.343084374999</v>
      </c>
      <c r="AS389">
        <v>24120</v>
      </c>
    </row>
    <row r="390" spans="1:45" x14ac:dyDescent="0.25">
      <c r="A390">
        <v>10</v>
      </c>
      <c r="B390">
        <v>9</v>
      </c>
      <c r="C390">
        <v>2024</v>
      </c>
      <c r="D390" t="s">
        <v>43</v>
      </c>
      <c r="E390" t="s">
        <v>539</v>
      </c>
      <c r="F390" t="s">
        <v>540</v>
      </c>
      <c r="G390">
        <v>6</v>
      </c>
      <c r="H390">
        <v>1791882490001</v>
      </c>
      <c r="I390" t="s">
        <v>46</v>
      </c>
      <c r="J390" t="s">
        <v>118</v>
      </c>
      <c r="K390" t="s">
        <v>48</v>
      </c>
      <c r="L390" t="s">
        <v>119</v>
      </c>
      <c r="M390" t="s">
        <v>120</v>
      </c>
      <c r="N390" t="s">
        <v>121</v>
      </c>
      <c r="O390">
        <v>2710193900</v>
      </c>
      <c r="P390" t="s">
        <v>66</v>
      </c>
      <c r="Q390" t="s">
        <v>544</v>
      </c>
      <c r="R390" t="s">
        <v>54</v>
      </c>
      <c r="S390" t="s">
        <v>55</v>
      </c>
      <c r="T390">
        <v>12</v>
      </c>
      <c r="U390">
        <v>1</v>
      </c>
      <c r="V390" t="s">
        <v>545</v>
      </c>
      <c r="W390">
        <v>0</v>
      </c>
      <c r="X390">
        <v>7013.55</v>
      </c>
      <c r="Y390">
        <v>646.11</v>
      </c>
      <c r="Z390">
        <v>45.99</v>
      </c>
      <c r="AA390">
        <v>7705.65</v>
      </c>
      <c r="AB390" t="s">
        <v>124</v>
      </c>
      <c r="AC390" t="s">
        <v>541</v>
      </c>
      <c r="AD390" t="s">
        <v>48</v>
      </c>
      <c r="AE390">
        <v>0</v>
      </c>
      <c r="AF390">
        <v>919</v>
      </c>
      <c r="AG390" t="s">
        <v>59</v>
      </c>
      <c r="AH390">
        <v>123588</v>
      </c>
      <c r="AI390" t="s">
        <v>544</v>
      </c>
      <c r="AJ390" t="s">
        <v>544</v>
      </c>
      <c r="AK390" t="s">
        <v>54</v>
      </c>
      <c r="AL390">
        <v>2024</v>
      </c>
      <c r="AM390" s="6" t="s">
        <v>546</v>
      </c>
      <c r="AN390" s="7">
        <v>7013.55</v>
      </c>
      <c r="AO390" s="8">
        <f t="shared" si="18"/>
        <v>13150.40625</v>
      </c>
      <c r="AP390" s="8">
        <f t="shared" si="19"/>
        <v>14610.101343750001</v>
      </c>
      <c r="AQ390" s="9">
        <f t="shared" si="20"/>
        <v>21302.343084374999</v>
      </c>
    </row>
    <row r="391" spans="1:45" x14ac:dyDescent="0.25">
      <c r="A391">
        <v>10</v>
      </c>
      <c r="B391">
        <v>9</v>
      </c>
      <c r="C391">
        <v>2024</v>
      </c>
      <c r="D391" t="s">
        <v>43</v>
      </c>
      <c r="E391" t="s">
        <v>539</v>
      </c>
      <c r="F391" t="s">
        <v>540</v>
      </c>
      <c r="G391">
        <v>7</v>
      </c>
      <c r="H391">
        <v>1791882490001</v>
      </c>
      <c r="I391" t="s">
        <v>46</v>
      </c>
      <c r="J391" t="s">
        <v>118</v>
      </c>
      <c r="K391" t="s">
        <v>48</v>
      </c>
      <c r="L391" t="s">
        <v>119</v>
      </c>
      <c r="M391" t="s">
        <v>120</v>
      </c>
      <c r="N391" t="s">
        <v>121</v>
      </c>
      <c r="O391">
        <v>2710193900</v>
      </c>
      <c r="P391" t="s">
        <v>66</v>
      </c>
      <c r="Q391" t="s">
        <v>544</v>
      </c>
      <c r="R391" t="s">
        <v>54</v>
      </c>
      <c r="S391" t="s">
        <v>55</v>
      </c>
      <c r="T391">
        <v>12</v>
      </c>
      <c r="U391">
        <v>1</v>
      </c>
      <c r="V391" t="s">
        <v>545</v>
      </c>
      <c r="W391">
        <v>0</v>
      </c>
      <c r="X391">
        <v>7013.55</v>
      </c>
      <c r="Y391">
        <v>646.11</v>
      </c>
      <c r="Z391">
        <v>45.99</v>
      </c>
      <c r="AA391">
        <v>7705.65</v>
      </c>
      <c r="AB391" t="s">
        <v>124</v>
      </c>
      <c r="AC391" t="s">
        <v>541</v>
      </c>
      <c r="AD391" t="s">
        <v>48</v>
      </c>
      <c r="AE391">
        <v>0</v>
      </c>
      <c r="AF391">
        <v>919</v>
      </c>
      <c r="AG391" t="s">
        <v>59</v>
      </c>
      <c r="AH391">
        <v>123588</v>
      </c>
      <c r="AI391" t="s">
        <v>544</v>
      </c>
      <c r="AJ391" t="s">
        <v>544</v>
      </c>
      <c r="AK391" t="s">
        <v>54</v>
      </c>
      <c r="AL391">
        <v>2024</v>
      </c>
      <c r="AM391" s="6" t="s">
        <v>546</v>
      </c>
      <c r="AN391" s="7">
        <v>7013.55</v>
      </c>
      <c r="AO391" s="8">
        <f t="shared" si="18"/>
        <v>13150.40625</v>
      </c>
      <c r="AP391" s="8">
        <f t="shared" si="19"/>
        <v>14610.101343750001</v>
      </c>
      <c r="AQ391" s="9">
        <f t="shared" si="20"/>
        <v>21302.343084374999</v>
      </c>
    </row>
    <row r="392" spans="1:45" x14ac:dyDescent="0.25">
      <c r="A392">
        <v>26</v>
      </c>
      <c r="B392">
        <v>12</v>
      </c>
      <c r="C392">
        <v>2024</v>
      </c>
      <c r="D392" t="s">
        <v>43</v>
      </c>
      <c r="E392" t="s">
        <v>222</v>
      </c>
      <c r="F392" t="s">
        <v>223</v>
      </c>
      <c r="G392">
        <v>18</v>
      </c>
      <c r="H392">
        <v>1791882490001</v>
      </c>
      <c r="I392" t="s">
        <v>46</v>
      </c>
      <c r="J392" t="s">
        <v>48</v>
      </c>
      <c r="K392" t="s">
        <v>48</v>
      </c>
      <c r="L392" t="s">
        <v>49</v>
      </c>
      <c r="M392" t="s">
        <v>50</v>
      </c>
      <c r="N392" t="s">
        <v>224</v>
      </c>
      <c r="O392">
        <v>9030390000</v>
      </c>
      <c r="P392" t="s">
        <v>547</v>
      </c>
      <c r="Q392" t="s">
        <v>548</v>
      </c>
      <c r="R392" t="s">
        <v>54</v>
      </c>
      <c r="S392" t="s">
        <v>55</v>
      </c>
      <c r="T392">
        <v>8</v>
      </c>
      <c r="U392">
        <v>2</v>
      </c>
      <c r="V392" t="s">
        <v>135</v>
      </c>
      <c r="W392">
        <v>0</v>
      </c>
      <c r="X392">
        <v>938.9</v>
      </c>
      <c r="Y392">
        <v>194.44</v>
      </c>
      <c r="Z392">
        <v>9.39</v>
      </c>
      <c r="AA392">
        <v>1142.73</v>
      </c>
      <c r="AB392" t="s">
        <v>57</v>
      </c>
      <c r="AC392" t="s">
        <v>225</v>
      </c>
      <c r="AD392" t="s">
        <v>48</v>
      </c>
      <c r="AE392">
        <v>0</v>
      </c>
      <c r="AF392">
        <v>4.12</v>
      </c>
      <c r="AG392" t="s">
        <v>59</v>
      </c>
      <c r="AH392">
        <v>341996</v>
      </c>
      <c r="AI392" t="s">
        <v>60</v>
      </c>
      <c r="AJ392" t="s">
        <v>60</v>
      </c>
      <c r="AK392" t="s">
        <v>54</v>
      </c>
      <c r="AL392">
        <v>2024</v>
      </c>
      <c r="AM392" s="6" t="s">
        <v>549</v>
      </c>
      <c r="AN392" s="7">
        <v>469.45</v>
      </c>
      <c r="AO392" s="8">
        <f t="shared" si="18"/>
        <v>880.21875</v>
      </c>
      <c r="AP392" s="8">
        <f t="shared" si="19"/>
        <v>977.92303125000001</v>
      </c>
      <c r="AQ392" s="9">
        <f t="shared" si="20"/>
        <v>1425.8663531249999</v>
      </c>
    </row>
    <row r="393" spans="1:45" x14ac:dyDescent="0.25">
      <c r="A393">
        <v>3</v>
      </c>
      <c r="B393">
        <v>4</v>
      </c>
      <c r="C393">
        <v>2024</v>
      </c>
      <c r="D393" t="s">
        <v>43</v>
      </c>
      <c r="E393" t="s">
        <v>73</v>
      </c>
      <c r="F393" t="s">
        <v>74</v>
      </c>
      <c r="G393">
        <v>18</v>
      </c>
      <c r="H393">
        <v>1791882490001</v>
      </c>
      <c r="I393" t="s">
        <v>46</v>
      </c>
      <c r="J393" t="s">
        <v>65</v>
      </c>
      <c r="K393" t="s">
        <v>48</v>
      </c>
      <c r="L393" t="s">
        <v>49</v>
      </c>
      <c r="M393" t="s">
        <v>50</v>
      </c>
      <c r="N393" t="s">
        <v>51</v>
      </c>
      <c r="O393">
        <v>8421999000</v>
      </c>
      <c r="P393" t="s">
        <v>66</v>
      </c>
      <c r="Q393" t="s">
        <v>254</v>
      </c>
      <c r="R393" t="s">
        <v>54</v>
      </c>
      <c r="S393" t="s">
        <v>55</v>
      </c>
      <c r="T393">
        <v>6</v>
      </c>
      <c r="U393">
        <v>5</v>
      </c>
      <c r="V393" t="s">
        <v>135</v>
      </c>
      <c r="W393">
        <v>0</v>
      </c>
      <c r="X393">
        <v>221.93</v>
      </c>
      <c r="Y393">
        <v>25.92</v>
      </c>
      <c r="Z393">
        <v>1.45</v>
      </c>
      <c r="AA393">
        <v>249.31</v>
      </c>
      <c r="AB393" t="s">
        <v>57</v>
      </c>
      <c r="AC393" t="s">
        <v>58</v>
      </c>
      <c r="AD393" t="s">
        <v>48</v>
      </c>
      <c r="AE393">
        <v>0</v>
      </c>
      <c r="AF393">
        <v>6.66</v>
      </c>
      <c r="AG393" t="s">
        <v>59</v>
      </c>
      <c r="AH393">
        <v>438183</v>
      </c>
      <c r="AI393" t="s">
        <v>60</v>
      </c>
      <c r="AJ393" t="s">
        <v>60</v>
      </c>
      <c r="AK393" t="s">
        <v>54</v>
      </c>
      <c r="AL393">
        <v>2024</v>
      </c>
      <c r="AM393" s="6" t="s">
        <v>550</v>
      </c>
      <c r="AN393" s="7">
        <v>44.39</v>
      </c>
      <c r="AO393" s="8">
        <f t="shared" si="18"/>
        <v>83.231250000000003</v>
      </c>
      <c r="AP393" s="8">
        <f t="shared" si="19"/>
        <v>92.469918750000005</v>
      </c>
      <c r="AQ393" s="9">
        <f t="shared" si="20"/>
        <v>134.82630187499998</v>
      </c>
    </row>
    <row r="394" spans="1:45" x14ac:dyDescent="0.25">
      <c r="A394">
        <v>8</v>
      </c>
      <c r="B394">
        <v>7</v>
      </c>
      <c r="C394">
        <v>2024</v>
      </c>
      <c r="D394" t="s">
        <v>43</v>
      </c>
      <c r="E394" t="s">
        <v>75</v>
      </c>
      <c r="F394" t="s">
        <v>76</v>
      </c>
      <c r="G394">
        <v>26</v>
      </c>
      <c r="H394">
        <v>1791882490001</v>
      </c>
      <c r="I394" t="s">
        <v>46</v>
      </c>
      <c r="J394" t="s">
        <v>65</v>
      </c>
      <c r="K394" t="s">
        <v>48</v>
      </c>
      <c r="L394" t="s">
        <v>49</v>
      </c>
      <c r="M394" t="s">
        <v>50</v>
      </c>
      <c r="N394" t="s">
        <v>51</v>
      </c>
      <c r="O394">
        <v>8421999000</v>
      </c>
      <c r="P394" t="s">
        <v>66</v>
      </c>
      <c r="Q394" t="s">
        <v>254</v>
      </c>
      <c r="R394" t="s">
        <v>54</v>
      </c>
      <c r="S394" t="s">
        <v>55</v>
      </c>
      <c r="T394">
        <v>8</v>
      </c>
      <c r="U394">
        <v>5</v>
      </c>
      <c r="V394" t="s">
        <v>135</v>
      </c>
      <c r="W394">
        <v>0</v>
      </c>
      <c r="X394">
        <v>223.68</v>
      </c>
      <c r="Y394">
        <v>19.100000000000001</v>
      </c>
      <c r="Z394">
        <v>1.46</v>
      </c>
      <c r="AA394">
        <v>244.24</v>
      </c>
      <c r="AB394" t="s">
        <v>57</v>
      </c>
      <c r="AC394" t="s">
        <v>77</v>
      </c>
      <c r="AD394" t="s">
        <v>48</v>
      </c>
      <c r="AE394">
        <v>0</v>
      </c>
      <c r="AF394">
        <v>1.48</v>
      </c>
      <c r="AG394" t="s">
        <v>59</v>
      </c>
      <c r="AH394">
        <v>107711</v>
      </c>
      <c r="AI394" t="s">
        <v>60</v>
      </c>
      <c r="AJ394" t="s">
        <v>78</v>
      </c>
      <c r="AK394" t="s">
        <v>54</v>
      </c>
      <c r="AL394">
        <v>2024</v>
      </c>
      <c r="AM394" s="6" t="s">
        <v>550</v>
      </c>
      <c r="AN394" s="7">
        <v>44.74</v>
      </c>
      <c r="AO394" s="8">
        <f t="shared" si="18"/>
        <v>83.887500000000003</v>
      </c>
      <c r="AP394" s="8">
        <f t="shared" si="19"/>
        <v>93.199012500000009</v>
      </c>
      <c r="AQ394" s="9">
        <f t="shared" si="20"/>
        <v>135.88936125000001</v>
      </c>
    </row>
    <row r="395" spans="1:45" x14ac:dyDescent="0.25">
      <c r="A395">
        <v>8</v>
      </c>
      <c r="B395">
        <v>7</v>
      </c>
      <c r="C395">
        <v>2024</v>
      </c>
      <c r="D395" t="s">
        <v>43</v>
      </c>
      <c r="E395" t="s">
        <v>75</v>
      </c>
      <c r="F395" t="s">
        <v>76</v>
      </c>
      <c r="G395">
        <v>26</v>
      </c>
      <c r="H395">
        <v>1791882490001</v>
      </c>
      <c r="I395" t="s">
        <v>46</v>
      </c>
      <c r="J395" t="s">
        <v>65</v>
      </c>
      <c r="K395" t="s">
        <v>48</v>
      </c>
      <c r="L395" t="s">
        <v>49</v>
      </c>
      <c r="M395" t="s">
        <v>50</v>
      </c>
      <c r="N395" t="s">
        <v>51</v>
      </c>
      <c r="O395">
        <v>8421999000</v>
      </c>
      <c r="P395" t="s">
        <v>66</v>
      </c>
      <c r="Q395" t="s">
        <v>254</v>
      </c>
      <c r="R395" t="s">
        <v>54</v>
      </c>
      <c r="S395" t="s">
        <v>55</v>
      </c>
      <c r="T395">
        <v>8</v>
      </c>
      <c r="U395">
        <v>5</v>
      </c>
      <c r="V395" t="s">
        <v>135</v>
      </c>
      <c r="W395">
        <v>0</v>
      </c>
      <c r="X395">
        <v>223.68</v>
      </c>
      <c r="Y395">
        <v>19.100000000000001</v>
      </c>
      <c r="Z395">
        <v>1.46</v>
      </c>
      <c r="AA395">
        <v>244.24</v>
      </c>
      <c r="AB395" t="s">
        <v>57</v>
      </c>
      <c r="AC395" t="s">
        <v>77</v>
      </c>
      <c r="AD395" t="s">
        <v>48</v>
      </c>
      <c r="AE395">
        <v>0</v>
      </c>
      <c r="AF395">
        <v>1.48</v>
      </c>
      <c r="AG395" t="s">
        <v>59</v>
      </c>
      <c r="AH395">
        <v>107711</v>
      </c>
      <c r="AI395" t="s">
        <v>60</v>
      </c>
      <c r="AJ395" t="s">
        <v>78</v>
      </c>
      <c r="AK395" t="s">
        <v>54</v>
      </c>
      <c r="AL395">
        <v>2024</v>
      </c>
      <c r="AM395" s="6" t="s">
        <v>550</v>
      </c>
      <c r="AN395" s="7">
        <v>44.74</v>
      </c>
      <c r="AO395" s="8">
        <f t="shared" si="18"/>
        <v>83.887500000000003</v>
      </c>
      <c r="AP395" s="8">
        <f t="shared" si="19"/>
        <v>93.199012500000009</v>
      </c>
      <c r="AQ395" s="9">
        <f t="shared" si="20"/>
        <v>135.88936125000001</v>
      </c>
    </row>
    <row r="396" spans="1:45" x14ac:dyDescent="0.25">
      <c r="A396">
        <v>10</v>
      </c>
      <c r="B396">
        <v>10</v>
      </c>
      <c r="C396">
        <v>2024</v>
      </c>
      <c r="D396" t="s">
        <v>43</v>
      </c>
      <c r="E396" t="s">
        <v>44</v>
      </c>
      <c r="F396" t="s">
        <v>45</v>
      </c>
      <c r="G396">
        <v>29</v>
      </c>
      <c r="H396">
        <v>1791882490001</v>
      </c>
      <c r="I396" t="s">
        <v>46</v>
      </c>
      <c r="J396" t="s">
        <v>65</v>
      </c>
      <c r="K396" t="s">
        <v>48</v>
      </c>
      <c r="L396" t="s">
        <v>49</v>
      </c>
      <c r="M396" t="s">
        <v>50</v>
      </c>
      <c r="N396" t="s">
        <v>51</v>
      </c>
      <c r="O396">
        <v>8421999000</v>
      </c>
      <c r="P396" t="s">
        <v>52</v>
      </c>
      <c r="Q396" t="s">
        <v>254</v>
      </c>
      <c r="R396" t="s">
        <v>54</v>
      </c>
      <c r="S396" t="s">
        <v>55</v>
      </c>
      <c r="T396">
        <v>7</v>
      </c>
      <c r="U396">
        <v>5</v>
      </c>
      <c r="V396" t="s">
        <v>135</v>
      </c>
      <c r="W396">
        <v>0</v>
      </c>
      <c r="X396">
        <v>217.73</v>
      </c>
      <c r="Y396">
        <v>38.04</v>
      </c>
      <c r="Z396">
        <v>1.57</v>
      </c>
      <c r="AA396">
        <v>257.35000000000002</v>
      </c>
      <c r="AB396" t="s">
        <v>57</v>
      </c>
      <c r="AC396" t="s">
        <v>58</v>
      </c>
      <c r="AD396" t="s">
        <v>48</v>
      </c>
      <c r="AE396">
        <v>0</v>
      </c>
      <c r="AF396">
        <v>2.35</v>
      </c>
      <c r="AG396" t="s">
        <v>59</v>
      </c>
      <c r="AH396">
        <v>179772</v>
      </c>
      <c r="AI396" t="s">
        <v>60</v>
      </c>
      <c r="AJ396" t="s">
        <v>60</v>
      </c>
      <c r="AK396" t="s">
        <v>54</v>
      </c>
      <c r="AL396">
        <v>2024</v>
      </c>
      <c r="AM396" s="6" t="s">
        <v>550</v>
      </c>
      <c r="AN396" s="7">
        <v>43.55</v>
      </c>
      <c r="AO396" s="8">
        <f t="shared" si="18"/>
        <v>81.65625</v>
      </c>
      <c r="AP396" s="8">
        <f t="shared" si="19"/>
        <v>90.720093750000004</v>
      </c>
      <c r="AQ396" s="9">
        <f t="shared" si="20"/>
        <v>132.27495937499998</v>
      </c>
    </row>
    <row r="397" spans="1:45" x14ac:dyDescent="0.25">
      <c r="A397">
        <v>3</v>
      </c>
      <c r="B397">
        <v>4</v>
      </c>
      <c r="C397">
        <v>2024</v>
      </c>
      <c r="D397" t="s">
        <v>43</v>
      </c>
      <c r="E397" t="s">
        <v>73</v>
      </c>
      <c r="F397" t="s">
        <v>74</v>
      </c>
      <c r="G397">
        <v>19</v>
      </c>
      <c r="H397">
        <v>1791882490001</v>
      </c>
      <c r="I397" t="s">
        <v>46</v>
      </c>
      <c r="J397" t="s">
        <v>48</v>
      </c>
      <c r="K397" t="s">
        <v>48</v>
      </c>
      <c r="L397" t="s">
        <v>49</v>
      </c>
      <c r="M397" t="s">
        <v>50</v>
      </c>
      <c r="N397" t="s">
        <v>51</v>
      </c>
      <c r="O397">
        <v>7307990099</v>
      </c>
      <c r="P397" t="s">
        <v>66</v>
      </c>
      <c r="Q397" t="s">
        <v>164</v>
      </c>
      <c r="R397" t="s">
        <v>54</v>
      </c>
      <c r="S397" t="s">
        <v>55</v>
      </c>
      <c r="T397">
        <v>6</v>
      </c>
      <c r="U397">
        <v>1</v>
      </c>
      <c r="V397" t="s">
        <v>56</v>
      </c>
      <c r="W397">
        <v>0</v>
      </c>
      <c r="X397">
        <v>9.39</v>
      </c>
      <c r="Y397">
        <v>1.1000000000000001</v>
      </c>
      <c r="Z397">
        <v>0.06</v>
      </c>
      <c r="AA397">
        <v>10.55</v>
      </c>
      <c r="AB397" t="s">
        <v>57</v>
      </c>
      <c r="AC397" t="s">
        <v>58</v>
      </c>
      <c r="AD397" t="s">
        <v>48</v>
      </c>
      <c r="AE397">
        <v>0</v>
      </c>
      <c r="AF397">
        <v>1.33</v>
      </c>
      <c r="AG397" t="s">
        <v>59</v>
      </c>
      <c r="AH397">
        <v>438183</v>
      </c>
      <c r="AI397" t="s">
        <v>60</v>
      </c>
      <c r="AJ397" t="s">
        <v>60</v>
      </c>
      <c r="AK397" t="s">
        <v>54</v>
      </c>
      <c r="AL397">
        <v>2024</v>
      </c>
      <c r="AM397" s="6" t="s">
        <v>551</v>
      </c>
      <c r="AN397" s="7">
        <v>9.39</v>
      </c>
      <c r="AO397" s="8">
        <f t="shared" si="18"/>
        <v>17.606250000000003</v>
      </c>
      <c r="AP397" s="8">
        <f t="shared" si="19"/>
        <v>19.560543750000004</v>
      </c>
      <c r="AQ397" s="9">
        <f t="shared" si="20"/>
        <v>28.520364375000003</v>
      </c>
    </row>
    <row r="398" spans="1:45" x14ac:dyDescent="0.25">
      <c r="A398">
        <v>16</v>
      </c>
      <c r="B398">
        <v>12</v>
      </c>
      <c r="C398">
        <v>2024</v>
      </c>
      <c r="D398" t="s">
        <v>43</v>
      </c>
      <c r="E398" t="s">
        <v>128</v>
      </c>
      <c r="F398" t="s">
        <v>129</v>
      </c>
      <c r="G398">
        <v>27</v>
      </c>
      <c r="H398">
        <v>1791882490001</v>
      </c>
      <c r="I398" t="s">
        <v>46</v>
      </c>
      <c r="J398" t="s">
        <v>65</v>
      </c>
      <c r="K398" t="s">
        <v>48</v>
      </c>
      <c r="L398" t="s">
        <v>49</v>
      </c>
      <c r="M398" t="s">
        <v>50</v>
      </c>
      <c r="N398" t="s">
        <v>51</v>
      </c>
      <c r="O398">
        <v>8421392000</v>
      </c>
      <c r="P398" t="s">
        <v>480</v>
      </c>
      <c r="Q398" t="s">
        <v>268</v>
      </c>
      <c r="R398" t="s">
        <v>54</v>
      </c>
      <c r="S398" t="s">
        <v>55</v>
      </c>
      <c r="T398">
        <v>9</v>
      </c>
      <c r="U398">
        <v>2</v>
      </c>
      <c r="V398" t="s">
        <v>135</v>
      </c>
      <c r="W398">
        <v>0</v>
      </c>
      <c r="X398">
        <v>437.95</v>
      </c>
      <c r="Y398">
        <v>57.36</v>
      </c>
      <c r="Z398">
        <v>3</v>
      </c>
      <c r="AA398">
        <v>498.31</v>
      </c>
      <c r="AB398" t="s">
        <v>57</v>
      </c>
      <c r="AC398" t="s">
        <v>131</v>
      </c>
      <c r="AD398" t="s">
        <v>48</v>
      </c>
      <c r="AE398">
        <v>0</v>
      </c>
      <c r="AF398">
        <v>3.98</v>
      </c>
      <c r="AG398" t="s">
        <v>59</v>
      </c>
      <c r="AH398">
        <v>325395</v>
      </c>
      <c r="AI398" t="s">
        <v>60</v>
      </c>
      <c r="AJ398" t="s">
        <v>78</v>
      </c>
      <c r="AK398" t="s">
        <v>54</v>
      </c>
      <c r="AL398">
        <v>2024</v>
      </c>
      <c r="AM398" s="6" t="s">
        <v>552</v>
      </c>
      <c r="AN398" s="7">
        <v>218.98</v>
      </c>
      <c r="AO398" s="8">
        <f t="shared" si="18"/>
        <v>410.58749999999998</v>
      </c>
      <c r="AP398" s="8">
        <f t="shared" si="19"/>
        <v>456.1627125</v>
      </c>
      <c r="AQ398" s="9">
        <f t="shared" si="20"/>
        <v>665.11069124999995</v>
      </c>
    </row>
    <row r="399" spans="1:45" x14ac:dyDescent="0.25">
      <c r="A399">
        <v>16</v>
      </c>
      <c r="B399">
        <v>12</v>
      </c>
      <c r="C399">
        <v>2024</v>
      </c>
      <c r="D399" t="s">
        <v>43</v>
      </c>
      <c r="E399" t="s">
        <v>128</v>
      </c>
      <c r="F399" t="s">
        <v>129</v>
      </c>
      <c r="G399">
        <v>28</v>
      </c>
      <c r="H399">
        <v>1791882490001</v>
      </c>
      <c r="I399" t="s">
        <v>46</v>
      </c>
      <c r="J399" t="s">
        <v>553</v>
      </c>
      <c r="K399" t="s">
        <v>48</v>
      </c>
      <c r="L399" t="s">
        <v>49</v>
      </c>
      <c r="M399" t="s">
        <v>50</v>
      </c>
      <c r="N399" t="s">
        <v>51</v>
      </c>
      <c r="O399">
        <v>8481909090</v>
      </c>
      <c r="P399" t="s">
        <v>284</v>
      </c>
      <c r="Q399" t="s">
        <v>554</v>
      </c>
      <c r="R399" t="s">
        <v>54</v>
      </c>
      <c r="S399" t="s">
        <v>55</v>
      </c>
      <c r="T399">
        <v>9</v>
      </c>
      <c r="U399">
        <v>1</v>
      </c>
      <c r="V399" t="s">
        <v>135</v>
      </c>
      <c r="W399">
        <v>17.16</v>
      </c>
      <c r="X399">
        <v>75.430000000000007</v>
      </c>
      <c r="Y399">
        <v>9.8800000000000008</v>
      </c>
      <c r="Z399">
        <v>0.52</v>
      </c>
      <c r="AA399">
        <v>85.82</v>
      </c>
      <c r="AB399" t="s">
        <v>57</v>
      </c>
      <c r="AC399" t="s">
        <v>131</v>
      </c>
      <c r="AD399" t="s">
        <v>48</v>
      </c>
      <c r="AE399">
        <v>0</v>
      </c>
      <c r="AF399">
        <v>1.99</v>
      </c>
      <c r="AG399" t="s">
        <v>59</v>
      </c>
      <c r="AH399">
        <v>325395</v>
      </c>
      <c r="AI399" t="s">
        <v>60</v>
      </c>
      <c r="AJ399" t="s">
        <v>78</v>
      </c>
      <c r="AK399" t="s">
        <v>54</v>
      </c>
      <c r="AL399">
        <v>2024</v>
      </c>
      <c r="AM399" s="6" t="s">
        <v>555</v>
      </c>
      <c r="AN399" s="7">
        <v>75.430000000000007</v>
      </c>
      <c r="AO399" s="8">
        <f t="shared" si="18"/>
        <v>141.43125000000001</v>
      </c>
      <c r="AP399" s="8">
        <f t="shared" si="19"/>
        <v>157.13011875000001</v>
      </c>
      <c r="AQ399" s="9">
        <f t="shared" si="20"/>
        <v>229.104481875</v>
      </c>
    </row>
    <row r="400" spans="1:45" x14ac:dyDescent="0.25">
      <c r="A400">
        <v>1</v>
      </c>
      <c r="B400">
        <v>2</v>
      </c>
      <c r="C400">
        <v>2024</v>
      </c>
      <c r="D400" t="s">
        <v>43</v>
      </c>
      <c r="E400" t="s">
        <v>174</v>
      </c>
      <c r="F400" t="s">
        <v>175</v>
      </c>
      <c r="G400">
        <v>11</v>
      </c>
      <c r="H400">
        <v>1791882490001</v>
      </c>
      <c r="I400" t="s">
        <v>46</v>
      </c>
      <c r="J400" t="s">
        <v>48</v>
      </c>
      <c r="K400" t="s">
        <v>48</v>
      </c>
      <c r="L400" t="s">
        <v>49</v>
      </c>
      <c r="M400" t="s">
        <v>50</v>
      </c>
      <c r="N400" t="s">
        <v>51</v>
      </c>
      <c r="O400">
        <v>8307100090</v>
      </c>
      <c r="P400" t="s">
        <v>66</v>
      </c>
      <c r="Q400" t="s">
        <v>511</v>
      </c>
      <c r="R400" t="s">
        <v>54</v>
      </c>
      <c r="S400" t="s">
        <v>55</v>
      </c>
      <c r="T400">
        <v>5</v>
      </c>
      <c r="U400">
        <v>1</v>
      </c>
      <c r="V400" t="s">
        <v>56</v>
      </c>
      <c r="W400">
        <v>0</v>
      </c>
      <c r="X400">
        <v>1454.56</v>
      </c>
      <c r="Y400">
        <v>108.13</v>
      </c>
      <c r="Z400">
        <v>8.69</v>
      </c>
      <c r="AA400">
        <v>1571.38</v>
      </c>
      <c r="AB400" t="s">
        <v>54</v>
      </c>
      <c r="AC400" t="s">
        <v>94</v>
      </c>
      <c r="AD400" t="s">
        <v>48</v>
      </c>
      <c r="AE400">
        <v>0</v>
      </c>
      <c r="AF400">
        <v>1.98</v>
      </c>
      <c r="AG400" t="s">
        <v>59</v>
      </c>
      <c r="AH400">
        <v>863266</v>
      </c>
      <c r="AI400" t="s">
        <v>60</v>
      </c>
      <c r="AJ400" t="s">
        <v>60</v>
      </c>
      <c r="AK400" t="s">
        <v>54</v>
      </c>
      <c r="AL400">
        <v>2023</v>
      </c>
      <c r="AM400" s="6" t="s">
        <v>556</v>
      </c>
      <c r="AN400" s="7">
        <v>1454.56</v>
      </c>
      <c r="AO400" s="8">
        <f t="shared" si="18"/>
        <v>2727.2999999999997</v>
      </c>
      <c r="AP400" s="8">
        <f t="shared" si="19"/>
        <v>3030.0302999999994</v>
      </c>
      <c r="AQ400" s="9">
        <f t="shared" si="20"/>
        <v>4417.9532699999991</v>
      </c>
    </row>
    <row r="401" spans="1:43" x14ac:dyDescent="0.25">
      <c r="A401">
        <v>17</v>
      </c>
      <c r="B401">
        <v>5</v>
      </c>
      <c r="C401">
        <v>2024</v>
      </c>
      <c r="D401" t="s">
        <v>43</v>
      </c>
      <c r="E401" t="s">
        <v>79</v>
      </c>
      <c r="F401" t="s">
        <v>80</v>
      </c>
      <c r="G401">
        <v>20</v>
      </c>
      <c r="H401">
        <v>1791882490001</v>
      </c>
      <c r="I401" t="s">
        <v>46</v>
      </c>
      <c r="J401" t="s">
        <v>553</v>
      </c>
      <c r="K401" t="s">
        <v>48</v>
      </c>
      <c r="L401" t="s">
        <v>49</v>
      </c>
      <c r="M401" t="s">
        <v>50</v>
      </c>
      <c r="N401" t="s">
        <v>51</v>
      </c>
      <c r="O401">
        <v>4016999000</v>
      </c>
      <c r="P401" t="s">
        <v>103</v>
      </c>
      <c r="Q401" t="s">
        <v>557</v>
      </c>
      <c r="R401" t="s">
        <v>54</v>
      </c>
      <c r="S401" t="s">
        <v>55</v>
      </c>
      <c r="T401">
        <v>6</v>
      </c>
      <c r="U401">
        <v>6</v>
      </c>
      <c r="V401" t="s">
        <v>135</v>
      </c>
      <c r="W401">
        <v>0</v>
      </c>
      <c r="X401">
        <v>91.51</v>
      </c>
      <c r="Y401">
        <v>8.83</v>
      </c>
      <c r="Z401">
        <v>0.61</v>
      </c>
      <c r="AA401">
        <v>100.95</v>
      </c>
      <c r="AB401" t="s">
        <v>57</v>
      </c>
      <c r="AC401" t="s">
        <v>81</v>
      </c>
      <c r="AD401" t="s">
        <v>48</v>
      </c>
      <c r="AE401">
        <v>0</v>
      </c>
      <c r="AF401">
        <v>6.49</v>
      </c>
      <c r="AG401" t="s">
        <v>82</v>
      </c>
      <c r="AH401">
        <v>471463</v>
      </c>
      <c r="AI401" t="s">
        <v>60</v>
      </c>
      <c r="AJ401" t="s">
        <v>60</v>
      </c>
      <c r="AK401" t="s">
        <v>54</v>
      </c>
      <c r="AL401">
        <v>2024</v>
      </c>
      <c r="AM401" s="6" t="s">
        <v>558</v>
      </c>
      <c r="AN401" s="7">
        <v>15.25</v>
      </c>
      <c r="AO401" s="8">
        <f t="shared" si="18"/>
        <v>28.59375</v>
      </c>
      <c r="AP401" s="8">
        <f t="shared" si="19"/>
        <v>31.767656249999998</v>
      </c>
      <c r="AQ401" s="9">
        <f t="shared" si="20"/>
        <v>46.319015624999999</v>
      </c>
    </row>
    <row r="402" spans="1:43" x14ac:dyDescent="0.25">
      <c r="A402">
        <v>3</v>
      </c>
      <c r="B402">
        <v>4</v>
      </c>
      <c r="C402">
        <v>2024</v>
      </c>
      <c r="D402" t="s">
        <v>43</v>
      </c>
      <c r="E402" t="s">
        <v>73</v>
      </c>
      <c r="F402" t="s">
        <v>74</v>
      </c>
      <c r="G402">
        <v>20</v>
      </c>
      <c r="H402">
        <v>1791882490001</v>
      </c>
      <c r="I402" t="s">
        <v>46</v>
      </c>
      <c r="J402" t="s">
        <v>259</v>
      </c>
      <c r="K402" t="s">
        <v>48</v>
      </c>
      <c r="L402" t="s">
        <v>49</v>
      </c>
      <c r="M402" t="s">
        <v>50</v>
      </c>
      <c r="N402" t="s">
        <v>51</v>
      </c>
      <c r="O402">
        <v>8481400090</v>
      </c>
      <c r="P402" t="s">
        <v>103</v>
      </c>
      <c r="Q402" t="s">
        <v>206</v>
      </c>
      <c r="R402" t="s">
        <v>54</v>
      </c>
      <c r="S402" t="s">
        <v>55</v>
      </c>
      <c r="T402">
        <v>6</v>
      </c>
      <c r="U402">
        <v>1</v>
      </c>
      <c r="V402" t="s">
        <v>135</v>
      </c>
      <c r="W402">
        <v>0</v>
      </c>
      <c r="X402">
        <v>145.93</v>
      </c>
      <c r="Y402">
        <v>17.05</v>
      </c>
      <c r="Z402">
        <v>0.95</v>
      </c>
      <c r="AA402">
        <v>163.93</v>
      </c>
      <c r="AB402" t="s">
        <v>57</v>
      </c>
      <c r="AC402" t="s">
        <v>58</v>
      </c>
      <c r="AD402" t="s">
        <v>48</v>
      </c>
      <c r="AE402">
        <v>0</v>
      </c>
      <c r="AF402">
        <v>1.33</v>
      </c>
      <c r="AG402" t="s">
        <v>59</v>
      </c>
      <c r="AH402">
        <v>438183</v>
      </c>
      <c r="AI402" t="s">
        <v>60</v>
      </c>
      <c r="AJ402" t="s">
        <v>60</v>
      </c>
      <c r="AK402" t="s">
        <v>54</v>
      </c>
      <c r="AL402">
        <v>2024</v>
      </c>
      <c r="AM402" s="6" t="s">
        <v>559</v>
      </c>
      <c r="AN402" s="7">
        <v>145.93</v>
      </c>
      <c r="AO402" s="8">
        <f t="shared" si="18"/>
        <v>273.61875000000003</v>
      </c>
      <c r="AP402" s="8">
        <f t="shared" si="19"/>
        <v>303.99043125000003</v>
      </c>
      <c r="AQ402" s="9">
        <f t="shared" si="20"/>
        <v>443.23501312500002</v>
      </c>
    </row>
    <row r="403" spans="1:43" x14ac:dyDescent="0.25">
      <c r="A403">
        <v>15</v>
      </c>
      <c r="B403">
        <v>4</v>
      </c>
      <c r="C403">
        <v>2024</v>
      </c>
      <c r="D403" t="s">
        <v>43</v>
      </c>
      <c r="E403" t="s">
        <v>63</v>
      </c>
      <c r="F403" t="s">
        <v>64</v>
      </c>
      <c r="G403">
        <v>28</v>
      </c>
      <c r="H403">
        <v>1791882490001</v>
      </c>
      <c r="I403" t="s">
        <v>46</v>
      </c>
      <c r="J403" t="s">
        <v>48</v>
      </c>
      <c r="K403" t="s">
        <v>48</v>
      </c>
      <c r="L403" t="s">
        <v>49</v>
      </c>
      <c r="M403" t="s">
        <v>50</v>
      </c>
      <c r="N403" t="s">
        <v>51</v>
      </c>
      <c r="O403">
        <v>8481400090</v>
      </c>
      <c r="P403" t="s">
        <v>103</v>
      </c>
      <c r="Q403" t="s">
        <v>208</v>
      </c>
      <c r="R403" t="s">
        <v>54</v>
      </c>
      <c r="S403" t="s">
        <v>55</v>
      </c>
      <c r="T403">
        <v>6</v>
      </c>
      <c r="U403">
        <v>1</v>
      </c>
      <c r="V403" t="s">
        <v>135</v>
      </c>
      <c r="W403">
        <v>0</v>
      </c>
      <c r="X403">
        <v>141.68</v>
      </c>
      <c r="Y403">
        <v>14.91</v>
      </c>
      <c r="Z403">
        <v>0.95</v>
      </c>
      <c r="AA403">
        <v>157.55000000000001</v>
      </c>
      <c r="AB403" t="s">
        <v>57</v>
      </c>
      <c r="AC403" t="s">
        <v>58</v>
      </c>
      <c r="AD403" t="s">
        <v>48</v>
      </c>
      <c r="AE403">
        <v>0</v>
      </c>
      <c r="AF403">
        <v>1.36</v>
      </c>
      <c r="AG403" t="s">
        <v>59</v>
      </c>
      <c r="AH403">
        <v>443965</v>
      </c>
      <c r="AI403" t="s">
        <v>60</v>
      </c>
      <c r="AJ403" t="s">
        <v>60</v>
      </c>
      <c r="AK403" t="s">
        <v>54</v>
      </c>
      <c r="AL403">
        <v>2024</v>
      </c>
      <c r="AM403" s="6" t="s">
        <v>559</v>
      </c>
      <c r="AN403" s="7">
        <v>141.68</v>
      </c>
      <c r="AO403" s="8">
        <f t="shared" si="18"/>
        <v>265.65000000000003</v>
      </c>
      <c r="AP403" s="8">
        <f t="shared" si="19"/>
        <v>295.13715000000002</v>
      </c>
      <c r="AQ403" s="9">
        <f t="shared" si="20"/>
        <v>430.326435</v>
      </c>
    </row>
    <row r="404" spans="1:43" x14ac:dyDescent="0.25">
      <c r="A404">
        <v>12</v>
      </c>
      <c r="B404">
        <v>6</v>
      </c>
      <c r="C404">
        <v>2024</v>
      </c>
      <c r="D404" t="s">
        <v>43</v>
      </c>
      <c r="E404" t="s">
        <v>96</v>
      </c>
      <c r="F404" t="s">
        <v>97</v>
      </c>
      <c r="G404">
        <v>26</v>
      </c>
      <c r="H404">
        <v>1791882490001</v>
      </c>
      <c r="I404" t="s">
        <v>46</v>
      </c>
      <c r="J404" t="s">
        <v>48</v>
      </c>
      <c r="K404" t="s">
        <v>48</v>
      </c>
      <c r="L404" t="s">
        <v>49</v>
      </c>
      <c r="M404" t="s">
        <v>50</v>
      </c>
      <c r="N404" t="s">
        <v>51</v>
      </c>
      <c r="O404">
        <v>8481400090</v>
      </c>
      <c r="P404" t="s">
        <v>103</v>
      </c>
      <c r="Q404" t="s">
        <v>206</v>
      </c>
      <c r="R404" t="s">
        <v>54</v>
      </c>
      <c r="S404" t="s">
        <v>55</v>
      </c>
      <c r="T404">
        <v>7</v>
      </c>
      <c r="U404">
        <v>1</v>
      </c>
      <c r="V404" t="s">
        <v>135</v>
      </c>
      <c r="W404">
        <v>0</v>
      </c>
      <c r="X404">
        <v>142.88</v>
      </c>
      <c r="Y404">
        <v>12.39</v>
      </c>
      <c r="Z404">
        <v>0.96</v>
      </c>
      <c r="AA404">
        <v>156.24</v>
      </c>
      <c r="AB404" t="s">
        <v>57</v>
      </c>
      <c r="AC404" t="s">
        <v>94</v>
      </c>
      <c r="AD404" t="s">
        <v>48</v>
      </c>
      <c r="AE404">
        <v>0</v>
      </c>
      <c r="AF404">
        <v>1.8</v>
      </c>
      <c r="AG404" t="s">
        <v>59</v>
      </c>
      <c r="AH404" t="s">
        <v>98</v>
      </c>
      <c r="AI404" t="s">
        <v>60</v>
      </c>
      <c r="AJ404" t="s">
        <v>60</v>
      </c>
      <c r="AK404" t="s">
        <v>54</v>
      </c>
      <c r="AL404">
        <v>2024</v>
      </c>
      <c r="AM404" s="6" t="s">
        <v>559</v>
      </c>
      <c r="AN404" s="7">
        <v>142.88</v>
      </c>
      <c r="AO404" s="8">
        <f t="shared" si="18"/>
        <v>267.89999999999998</v>
      </c>
      <c r="AP404" s="8">
        <f t="shared" si="19"/>
        <v>297.63689999999997</v>
      </c>
      <c r="AQ404" s="9">
        <f t="shared" si="20"/>
        <v>433.97120999999993</v>
      </c>
    </row>
    <row r="405" spans="1:43" x14ac:dyDescent="0.25">
      <c r="A405">
        <v>13</v>
      </c>
      <c r="B405">
        <v>3</v>
      </c>
      <c r="C405">
        <v>2024</v>
      </c>
      <c r="D405" t="s">
        <v>43</v>
      </c>
      <c r="E405" t="s">
        <v>69</v>
      </c>
      <c r="F405" t="s">
        <v>70</v>
      </c>
      <c r="G405">
        <v>19</v>
      </c>
      <c r="H405">
        <v>1791882490001</v>
      </c>
      <c r="I405" t="s">
        <v>46</v>
      </c>
      <c r="J405" t="s">
        <v>48</v>
      </c>
      <c r="K405" t="s">
        <v>48</v>
      </c>
      <c r="L405" t="s">
        <v>49</v>
      </c>
      <c r="M405" t="s">
        <v>50</v>
      </c>
      <c r="N405" t="s">
        <v>51</v>
      </c>
      <c r="O405">
        <v>7307990099</v>
      </c>
      <c r="P405" t="s">
        <v>66</v>
      </c>
      <c r="Q405" t="s">
        <v>164</v>
      </c>
      <c r="R405" t="s">
        <v>54</v>
      </c>
      <c r="S405" t="s">
        <v>55</v>
      </c>
      <c r="T405">
        <v>11</v>
      </c>
      <c r="U405">
        <v>1</v>
      </c>
      <c r="V405" t="s">
        <v>56</v>
      </c>
      <c r="W405">
        <v>0</v>
      </c>
      <c r="X405">
        <v>34.479999999999997</v>
      </c>
      <c r="Y405">
        <v>4.51</v>
      </c>
      <c r="Z405">
        <v>0.23</v>
      </c>
      <c r="AA405">
        <v>39.229999999999997</v>
      </c>
      <c r="AB405" t="s">
        <v>54</v>
      </c>
      <c r="AC405" t="s">
        <v>71</v>
      </c>
      <c r="AD405" t="s">
        <v>48</v>
      </c>
      <c r="AE405">
        <v>0</v>
      </c>
      <c r="AF405">
        <v>2.04</v>
      </c>
      <c r="AG405" t="s">
        <v>59</v>
      </c>
      <c r="AH405">
        <v>895279</v>
      </c>
      <c r="AI405" t="s">
        <v>60</v>
      </c>
      <c r="AJ405" t="s">
        <v>60</v>
      </c>
      <c r="AK405" t="s">
        <v>54</v>
      </c>
      <c r="AL405">
        <v>2024</v>
      </c>
      <c r="AM405" s="6" t="s">
        <v>560</v>
      </c>
      <c r="AN405" s="7">
        <v>34.479999999999997</v>
      </c>
      <c r="AO405" s="8">
        <f t="shared" si="18"/>
        <v>64.649999999999991</v>
      </c>
      <c r="AP405" s="8">
        <f t="shared" si="19"/>
        <v>71.826149999999984</v>
      </c>
      <c r="AQ405" s="9">
        <f t="shared" si="20"/>
        <v>104.72653499999998</v>
      </c>
    </row>
    <row r="406" spans="1:43" x14ac:dyDescent="0.25">
      <c r="A406">
        <v>16</v>
      </c>
      <c r="B406">
        <v>1</v>
      </c>
      <c r="C406">
        <v>2024</v>
      </c>
      <c r="D406" t="s">
        <v>43</v>
      </c>
      <c r="E406" t="s">
        <v>191</v>
      </c>
      <c r="F406" t="s">
        <v>192</v>
      </c>
      <c r="G406">
        <v>12</v>
      </c>
      <c r="H406">
        <v>1791882490001</v>
      </c>
      <c r="I406" t="s">
        <v>46</v>
      </c>
      <c r="J406" t="s">
        <v>166</v>
      </c>
      <c r="K406" t="s">
        <v>48</v>
      </c>
      <c r="L406" t="s">
        <v>49</v>
      </c>
      <c r="M406" t="s">
        <v>50</v>
      </c>
      <c r="N406" t="s">
        <v>51</v>
      </c>
      <c r="O406">
        <v>7318159000</v>
      </c>
      <c r="P406" t="s">
        <v>561</v>
      </c>
      <c r="Q406" t="s">
        <v>89</v>
      </c>
      <c r="R406" t="s">
        <v>54</v>
      </c>
      <c r="S406" t="s">
        <v>55</v>
      </c>
      <c r="T406">
        <v>11</v>
      </c>
      <c r="U406">
        <v>1</v>
      </c>
      <c r="V406" t="s">
        <v>56</v>
      </c>
      <c r="W406">
        <v>2.21</v>
      </c>
      <c r="X406">
        <v>49.05</v>
      </c>
      <c r="Y406">
        <v>3.22</v>
      </c>
      <c r="Z406">
        <v>0.32</v>
      </c>
      <c r="AA406">
        <v>52.58</v>
      </c>
      <c r="AB406" t="s">
        <v>57</v>
      </c>
      <c r="AC406" t="s">
        <v>81</v>
      </c>
      <c r="AD406" t="s">
        <v>48</v>
      </c>
      <c r="AE406">
        <v>0</v>
      </c>
      <c r="AF406">
        <v>2.86</v>
      </c>
      <c r="AG406" t="s">
        <v>59</v>
      </c>
      <c r="AH406">
        <v>850332</v>
      </c>
      <c r="AI406" t="s">
        <v>60</v>
      </c>
      <c r="AJ406" t="s">
        <v>60</v>
      </c>
      <c r="AK406" t="s">
        <v>54</v>
      </c>
      <c r="AL406">
        <v>2023</v>
      </c>
      <c r="AM406" s="6" t="s">
        <v>562</v>
      </c>
      <c r="AN406" s="7">
        <v>49.05</v>
      </c>
      <c r="AO406" s="8">
        <f t="shared" si="18"/>
        <v>91.96875</v>
      </c>
      <c r="AP406" s="8">
        <f t="shared" si="19"/>
        <v>102.17728124999999</v>
      </c>
      <c r="AQ406" s="9">
        <f t="shared" si="20"/>
        <v>148.98017812499998</v>
      </c>
    </row>
    <row r="407" spans="1:43" x14ac:dyDescent="0.25">
      <c r="A407">
        <v>16</v>
      </c>
      <c r="B407">
        <v>1</v>
      </c>
      <c r="C407">
        <v>2024</v>
      </c>
      <c r="D407" t="s">
        <v>43</v>
      </c>
      <c r="E407" t="s">
        <v>191</v>
      </c>
      <c r="F407" t="s">
        <v>192</v>
      </c>
      <c r="G407">
        <v>13</v>
      </c>
      <c r="H407">
        <v>1791882490001</v>
      </c>
      <c r="I407" t="s">
        <v>46</v>
      </c>
      <c r="J407" t="s">
        <v>343</v>
      </c>
      <c r="K407" t="s">
        <v>48</v>
      </c>
      <c r="L407" t="s">
        <v>49</v>
      </c>
      <c r="M407" t="s">
        <v>50</v>
      </c>
      <c r="N407" t="s">
        <v>51</v>
      </c>
      <c r="O407">
        <v>7318220000</v>
      </c>
      <c r="P407" t="s">
        <v>563</v>
      </c>
      <c r="Q407" t="s">
        <v>110</v>
      </c>
      <c r="R407" t="s">
        <v>54</v>
      </c>
      <c r="S407" t="s">
        <v>55</v>
      </c>
      <c r="T407">
        <v>11</v>
      </c>
      <c r="U407">
        <v>1</v>
      </c>
      <c r="V407" t="s">
        <v>56</v>
      </c>
      <c r="W407">
        <v>1.46</v>
      </c>
      <c r="X407">
        <v>32.340000000000003</v>
      </c>
      <c r="Y407">
        <v>2.12</v>
      </c>
      <c r="Z407">
        <v>0.21</v>
      </c>
      <c r="AA407">
        <v>34.67</v>
      </c>
      <c r="AB407" t="s">
        <v>57</v>
      </c>
      <c r="AC407" t="s">
        <v>81</v>
      </c>
      <c r="AD407" t="s">
        <v>48</v>
      </c>
      <c r="AE407">
        <v>0</v>
      </c>
      <c r="AF407">
        <v>2.86</v>
      </c>
      <c r="AG407" t="s">
        <v>59</v>
      </c>
      <c r="AH407">
        <v>850332</v>
      </c>
      <c r="AI407" t="s">
        <v>60</v>
      </c>
      <c r="AJ407" t="s">
        <v>60</v>
      </c>
      <c r="AK407" t="s">
        <v>54</v>
      </c>
      <c r="AL407">
        <v>2023</v>
      </c>
      <c r="AM407" s="6" t="s">
        <v>564</v>
      </c>
      <c r="AN407" s="7">
        <v>32.340000000000003</v>
      </c>
      <c r="AO407" s="8">
        <f t="shared" si="18"/>
        <v>60.637500000000003</v>
      </c>
      <c r="AP407" s="8">
        <f t="shared" si="19"/>
        <v>67.3682625</v>
      </c>
      <c r="AQ407" s="9">
        <f t="shared" si="20"/>
        <v>98.22668625</v>
      </c>
    </row>
    <row r="408" spans="1:43" x14ac:dyDescent="0.25">
      <c r="A408">
        <v>3</v>
      </c>
      <c r="B408">
        <v>4</v>
      </c>
      <c r="C408">
        <v>2024</v>
      </c>
      <c r="D408" t="s">
        <v>43</v>
      </c>
      <c r="E408" t="s">
        <v>73</v>
      </c>
      <c r="F408" t="s">
        <v>74</v>
      </c>
      <c r="G408">
        <v>21</v>
      </c>
      <c r="H408">
        <v>1791882490001</v>
      </c>
      <c r="I408" t="s">
        <v>46</v>
      </c>
      <c r="J408" t="s">
        <v>65</v>
      </c>
      <c r="K408" t="s">
        <v>48</v>
      </c>
      <c r="L408" t="s">
        <v>49</v>
      </c>
      <c r="M408" t="s">
        <v>50</v>
      </c>
      <c r="N408" t="s">
        <v>51</v>
      </c>
      <c r="O408">
        <v>4009320000</v>
      </c>
      <c r="P408" t="s">
        <v>142</v>
      </c>
      <c r="Q408" t="s">
        <v>67</v>
      </c>
      <c r="R408" t="s">
        <v>54</v>
      </c>
      <c r="S408" t="s">
        <v>55</v>
      </c>
      <c r="T408">
        <v>6</v>
      </c>
      <c r="U408">
        <v>2</v>
      </c>
      <c r="V408" t="s">
        <v>56</v>
      </c>
      <c r="W408">
        <v>0</v>
      </c>
      <c r="X408">
        <v>158.46</v>
      </c>
      <c r="Y408">
        <v>18.510000000000002</v>
      </c>
      <c r="Z408">
        <v>1.04</v>
      </c>
      <c r="AA408">
        <v>178</v>
      </c>
      <c r="AB408" t="s">
        <v>57</v>
      </c>
      <c r="AC408" t="s">
        <v>58</v>
      </c>
      <c r="AD408" t="s">
        <v>48</v>
      </c>
      <c r="AE408">
        <v>0</v>
      </c>
      <c r="AF408">
        <v>2.67</v>
      </c>
      <c r="AG408" t="s">
        <v>59</v>
      </c>
      <c r="AH408">
        <v>438183</v>
      </c>
      <c r="AI408" t="s">
        <v>60</v>
      </c>
      <c r="AJ408" t="s">
        <v>60</v>
      </c>
      <c r="AK408" t="s">
        <v>54</v>
      </c>
      <c r="AL408">
        <v>2024</v>
      </c>
      <c r="AM408" s="6" t="s">
        <v>565</v>
      </c>
      <c r="AN408" s="7">
        <v>79.23</v>
      </c>
      <c r="AO408" s="8">
        <f t="shared" si="18"/>
        <v>148.55625000000001</v>
      </c>
      <c r="AP408" s="8">
        <f t="shared" si="19"/>
        <v>165.04599375000001</v>
      </c>
      <c r="AQ408" s="9">
        <f t="shared" si="20"/>
        <v>240.646269375</v>
      </c>
    </row>
    <row r="409" spans="1:43" x14ac:dyDescent="0.25">
      <c r="A409">
        <v>3</v>
      </c>
      <c r="B409">
        <v>4</v>
      </c>
      <c r="C409">
        <v>2024</v>
      </c>
      <c r="D409" t="s">
        <v>43</v>
      </c>
      <c r="E409" t="s">
        <v>73</v>
      </c>
      <c r="F409" t="s">
        <v>74</v>
      </c>
      <c r="G409">
        <v>22</v>
      </c>
      <c r="H409">
        <v>1791882490001</v>
      </c>
      <c r="I409" t="s">
        <v>46</v>
      </c>
      <c r="J409" t="s">
        <v>65</v>
      </c>
      <c r="K409" t="s">
        <v>48</v>
      </c>
      <c r="L409" t="s">
        <v>49</v>
      </c>
      <c r="M409" t="s">
        <v>50</v>
      </c>
      <c r="N409" t="s">
        <v>51</v>
      </c>
      <c r="O409">
        <v>4009320000</v>
      </c>
      <c r="P409" t="s">
        <v>142</v>
      </c>
      <c r="Q409" t="s">
        <v>67</v>
      </c>
      <c r="R409" t="s">
        <v>54</v>
      </c>
      <c r="S409" t="s">
        <v>55</v>
      </c>
      <c r="T409">
        <v>6</v>
      </c>
      <c r="U409">
        <v>1</v>
      </c>
      <c r="V409" t="s">
        <v>56</v>
      </c>
      <c r="W409">
        <v>0</v>
      </c>
      <c r="X409">
        <v>159.26</v>
      </c>
      <c r="Y409">
        <v>18.600000000000001</v>
      </c>
      <c r="Z409">
        <v>1.04</v>
      </c>
      <c r="AA409">
        <v>178.91</v>
      </c>
      <c r="AB409" t="s">
        <v>57</v>
      </c>
      <c r="AC409" t="s">
        <v>58</v>
      </c>
      <c r="AD409" t="s">
        <v>48</v>
      </c>
      <c r="AE409">
        <v>0</v>
      </c>
      <c r="AF409">
        <v>1.33</v>
      </c>
      <c r="AG409" t="s">
        <v>59</v>
      </c>
      <c r="AH409">
        <v>438183</v>
      </c>
      <c r="AI409" t="s">
        <v>60</v>
      </c>
      <c r="AJ409" t="s">
        <v>60</v>
      </c>
      <c r="AK409" t="s">
        <v>54</v>
      </c>
      <c r="AL409">
        <v>2024</v>
      </c>
      <c r="AM409" s="6" t="s">
        <v>566</v>
      </c>
      <c r="AN409" s="7">
        <v>159.26</v>
      </c>
      <c r="AO409" s="8">
        <f t="shared" si="18"/>
        <v>298.61249999999995</v>
      </c>
      <c r="AP409" s="8">
        <f t="shared" si="19"/>
        <v>331.75848749999994</v>
      </c>
      <c r="AQ409" s="9">
        <f t="shared" si="20"/>
        <v>483.72238874999988</v>
      </c>
    </row>
    <row r="410" spans="1:43" x14ac:dyDescent="0.25">
      <c r="A410">
        <v>17</v>
      </c>
      <c r="B410">
        <v>5</v>
      </c>
      <c r="C410">
        <v>2024</v>
      </c>
      <c r="D410" t="s">
        <v>43</v>
      </c>
      <c r="E410" t="s">
        <v>79</v>
      </c>
      <c r="F410" t="s">
        <v>80</v>
      </c>
      <c r="G410">
        <v>18</v>
      </c>
      <c r="H410">
        <v>1791882490001</v>
      </c>
      <c r="I410" t="s">
        <v>46</v>
      </c>
      <c r="J410" t="s">
        <v>65</v>
      </c>
      <c r="K410" t="s">
        <v>48</v>
      </c>
      <c r="L410" t="s">
        <v>49</v>
      </c>
      <c r="M410" t="s">
        <v>50</v>
      </c>
      <c r="N410" t="s">
        <v>51</v>
      </c>
      <c r="O410">
        <v>4009220000</v>
      </c>
      <c r="P410" t="s">
        <v>142</v>
      </c>
      <c r="Q410" t="s">
        <v>67</v>
      </c>
      <c r="R410" t="s">
        <v>54</v>
      </c>
      <c r="S410" t="s">
        <v>55</v>
      </c>
      <c r="T410">
        <v>6</v>
      </c>
      <c r="U410">
        <v>1</v>
      </c>
      <c r="V410" t="s">
        <v>56</v>
      </c>
      <c r="W410">
        <v>0</v>
      </c>
      <c r="X410">
        <v>183.54</v>
      </c>
      <c r="Y410">
        <v>17.72</v>
      </c>
      <c r="Z410">
        <v>1.22</v>
      </c>
      <c r="AA410">
        <v>202.48</v>
      </c>
      <c r="AB410" t="s">
        <v>57</v>
      </c>
      <c r="AC410" t="s">
        <v>81</v>
      </c>
      <c r="AD410" t="s">
        <v>48</v>
      </c>
      <c r="AE410">
        <v>0</v>
      </c>
      <c r="AF410">
        <v>1.08</v>
      </c>
      <c r="AG410" t="s">
        <v>82</v>
      </c>
      <c r="AH410">
        <v>471463</v>
      </c>
      <c r="AI410" t="s">
        <v>60</v>
      </c>
      <c r="AJ410" t="s">
        <v>60</v>
      </c>
      <c r="AK410" t="s">
        <v>54</v>
      </c>
      <c r="AL410">
        <v>2024</v>
      </c>
      <c r="AM410" s="6" t="s">
        <v>567</v>
      </c>
      <c r="AN410" s="7">
        <v>183.54</v>
      </c>
      <c r="AO410" s="8">
        <f t="shared" ref="AO410:AO473" si="21">SUM(AN410)*1.875</f>
        <v>344.13749999999999</v>
      </c>
      <c r="AP410" s="8">
        <f t="shared" ref="AP410:AP473" si="22">SUM(AO410)*1.111</f>
        <v>382.33676249999996</v>
      </c>
      <c r="AQ410" s="9">
        <f t="shared" si="20"/>
        <v>557.46833624999999</v>
      </c>
    </row>
    <row r="411" spans="1:43" x14ac:dyDescent="0.25">
      <c r="A411">
        <v>19</v>
      </c>
      <c r="B411">
        <v>8</v>
      </c>
      <c r="C411">
        <v>2024</v>
      </c>
      <c r="D411" t="s">
        <v>43</v>
      </c>
      <c r="E411" t="s">
        <v>84</v>
      </c>
      <c r="F411" t="s">
        <v>85</v>
      </c>
      <c r="G411">
        <v>23</v>
      </c>
      <c r="H411">
        <v>1791882490001</v>
      </c>
      <c r="I411" t="s">
        <v>46</v>
      </c>
      <c r="J411" t="s">
        <v>166</v>
      </c>
      <c r="K411" t="s">
        <v>48</v>
      </c>
      <c r="L411" t="s">
        <v>49</v>
      </c>
      <c r="M411" t="s">
        <v>50</v>
      </c>
      <c r="N411" t="s">
        <v>51</v>
      </c>
      <c r="O411">
        <v>8481100000</v>
      </c>
      <c r="P411" t="s">
        <v>568</v>
      </c>
      <c r="Q411" t="s">
        <v>569</v>
      </c>
      <c r="R411" t="s">
        <v>54</v>
      </c>
      <c r="S411" t="s">
        <v>55</v>
      </c>
      <c r="T411">
        <v>6</v>
      </c>
      <c r="U411">
        <v>2</v>
      </c>
      <c r="V411" t="s">
        <v>135</v>
      </c>
      <c r="W411">
        <v>0</v>
      </c>
      <c r="X411">
        <v>438.7</v>
      </c>
      <c r="Y411">
        <v>56.61</v>
      </c>
      <c r="Z411">
        <v>3</v>
      </c>
      <c r="AA411">
        <v>498.31</v>
      </c>
      <c r="AB411" t="s">
        <v>57</v>
      </c>
      <c r="AC411" t="s">
        <v>58</v>
      </c>
      <c r="AD411" t="s">
        <v>48</v>
      </c>
      <c r="AE411">
        <v>0</v>
      </c>
      <c r="AF411">
        <v>2.79</v>
      </c>
      <c r="AG411" t="s">
        <v>59</v>
      </c>
      <c r="AH411">
        <v>144527</v>
      </c>
      <c r="AI411" t="s">
        <v>60</v>
      </c>
      <c r="AJ411" t="s">
        <v>60</v>
      </c>
      <c r="AK411" t="s">
        <v>54</v>
      </c>
      <c r="AL411">
        <v>2024</v>
      </c>
      <c r="AM411" s="6" t="s">
        <v>570</v>
      </c>
      <c r="AN411" s="7">
        <v>219.35</v>
      </c>
      <c r="AO411" s="8">
        <f t="shared" si="21"/>
        <v>411.28125</v>
      </c>
      <c r="AP411" s="8">
        <f t="shared" si="22"/>
        <v>456.93346874999997</v>
      </c>
      <c r="AQ411" s="9">
        <f t="shared" si="20"/>
        <v>666.23449687499999</v>
      </c>
    </row>
    <row r="412" spans="1:43" x14ac:dyDescent="0.25">
      <c r="A412">
        <v>8</v>
      </c>
      <c r="B412">
        <v>7</v>
      </c>
      <c r="C412">
        <v>2024</v>
      </c>
      <c r="D412" t="s">
        <v>43</v>
      </c>
      <c r="E412" t="s">
        <v>75</v>
      </c>
      <c r="F412" t="s">
        <v>76</v>
      </c>
      <c r="G412">
        <v>4</v>
      </c>
      <c r="H412">
        <v>1791882490001</v>
      </c>
      <c r="I412" t="s">
        <v>46</v>
      </c>
      <c r="J412" t="s">
        <v>133</v>
      </c>
      <c r="K412" t="s">
        <v>48</v>
      </c>
      <c r="L412" t="s">
        <v>49</v>
      </c>
      <c r="M412" t="s">
        <v>50</v>
      </c>
      <c r="N412" t="s">
        <v>51</v>
      </c>
      <c r="O412">
        <v>9032100000</v>
      </c>
      <c r="P412" t="s">
        <v>571</v>
      </c>
      <c r="Q412" t="s">
        <v>572</v>
      </c>
      <c r="R412" t="s">
        <v>54</v>
      </c>
      <c r="S412" t="s">
        <v>55</v>
      </c>
      <c r="T412">
        <v>8</v>
      </c>
      <c r="U412">
        <v>1</v>
      </c>
      <c r="V412" t="s">
        <v>135</v>
      </c>
      <c r="W412">
        <v>0</v>
      </c>
      <c r="X412">
        <v>225.91</v>
      </c>
      <c r="Y412">
        <v>19.29</v>
      </c>
      <c r="Z412">
        <v>1.47</v>
      </c>
      <c r="AA412">
        <v>246.67</v>
      </c>
      <c r="AB412" t="s">
        <v>57</v>
      </c>
      <c r="AC412" t="s">
        <v>77</v>
      </c>
      <c r="AD412" t="s">
        <v>48</v>
      </c>
      <c r="AE412">
        <v>0</v>
      </c>
      <c r="AF412">
        <v>1.5</v>
      </c>
      <c r="AG412" t="s">
        <v>59</v>
      </c>
      <c r="AH412">
        <v>107711</v>
      </c>
      <c r="AI412" t="s">
        <v>60</v>
      </c>
      <c r="AJ412" t="s">
        <v>78</v>
      </c>
      <c r="AK412" t="s">
        <v>54</v>
      </c>
      <c r="AL412">
        <v>2024</v>
      </c>
      <c r="AM412" s="6" t="s">
        <v>573</v>
      </c>
      <c r="AN412" s="7">
        <v>225.91</v>
      </c>
      <c r="AO412" s="8">
        <f t="shared" si="21"/>
        <v>423.58125000000001</v>
      </c>
      <c r="AP412" s="8">
        <f t="shared" si="22"/>
        <v>470.59876875000003</v>
      </c>
      <c r="AQ412" s="9">
        <f t="shared" si="20"/>
        <v>686.15926687499996</v>
      </c>
    </row>
    <row r="413" spans="1:43" x14ac:dyDescent="0.25">
      <c r="A413">
        <v>8</v>
      </c>
      <c r="B413">
        <v>7</v>
      </c>
      <c r="C413">
        <v>2024</v>
      </c>
      <c r="D413" t="s">
        <v>43</v>
      </c>
      <c r="E413" t="s">
        <v>75</v>
      </c>
      <c r="F413" t="s">
        <v>76</v>
      </c>
      <c r="G413">
        <v>4</v>
      </c>
      <c r="H413">
        <v>1791882490001</v>
      </c>
      <c r="I413" t="s">
        <v>46</v>
      </c>
      <c r="J413" t="s">
        <v>133</v>
      </c>
      <c r="K413" t="s">
        <v>48</v>
      </c>
      <c r="L413" t="s">
        <v>49</v>
      </c>
      <c r="M413" t="s">
        <v>50</v>
      </c>
      <c r="N413" t="s">
        <v>51</v>
      </c>
      <c r="O413">
        <v>9032100000</v>
      </c>
      <c r="P413" t="s">
        <v>571</v>
      </c>
      <c r="Q413" t="s">
        <v>572</v>
      </c>
      <c r="R413" t="s">
        <v>54</v>
      </c>
      <c r="S413" t="s">
        <v>55</v>
      </c>
      <c r="T413">
        <v>8</v>
      </c>
      <c r="U413">
        <v>1</v>
      </c>
      <c r="V413" t="s">
        <v>135</v>
      </c>
      <c r="W413">
        <v>0</v>
      </c>
      <c r="X413">
        <v>225.91</v>
      </c>
      <c r="Y413">
        <v>19.29</v>
      </c>
      <c r="Z413">
        <v>1.47</v>
      </c>
      <c r="AA413">
        <v>246.67</v>
      </c>
      <c r="AB413" t="s">
        <v>57</v>
      </c>
      <c r="AC413" t="s">
        <v>77</v>
      </c>
      <c r="AD413" t="s">
        <v>48</v>
      </c>
      <c r="AE413">
        <v>0</v>
      </c>
      <c r="AF413">
        <v>1.5</v>
      </c>
      <c r="AG413" t="s">
        <v>59</v>
      </c>
      <c r="AH413">
        <v>107711</v>
      </c>
      <c r="AI413" t="s">
        <v>60</v>
      </c>
      <c r="AJ413" t="s">
        <v>78</v>
      </c>
      <c r="AK413" t="s">
        <v>54</v>
      </c>
      <c r="AL413">
        <v>2024</v>
      </c>
      <c r="AM413" s="6" t="s">
        <v>573</v>
      </c>
      <c r="AN413" s="7">
        <v>225.91</v>
      </c>
      <c r="AO413" s="8">
        <f t="shared" si="21"/>
        <v>423.58125000000001</v>
      </c>
      <c r="AP413" s="8">
        <f t="shared" si="22"/>
        <v>470.59876875000003</v>
      </c>
      <c r="AQ413" s="9">
        <f t="shared" si="20"/>
        <v>686.15926687499996</v>
      </c>
    </row>
    <row r="414" spans="1:43" x14ac:dyDescent="0.25">
      <c r="A414">
        <v>26</v>
      </c>
      <c r="B414">
        <v>12</v>
      </c>
      <c r="C414">
        <v>2024</v>
      </c>
      <c r="D414" t="s">
        <v>43</v>
      </c>
      <c r="E414" t="s">
        <v>222</v>
      </c>
      <c r="F414" t="s">
        <v>223</v>
      </c>
      <c r="G414">
        <v>19</v>
      </c>
      <c r="H414">
        <v>1791882490001</v>
      </c>
      <c r="I414" t="s">
        <v>46</v>
      </c>
      <c r="J414" t="s">
        <v>343</v>
      </c>
      <c r="K414" t="s">
        <v>48</v>
      </c>
      <c r="L414" t="s">
        <v>49</v>
      </c>
      <c r="M414" t="s">
        <v>50</v>
      </c>
      <c r="N414" t="s">
        <v>224</v>
      </c>
      <c r="O414">
        <v>8544429000</v>
      </c>
      <c r="P414" t="s">
        <v>333</v>
      </c>
      <c r="Q414" t="s">
        <v>331</v>
      </c>
      <c r="R414" t="s">
        <v>54</v>
      </c>
      <c r="S414" t="s">
        <v>55</v>
      </c>
      <c r="T414">
        <v>8</v>
      </c>
      <c r="U414">
        <v>2</v>
      </c>
      <c r="V414" t="s">
        <v>56</v>
      </c>
      <c r="W414">
        <v>17.66</v>
      </c>
      <c r="X414">
        <v>96.75</v>
      </c>
      <c r="Y414">
        <v>20.04</v>
      </c>
      <c r="Z414">
        <v>0.97</v>
      </c>
      <c r="AA414">
        <v>117.75</v>
      </c>
      <c r="AB414" t="s">
        <v>57</v>
      </c>
      <c r="AC414" t="s">
        <v>225</v>
      </c>
      <c r="AD414" t="s">
        <v>48</v>
      </c>
      <c r="AE414">
        <v>0</v>
      </c>
      <c r="AF414">
        <v>4.12</v>
      </c>
      <c r="AG414" t="s">
        <v>59</v>
      </c>
      <c r="AH414">
        <v>341996</v>
      </c>
      <c r="AI414" t="s">
        <v>60</v>
      </c>
      <c r="AJ414" t="s">
        <v>60</v>
      </c>
      <c r="AK414" t="s">
        <v>54</v>
      </c>
      <c r="AL414">
        <v>2024</v>
      </c>
      <c r="AM414" s="6" t="s">
        <v>574</v>
      </c>
      <c r="AN414" s="7">
        <v>48.37</v>
      </c>
      <c r="AO414" s="8">
        <f t="shared" si="21"/>
        <v>90.693749999999994</v>
      </c>
      <c r="AP414" s="8">
        <f t="shared" si="22"/>
        <v>100.76075624999999</v>
      </c>
      <c r="AQ414" s="9">
        <f t="shared" si="20"/>
        <v>146.91480562499999</v>
      </c>
    </row>
    <row r="415" spans="1:43" x14ac:dyDescent="0.25">
      <c r="A415">
        <v>3</v>
      </c>
      <c r="B415">
        <v>4</v>
      </c>
      <c r="C415">
        <v>2024</v>
      </c>
      <c r="D415" t="s">
        <v>43</v>
      </c>
      <c r="E415" t="s">
        <v>73</v>
      </c>
      <c r="F415" t="s">
        <v>74</v>
      </c>
      <c r="G415">
        <v>23</v>
      </c>
      <c r="H415">
        <v>1791882490001</v>
      </c>
      <c r="I415" t="s">
        <v>46</v>
      </c>
      <c r="J415" t="s">
        <v>48</v>
      </c>
      <c r="K415" t="s">
        <v>48</v>
      </c>
      <c r="L415" t="s">
        <v>49</v>
      </c>
      <c r="M415" t="s">
        <v>50</v>
      </c>
      <c r="N415" t="s">
        <v>51</v>
      </c>
      <c r="O415">
        <v>8481909090</v>
      </c>
      <c r="P415" t="s">
        <v>103</v>
      </c>
      <c r="Q415" t="s">
        <v>575</v>
      </c>
      <c r="R415" t="s">
        <v>54</v>
      </c>
      <c r="S415" t="s">
        <v>55</v>
      </c>
      <c r="T415">
        <v>6</v>
      </c>
      <c r="U415">
        <v>2</v>
      </c>
      <c r="V415" t="s">
        <v>135</v>
      </c>
      <c r="W415">
        <v>0</v>
      </c>
      <c r="X415">
        <v>634.47</v>
      </c>
      <c r="Y415">
        <v>74.11</v>
      </c>
      <c r="Z415">
        <v>4.1500000000000004</v>
      </c>
      <c r="AA415">
        <v>712.73</v>
      </c>
      <c r="AB415" t="s">
        <v>57</v>
      </c>
      <c r="AC415" t="s">
        <v>58</v>
      </c>
      <c r="AD415" t="s">
        <v>48</v>
      </c>
      <c r="AE415">
        <v>0</v>
      </c>
      <c r="AF415">
        <v>2.67</v>
      </c>
      <c r="AG415" t="s">
        <v>59</v>
      </c>
      <c r="AH415">
        <v>438183</v>
      </c>
      <c r="AI415" t="s">
        <v>60</v>
      </c>
      <c r="AJ415" t="s">
        <v>60</v>
      </c>
      <c r="AK415" t="s">
        <v>54</v>
      </c>
      <c r="AL415">
        <v>2024</v>
      </c>
      <c r="AM415" s="6" t="s">
        <v>576</v>
      </c>
      <c r="AN415" s="7">
        <v>317.24</v>
      </c>
      <c r="AO415" s="8">
        <f t="shared" si="21"/>
        <v>594.82500000000005</v>
      </c>
      <c r="AP415" s="8">
        <f t="shared" si="22"/>
        <v>660.85057500000005</v>
      </c>
      <c r="AQ415" s="9">
        <f t="shared" si="20"/>
        <v>963.55701750000003</v>
      </c>
    </row>
    <row r="416" spans="1:43" x14ac:dyDescent="0.25">
      <c r="A416">
        <v>8</v>
      </c>
      <c r="B416">
        <v>7</v>
      </c>
      <c r="C416">
        <v>2024</v>
      </c>
      <c r="D416" t="s">
        <v>43</v>
      </c>
      <c r="E416" t="s">
        <v>75</v>
      </c>
      <c r="F416" t="s">
        <v>76</v>
      </c>
      <c r="G416">
        <v>27</v>
      </c>
      <c r="H416">
        <v>1791882490001</v>
      </c>
      <c r="I416" t="s">
        <v>46</v>
      </c>
      <c r="J416" t="s">
        <v>48</v>
      </c>
      <c r="K416" t="s">
        <v>48</v>
      </c>
      <c r="L416" t="s">
        <v>49</v>
      </c>
      <c r="M416" t="s">
        <v>50</v>
      </c>
      <c r="N416" t="s">
        <v>51</v>
      </c>
      <c r="O416">
        <v>8421999000</v>
      </c>
      <c r="P416" t="s">
        <v>66</v>
      </c>
      <c r="Q416" t="s">
        <v>577</v>
      </c>
      <c r="R416" t="s">
        <v>54</v>
      </c>
      <c r="S416" t="s">
        <v>55</v>
      </c>
      <c r="T416">
        <v>8</v>
      </c>
      <c r="U416">
        <v>1</v>
      </c>
      <c r="V416" t="s">
        <v>135</v>
      </c>
      <c r="W416">
        <v>0</v>
      </c>
      <c r="X416">
        <v>83.16</v>
      </c>
      <c r="Y416">
        <v>7.1</v>
      </c>
      <c r="Z416">
        <v>0.54</v>
      </c>
      <c r="AA416">
        <v>90.8</v>
      </c>
      <c r="AB416" t="s">
        <v>57</v>
      </c>
      <c r="AC416" t="s">
        <v>77</v>
      </c>
      <c r="AD416" t="s">
        <v>48</v>
      </c>
      <c r="AE416">
        <v>0</v>
      </c>
      <c r="AF416">
        <v>0.55000000000000004</v>
      </c>
      <c r="AG416" t="s">
        <v>59</v>
      </c>
      <c r="AH416">
        <v>107711</v>
      </c>
      <c r="AI416" t="s">
        <v>60</v>
      </c>
      <c r="AJ416" t="s">
        <v>78</v>
      </c>
      <c r="AK416" t="s">
        <v>54</v>
      </c>
      <c r="AL416">
        <v>2024</v>
      </c>
      <c r="AM416" s="6" t="s">
        <v>578</v>
      </c>
      <c r="AN416" s="7">
        <v>83.16</v>
      </c>
      <c r="AO416" s="8">
        <f t="shared" si="21"/>
        <v>155.92499999999998</v>
      </c>
      <c r="AP416" s="8">
        <f t="shared" si="22"/>
        <v>173.23267499999997</v>
      </c>
      <c r="AQ416" s="9">
        <f t="shared" si="20"/>
        <v>252.58290749999995</v>
      </c>
    </row>
    <row r="417" spans="1:43" x14ac:dyDescent="0.25">
      <c r="A417">
        <v>8</v>
      </c>
      <c r="B417">
        <v>7</v>
      </c>
      <c r="C417">
        <v>2024</v>
      </c>
      <c r="D417" t="s">
        <v>43</v>
      </c>
      <c r="E417" t="s">
        <v>75</v>
      </c>
      <c r="F417" t="s">
        <v>76</v>
      </c>
      <c r="G417">
        <v>27</v>
      </c>
      <c r="H417">
        <v>1791882490001</v>
      </c>
      <c r="I417" t="s">
        <v>46</v>
      </c>
      <c r="J417" t="s">
        <v>48</v>
      </c>
      <c r="K417" t="s">
        <v>48</v>
      </c>
      <c r="L417" t="s">
        <v>49</v>
      </c>
      <c r="M417" t="s">
        <v>50</v>
      </c>
      <c r="N417" t="s">
        <v>51</v>
      </c>
      <c r="O417">
        <v>8421999000</v>
      </c>
      <c r="P417" t="s">
        <v>66</v>
      </c>
      <c r="Q417" t="s">
        <v>577</v>
      </c>
      <c r="R417" t="s">
        <v>54</v>
      </c>
      <c r="S417" t="s">
        <v>55</v>
      </c>
      <c r="T417">
        <v>8</v>
      </c>
      <c r="U417">
        <v>1</v>
      </c>
      <c r="V417" t="s">
        <v>135</v>
      </c>
      <c r="W417">
        <v>0</v>
      </c>
      <c r="X417">
        <v>83.16</v>
      </c>
      <c r="Y417">
        <v>7.1</v>
      </c>
      <c r="Z417">
        <v>0.54</v>
      </c>
      <c r="AA417">
        <v>90.8</v>
      </c>
      <c r="AB417" t="s">
        <v>57</v>
      </c>
      <c r="AC417" t="s">
        <v>77</v>
      </c>
      <c r="AD417" t="s">
        <v>48</v>
      </c>
      <c r="AE417">
        <v>0</v>
      </c>
      <c r="AF417">
        <v>0.55000000000000004</v>
      </c>
      <c r="AG417" t="s">
        <v>59</v>
      </c>
      <c r="AH417">
        <v>107711</v>
      </c>
      <c r="AI417" t="s">
        <v>60</v>
      </c>
      <c r="AJ417" t="s">
        <v>78</v>
      </c>
      <c r="AK417" t="s">
        <v>54</v>
      </c>
      <c r="AL417">
        <v>2024</v>
      </c>
      <c r="AM417" s="6" t="s">
        <v>578</v>
      </c>
      <c r="AN417" s="7">
        <v>83.16</v>
      </c>
      <c r="AO417" s="8">
        <f t="shared" si="21"/>
        <v>155.92499999999998</v>
      </c>
      <c r="AP417" s="8">
        <f t="shared" si="22"/>
        <v>173.23267499999997</v>
      </c>
      <c r="AQ417" s="9">
        <f t="shared" si="20"/>
        <v>252.58290749999995</v>
      </c>
    </row>
    <row r="418" spans="1:43" x14ac:dyDescent="0.25">
      <c r="A418">
        <v>8</v>
      </c>
      <c r="B418">
        <v>7</v>
      </c>
      <c r="C418">
        <v>2024</v>
      </c>
      <c r="D418" t="s">
        <v>43</v>
      </c>
      <c r="E418" t="s">
        <v>75</v>
      </c>
      <c r="F418" t="s">
        <v>76</v>
      </c>
      <c r="G418">
        <v>28</v>
      </c>
      <c r="H418">
        <v>1791882490001</v>
      </c>
      <c r="I418" t="s">
        <v>46</v>
      </c>
      <c r="J418" t="s">
        <v>48</v>
      </c>
      <c r="K418" t="s">
        <v>48</v>
      </c>
      <c r="L418" t="s">
        <v>49</v>
      </c>
      <c r="M418" t="s">
        <v>50</v>
      </c>
      <c r="N418" t="s">
        <v>51</v>
      </c>
      <c r="O418">
        <v>8421999000</v>
      </c>
      <c r="P418" t="s">
        <v>66</v>
      </c>
      <c r="Q418" t="s">
        <v>577</v>
      </c>
      <c r="R418" t="s">
        <v>54</v>
      </c>
      <c r="S418" t="s">
        <v>55</v>
      </c>
      <c r="T418">
        <v>8</v>
      </c>
      <c r="U418">
        <v>1</v>
      </c>
      <c r="V418" t="s">
        <v>135</v>
      </c>
      <c r="W418">
        <v>0</v>
      </c>
      <c r="X418">
        <v>83.16</v>
      </c>
      <c r="Y418">
        <v>7.1</v>
      </c>
      <c r="Z418">
        <v>0.54</v>
      </c>
      <c r="AA418">
        <v>90.8</v>
      </c>
      <c r="AB418" t="s">
        <v>57</v>
      </c>
      <c r="AC418" t="s">
        <v>77</v>
      </c>
      <c r="AD418" t="s">
        <v>48</v>
      </c>
      <c r="AE418">
        <v>0</v>
      </c>
      <c r="AF418">
        <v>0.55000000000000004</v>
      </c>
      <c r="AG418" t="s">
        <v>59</v>
      </c>
      <c r="AH418">
        <v>107711</v>
      </c>
      <c r="AI418" t="s">
        <v>60</v>
      </c>
      <c r="AJ418" t="s">
        <v>78</v>
      </c>
      <c r="AK418" t="s">
        <v>54</v>
      </c>
      <c r="AL418">
        <v>2024</v>
      </c>
      <c r="AM418" s="6" t="s">
        <v>578</v>
      </c>
      <c r="AN418" s="7">
        <v>83.16</v>
      </c>
      <c r="AO418" s="8">
        <f t="shared" si="21"/>
        <v>155.92499999999998</v>
      </c>
      <c r="AP418" s="8">
        <f t="shared" si="22"/>
        <v>173.23267499999997</v>
      </c>
      <c r="AQ418" s="9">
        <f t="shared" si="20"/>
        <v>252.58290749999995</v>
      </c>
    </row>
    <row r="419" spans="1:43" x14ac:dyDescent="0.25">
      <c r="A419">
        <v>8</v>
      </c>
      <c r="B419">
        <v>7</v>
      </c>
      <c r="C419">
        <v>2024</v>
      </c>
      <c r="D419" t="s">
        <v>43</v>
      </c>
      <c r="E419" t="s">
        <v>75</v>
      </c>
      <c r="F419" t="s">
        <v>76</v>
      </c>
      <c r="G419">
        <v>28</v>
      </c>
      <c r="H419">
        <v>1791882490001</v>
      </c>
      <c r="I419" t="s">
        <v>46</v>
      </c>
      <c r="J419" t="s">
        <v>48</v>
      </c>
      <c r="K419" t="s">
        <v>48</v>
      </c>
      <c r="L419" t="s">
        <v>49</v>
      </c>
      <c r="M419" t="s">
        <v>50</v>
      </c>
      <c r="N419" t="s">
        <v>51</v>
      </c>
      <c r="O419">
        <v>8421999000</v>
      </c>
      <c r="P419" t="s">
        <v>66</v>
      </c>
      <c r="Q419" t="s">
        <v>577</v>
      </c>
      <c r="R419" t="s">
        <v>54</v>
      </c>
      <c r="S419" t="s">
        <v>55</v>
      </c>
      <c r="T419">
        <v>8</v>
      </c>
      <c r="U419">
        <v>1</v>
      </c>
      <c r="V419" t="s">
        <v>135</v>
      </c>
      <c r="W419">
        <v>0</v>
      </c>
      <c r="X419">
        <v>83.16</v>
      </c>
      <c r="Y419">
        <v>7.1</v>
      </c>
      <c r="Z419">
        <v>0.54</v>
      </c>
      <c r="AA419">
        <v>90.8</v>
      </c>
      <c r="AB419" t="s">
        <v>57</v>
      </c>
      <c r="AC419" t="s">
        <v>77</v>
      </c>
      <c r="AD419" t="s">
        <v>48</v>
      </c>
      <c r="AE419">
        <v>0</v>
      </c>
      <c r="AF419">
        <v>0.55000000000000004</v>
      </c>
      <c r="AG419" t="s">
        <v>59</v>
      </c>
      <c r="AH419">
        <v>107711</v>
      </c>
      <c r="AI419" t="s">
        <v>60</v>
      </c>
      <c r="AJ419" t="s">
        <v>78</v>
      </c>
      <c r="AK419" t="s">
        <v>54</v>
      </c>
      <c r="AL419">
        <v>2024</v>
      </c>
      <c r="AM419" s="6" t="s">
        <v>578</v>
      </c>
      <c r="AN419" s="7">
        <v>83.16</v>
      </c>
      <c r="AO419" s="8">
        <f t="shared" si="21"/>
        <v>155.92499999999998</v>
      </c>
      <c r="AP419" s="8">
        <f t="shared" si="22"/>
        <v>173.23267499999997</v>
      </c>
      <c r="AQ419" s="9">
        <f t="shared" si="20"/>
        <v>252.58290749999995</v>
      </c>
    </row>
    <row r="420" spans="1:43" x14ac:dyDescent="0.25">
      <c r="A420">
        <v>8</v>
      </c>
      <c r="B420">
        <v>7</v>
      </c>
      <c r="C420">
        <v>2024</v>
      </c>
      <c r="D420" t="s">
        <v>43</v>
      </c>
      <c r="E420" t="s">
        <v>75</v>
      </c>
      <c r="F420" t="s">
        <v>76</v>
      </c>
      <c r="G420">
        <v>29</v>
      </c>
      <c r="H420">
        <v>1791882490001</v>
      </c>
      <c r="I420" t="s">
        <v>46</v>
      </c>
      <c r="J420" t="s">
        <v>48</v>
      </c>
      <c r="K420" t="s">
        <v>48</v>
      </c>
      <c r="L420" t="s">
        <v>49</v>
      </c>
      <c r="M420" t="s">
        <v>50</v>
      </c>
      <c r="N420" t="s">
        <v>51</v>
      </c>
      <c r="O420">
        <v>8421999000</v>
      </c>
      <c r="P420" t="s">
        <v>66</v>
      </c>
      <c r="Q420" t="s">
        <v>579</v>
      </c>
      <c r="R420" t="s">
        <v>54</v>
      </c>
      <c r="S420" t="s">
        <v>55</v>
      </c>
      <c r="T420">
        <v>8</v>
      </c>
      <c r="U420">
        <v>2</v>
      </c>
      <c r="V420" t="s">
        <v>135</v>
      </c>
      <c r="W420">
        <v>0</v>
      </c>
      <c r="X420">
        <v>116.56</v>
      </c>
      <c r="Y420">
        <v>9.9499999999999993</v>
      </c>
      <c r="Z420">
        <v>0.76</v>
      </c>
      <c r="AA420">
        <v>127.27</v>
      </c>
      <c r="AB420" t="s">
        <v>57</v>
      </c>
      <c r="AC420" t="s">
        <v>77</v>
      </c>
      <c r="AD420" t="s">
        <v>48</v>
      </c>
      <c r="AE420">
        <v>0</v>
      </c>
      <c r="AF420">
        <v>0.77</v>
      </c>
      <c r="AG420" t="s">
        <v>59</v>
      </c>
      <c r="AH420">
        <v>107711</v>
      </c>
      <c r="AI420" t="s">
        <v>60</v>
      </c>
      <c r="AJ420" t="s">
        <v>78</v>
      </c>
      <c r="AK420" t="s">
        <v>54</v>
      </c>
      <c r="AL420">
        <v>2024</v>
      </c>
      <c r="AM420" s="6" t="s">
        <v>580</v>
      </c>
      <c r="AN420" s="7">
        <v>58.28</v>
      </c>
      <c r="AO420" s="8">
        <f t="shared" si="21"/>
        <v>109.27500000000001</v>
      </c>
      <c r="AP420" s="8">
        <f t="shared" si="22"/>
        <v>121.40452500000001</v>
      </c>
      <c r="AQ420" s="9">
        <f t="shared" si="20"/>
        <v>177.01457249999999</v>
      </c>
    </row>
    <row r="421" spans="1:43" x14ac:dyDescent="0.25">
      <c r="A421">
        <v>8</v>
      </c>
      <c r="B421">
        <v>7</v>
      </c>
      <c r="C421">
        <v>2024</v>
      </c>
      <c r="D421" t="s">
        <v>43</v>
      </c>
      <c r="E421" t="s">
        <v>75</v>
      </c>
      <c r="F421" t="s">
        <v>76</v>
      </c>
      <c r="G421">
        <v>29</v>
      </c>
      <c r="H421">
        <v>1791882490001</v>
      </c>
      <c r="I421" t="s">
        <v>46</v>
      </c>
      <c r="J421" t="s">
        <v>48</v>
      </c>
      <c r="K421" t="s">
        <v>48</v>
      </c>
      <c r="L421" t="s">
        <v>49</v>
      </c>
      <c r="M421" t="s">
        <v>50</v>
      </c>
      <c r="N421" t="s">
        <v>51</v>
      </c>
      <c r="O421">
        <v>8421999000</v>
      </c>
      <c r="P421" t="s">
        <v>66</v>
      </c>
      <c r="Q421" t="s">
        <v>579</v>
      </c>
      <c r="R421" t="s">
        <v>54</v>
      </c>
      <c r="S421" t="s">
        <v>55</v>
      </c>
      <c r="T421">
        <v>8</v>
      </c>
      <c r="U421">
        <v>2</v>
      </c>
      <c r="V421" t="s">
        <v>135</v>
      </c>
      <c r="W421">
        <v>0</v>
      </c>
      <c r="X421">
        <v>116.56</v>
      </c>
      <c r="Y421">
        <v>9.9499999999999993</v>
      </c>
      <c r="Z421">
        <v>0.76</v>
      </c>
      <c r="AA421">
        <v>127.27</v>
      </c>
      <c r="AB421" t="s">
        <v>57</v>
      </c>
      <c r="AC421" t="s">
        <v>77</v>
      </c>
      <c r="AD421" t="s">
        <v>48</v>
      </c>
      <c r="AE421">
        <v>0</v>
      </c>
      <c r="AF421">
        <v>0.77</v>
      </c>
      <c r="AG421" t="s">
        <v>59</v>
      </c>
      <c r="AH421">
        <v>107711</v>
      </c>
      <c r="AI421" t="s">
        <v>60</v>
      </c>
      <c r="AJ421" t="s">
        <v>78</v>
      </c>
      <c r="AK421" t="s">
        <v>54</v>
      </c>
      <c r="AL421">
        <v>2024</v>
      </c>
      <c r="AM421" s="6" t="s">
        <v>580</v>
      </c>
      <c r="AN421" s="7">
        <v>58.28</v>
      </c>
      <c r="AO421" s="8">
        <f t="shared" si="21"/>
        <v>109.27500000000001</v>
      </c>
      <c r="AP421" s="8">
        <f t="shared" si="22"/>
        <v>121.40452500000001</v>
      </c>
      <c r="AQ421" s="9">
        <f t="shared" si="20"/>
        <v>177.01457249999999</v>
      </c>
    </row>
    <row r="422" spans="1:43" x14ac:dyDescent="0.25">
      <c r="A422">
        <v>3</v>
      </c>
      <c r="B422">
        <v>4</v>
      </c>
      <c r="C422">
        <v>2024</v>
      </c>
      <c r="D422" t="s">
        <v>43</v>
      </c>
      <c r="E422" t="s">
        <v>73</v>
      </c>
      <c r="F422" t="s">
        <v>74</v>
      </c>
      <c r="G422">
        <v>24</v>
      </c>
      <c r="H422">
        <v>1791882490001</v>
      </c>
      <c r="I422" t="s">
        <v>46</v>
      </c>
      <c r="J422" t="s">
        <v>48</v>
      </c>
      <c r="K422" t="s">
        <v>48</v>
      </c>
      <c r="L422" t="s">
        <v>49</v>
      </c>
      <c r="M422" t="s">
        <v>50</v>
      </c>
      <c r="N422" t="s">
        <v>51</v>
      </c>
      <c r="O422">
        <v>8421299090</v>
      </c>
      <c r="P422" t="s">
        <v>303</v>
      </c>
      <c r="Q422" t="s">
        <v>579</v>
      </c>
      <c r="R422" t="s">
        <v>54</v>
      </c>
      <c r="S422" t="s">
        <v>55</v>
      </c>
      <c r="T422">
        <v>6</v>
      </c>
      <c r="U422">
        <v>6</v>
      </c>
      <c r="V422" t="s">
        <v>135</v>
      </c>
      <c r="W422">
        <v>0</v>
      </c>
      <c r="X422">
        <v>346.94</v>
      </c>
      <c r="Y422">
        <v>40.520000000000003</v>
      </c>
      <c r="Z422">
        <v>2.27</v>
      </c>
      <c r="AA422">
        <v>389.73</v>
      </c>
      <c r="AB422" t="s">
        <v>57</v>
      </c>
      <c r="AC422" t="s">
        <v>58</v>
      </c>
      <c r="AD422" t="s">
        <v>48</v>
      </c>
      <c r="AE422">
        <v>0</v>
      </c>
      <c r="AF422">
        <v>8</v>
      </c>
      <c r="AG422" t="s">
        <v>59</v>
      </c>
      <c r="AH422">
        <v>438183</v>
      </c>
      <c r="AI422" t="s">
        <v>60</v>
      </c>
      <c r="AJ422" t="s">
        <v>60</v>
      </c>
      <c r="AK422" t="s">
        <v>54</v>
      </c>
      <c r="AL422">
        <v>2024</v>
      </c>
      <c r="AM422" s="6" t="s">
        <v>581</v>
      </c>
      <c r="AN422" s="7">
        <v>57.82</v>
      </c>
      <c r="AO422" s="8">
        <f t="shared" si="21"/>
        <v>108.41249999999999</v>
      </c>
      <c r="AP422" s="8">
        <f t="shared" si="22"/>
        <v>120.4462875</v>
      </c>
      <c r="AQ422" s="9">
        <f t="shared" si="20"/>
        <v>175.61740874999998</v>
      </c>
    </row>
    <row r="423" spans="1:43" x14ac:dyDescent="0.25">
      <c r="A423">
        <v>13</v>
      </c>
      <c r="B423">
        <v>3</v>
      </c>
      <c r="C423">
        <v>2024</v>
      </c>
      <c r="D423" t="s">
        <v>43</v>
      </c>
      <c r="E423" t="s">
        <v>69</v>
      </c>
      <c r="F423" t="s">
        <v>70</v>
      </c>
      <c r="G423">
        <v>20</v>
      </c>
      <c r="H423">
        <v>1791882490001</v>
      </c>
      <c r="I423" t="s">
        <v>46</v>
      </c>
      <c r="J423" t="s">
        <v>65</v>
      </c>
      <c r="K423" t="s">
        <v>48</v>
      </c>
      <c r="L423" t="s">
        <v>49</v>
      </c>
      <c r="M423" t="s">
        <v>50</v>
      </c>
      <c r="N423" t="s">
        <v>51</v>
      </c>
      <c r="O423">
        <v>8421999000</v>
      </c>
      <c r="P423" t="s">
        <v>66</v>
      </c>
      <c r="Q423" t="s">
        <v>317</v>
      </c>
      <c r="R423" t="s">
        <v>54</v>
      </c>
      <c r="S423" t="s">
        <v>55</v>
      </c>
      <c r="T423">
        <v>11</v>
      </c>
      <c r="U423">
        <v>2</v>
      </c>
      <c r="V423" t="s">
        <v>135</v>
      </c>
      <c r="W423">
        <v>0</v>
      </c>
      <c r="X423">
        <v>550.23</v>
      </c>
      <c r="Y423">
        <v>72.05</v>
      </c>
      <c r="Z423">
        <v>3.7</v>
      </c>
      <c r="AA423">
        <v>625.98</v>
      </c>
      <c r="AB423" t="s">
        <v>54</v>
      </c>
      <c r="AC423" t="s">
        <v>71</v>
      </c>
      <c r="AD423" t="s">
        <v>48</v>
      </c>
      <c r="AE423">
        <v>0</v>
      </c>
      <c r="AF423">
        <v>4.08</v>
      </c>
      <c r="AG423" t="s">
        <v>59</v>
      </c>
      <c r="AH423">
        <v>895279</v>
      </c>
      <c r="AI423" t="s">
        <v>60</v>
      </c>
      <c r="AJ423" t="s">
        <v>60</v>
      </c>
      <c r="AK423" t="s">
        <v>54</v>
      </c>
      <c r="AL423">
        <v>2024</v>
      </c>
      <c r="AM423" s="6" t="s">
        <v>582</v>
      </c>
      <c r="AN423" s="7">
        <v>275.11</v>
      </c>
      <c r="AO423" s="8">
        <f t="shared" si="21"/>
        <v>515.83125000000007</v>
      </c>
      <c r="AP423" s="8">
        <f t="shared" si="22"/>
        <v>573.08851875000005</v>
      </c>
      <c r="AQ423" s="9">
        <f t="shared" si="20"/>
        <v>835.59504187500011</v>
      </c>
    </row>
    <row r="424" spans="1:43" x14ac:dyDescent="0.25">
      <c r="A424">
        <v>13</v>
      </c>
      <c r="B424">
        <v>3</v>
      </c>
      <c r="C424">
        <v>2024</v>
      </c>
      <c r="D424" t="s">
        <v>43</v>
      </c>
      <c r="E424" t="s">
        <v>69</v>
      </c>
      <c r="F424" t="s">
        <v>70</v>
      </c>
      <c r="G424">
        <v>21</v>
      </c>
      <c r="H424">
        <v>1791882490001</v>
      </c>
      <c r="I424" t="s">
        <v>46</v>
      </c>
      <c r="J424" t="s">
        <v>65</v>
      </c>
      <c r="K424" t="s">
        <v>48</v>
      </c>
      <c r="L424" t="s">
        <v>49</v>
      </c>
      <c r="M424" t="s">
        <v>50</v>
      </c>
      <c r="N424" t="s">
        <v>51</v>
      </c>
      <c r="O424">
        <v>8421999000</v>
      </c>
      <c r="P424" t="s">
        <v>66</v>
      </c>
      <c r="Q424" t="s">
        <v>317</v>
      </c>
      <c r="R424" t="s">
        <v>54</v>
      </c>
      <c r="S424" t="s">
        <v>55</v>
      </c>
      <c r="T424">
        <v>11</v>
      </c>
      <c r="U424">
        <v>1</v>
      </c>
      <c r="V424" t="s">
        <v>135</v>
      </c>
      <c r="W424">
        <v>0</v>
      </c>
      <c r="X424">
        <v>119.12</v>
      </c>
      <c r="Y424">
        <v>15.6</v>
      </c>
      <c r="Z424">
        <v>0.8</v>
      </c>
      <c r="AA424">
        <v>135.52000000000001</v>
      </c>
      <c r="AB424" t="s">
        <v>54</v>
      </c>
      <c r="AC424" t="s">
        <v>71</v>
      </c>
      <c r="AD424" t="s">
        <v>48</v>
      </c>
      <c r="AE424">
        <v>0</v>
      </c>
      <c r="AF424">
        <v>2.04</v>
      </c>
      <c r="AG424" t="s">
        <v>59</v>
      </c>
      <c r="AH424">
        <v>895279</v>
      </c>
      <c r="AI424" t="s">
        <v>60</v>
      </c>
      <c r="AJ424" t="s">
        <v>60</v>
      </c>
      <c r="AK424" t="s">
        <v>54</v>
      </c>
      <c r="AL424">
        <v>2024</v>
      </c>
      <c r="AM424" s="6" t="s">
        <v>583</v>
      </c>
      <c r="AN424" s="7">
        <v>119.12</v>
      </c>
      <c r="AO424" s="8">
        <f t="shared" si="21"/>
        <v>223.35000000000002</v>
      </c>
      <c r="AP424" s="8">
        <f t="shared" si="22"/>
        <v>248.14185000000003</v>
      </c>
      <c r="AQ424" s="9">
        <f t="shared" si="20"/>
        <v>361.804665</v>
      </c>
    </row>
    <row r="425" spans="1:43" x14ac:dyDescent="0.25">
      <c r="A425">
        <v>8</v>
      </c>
      <c r="B425">
        <v>4</v>
      </c>
      <c r="C425">
        <v>2024</v>
      </c>
      <c r="D425" t="s">
        <v>43</v>
      </c>
      <c r="E425" t="s">
        <v>355</v>
      </c>
      <c r="F425" t="s">
        <v>356</v>
      </c>
      <c r="G425">
        <v>9</v>
      </c>
      <c r="H425">
        <v>1791882490001</v>
      </c>
      <c r="I425" t="s">
        <v>46</v>
      </c>
      <c r="J425" t="s">
        <v>65</v>
      </c>
      <c r="K425" t="s">
        <v>48</v>
      </c>
      <c r="L425" t="s">
        <v>119</v>
      </c>
      <c r="M425" t="s">
        <v>120</v>
      </c>
      <c r="N425" t="s">
        <v>121</v>
      </c>
      <c r="O425">
        <v>8421999000</v>
      </c>
      <c r="P425" t="s">
        <v>66</v>
      </c>
      <c r="Q425" t="s">
        <v>317</v>
      </c>
      <c r="R425" t="s">
        <v>54</v>
      </c>
      <c r="S425" t="s">
        <v>55</v>
      </c>
      <c r="T425">
        <v>10</v>
      </c>
      <c r="U425">
        <v>3</v>
      </c>
      <c r="V425" t="s">
        <v>135</v>
      </c>
      <c r="W425">
        <v>0</v>
      </c>
      <c r="X425">
        <v>354.3</v>
      </c>
      <c r="Y425">
        <v>17.72</v>
      </c>
      <c r="Z425">
        <v>2.2599999999999998</v>
      </c>
      <c r="AA425">
        <v>374.28</v>
      </c>
      <c r="AB425" t="s">
        <v>359</v>
      </c>
      <c r="AC425" t="s">
        <v>125</v>
      </c>
      <c r="AD425" t="s">
        <v>48</v>
      </c>
      <c r="AE425">
        <v>1</v>
      </c>
      <c r="AF425">
        <v>40.869999999999997</v>
      </c>
      <c r="AG425" t="s">
        <v>59</v>
      </c>
      <c r="AH425">
        <v>882904</v>
      </c>
      <c r="AI425" t="s">
        <v>60</v>
      </c>
      <c r="AJ425" t="s">
        <v>60</v>
      </c>
      <c r="AK425" t="s">
        <v>54</v>
      </c>
      <c r="AL425">
        <v>2024</v>
      </c>
      <c r="AM425" s="6" t="s">
        <v>583</v>
      </c>
      <c r="AN425" s="7">
        <v>118.1</v>
      </c>
      <c r="AO425" s="8">
        <f t="shared" si="21"/>
        <v>221.4375</v>
      </c>
      <c r="AP425" s="8">
        <f t="shared" si="22"/>
        <v>246.01706250000001</v>
      </c>
      <c r="AQ425" s="9">
        <f t="shared" si="20"/>
        <v>358.70660624999999</v>
      </c>
    </row>
    <row r="426" spans="1:43" x14ac:dyDescent="0.25">
      <c r="A426">
        <v>8</v>
      </c>
      <c r="B426">
        <v>7</v>
      </c>
      <c r="C426">
        <v>2024</v>
      </c>
      <c r="D426" t="s">
        <v>43</v>
      </c>
      <c r="E426" t="s">
        <v>75</v>
      </c>
      <c r="F426" t="s">
        <v>76</v>
      </c>
      <c r="G426">
        <v>30</v>
      </c>
      <c r="H426">
        <v>1791882490001</v>
      </c>
      <c r="I426" t="s">
        <v>46</v>
      </c>
      <c r="J426" t="s">
        <v>65</v>
      </c>
      <c r="K426" t="s">
        <v>48</v>
      </c>
      <c r="L426" t="s">
        <v>49</v>
      </c>
      <c r="M426" t="s">
        <v>50</v>
      </c>
      <c r="N426" t="s">
        <v>51</v>
      </c>
      <c r="O426">
        <v>8421999000</v>
      </c>
      <c r="P426" t="s">
        <v>66</v>
      </c>
      <c r="Q426" t="s">
        <v>531</v>
      </c>
      <c r="R426" t="s">
        <v>54</v>
      </c>
      <c r="S426" t="s">
        <v>55</v>
      </c>
      <c r="T426">
        <v>8</v>
      </c>
      <c r="U426">
        <v>2</v>
      </c>
      <c r="V426" t="s">
        <v>135</v>
      </c>
      <c r="W426">
        <v>0</v>
      </c>
      <c r="X426">
        <v>117.13</v>
      </c>
      <c r="Y426">
        <v>10.01</v>
      </c>
      <c r="Z426">
        <v>0.76</v>
      </c>
      <c r="AA426">
        <v>127.9</v>
      </c>
      <c r="AB426" t="s">
        <v>57</v>
      </c>
      <c r="AC426" t="s">
        <v>77</v>
      </c>
      <c r="AD426" t="s">
        <v>48</v>
      </c>
      <c r="AE426">
        <v>0</v>
      </c>
      <c r="AF426">
        <v>0.77</v>
      </c>
      <c r="AG426" t="s">
        <v>59</v>
      </c>
      <c r="AH426">
        <v>107711</v>
      </c>
      <c r="AI426" t="s">
        <v>60</v>
      </c>
      <c r="AJ426" t="s">
        <v>78</v>
      </c>
      <c r="AK426" t="s">
        <v>54</v>
      </c>
      <c r="AL426">
        <v>2024</v>
      </c>
      <c r="AM426" s="6" t="s">
        <v>584</v>
      </c>
      <c r="AN426" s="7">
        <v>58.56</v>
      </c>
      <c r="AO426" s="8">
        <f t="shared" si="21"/>
        <v>109.80000000000001</v>
      </c>
      <c r="AP426" s="8">
        <f t="shared" si="22"/>
        <v>121.98780000000001</v>
      </c>
      <c r="AQ426" s="9">
        <f t="shared" si="20"/>
        <v>177.86502000000002</v>
      </c>
    </row>
    <row r="427" spans="1:43" x14ac:dyDescent="0.25">
      <c r="A427">
        <v>8</v>
      </c>
      <c r="B427">
        <v>7</v>
      </c>
      <c r="C427">
        <v>2024</v>
      </c>
      <c r="D427" t="s">
        <v>43</v>
      </c>
      <c r="E427" t="s">
        <v>75</v>
      </c>
      <c r="F427" t="s">
        <v>76</v>
      </c>
      <c r="G427">
        <v>30</v>
      </c>
      <c r="H427">
        <v>1791882490001</v>
      </c>
      <c r="I427" t="s">
        <v>46</v>
      </c>
      <c r="J427" t="s">
        <v>65</v>
      </c>
      <c r="K427" t="s">
        <v>48</v>
      </c>
      <c r="L427" t="s">
        <v>49</v>
      </c>
      <c r="M427" t="s">
        <v>50</v>
      </c>
      <c r="N427" t="s">
        <v>51</v>
      </c>
      <c r="O427">
        <v>8421999000</v>
      </c>
      <c r="P427" t="s">
        <v>66</v>
      </c>
      <c r="Q427" t="s">
        <v>531</v>
      </c>
      <c r="R427" t="s">
        <v>54</v>
      </c>
      <c r="S427" t="s">
        <v>55</v>
      </c>
      <c r="T427">
        <v>8</v>
      </c>
      <c r="U427">
        <v>2</v>
      </c>
      <c r="V427" t="s">
        <v>135</v>
      </c>
      <c r="W427">
        <v>0</v>
      </c>
      <c r="X427">
        <v>117.13</v>
      </c>
      <c r="Y427">
        <v>10.01</v>
      </c>
      <c r="Z427">
        <v>0.76</v>
      </c>
      <c r="AA427">
        <v>127.9</v>
      </c>
      <c r="AB427" t="s">
        <v>57</v>
      </c>
      <c r="AC427" t="s">
        <v>77</v>
      </c>
      <c r="AD427" t="s">
        <v>48</v>
      </c>
      <c r="AE427">
        <v>0</v>
      </c>
      <c r="AF427">
        <v>0.77</v>
      </c>
      <c r="AG427" t="s">
        <v>59</v>
      </c>
      <c r="AH427">
        <v>107711</v>
      </c>
      <c r="AI427" t="s">
        <v>60</v>
      </c>
      <c r="AJ427" t="s">
        <v>78</v>
      </c>
      <c r="AK427" t="s">
        <v>54</v>
      </c>
      <c r="AL427">
        <v>2024</v>
      </c>
      <c r="AM427" s="6" t="s">
        <v>584</v>
      </c>
      <c r="AN427" s="7">
        <v>58.56</v>
      </c>
      <c r="AO427" s="8">
        <f t="shared" si="21"/>
        <v>109.80000000000001</v>
      </c>
      <c r="AP427" s="8">
        <f t="shared" si="22"/>
        <v>121.98780000000001</v>
      </c>
      <c r="AQ427" s="9">
        <f t="shared" si="20"/>
        <v>177.86502000000002</v>
      </c>
    </row>
    <row r="428" spans="1:43" x14ac:dyDescent="0.25">
      <c r="A428">
        <v>28</v>
      </c>
      <c r="B428">
        <v>8</v>
      </c>
      <c r="C428">
        <v>2024</v>
      </c>
      <c r="D428" t="s">
        <v>43</v>
      </c>
      <c r="E428" t="s">
        <v>91</v>
      </c>
      <c r="F428" t="s">
        <v>92</v>
      </c>
      <c r="G428">
        <v>24</v>
      </c>
      <c r="H428">
        <v>1791882490001</v>
      </c>
      <c r="I428" t="s">
        <v>46</v>
      </c>
      <c r="J428" t="s">
        <v>48</v>
      </c>
      <c r="K428" t="s">
        <v>48</v>
      </c>
      <c r="L428" t="s">
        <v>49</v>
      </c>
      <c r="M428" t="s">
        <v>50</v>
      </c>
      <c r="N428" t="s">
        <v>51</v>
      </c>
      <c r="O428">
        <v>8421999000</v>
      </c>
      <c r="P428" t="s">
        <v>66</v>
      </c>
      <c r="Q428" t="s">
        <v>585</v>
      </c>
      <c r="R428" t="s">
        <v>54</v>
      </c>
      <c r="S428" t="s">
        <v>55</v>
      </c>
      <c r="T428">
        <v>8</v>
      </c>
      <c r="U428">
        <v>3</v>
      </c>
      <c r="V428" t="s">
        <v>135</v>
      </c>
      <c r="W428">
        <v>0</v>
      </c>
      <c r="X428">
        <v>545.75</v>
      </c>
      <c r="Y428">
        <v>60.3</v>
      </c>
      <c r="Z428">
        <v>3.67</v>
      </c>
      <c r="AA428">
        <v>609.72</v>
      </c>
      <c r="AB428" t="s">
        <v>57</v>
      </c>
      <c r="AC428" t="s">
        <v>94</v>
      </c>
      <c r="AD428" t="s">
        <v>48</v>
      </c>
      <c r="AE428">
        <v>0</v>
      </c>
      <c r="AF428">
        <v>6.28</v>
      </c>
      <c r="AG428" t="s">
        <v>59</v>
      </c>
      <c r="AH428">
        <v>150511</v>
      </c>
      <c r="AI428" t="s">
        <v>60</v>
      </c>
      <c r="AJ428" t="s">
        <v>60</v>
      </c>
      <c r="AK428" t="s">
        <v>54</v>
      </c>
      <c r="AL428">
        <v>2024</v>
      </c>
      <c r="AM428" s="6" t="s">
        <v>586</v>
      </c>
      <c r="AN428" s="7">
        <v>181.92</v>
      </c>
      <c r="AO428" s="8">
        <f t="shared" si="21"/>
        <v>341.09999999999997</v>
      </c>
      <c r="AP428" s="8">
        <f t="shared" si="22"/>
        <v>378.96209999999996</v>
      </c>
      <c r="AQ428" s="9">
        <f t="shared" si="20"/>
        <v>552.54788999999994</v>
      </c>
    </row>
    <row r="429" spans="1:43" x14ac:dyDescent="0.25">
      <c r="A429">
        <v>10</v>
      </c>
      <c r="B429">
        <v>10</v>
      </c>
      <c r="C429">
        <v>2024</v>
      </c>
      <c r="D429" t="s">
        <v>43</v>
      </c>
      <c r="E429" t="s">
        <v>44</v>
      </c>
      <c r="F429" t="s">
        <v>45</v>
      </c>
      <c r="G429">
        <v>30</v>
      </c>
      <c r="H429">
        <v>1791882490001</v>
      </c>
      <c r="I429" t="s">
        <v>46</v>
      </c>
      <c r="J429" t="s">
        <v>65</v>
      </c>
      <c r="K429" t="s">
        <v>48</v>
      </c>
      <c r="L429" t="s">
        <v>49</v>
      </c>
      <c r="M429" t="s">
        <v>50</v>
      </c>
      <c r="N429" t="s">
        <v>51</v>
      </c>
      <c r="O429">
        <v>8421299090</v>
      </c>
      <c r="P429" t="s">
        <v>52</v>
      </c>
      <c r="Q429" t="s">
        <v>305</v>
      </c>
      <c r="R429" t="s">
        <v>54</v>
      </c>
      <c r="S429" t="s">
        <v>55</v>
      </c>
      <c r="T429">
        <v>7</v>
      </c>
      <c r="U429">
        <v>2</v>
      </c>
      <c r="V429" t="s">
        <v>135</v>
      </c>
      <c r="W429">
        <v>0</v>
      </c>
      <c r="X429">
        <v>107.68</v>
      </c>
      <c r="Y429">
        <v>18.809999999999999</v>
      </c>
      <c r="Z429">
        <v>0.78</v>
      </c>
      <c r="AA429">
        <v>127.27</v>
      </c>
      <c r="AB429" t="s">
        <v>57</v>
      </c>
      <c r="AC429" t="s">
        <v>58</v>
      </c>
      <c r="AD429" t="s">
        <v>48</v>
      </c>
      <c r="AE429">
        <v>0</v>
      </c>
      <c r="AF429">
        <v>1.1599999999999999</v>
      </c>
      <c r="AG429" t="s">
        <v>59</v>
      </c>
      <c r="AH429">
        <v>179772</v>
      </c>
      <c r="AI429" t="s">
        <v>60</v>
      </c>
      <c r="AJ429" t="s">
        <v>60</v>
      </c>
      <c r="AK429" t="s">
        <v>54</v>
      </c>
      <c r="AL429">
        <v>2024</v>
      </c>
      <c r="AM429" s="6" t="s">
        <v>587</v>
      </c>
      <c r="AN429" s="7">
        <v>53.84</v>
      </c>
      <c r="AO429" s="8">
        <f t="shared" si="21"/>
        <v>100.95</v>
      </c>
      <c r="AP429" s="8">
        <f t="shared" si="22"/>
        <v>112.15545</v>
      </c>
      <c r="AQ429" s="9">
        <f t="shared" si="20"/>
        <v>163.52890499999998</v>
      </c>
    </row>
    <row r="430" spans="1:43" x14ac:dyDescent="0.25">
      <c r="A430">
        <v>2</v>
      </c>
      <c r="B430">
        <v>1</v>
      </c>
      <c r="C430">
        <v>2024</v>
      </c>
      <c r="D430" t="s">
        <v>43</v>
      </c>
      <c r="E430" t="s">
        <v>181</v>
      </c>
      <c r="F430" t="s">
        <v>182</v>
      </c>
      <c r="G430">
        <v>17</v>
      </c>
      <c r="H430">
        <v>1791882490001</v>
      </c>
      <c r="I430" t="s">
        <v>46</v>
      </c>
      <c r="J430" t="s">
        <v>48</v>
      </c>
      <c r="K430" t="s">
        <v>48</v>
      </c>
      <c r="L430" t="s">
        <v>49</v>
      </c>
      <c r="M430" t="s">
        <v>50</v>
      </c>
      <c r="N430" t="s">
        <v>51</v>
      </c>
      <c r="O430">
        <v>8481909090</v>
      </c>
      <c r="P430" t="s">
        <v>232</v>
      </c>
      <c r="Q430" t="s">
        <v>588</v>
      </c>
      <c r="R430" t="s">
        <v>54</v>
      </c>
      <c r="S430" t="s">
        <v>55</v>
      </c>
      <c r="T430">
        <v>8</v>
      </c>
      <c r="U430">
        <v>2</v>
      </c>
      <c r="V430" t="s">
        <v>135</v>
      </c>
      <c r="W430">
        <v>0</v>
      </c>
      <c r="X430">
        <v>21.33</v>
      </c>
      <c r="Y430">
        <v>4.33</v>
      </c>
      <c r="Z430">
        <v>0.14000000000000001</v>
      </c>
      <c r="AA430">
        <v>25.8</v>
      </c>
      <c r="AB430" t="s">
        <v>57</v>
      </c>
      <c r="AC430" t="s">
        <v>81</v>
      </c>
      <c r="AD430" t="s">
        <v>48</v>
      </c>
      <c r="AE430">
        <v>0</v>
      </c>
      <c r="AF430">
        <v>6.48</v>
      </c>
      <c r="AG430" t="s">
        <v>59</v>
      </c>
      <c r="AH430">
        <v>413505</v>
      </c>
      <c r="AI430" t="s">
        <v>60</v>
      </c>
      <c r="AJ430" t="s">
        <v>60</v>
      </c>
      <c r="AK430" t="s">
        <v>54</v>
      </c>
      <c r="AL430">
        <v>2023</v>
      </c>
      <c r="AM430" s="6" t="s">
        <v>589</v>
      </c>
      <c r="AN430" s="7">
        <v>10.66</v>
      </c>
      <c r="AO430" s="8">
        <f t="shared" si="21"/>
        <v>19.987500000000001</v>
      </c>
      <c r="AP430" s="8">
        <f t="shared" si="22"/>
        <v>22.2061125</v>
      </c>
      <c r="AQ430" s="9">
        <f t="shared" si="20"/>
        <v>32.377751249999996</v>
      </c>
    </row>
    <row r="431" spans="1:43" x14ac:dyDescent="0.25">
      <c r="A431">
        <v>16</v>
      </c>
      <c r="B431">
        <v>1</v>
      </c>
      <c r="C431">
        <v>2024</v>
      </c>
      <c r="D431" t="s">
        <v>43</v>
      </c>
      <c r="E431" t="s">
        <v>191</v>
      </c>
      <c r="F431" t="s">
        <v>192</v>
      </c>
      <c r="G431">
        <v>14</v>
      </c>
      <c r="H431">
        <v>1791882490001</v>
      </c>
      <c r="I431" t="s">
        <v>46</v>
      </c>
      <c r="J431" t="s">
        <v>48</v>
      </c>
      <c r="K431" t="s">
        <v>48</v>
      </c>
      <c r="L431" t="s">
        <v>49</v>
      </c>
      <c r="M431" t="s">
        <v>50</v>
      </c>
      <c r="N431" t="s">
        <v>51</v>
      </c>
      <c r="O431">
        <v>8481909090</v>
      </c>
      <c r="P431" t="s">
        <v>232</v>
      </c>
      <c r="Q431" t="s">
        <v>590</v>
      </c>
      <c r="R431" t="s">
        <v>54</v>
      </c>
      <c r="S431" t="s">
        <v>55</v>
      </c>
      <c r="T431">
        <v>11</v>
      </c>
      <c r="U431">
        <v>1</v>
      </c>
      <c r="V431" t="s">
        <v>135</v>
      </c>
      <c r="W431">
        <v>0</v>
      </c>
      <c r="X431">
        <v>10.56</v>
      </c>
      <c r="Y431">
        <v>0.69</v>
      </c>
      <c r="Z431">
        <v>7.0000000000000007E-2</v>
      </c>
      <c r="AA431">
        <v>11.32</v>
      </c>
      <c r="AB431" t="s">
        <v>57</v>
      </c>
      <c r="AC431" t="s">
        <v>81</v>
      </c>
      <c r="AD431" t="s">
        <v>48</v>
      </c>
      <c r="AE431">
        <v>0</v>
      </c>
      <c r="AF431">
        <v>2.86</v>
      </c>
      <c r="AG431" t="s">
        <v>59</v>
      </c>
      <c r="AH431">
        <v>850332</v>
      </c>
      <c r="AI431" t="s">
        <v>60</v>
      </c>
      <c r="AJ431" t="s">
        <v>60</v>
      </c>
      <c r="AK431" t="s">
        <v>54</v>
      </c>
      <c r="AL431">
        <v>2023</v>
      </c>
      <c r="AM431" s="6" t="s">
        <v>589</v>
      </c>
      <c r="AN431" s="7">
        <v>10.56</v>
      </c>
      <c r="AO431" s="8">
        <f t="shared" si="21"/>
        <v>19.8</v>
      </c>
      <c r="AP431" s="8">
        <f t="shared" si="22"/>
        <v>21.997800000000002</v>
      </c>
      <c r="AQ431" s="9">
        <f t="shared" si="20"/>
        <v>32.074019999999997</v>
      </c>
    </row>
    <row r="432" spans="1:43" x14ac:dyDescent="0.25">
      <c r="A432">
        <v>16</v>
      </c>
      <c r="B432">
        <v>1</v>
      </c>
      <c r="C432">
        <v>2024</v>
      </c>
      <c r="D432" t="s">
        <v>43</v>
      </c>
      <c r="E432" t="s">
        <v>191</v>
      </c>
      <c r="F432" t="s">
        <v>192</v>
      </c>
      <c r="G432">
        <v>15</v>
      </c>
      <c r="H432">
        <v>1791882490001</v>
      </c>
      <c r="I432" t="s">
        <v>46</v>
      </c>
      <c r="J432" t="s">
        <v>48</v>
      </c>
      <c r="K432" t="s">
        <v>48</v>
      </c>
      <c r="L432" t="s">
        <v>49</v>
      </c>
      <c r="M432" t="s">
        <v>50</v>
      </c>
      <c r="N432" t="s">
        <v>51</v>
      </c>
      <c r="O432">
        <v>8481809990</v>
      </c>
      <c r="P432" t="s">
        <v>232</v>
      </c>
      <c r="Q432" t="s">
        <v>591</v>
      </c>
      <c r="R432" t="s">
        <v>54</v>
      </c>
      <c r="S432" t="s">
        <v>55</v>
      </c>
      <c r="T432">
        <v>11</v>
      </c>
      <c r="U432">
        <v>1</v>
      </c>
      <c r="V432" t="s">
        <v>135</v>
      </c>
      <c r="W432">
        <v>0</v>
      </c>
      <c r="X432">
        <v>563.6</v>
      </c>
      <c r="Y432">
        <v>36.979999999999997</v>
      </c>
      <c r="Z432">
        <v>3.64</v>
      </c>
      <c r="AA432">
        <v>604.22</v>
      </c>
      <c r="AB432" t="s">
        <v>57</v>
      </c>
      <c r="AC432" t="s">
        <v>81</v>
      </c>
      <c r="AD432" t="s">
        <v>48</v>
      </c>
      <c r="AE432">
        <v>0</v>
      </c>
      <c r="AF432">
        <v>2.86</v>
      </c>
      <c r="AG432" t="s">
        <v>59</v>
      </c>
      <c r="AH432">
        <v>850332</v>
      </c>
      <c r="AI432" t="s">
        <v>60</v>
      </c>
      <c r="AJ432" t="s">
        <v>60</v>
      </c>
      <c r="AK432" t="s">
        <v>54</v>
      </c>
      <c r="AL432">
        <v>2023</v>
      </c>
      <c r="AM432" s="6" t="s">
        <v>592</v>
      </c>
      <c r="AN432" s="7">
        <v>563.6</v>
      </c>
      <c r="AO432" s="8">
        <f t="shared" si="21"/>
        <v>1056.75</v>
      </c>
      <c r="AP432" s="8">
        <f t="shared" si="22"/>
        <v>1174.04925</v>
      </c>
      <c r="AQ432" s="9">
        <f t="shared" si="20"/>
        <v>1711.8293249999999</v>
      </c>
    </row>
    <row r="433" spans="1:43" x14ac:dyDescent="0.25">
      <c r="A433">
        <v>2</v>
      </c>
      <c r="B433">
        <v>1</v>
      </c>
      <c r="C433">
        <v>2024</v>
      </c>
      <c r="D433" t="s">
        <v>43</v>
      </c>
      <c r="E433" t="s">
        <v>181</v>
      </c>
      <c r="F433" t="s">
        <v>182</v>
      </c>
      <c r="G433">
        <v>18</v>
      </c>
      <c r="H433">
        <v>1791882490001</v>
      </c>
      <c r="I433" t="s">
        <v>46</v>
      </c>
      <c r="J433" t="s">
        <v>48</v>
      </c>
      <c r="K433" t="s">
        <v>48</v>
      </c>
      <c r="L433" t="s">
        <v>49</v>
      </c>
      <c r="M433" t="s">
        <v>50</v>
      </c>
      <c r="N433" t="s">
        <v>51</v>
      </c>
      <c r="O433">
        <v>8421392000</v>
      </c>
      <c r="P433" t="s">
        <v>480</v>
      </c>
      <c r="Q433" t="s">
        <v>577</v>
      </c>
      <c r="R433" t="s">
        <v>54</v>
      </c>
      <c r="S433" t="s">
        <v>55</v>
      </c>
      <c r="T433">
        <v>8</v>
      </c>
      <c r="U433">
        <v>4</v>
      </c>
      <c r="V433" t="s">
        <v>135</v>
      </c>
      <c r="W433">
        <v>0</v>
      </c>
      <c r="X433">
        <v>1202.96</v>
      </c>
      <c r="Y433">
        <v>244.42</v>
      </c>
      <c r="Z433">
        <v>7.74</v>
      </c>
      <c r="AA433">
        <v>1455.12</v>
      </c>
      <c r="AB433" t="s">
        <v>57</v>
      </c>
      <c r="AC433" t="s">
        <v>81</v>
      </c>
      <c r="AD433" t="s">
        <v>48</v>
      </c>
      <c r="AE433">
        <v>0</v>
      </c>
      <c r="AF433">
        <v>12.96</v>
      </c>
      <c r="AG433" t="s">
        <v>59</v>
      </c>
      <c r="AH433">
        <v>413505</v>
      </c>
      <c r="AI433" t="s">
        <v>60</v>
      </c>
      <c r="AJ433" t="s">
        <v>60</v>
      </c>
      <c r="AK433" t="s">
        <v>54</v>
      </c>
      <c r="AL433">
        <v>2023</v>
      </c>
      <c r="AM433" s="6" t="s">
        <v>593</v>
      </c>
      <c r="AN433" s="7">
        <v>300.74</v>
      </c>
      <c r="AO433" s="8">
        <f t="shared" si="21"/>
        <v>563.88750000000005</v>
      </c>
      <c r="AP433" s="8">
        <f t="shared" si="22"/>
        <v>626.47901250000007</v>
      </c>
      <c r="AQ433" s="9">
        <f t="shared" si="20"/>
        <v>913.44136125</v>
      </c>
    </row>
    <row r="434" spans="1:43" x14ac:dyDescent="0.25">
      <c r="A434">
        <v>2</v>
      </c>
      <c r="B434">
        <v>1</v>
      </c>
      <c r="C434">
        <v>2024</v>
      </c>
      <c r="D434" t="s">
        <v>43</v>
      </c>
      <c r="E434" t="s">
        <v>181</v>
      </c>
      <c r="F434" t="s">
        <v>182</v>
      </c>
      <c r="G434">
        <v>19</v>
      </c>
      <c r="H434">
        <v>1791882490001</v>
      </c>
      <c r="I434" t="s">
        <v>46</v>
      </c>
      <c r="J434" t="s">
        <v>48</v>
      </c>
      <c r="K434" t="s">
        <v>48</v>
      </c>
      <c r="L434" t="s">
        <v>49</v>
      </c>
      <c r="M434" t="s">
        <v>50</v>
      </c>
      <c r="N434" t="s">
        <v>51</v>
      </c>
      <c r="O434">
        <v>8421999000</v>
      </c>
      <c r="P434" t="s">
        <v>52</v>
      </c>
      <c r="Q434" t="s">
        <v>594</v>
      </c>
      <c r="R434" t="s">
        <v>54</v>
      </c>
      <c r="S434" t="s">
        <v>55</v>
      </c>
      <c r="T434">
        <v>8</v>
      </c>
      <c r="U434">
        <v>4</v>
      </c>
      <c r="V434" t="s">
        <v>135</v>
      </c>
      <c r="W434">
        <v>0</v>
      </c>
      <c r="X434">
        <v>1462.29</v>
      </c>
      <c r="Y434">
        <v>297.11</v>
      </c>
      <c r="Z434">
        <v>9.41</v>
      </c>
      <c r="AA434">
        <v>1768.81</v>
      </c>
      <c r="AB434" t="s">
        <v>57</v>
      </c>
      <c r="AC434" t="s">
        <v>81</v>
      </c>
      <c r="AD434" t="s">
        <v>48</v>
      </c>
      <c r="AE434">
        <v>0</v>
      </c>
      <c r="AF434">
        <v>12.96</v>
      </c>
      <c r="AG434" t="s">
        <v>59</v>
      </c>
      <c r="AH434">
        <v>413505</v>
      </c>
      <c r="AI434" t="s">
        <v>60</v>
      </c>
      <c r="AJ434" t="s">
        <v>60</v>
      </c>
      <c r="AK434" t="s">
        <v>54</v>
      </c>
      <c r="AL434">
        <v>2023</v>
      </c>
      <c r="AM434" s="6" t="s">
        <v>595</v>
      </c>
      <c r="AN434" s="7">
        <v>365.57</v>
      </c>
      <c r="AO434" s="8">
        <f t="shared" si="21"/>
        <v>685.44375000000002</v>
      </c>
      <c r="AP434" s="8">
        <f t="shared" si="22"/>
        <v>761.52800624999998</v>
      </c>
      <c r="AQ434" s="9">
        <f t="shared" si="20"/>
        <v>1110.350330625</v>
      </c>
    </row>
    <row r="435" spans="1:43" x14ac:dyDescent="0.25">
      <c r="A435">
        <v>13</v>
      </c>
      <c r="B435">
        <v>3</v>
      </c>
      <c r="C435">
        <v>2024</v>
      </c>
      <c r="D435" t="s">
        <v>43</v>
      </c>
      <c r="E435" t="s">
        <v>69</v>
      </c>
      <c r="F435" t="s">
        <v>70</v>
      </c>
      <c r="G435">
        <v>22</v>
      </c>
      <c r="H435">
        <v>1791882490001</v>
      </c>
      <c r="I435" t="s">
        <v>46</v>
      </c>
      <c r="J435" t="s">
        <v>48</v>
      </c>
      <c r="K435" t="s">
        <v>48</v>
      </c>
      <c r="L435" t="s">
        <v>49</v>
      </c>
      <c r="M435" t="s">
        <v>50</v>
      </c>
      <c r="N435" t="s">
        <v>51</v>
      </c>
      <c r="O435">
        <v>8421999000</v>
      </c>
      <c r="P435" t="s">
        <v>66</v>
      </c>
      <c r="Q435" t="s">
        <v>261</v>
      </c>
      <c r="R435" t="s">
        <v>54</v>
      </c>
      <c r="S435" t="s">
        <v>55</v>
      </c>
      <c r="T435">
        <v>11</v>
      </c>
      <c r="U435">
        <v>2</v>
      </c>
      <c r="V435" t="s">
        <v>135</v>
      </c>
      <c r="W435">
        <v>0</v>
      </c>
      <c r="X435">
        <v>678.58</v>
      </c>
      <c r="Y435">
        <v>88.86</v>
      </c>
      <c r="Z435">
        <v>4.57</v>
      </c>
      <c r="AA435">
        <v>772</v>
      </c>
      <c r="AB435" t="s">
        <v>54</v>
      </c>
      <c r="AC435" t="s">
        <v>71</v>
      </c>
      <c r="AD435" t="s">
        <v>48</v>
      </c>
      <c r="AE435">
        <v>0</v>
      </c>
      <c r="AF435">
        <v>4.08</v>
      </c>
      <c r="AG435" t="s">
        <v>59</v>
      </c>
      <c r="AH435">
        <v>895279</v>
      </c>
      <c r="AI435" t="s">
        <v>60</v>
      </c>
      <c r="AJ435" t="s">
        <v>60</v>
      </c>
      <c r="AK435" t="s">
        <v>54</v>
      </c>
      <c r="AL435">
        <v>2024</v>
      </c>
      <c r="AM435" s="6" t="s">
        <v>595</v>
      </c>
      <c r="AN435" s="7">
        <v>339.29</v>
      </c>
      <c r="AO435" s="8">
        <f t="shared" si="21"/>
        <v>636.16875000000005</v>
      </c>
      <c r="AP435" s="8">
        <f t="shared" si="22"/>
        <v>706.78348125000002</v>
      </c>
      <c r="AQ435" s="9">
        <f t="shared" si="20"/>
        <v>1030.5297581249999</v>
      </c>
    </row>
    <row r="436" spans="1:43" x14ac:dyDescent="0.25">
      <c r="A436">
        <v>2</v>
      </c>
      <c r="B436">
        <v>1</v>
      </c>
      <c r="C436">
        <v>2024</v>
      </c>
      <c r="D436" t="s">
        <v>43</v>
      </c>
      <c r="E436" t="s">
        <v>181</v>
      </c>
      <c r="F436" t="s">
        <v>182</v>
      </c>
      <c r="G436">
        <v>20</v>
      </c>
      <c r="H436">
        <v>1791882490001</v>
      </c>
      <c r="I436" t="s">
        <v>46</v>
      </c>
      <c r="J436" t="s">
        <v>48</v>
      </c>
      <c r="K436" t="s">
        <v>48</v>
      </c>
      <c r="L436" t="s">
        <v>49</v>
      </c>
      <c r="M436" t="s">
        <v>50</v>
      </c>
      <c r="N436" t="s">
        <v>51</v>
      </c>
      <c r="O436">
        <v>7320209090</v>
      </c>
      <c r="P436" t="s">
        <v>52</v>
      </c>
      <c r="Q436" t="s">
        <v>596</v>
      </c>
      <c r="R436" t="s">
        <v>54</v>
      </c>
      <c r="S436" t="s">
        <v>55</v>
      </c>
      <c r="T436">
        <v>8</v>
      </c>
      <c r="U436">
        <v>2</v>
      </c>
      <c r="V436" t="s">
        <v>56</v>
      </c>
      <c r="W436">
        <v>0</v>
      </c>
      <c r="X436">
        <v>127.24</v>
      </c>
      <c r="Y436">
        <v>25.85</v>
      </c>
      <c r="Z436">
        <v>0.82</v>
      </c>
      <c r="AA436">
        <v>153.91999999999999</v>
      </c>
      <c r="AB436" t="s">
        <v>57</v>
      </c>
      <c r="AC436" t="s">
        <v>81</v>
      </c>
      <c r="AD436" t="s">
        <v>48</v>
      </c>
      <c r="AE436">
        <v>0</v>
      </c>
      <c r="AF436">
        <v>6.48</v>
      </c>
      <c r="AG436" t="s">
        <v>59</v>
      </c>
      <c r="AH436">
        <v>413505</v>
      </c>
      <c r="AI436" t="s">
        <v>60</v>
      </c>
      <c r="AJ436" t="s">
        <v>60</v>
      </c>
      <c r="AK436" t="s">
        <v>54</v>
      </c>
      <c r="AL436">
        <v>2023</v>
      </c>
      <c r="AM436" s="6" t="s">
        <v>597</v>
      </c>
      <c r="AN436" s="7">
        <v>63.62</v>
      </c>
      <c r="AO436" s="8">
        <f t="shared" si="21"/>
        <v>119.28749999999999</v>
      </c>
      <c r="AP436" s="8">
        <f t="shared" si="22"/>
        <v>132.5284125</v>
      </c>
      <c r="AQ436" s="9">
        <f t="shared" si="20"/>
        <v>193.23382124999998</v>
      </c>
    </row>
    <row r="437" spans="1:43" x14ac:dyDescent="0.25">
      <c r="A437">
        <v>2</v>
      </c>
      <c r="B437">
        <v>1</v>
      </c>
      <c r="C437">
        <v>2024</v>
      </c>
      <c r="D437" t="s">
        <v>43</v>
      </c>
      <c r="E437" t="s">
        <v>181</v>
      </c>
      <c r="F437" t="s">
        <v>182</v>
      </c>
      <c r="G437">
        <v>21</v>
      </c>
      <c r="H437">
        <v>1791882490001</v>
      </c>
      <c r="I437" t="s">
        <v>46</v>
      </c>
      <c r="J437" t="s">
        <v>48</v>
      </c>
      <c r="K437" t="s">
        <v>48</v>
      </c>
      <c r="L437" t="s">
        <v>49</v>
      </c>
      <c r="M437" t="s">
        <v>50</v>
      </c>
      <c r="N437" t="s">
        <v>51</v>
      </c>
      <c r="O437">
        <v>8481909090</v>
      </c>
      <c r="P437" t="s">
        <v>232</v>
      </c>
      <c r="Q437" t="s">
        <v>598</v>
      </c>
      <c r="R437" t="s">
        <v>54</v>
      </c>
      <c r="S437" t="s">
        <v>55</v>
      </c>
      <c r="T437">
        <v>8</v>
      </c>
      <c r="U437">
        <v>2</v>
      </c>
      <c r="V437" t="s">
        <v>135</v>
      </c>
      <c r="W437">
        <v>0</v>
      </c>
      <c r="X437">
        <v>396.11</v>
      </c>
      <c r="Y437">
        <v>80.48</v>
      </c>
      <c r="Z437">
        <v>2.5499999999999998</v>
      </c>
      <c r="AA437">
        <v>479.14</v>
      </c>
      <c r="AB437" t="s">
        <v>57</v>
      </c>
      <c r="AC437" t="s">
        <v>81</v>
      </c>
      <c r="AD437" t="s">
        <v>48</v>
      </c>
      <c r="AE437">
        <v>0</v>
      </c>
      <c r="AF437">
        <v>6.48</v>
      </c>
      <c r="AG437" t="s">
        <v>59</v>
      </c>
      <c r="AH437">
        <v>413505</v>
      </c>
      <c r="AI437" t="s">
        <v>60</v>
      </c>
      <c r="AJ437" t="s">
        <v>60</v>
      </c>
      <c r="AK437" t="s">
        <v>54</v>
      </c>
      <c r="AL437">
        <v>2023</v>
      </c>
      <c r="AM437" s="6" t="s">
        <v>599</v>
      </c>
      <c r="AN437" s="7">
        <v>198.05</v>
      </c>
      <c r="AO437" s="8">
        <f t="shared" si="21"/>
        <v>371.34375</v>
      </c>
      <c r="AP437" s="8">
        <f t="shared" si="22"/>
        <v>412.56290624999997</v>
      </c>
      <c r="AQ437" s="9">
        <f t="shared" si="20"/>
        <v>601.53974062499992</v>
      </c>
    </row>
    <row r="438" spans="1:43" x14ac:dyDescent="0.25">
      <c r="A438">
        <v>13</v>
      </c>
      <c r="B438">
        <v>3</v>
      </c>
      <c r="C438">
        <v>2024</v>
      </c>
      <c r="D438" t="s">
        <v>43</v>
      </c>
      <c r="E438" t="s">
        <v>69</v>
      </c>
      <c r="F438" t="s">
        <v>70</v>
      </c>
      <c r="G438">
        <v>23</v>
      </c>
      <c r="H438">
        <v>1791882490001</v>
      </c>
      <c r="I438" t="s">
        <v>46</v>
      </c>
      <c r="J438" t="s">
        <v>48</v>
      </c>
      <c r="K438" t="s">
        <v>48</v>
      </c>
      <c r="L438" t="s">
        <v>49</v>
      </c>
      <c r="M438" t="s">
        <v>50</v>
      </c>
      <c r="N438" t="s">
        <v>51</v>
      </c>
      <c r="O438">
        <v>8481909090</v>
      </c>
      <c r="P438" t="s">
        <v>103</v>
      </c>
      <c r="Q438" t="s">
        <v>598</v>
      </c>
      <c r="R438" t="s">
        <v>54</v>
      </c>
      <c r="S438" t="s">
        <v>55</v>
      </c>
      <c r="T438">
        <v>11</v>
      </c>
      <c r="U438">
        <v>1</v>
      </c>
      <c r="V438" t="s">
        <v>135</v>
      </c>
      <c r="W438">
        <v>0</v>
      </c>
      <c r="X438">
        <v>206.48</v>
      </c>
      <c r="Y438">
        <v>27.04</v>
      </c>
      <c r="Z438">
        <v>1.39</v>
      </c>
      <c r="AA438">
        <v>234.91</v>
      </c>
      <c r="AB438" t="s">
        <v>54</v>
      </c>
      <c r="AC438" t="s">
        <v>71</v>
      </c>
      <c r="AD438" t="s">
        <v>48</v>
      </c>
      <c r="AE438">
        <v>0</v>
      </c>
      <c r="AF438">
        <v>2.04</v>
      </c>
      <c r="AG438" t="s">
        <v>59</v>
      </c>
      <c r="AH438">
        <v>895279</v>
      </c>
      <c r="AI438" t="s">
        <v>60</v>
      </c>
      <c r="AJ438" t="s">
        <v>60</v>
      </c>
      <c r="AK438" t="s">
        <v>54</v>
      </c>
      <c r="AL438">
        <v>2024</v>
      </c>
      <c r="AM438" s="6" t="s">
        <v>599</v>
      </c>
      <c r="AN438" s="7">
        <v>206.48</v>
      </c>
      <c r="AO438" s="8">
        <f t="shared" si="21"/>
        <v>387.15</v>
      </c>
      <c r="AP438" s="8">
        <f t="shared" si="22"/>
        <v>430.12365</v>
      </c>
      <c r="AQ438" s="9">
        <f t="shared" si="20"/>
        <v>627.14428499999997</v>
      </c>
    </row>
    <row r="439" spans="1:43" x14ac:dyDescent="0.25">
      <c r="A439">
        <v>2</v>
      </c>
      <c r="B439">
        <v>1</v>
      </c>
      <c r="C439">
        <v>2024</v>
      </c>
      <c r="D439" t="s">
        <v>43</v>
      </c>
      <c r="E439" t="s">
        <v>181</v>
      </c>
      <c r="F439" t="s">
        <v>182</v>
      </c>
      <c r="G439">
        <v>22</v>
      </c>
      <c r="H439">
        <v>1791882490001</v>
      </c>
      <c r="I439" t="s">
        <v>46</v>
      </c>
      <c r="J439" t="s">
        <v>48</v>
      </c>
      <c r="K439" t="s">
        <v>48</v>
      </c>
      <c r="L439" t="s">
        <v>49</v>
      </c>
      <c r="M439" t="s">
        <v>50</v>
      </c>
      <c r="N439" t="s">
        <v>51</v>
      </c>
      <c r="O439">
        <v>8421299090</v>
      </c>
      <c r="P439" t="s">
        <v>213</v>
      </c>
      <c r="Q439" t="s">
        <v>600</v>
      </c>
      <c r="R439" t="s">
        <v>54</v>
      </c>
      <c r="S439" t="s">
        <v>55</v>
      </c>
      <c r="T439">
        <v>8</v>
      </c>
      <c r="U439">
        <v>2</v>
      </c>
      <c r="V439" t="s">
        <v>135</v>
      </c>
      <c r="W439">
        <v>0</v>
      </c>
      <c r="X439">
        <v>241.33</v>
      </c>
      <c r="Y439">
        <v>49.03</v>
      </c>
      <c r="Z439">
        <v>1.55</v>
      </c>
      <c r="AA439">
        <v>291.92</v>
      </c>
      <c r="AB439" t="s">
        <v>57</v>
      </c>
      <c r="AC439" t="s">
        <v>81</v>
      </c>
      <c r="AD439" t="s">
        <v>48</v>
      </c>
      <c r="AE439">
        <v>0</v>
      </c>
      <c r="AF439">
        <v>6.48</v>
      </c>
      <c r="AG439" t="s">
        <v>59</v>
      </c>
      <c r="AH439">
        <v>413505</v>
      </c>
      <c r="AI439" t="s">
        <v>60</v>
      </c>
      <c r="AJ439" t="s">
        <v>60</v>
      </c>
      <c r="AK439" t="s">
        <v>54</v>
      </c>
      <c r="AL439">
        <v>2023</v>
      </c>
      <c r="AM439" s="6" t="s">
        <v>601</v>
      </c>
      <c r="AN439" s="7">
        <v>120.66</v>
      </c>
      <c r="AO439" s="8">
        <f t="shared" si="21"/>
        <v>226.23749999999998</v>
      </c>
      <c r="AP439" s="8">
        <f t="shared" si="22"/>
        <v>251.34986249999997</v>
      </c>
      <c r="AQ439" s="9">
        <f t="shared" si="20"/>
        <v>366.48212624999996</v>
      </c>
    </row>
    <row r="440" spans="1:43" x14ac:dyDescent="0.25">
      <c r="A440">
        <v>2</v>
      </c>
      <c r="B440">
        <v>1</v>
      </c>
      <c r="C440">
        <v>2024</v>
      </c>
      <c r="D440" t="s">
        <v>43</v>
      </c>
      <c r="E440" t="s">
        <v>181</v>
      </c>
      <c r="F440" t="s">
        <v>182</v>
      </c>
      <c r="G440">
        <v>23</v>
      </c>
      <c r="H440">
        <v>1791882490001</v>
      </c>
      <c r="I440" t="s">
        <v>46</v>
      </c>
      <c r="J440" t="s">
        <v>48</v>
      </c>
      <c r="K440" t="s">
        <v>48</v>
      </c>
      <c r="L440" t="s">
        <v>49</v>
      </c>
      <c r="M440" t="s">
        <v>50</v>
      </c>
      <c r="N440" t="s">
        <v>51</v>
      </c>
      <c r="O440">
        <v>8537109090</v>
      </c>
      <c r="P440" t="s">
        <v>52</v>
      </c>
      <c r="Q440" t="s">
        <v>602</v>
      </c>
      <c r="R440" t="s">
        <v>54</v>
      </c>
      <c r="S440" t="s">
        <v>55</v>
      </c>
      <c r="T440">
        <v>8</v>
      </c>
      <c r="U440">
        <v>2</v>
      </c>
      <c r="V440" t="s">
        <v>135</v>
      </c>
      <c r="W440">
        <v>0</v>
      </c>
      <c r="X440">
        <v>1411.09</v>
      </c>
      <c r="Y440">
        <v>286.70999999999998</v>
      </c>
      <c r="Z440">
        <v>9.08</v>
      </c>
      <c r="AA440">
        <v>1706.88</v>
      </c>
      <c r="AB440" t="s">
        <v>57</v>
      </c>
      <c r="AC440" t="s">
        <v>81</v>
      </c>
      <c r="AD440" t="s">
        <v>48</v>
      </c>
      <c r="AE440">
        <v>0</v>
      </c>
      <c r="AF440">
        <v>6.48</v>
      </c>
      <c r="AG440" t="s">
        <v>59</v>
      </c>
      <c r="AH440">
        <v>413505</v>
      </c>
      <c r="AI440" t="s">
        <v>60</v>
      </c>
      <c r="AJ440" t="s">
        <v>60</v>
      </c>
      <c r="AK440" t="s">
        <v>54</v>
      </c>
      <c r="AL440">
        <v>2023</v>
      </c>
      <c r="AM440" s="6" t="s">
        <v>603</v>
      </c>
      <c r="AN440" s="7">
        <v>705.54</v>
      </c>
      <c r="AO440" s="8">
        <f t="shared" si="21"/>
        <v>1322.8874999999998</v>
      </c>
      <c r="AP440" s="8">
        <f t="shared" si="22"/>
        <v>1469.7280124999997</v>
      </c>
      <c r="AQ440" s="9">
        <f t="shared" si="20"/>
        <v>2142.9454612499994</v>
      </c>
    </row>
    <row r="441" spans="1:43" x14ac:dyDescent="0.25">
      <c r="A441">
        <v>20</v>
      </c>
      <c r="B441">
        <v>2</v>
      </c>
      <c r="C441">
        <v>2024</v>
      </c>
      <c r="D441" t="s">
        <v>43</v>
      </c>
      <c r="E441" t="s">
        <v>140</v>
      </c>
      <c r="F441" t="s">
        <v>141</v>
      </c>
      <c r="G441">
        <v>41</v>
      </c>
      <c r="H441">
        <v>1791882490001</v>
      </c>
      <c r="I441" t="s">
        <v>46</v>
      </c>
      <c r="J441" t="s">
        <v>48</v>
      </c>
      <c r="K441" t="s">
        <v>48</v>
      </c>
      <c r="L441" t="s">
        <v>49</v>
      </c>
      <c r="M441" t="s">
        <v>50</v>
      </c>
      <c r="N441" t="s">
        <v>51</v>
      </c>
      <c r="O441">
        <v>8537109090</v>
      </c>
      <c r="P441" t="s">
        <v>66</v>
      </c>
      <c r="Q441" t="s">
        <v>602</v>
      </c>
      <c r="R441" t="s">
        <v>54</v>
      </c>
      <c r="S441" t="s">
        <v>55</v>
      </c>
      <c r="T441">
        <v>6</v>
      </c>
      <c r="U441">
        <v>3</v>
      </c>
      <c r="V441" t="s">
        <v>135</v>
      </c>
      <c r="W441">
        <v>0</v>
      </c>
      <c r="X441">
        <v>2103.9</v>
      </c>
      <c r="Y441">
        <v>188.8</v>
      </c>
      <c r="Z441">
        <v>14.14</v>
      </c>
      <c r="AA441">
        <v>2306.84</v>
      </c>
      <c r="AB441" t="s">
        <v>54</v>
      </c>
      <c r="AC441" t="s">
        <v>143</v>
      </c>
      <c r="AD441" t="s">
        <v>48</v>
      </c>
      <c r="AE441">
        <v>0</v>
      </c>
      <c r="AF441">
        <v>5.61</v>
      </c>
      <c r="AG441" t="s">
        <v>59</v>
      </c>
      <c r="AH441">
        <v>876053</v>
      </c>
      <c r="AI441" t="s">
        <v>60</v>
      </c>
      <c r="AJ441" t="s">
        <v>60</v>
      </c>
      <c r="AK441" t="s">
        <v>54</v>
      </c>
      <c r="AL441">
        <v>2024</v>
      </c>
      <c r="AM441" s="6" t="s">
        <v>603</v>
      </c>
      <c r="AN441" s="7">
        <v>701.3</v>
      </c>
      <c r="AO441" s="8">
        <f t="shared" si="21"/>
        <v>1314.9375</v>
      </c>
      <c r="AP441" s="8">
        <f t="shared" si="22"/>
        <v>1460.8955625000001</v>
      </c>
      <c r="AQ441" s="9">
        <f t="shared" si="20"/>
        <v>2130.0672562499999</v>
      </c>
    </row>
    <row r="442" spans="1:43" x14ac:dyDescent="0.25">
      <c r="A442">
        <v>8</v>
      </c>
      <c r="B442">
        <v>7</v>
      </c>
      <c r="C442">
        <v>2024</v>
      </c>
      <c r="D442" t="s">
        <v>43</v>
      </c>
      <c r="E442" t="s">
        <v>75</v>
      </c>
      <c r="F442" t="s">
        <v>76</v>
      </c>
      <c r="G442">
        <v>31</v>
      </c>
      <c r="H442">
        <v>1791882490001</v>
      </c>
      <c r="I442" t="s">
        <v>46</v>
      </c>
      <c r="J442" t="s">
        <v>48</v>
      </c>
      <c r="K442" t="s">
        <v>48</v>
      </c>
      <c r="L442" t="s">
        <v>49</v>
      </c>
      <c r="M442" t="s">
        <v>50</v>
      </c>
      <c r="N442" t="s">
        <v>51</v>
      </c>
      <c r="O442">
        <v>8537109090</v>
      </c>
      <c r="P442" t="s">
        <v>66</v>
      </c>
      <c r="Q442" t="s">
        <v>604</v>
      </c>
      <c r="R442" t="s">
        <v>54</v>
      </c>
      <c r="S442" t="s">
        <v>55</v>
      </c>
      <c r="T442">
        <v>8</v>
      </c>
      <c r="U442">
        <v>1</v>
      </c>
      <c r="V442" t="s">
        <v>135</v>
      </c>
      <c r="W442">
        <v>0</v>
      </c>
      <c r="X442">
        <v>1097.76</v>
      </c>
      <c r="Y442">
        <v>93.76</v>
      </c>
      <c r="Z442">
        <v>7.14</v>
      </c>
      <c r="AA442">
        <v>1198.6600000000001</v>
      </c>
      <c r="AB442" t="s">
        <v>57</v>
      </c>
      <c r="AC442" t="s">
        <v>77</v>
      </c>
      <c r="AD442" t="s">
        <v>48</v>
      </c>
      <c r="AE442">
        <v>0</v>
      </c>
      <c r="AF442">
        <v>7.26</v>
      </c>
      <c r="AG442" t="s">
        <v>59</v>
      </c>
      <c r="AH442">
        <v>107711</v>
      </c>
      <c r="AI442" t="s">
        <v>60</v>
      </c>
      <c r="AJ442" t="s">
        <v>78</v>
      </c>
      <c r="AK442" t="s">
        <v>54</v>
      </c>
      <c r="AL442">
        <v>2024</v>
      </c>
      <c r="AM442" s="6" t="s">
        <v>603</v>
      </c>
      <c r="AN442" s="7">
        <v>1097.76</v>
      </c>
      <c r="AO442" s="8">
        <f t="shared" si="21"/>
        <v>2058.3000000000002</v>
      </c>
      <c r="AP442" s="8">
        <f t="shared" si="22"/>
        <v>2286.7713000000003</v>
      </c>
      <c r="AQ442" s="9">
        <f t="shared" si="20"/>
        <v>3334.24017</v>
      </c>
    </row>
    <row r="443" spans="1:43" x14ac:dyDescent="0.25">
      <c r="A443">
        <v>8</v>
      </c>
      <c r="B443">
        <v>7</v>
      </c>
      <c r="C443">
        <v>2024</v>
      </c>
      <c r="D443" t="s">
        <v>43</v>
      </c>
      <c r="E443" t="s">
        <v>75</v>
      </c>
      <c r="F443" t="s">
        <v>76</v>
      </c>
      <c r="G443">
        <v>31</v>
      </c>
      <c r="H443">
        <v>1791882490001</v>
      </c>
      <c r="I443" t="s">
        <v>46</v>
      </c>
      <c r="J443" t="s">
        <v>48</v>
      </c>
      <c r="K443" t="s">
        <v>48</v>
      </c>
      <c r="L443" t="s">
        <v>49</v>
      </c>
      <c r="M443" t="s">
        <v>50</v>
      </c>
      <c r="N443" t="s">
        <v>51</v>
      </c>
      <c r="O443">
        <v>8537109090</v>
      </c>
      <c r="P443" t="s">
        <v>66</v>
      </c>
      <c r="Q443" t="s">
        <v>604</v>
      </c>
      <c r="R443" t="s">
        <v>54</v>
      </c>
      <c r="S443" t="s">
        <v>55</v>
      </c>
      <c r="T443">
        <v>8</v>
      </c>
      <c r="U443">
        <v>1</v>
      </c>
      <c r="V443" t="s">
        <v>135</v>
      </c>
      <c r="W443">
        <v>0</v>
      </c>
      <c r="X443">
        <v>1097.76</v>
      </c>
      <c r="Y443">
        <v>93.76</v>
      </c>
      <c r="Z443">
        <v>7.14</v>
      </c>
      <c r="AA443">
        <v>1198.6600000000001</v>
      </c>
      <c r="AB443" t="s">
        <v>57</v>
      </c>
      <c r="AC443" t="s">
        <v>77</v>
      </c>
      <c r="AD443" t="s">
        <v>48</v>
      </c>
      <c r="AE443">
        <v>0</v>
      </c>
      <c r="AF443">
        <v>7.26</v>
      </c>
      <c r="AG443" t="s">
        <v>59</v>
      </c>
      <c r="AH443">
        <v>107711</v>
      </c>
      <c r="AI443" t="s">
        <v>60</v>
      </c>
      <c r="AJ443" t="s">
        <v>78</v>
      </c>
      <c r="AK443" t="s">
        <v>54</v>
      </c>
      <c r="AL443">
        <v>2024</v>
      </c>
      <c r="AM443" s="6" t="s">
        <v>603</v>
      </c>
      <c r="AN443" s="7">
        <v>1097.76</v>
      </c>
      <c r="AO443" s="8">
        <f t="shared" si="21"/>
        <v>2058.3000000000002</v>
      </c>
      <c r="AP443" s="8">
        <f t="shared" si="22"/>
        <v>2286.7713000000003</v>
      </c>
      <c r="AQ443" s="9">
        <f t="shared" si="20"/>
        <v>3334.24017</v>
      </c>
    </row>
    <row r="444" spans="1:43" x14ac:dyDescent="0.25">
      <c r="A444">
        <v>16</v>
      </c>
      <c r="B444">
        <v>12</v>
      </c>
      <c r="C444">
        <v>2024</v>
      </c>
      <c r="D444" t="s">
        <v>43</v>
      </c>
      <c r="E444" t="s">
        <v>128</v>
      </c>
      <c r="F444" t="s">
        <v>129</v>
      </c>
      <c r="G444">
        <v>29</v>
      </c>
      <c r="H444">
        <v>1791882490001</v>
      </c>
      <c r="I444" t="s">
        <v>46</v>
      </c>
      <c r="J444" t="s">
        <v>48</v>
      </c>
      <c r="K444" t="s">
        <v>48</v>
      </c>
      <c r="L444" t="s">
        <v>49</v>
      </c>
      <c r="M444" t="s">
        <v>50</v>
      </c>
      <c r="N444" t="s">
        <v>51</v>
      </c>
      <c r="O444">
        <v>8537109090</v>
      </c>
      <c r="P444" t="s">
        <v>52</v>
      </c>
      <c r="Q444" t="s">
        <v>605</v>
      </c>
      <c r="R444" t="s">
        <v>54</v>
      </c>
      <c r="S444" t="s">
        <v>55</v>
      </c>
      <c r="T444">
        <v>9</v>
      </c>
      <c r="U444">
        <v>3</v>
      </c>
      <c r="V444" t="s">
        <v>135</v>
      </c>
      <c r="W444">
        <v>0</v>
      </c>
      <c r="X444">
        <v>3080.52</v>
      </c>
      <c r="Y444">
        <v>403.44</v>
      </c>
      <c r="Z444">
        <v>21.13</v>
      </c>
      <c r="AA444">
        <v>3505.09</v>
      </c>
      <c r="AB444" t="s">
        <v>57</v>
      </c>
      <c r="AC444" t="s">
        <v>131</v>
      </c>
      <c r="AD444" t="s">
        <v>48</v>
      </c>
      <c r="AE444">
        <v>0</v>
      </c>
      <c r="AF444">
        <v>5.97</v>
      </c>
      <c r="AG444" t="s">
        <v>59</v>
      </c>
      <c r="AH444">
        <v>325395</v>
      </c>
      <c r="AI444" t="s">
        <v>60</v>
      </c>
      <c r="AJ444" t="s">
        <v>78</v>
      </c>
      <c r="AK444" t="s">
        <v>54</v>
      </c>
      <c r="AL444">
        <v>2024</v>
      </c>
      <c r="AM444" s="6" t="s">
        <v>603</v>
      </c>
      <c r="AN444" s="7">
        <v>1026.8399999999999</v>
      </c>
      <c r="AO444" s="8">
        <f t="shared" si="21"/>
        <v>1925.3249999999998</v>
      </c>
      <c r="AP444" s="8">
        <f t="shared" si="22"/>
        <v>2139.036075</v>
      </c>
      <c r="AQ444" s="9">
        <f t="shared" si="20"/>
        <v>3118.8339674999993</v>
      </c>
    </row>
    <row r="445" spans="1:43" x14ac:dyDescent="0.25">
      <c r="A445">
        <v>26</v>
      </c>
      <c r="B445">
        <v>12</v>
      </c>
      <c r="C445">
        <v>2024</v>
      </c>
      <c r="D445" t="s">
        <v>43</v>
      </c>
      <c r="E445" t="s">
        <v>222</v>
      </c>
      <c r="F445" t="s">
        <v>223</v>
      </c>
      <c r="G445">
        <v>20</v>
      </c>
      <c r="H445">
        <v>1791882490001</v>
      </c>
      <c r="I445" t="s">
        <v>46</v>
      </c>
      <c r="J445" t="s">
        <v>48</v>
      </c>
      <c r="K445" t="s">
        <v>48</v>
      </c>
      <c r="L445" t="s">
        <v>49</v>
      </c>
      <c r="M445" t="s">
        <v>50</v>
      </c>
      <c r="N445" t="s">
        <v>224</v>
      </c>
      <c r="O445">
        <v>8537109090</v>
      </c>
      <c r="P445" t="s">
        <v>52</v>
      </c>
      <c r="Q445" t="s">
        <v>605</v>
      </c>
      <c r="R445" t="s">
        <v>54</v>
      </c>
      <c r="S445" t="s">
        <v>55</v>
      </c>
      <c r="T445">
        <v>8</v>
      </c>
      <c r="U445">
        <v>1</v>
      </c>
      <c r="V445" t="s">
        <v>135</v>
      </c>
      <c r="W445">
        <v>0</v>
      </c>
      <c r="X445">
        <v>1040.0899999999999</v>
      </c>
      <c r="Y445">
        <v>215.4</v>
      </c>
      <c r="Z445">
        <v>10.4</v>
      </c>
      <c r="AA445">
        <v>1265.8900000000001</v>
      </c>
      <c r="AB445" t="s">
        <v>57</v>
      </c>
      <c r="AC445" t="s">
        <v>225</v>
      </c>
      <c r="AD445" t="s">
        <v>48</v>
      </c>
      <c r="AE445">
        <v>0</v>
      </c>
      <c r="AF445">
        <v>2.06</v>
      </c>
      <c r="AG445" t="s">
        <v>59</v>
      </c>
      <c r="AH445">
        <v>341996</v>
      </c>
      <c r="AI445" t="s">
        <v>60</v>
      </c>
      <c r="AJ445" t="s">
        <v>60</v>
      </c>
      <c r="AK445" t="s">
        <v>54</v>
      </c>
      <c r="AL445">
        <v>2024</v>
      </c>
      <c r="AM445" s="6" t="s">
        <v>603</v>
      </c>
      <c r="AN445" s="7">
        <v>1040.0899999999999</v>
      </c>
      <c r="AO445" s="8">
        <f t="shared" si="21"/>
        <v>1950.1687499999998</v>
      </c>
      <c r="AP445" s="8">
        <f t="shared" si="22"/>
        <v>2166.6374812499998</v>
      </c>
      <c r="AQ445" s="9">
        <f t="shared" si="20"/>
        <v>3159.0783581249993</v>
      </c>
    </row>
    <row r="446" spans="1:43" x14ac:dyDescent="0.25">
      <c r="A446">
        <v>10</v>
      </c>
      <c r="B446">
        <v>10</v>
      </c>
      <c r="C446">
        <v>2024</v>
      </c>
      <c r="D446" t="s">
        <v>43</v>
      </c>
      <c r="E446" t="s">
        <v>44</v>
      </c>
      <c r="F446" t="s">
        <v>45</v>
      </c>
      <c r="G446">
        <v>31</v>
      </c>
      <c r="H446">
        <v>1791882490001</v>
      </c>
      <c r="I446" t="s">
        <v>46</v>
      </c>
      <c r="J446" t="s">
        <v>48</v>
      </c>
      <c r="K446" t="s">
        <v>48</v>
      </c>
      <c r="L446" t="s">
        <v>49</v>
      </c>
      <c r="M446" t="s">
        <v>50</v>
      </c>
      <c r="N446" t="s">
        <v>51</v>
      </c>
      <c r="O446">
        <v>8482500000</v>
      </c>
      <c r="P446" t="s">
        <v>606</v>
      </c>
      <c r="Q446" t="s">
        <v>455</v>
      </c>
      <c r="R446" t="s">
        <v>54</v>
      </c>
      <c r="S446" t="s">
        <v>55</v>
      </c>
      <c r="T446">
        <v>7</v>
      </c>
      <c r="U446">
        <v>1</v>
      </c>
      <c r="V446" t="s">
        <v>135</v>
      </c>
      <c r="W446">
        <v>0</v>
      </c>
      <c r="X446">
        <v>675.42</v>
      </c>
      <c r="Y446">
        <v>118.01</v>
      </c>
      <c r="Z446">
        <v>4.87</v>
      </c>
      <c r="AA446">
        <v>798.3</v>
      </c>
      <c r="AB446" t="s">
        <v>57</v>
      </c>
      <c r="AC446" t="s">
        <v>58</v>
      </c>
      <c r="AD446" t="s">
        <v>48</v>
      </c>
      <c r="AE446">
        <v>0</v>
      </c>
      <c r="AF446">
        <v>7.29</v>
      </c>
      <c r="AG446" t="s">
        <v>59</v>
      </c>
      <c r="AH446">
        <v>179772</v>
      </c>
      <c r="AI446" t="s">
        <v>60</v>
      </c>
      <c r="AJ446" t="s">
        <v>60</v>
      </c>
      <c r="AK446" t="s">
        <v>54</v>
      </c>
      <c r="AL446">
        <v>2024</v>
      </c>
      <c r="AM446" s="6" t="s">
        <v>607</v>
      </c>
      <c r="AN446" s="7">
        <v>675.42</v>
      </c>
      <c r="AO446" s="8">
        <f t="shared" si="21"/>
        <v>1266.4124999999999</v>
      </c>
      <c r="AP446" s="8">
        <f t="shared" si="22"/>
        <v>1406.9842874999999</v>
      </c>
      <c r="AQ446" s="9">
        <f t="shared" si="20"/>
        <v>2051.4616087499999</v>
      </c>
    </row>
    <row r="447" spans="1:43" x14ac:dyDescent="0.25">
      <c r="A447">
        <v>13</v>
      </c>
      <c r="B447">
        <v>3</v>
      </c>
      <c r="C447">
        <v>2024</v>
      </c>
      <c r="D447" t="s">
        <v>43</v>
      </c>
      <c r="E447" t="s">
        <v>69</v>
      </c>
      <c r="F447" t="s">
        <v>70</v>
      </c>
      <c r="G447">
        <v>24</v>
      </c>
      <c r="H447">
        <v>1791882490001</v>
      </c>
      <c r="I447" t="s">
        <v>46</v>
      </c>
      <c r="J447" t="s">
        <v>48</v>
      </c>
      <c r="K447" t="s">
        <v>48</v>
      </c>
      <c r="L447" t="s">
        <v>49</v>
      </c>
      <c r="M447" t="s">
        <v>50</v>
      </c>
      <c r="N447" t="s">
        <v>51</v>
      </c>
      <c r="O447">
        <v>8504409000</v>
      </c>
      <c r="P447" t="s">
        <v>66</v>
      </c>
      <c r="Q447" t="s">
        <v>608</v>
      </c>
      <c r="R447" t="s">
        <v>54</v>
      </c>
      <c r="S447" t="s">
        <v>55</v>
      </c>
      <c r="T447">
        <v>11</v>
      </c>
      <c r="U447">
        <v>1</v>
      </c>
      <c r="V447" t="s">
        <v>135</v>
      </c>
      <c r="W447">
        <v>0</v>
      </c>
      <c r="X447">
        <v>5922.17</v>
      </c>
      <c r="Y447">
        <v>775.49</v>
      </c>
      <c r="Z447">
        <v>39.86</v>
      </c>
      <c r="AA447">
        <v>6737.53</v>
      </c>
      <c r="AB447" t="s">
        <v>54</v>
      </c>
      <c r="AC447" t="s">
        <v>71</v>
      </c>
      <c r="AD447" t="s">
        <v>48</v>
      </c>
      <c r="AE447">
        <v>0</v>
      </c>
      <c r="AF447">
        <v>2.0299999999999998</v>
      </c>
      <c r="AG447" t="s">
        <v>59</v>
      </c>
      <c r="AH447">
        <v>895279</v>
      </c>
      <c r="AI447" t="s">
        <v>60</v>
      </c>
      <c r="AJ447" t="s">
        <v>60</v>
      </c>
      <c r="AK447" t="s">
        <v>54</v>
      </c>
      <c r="AL447">
        <v>2024</v>
      </c>
      <c r="AM447" s="6" t="s">
        <v>609</v>
      </c>
      <c r="AN447" s="7">
        <v>5922.17</v>
      </c>
      <c r="AO447" s="8">
        <f t="shared" si="21"/>
        <v>11104.06875</v>
      </c>
      <c r="AP447" s="8">
        <f t="shared" si="22"/>
        <v>12336.620381250001</v>
      </c>
      <c r="AQ447" s="9">
        <f t="shared" si="20"/>
        <v>17987.480968125001</v>
      </c>
    </row>
    <row r="448" spans="1:43" x14ac:dyDescent="0.25">
      <c r="A448">
        <v>16</v>
      </c>
      <c r="B448">
        <v>12</v>
      </c>
      <c r="C448">
        <v>2024</v>
      </c>
      <c r="D448" t="s">
        <v>43</v>
      </c>
      <c r="E448" t="s">
        <v>128</v>
      </c>
      <c r="F448" t="s">
        <v>129</v>
      </c>
      <c r="G448">
        <v>16</v>
      </c>
      <c r="H448">
        <v>1791882490001</v>
      </c>
      <c r="I448" t="s">
        <v>46</v>
      </c>
      <c r="J448" t="s">
        <v>48</v>
      </c>
      <c r="K448" t="s">
        <v>48</v>
      </c>
      <c r="L448" t="s">
        <v>49</v>
      </c>
      <c r="M448" t="s">
        <v>50</v>
      </c>
      <c r="N448" t="s">
        <v>51</v>
      </c>
      <c r="O448">
        <v>8481809990</v>
      </c>
      <c r="P448" t="s">
        <v>232</v>
      </c>
      <c r="Q448" t="s">
        <v>217</v>
      </c>
      <c r="R448" t="s">
        <v>54</v>
      </c>
      <c r="S448" t="s">
        <v>55</v>
      </c>
      <c r="T448">
        <v>9</v>
      </c>
      <c r="U448">
        <v>2</v>
      </c>
      <c r="V448" t="s">
        <v>135</v>
      </c>
      <c r="W448">
        <v>0</v>
      </c>
      <c r="X448">
        <v>620.64</v>
      </c>
      <c r="Y448">
        <v>81.28</v>
      </c>
      <c r="Z448">
        <v>4.26</v>
      </c>
      <c r="AA448">
        <v>706.18</v>
      </c>
      <c r="AB448" t="s">
        <v>57</v>
      </c>
      <c r="AC448" t="s">
        <v>131</v>
      </c>
      <c r="AD448" t="s">
        <v>48</v>
      </c>
      <c r="AE448">
        <v>0</v>
      </c>
      <c r="AF448">
        <v>3.98</v>
      </c>
      <c r="AG448" t="s">
        <v>59</v>
      </c>
      <c r="AH448">
        <v>325395</v>
      </c>
      <c r="AI448" t="s">
        <v>60</v>
      </c>
      <c r="AJ448" t="s">
        <v>78</v>
      </c>
      <c r="AK448" t="s">
        <v>54</v>
      </c>
      <c r="AL448">
        <v>2024</v>
      </c>
      <c r="AM448" s="6" t="s">
        <v>610</v>
      </c>
      <c r="AN448" s="7">
        <v>310.32</v>
      </c>
      <c r="AO448" s="8">
        <f t="shared" si="21"/>
        <v>581.85</v>
      </c>
      <c r="AP448" s="8">
        <f t="shared" si="22"/>
        <v>646.43534999999997</v>
      </c>
      <c r="AQ448" s="9">
        <f t="shared" si="20"/>
        <v>942.538815</v>
      </c>
    </row>
    <row r="449" spans="1:43" x14ac:dyDescent="0.25">
      <c r="A449">
        <v>20</v>
      </c>
      <c r="B449">
        <v>2</v>
      </c>
      <c r="C449">
        <v>2024</v>
      </c>
      <c r="D449" t="s">
        <v>43</v>
      </c>
      <c r="E449" t="s">
        <v>140</v>
      </c>
      <c r="F449" t="s">
        <v>141</v>
      </c>
      <c r="G449">
        <v>42</v>
      </c>
      <c r="H449">
        <v>1791882490001</v>
      </c>
      <c r="I449" t="s">
        <v>46</v>
      </c>
      <c r="J449" t="s">
        <v>343</v>
      </c>
      <c r="K449" t="s">
        <v>48</v>
      </c>
      <c r="L449" t="s">
        <v>49</v>
      </c>
      <c r="M449" t="s">
        <v>50</v>
      </c>
      <c r="N449" t="s">
        <v>51</v>
      </c>
      <c r="O449">
        <v>8537109090</v>
      </c>
      <c r="P449" t="s">
        <v>66</v>
      </c>
      <c r="Q449" t="s">
        <v>452</v>
      </c>
      <c r="R449" t="s">
        <v>54</v>
      </c>
      <c r="S449" t="s">
        <v>55</v>
      </c>
      <c r="T449">
        <v>6</v>
      </c>
      <c r="U449">
        <v>2</v>
      </c>
      <c r="V449" t="s">
        <v>135</v>
      </c>
      <c r="W449">
        <v>0</v>
      </c>
      <c r="X449">
        <v>1052.02</v>
      </c>
      <c r="Y449">
        <v>94.4</v>
      </c>
      <c r="Z449">
        <v>7.07</v>
      </c>
      <c r="AA449">
        <v>1153.49</v>
      </c>
      <c r="AB449" t="s">
        <v>54</v>
      </c>
      <c r="AC449" t="s">
        <v>143</v>
      </c>
      <c r="AD449" t="s">
        <v>48</v>
      </c>
      <c r="AE449">
        <v>0</v>
      </c>
      <c r="AF449">
        <v>3.74</v>
      </c>
      <c r="AG449" t="s">
        <v>59</v>
      </c>
      <c r="AH449">
        <v>876053</v>
      </c>
      <c r="AI449" t="s">
        <v>60</v>
      </c>
      <c r="AJ449" t="s">
        <v>60</v>
      </c>
      <c r="AK449" t="s">
        <v>54</v>
      </c>
      <c r="AL449">
        <v>2024</v>
      </c>
      <c r="AM449" s="6" t="s">
        <v>611</v>
      </c>
      <c r="AN449" s="7">
        <v>526.01</v>
      </c>
      <c r="AO449" s="8">
        <f t="shared" si="21"/>
        <v>986.26874999999995</v>
      </c>
      <c r="AP449" s="8">
        <f t="shared" si="22"/>
        <v>1095.74458125</v>
      </c>
      <c r="AQ449" s="9">
        <f t="shared" si="20"/>
        <v>1597.6567481249999</v>
      </c>
    </row>
    <row r="450" spans="1:43" x14ac:dyDescent="0.25">
      <c r="A450">
        <v>16</v>
      </c>
      <c r="B450">
        <v>12</v>
      </c>
      <c r="C450">
        <v>2024</v>
      </c>
      <c r="D450" t="s">
        <v>43</v>
      </c>
      <c r="E450" t="s">
        <v>128</v>
      </c>
      <c r="F450" t="s">
        <v>129</v>
      </c>
      <c r="G450">
        <v>30</v>
      </c>
      <c r="H450">
        <v>1791882490001</v>
      </c>
      <c r="I450" t="s">
        <v>46</v>
      </c>
      <c r="J450" t="s">
        <v>343</v>
      </c>
      <c r="K450" t="s">
        <v>48</v>
      </c>
      <c r="L450" t="s">
        <v>49</v>
      </c>
      <c r="M450" t="s">
        <v>50</v>
      </c>
      <c r="N450" t="s">
        <v>51</v>
      </c>
      <c r="O450">
        <v>8537101000</v>
      </c>
      <c r="P450" t="s">
        <v>612</v>
      </c>
      <c r="Q450" t="s">
        <v>613</v>
      </c>
      <c r="R450" t="s">
        <v>54</v>
      </c>
      <c r="S450" t="s">
        <v>55</v>
      </c>
      <c r="T450">
        <v>9</v>
      </c>
      <c r="U450">
        <v>1</v>
      </c>
      <c r="V450" t="s">
        <v>135</v>
      </c>
      <c r="W450">
        <v>26.34</v>
      </c>
      <c r="X450">
        <v>551.15</v>
      </c>
      <c r="Y450">
        <v>72.180000000000007</v>
      </c>
      <c r="Z450">
        <v>3.78</v>
      </c>
      <c r="AA450">
        <v>627.12</v>
      </c>
      <c r="AB450" t="s">
        <v>57</v>
      </c>
      <c r="AC450" t="s">
        <v>131</v>
      </c>
      <c r="AD450" t="s">
        <v>48</v>
      </c>
      <c r="AE450">
        <v>0</v>
      </c>
      <c r="AF450">
        <v>1.99</v>
      </c>
      <c r="AG450" t="s">
        <v>59</v>
      </c>
      <c r="AH450">
        <v>325395</v>
      </c>
      <c r="AI450" t="s">
        <v>60</v>
      </c>
      <c r="AJ450" t="s">
        <v>78</v>
      </c>
      <c r="AK450" t="s">
        <v>54</v>
      </c>
      <c r="AL450">
        <v>2024</v>
      </c>
      <c r="AM450" s="6" t="s">
        <v>611</v>
      </c>
      <c r="AN450" s="7">
        <v>551.15</v>
      </c>
      <c r="AO450" s="8">
        <f t="shared" si="21"/>
        <v>1033.40625</v>
      </c>
      <c r="AP450" s="8">
        <f t="shared" si="22"/>
        <v>1148.11434375</v>
      </c>
      <c r="AQ450" s="9">
        <f t="shared" si="20"/>
        <v>1674.0147843749999</v>
      </c>
    </row>
    <row r="451" spans="1:43" x14ac:dyDescent="0.25">
      <c r="A451">
        <v>20</v>
      </c>
      <c r="B451">
        <v>2</v>
      </c>
      <c r="C451">
        <v>2024</v>
      </c>
      <c r="D451" t="s">
        <v>43</v>
      </c>
      <c r="E451" t="s">
        <v>140</v>
      </c>
      <c r="F451" t="s">
        <v>141</v>
      </c>
      <c r="G451">
        <v>43</v>
      </c>
      <c r="H451">
        <v>1791882490001</v>
      </c>
      <c r="I451" t="s">
        <v>46</v>
      </c>
      <c r="J451" t="s">
        <v>343</v>
      </c>
      <c r="K451" t="s">
        <v>48</v>
      </c>
      <c r="L451" t="s">
        <v>49</v>
      </c>
      <c r="M451" t="s">
        <v>50</v>
      </c>
      <c r="N451" t="s">
        <v>51</v>
      </c>
      <c r="O451">
        <v>8537109090</v>
      </c>
      <c r="P451" t="s">
        <v>66</v>
      </c>
      <c r="Q451" t="s">
        <v>452</v>
      </c>
      <c r="R451" t="s">
        <v>54</v>
      </c>
      <c r="S451" t="s">
        <v>55</v>
      </c>
      <c r="T451">
        <v>6</v>
      </c>
      <c r="U451">
        <v>1</v>
      </c>
      <c r="V451" t="s">
        <v>135</v>
      </c>
      <c r="W451">
        <v>0</v>
      </c>
      <c r="X451">
        <v>511.43</v>
      </c>
      <c r="Y451">
        <v>45.89</v>
      </c>
      <c r="Z451">
        <v>3.44</v>
      </c>
      <c r="AA451">
        <v>560.76</v>
      </c>
      <c r="AB451" t="s">
        <v>54</v>
      </c>
      <c r="AC451" t="s">
        <v>143</v>
      </c>
      <c r="AD451" t="s">
        <v>48</v>
      </c>
      <c r="AE451">
        <v>0</v>
      </c>
      <c r="AF451">
        <v>1.87</v>
      </c>
      <c r="AG451" t="s">
        <v>59</v>
      </c>
      <c r="AH451">
        <v>876053</v>
      </c>
      <c r="AI451" t="s">
        <v>60</v>
      </c>
      <c r="AJ451" t="s">
        <v>60</v>
      </c>
      <c r="AK451" t="s">
        <v>54</v>
      </c>
      <c r="AL451">
        <v>2024</v>
      </c>
      <c r="AM451" s="6" t="s">
        <v>614</v>
      </c>
      <c r="AN451" s="7">
        <v>511.43</v>
      </c>
      <c r="AO451" s="8">
        <f t="shared" si="21"/>
        <v>958.93124999999998</v>
      </c>
      <c r="AP451" s="8">
        <f t="shared" si="22"/>
        <v>1065.3726187499999</v>
      </c>
      <c r="AQ451" s="9">
        <f t="shared" ref="AQ451:AQ514" si="23">SUM(AO451)*1.6199</f>
        <v>1553.3727318749998</v>
      </c>
    </row>
    <row r="452" spans="1:43" x14ac:dyDescent="0.25">
      <c r="A452">
        <v>8</v>
      </c>
      <c r="B452">
        <v>7</v>
      </c>
      <c r="C452">
        <v>2024</v>
      </c>
      <c r="D452" t="s">
        <v>43</v>
      </c>
      <c r="E452" t="s">
        <v>75</v>
      </c>
      <c r="F452" t="s">
        <v>76</v>
      </c>
      <c r="G452">
        <v>32</v>
      </c>
      <c r="H452">
        <v>1791882490001</v>
      </c>
      <c r="I452" t="s">
        <v>46</v>
      </c>
      <c r="J452" t="s">
        <v>343</v>
      </c>
      <c r="K452" t="s">
        <v>48</v>
      </c>
      <c r="L452" t="s">
        <v>49</v>
      </c>
      <c r="M452" t="s">
        <v>50</v>
      </c>
      <c r="N452" t="s">
        <v>51</v>
      </c>
      <c r="O452">
        <v>8537109090</v>
      </c>
      <c r="P452" t="s">
        <v>66</v>
      </c>
      <c r="Q452" t="s">
        <v>615</v>
      </c>
      <c r="R452" t="s">
        <v>54</v>
      </c>
      <c r="S452" t="s">
        <v>55</v>
      </c>
      <c r="T452">
        <v>8</v>
      </c>
      <c r="U452">
        <v>1</v>
      </c>
      <c r="V452" t="s">
        <v>135</v>
      </c>
      <c r="W452">
        <v>0</v>
      </c>
      <c r="X452">
        <v>679</v>
      </c>
      <c r="Y452">
        <v>57.99</v>
      </c>
      <c r="Z452">
        <v>4.42</v>
      </c>
      <c r="AA452">
        <v>741.41</v>
      </c>
      <c r="AB452" t="s">
        <v>57</v>
      </c>
      <c r="AC452" t="s">
        <v>77</v>
      </c>
      <c r="AD452" t="s">
        <v>48</v>
      </c>
      <c r="AE452">
        <v>0</v>
      </c>
      <c r="AF452">
        <v>4.49</v>
      </c>
      <c r="AG452" t="s">
        <v>59</v>
      </c>
      <c r="AH452">
        <v>107711</v>
      </c>
      <c r="AI452" t="s">
        <v>60</v>
      </c>
      <c r="AJ452" t="s">
        <v>78</v>
      </c>
      <c r="AK452" t="s">
        <v>54</v>
      </c>
      <c r="AL452">
        <v>2024</v>
      </c>
      <c r="AM452" s="6" t="s">
        <v>616</v>
      </c>
      <c r="AN452" s="7">
        <v>679</v>
      </c>
      <c r="AO452" s="8">
        <f t="shared" si="21"/>
        <v>1273.125</v>
      </c>
      <c r="AP452" s="8">
        <f t="shared" si="22"/>
        <v>1414.441875</v>
      </c>
      <c r="AQ452" s="9">
        <f t="shared" si="23"/>
        <v>2062.3351874999998</v>
      </c>
    </row>
    <row r="453" spans="1:43" x14ac:dyDescent="0.25">
      <c r="A453">
        <v>8</v>
      </c>
      <c r="B453">
        <v>7</v>
      </c>
      <c r="C453">
        <v>2024</v>
      </c>
      <c r="D453" t="s">
        <v>43</v>
      </c>
      <c r="E453" t="s">
        <v>75</v>
      </c>
      <c r="F453" t="s">
        <v>76</v>
      </c>
      <c r="G453">
        <v>32</v>
      </c>
      <c r="H453">
        <v>1791882490001</v>
      </c>
      <c r="I453" t="s">
        <v>46</v>
      </c>
      <c r="J453" t="s">
        <v>343</v>
      </c>
      <c r="K453" t="s">
        <v>48</v>
      </c>
      <c r="L453" t="s">
        <v>49</v>
      </c>
      <c r="M453" t="s">
        <v>50</v>
      </c>
      <c r="N453" t="s">
        <v>51</v>
      </c>
      <c r="O453">
        <v>8537109090</v>
      </c>
      <c r="P453" t="s">
        <v>66</v>
      </c>
      <c r="Q453" t="s">
        <v>615</v>
      </c>
      <c r="R453" t="s">
        <v>54</v>
      </c>
      <c r="S453" t="s">
        <v>55</v>
      </c>
      <c r="T453">
        <v>8</v>
      </c>
      <c r="U453">
        <v>1</v>
      </c>
      <c r="V453" t="s">
        <v>135</v>
      </c>
      <c r="W453">
        <v>0</v>
      </c>
      <c r="X453">
        <v>679</v>
      </c>
      <c r="Y453">
        <v>57.99</v>
      </c>
      <c r="Z453">
        <v>4.42</v>
      </c>
      <c r="AA453">
        <v>741.41</v>
      </c>
      <c r="AB453" t="s">
        <v>57</v>
      </c>
      <c r="AC453" t="s">
        <v>77</v>
      </c>
      <c r="AD453" t="s">
        <v>48</v>
      </c>
      <c r="AE453">
        <v>0</v>
      </c>
      <c r="AF453">
        <v>4.49</v>
      </c>
      <c r="AG453" t="s">
        <v>59</v>
      </c>
      <c r="AH453">
        <v>107711</v>
      </c>
      <c r="AI453" t="s">
        <v>60</v>
      </c>
      <c r="AJ453" t="s">
        <v>78</v>
      </c>
      <c r="AK453" t="s">
        <v>54</v>
      </c>
      <c r="AL453">
        <v>2024</v>
      </c>
      <c r="AM453" s="6" t="s">
        <v>616</v>
      </c>
      <c r="AN453" s="7">
        <v>679</v>
      </c>
      <c r="AO453" s="8">
        <f t="shared" si="21"/>
        <v>1273.125</v>
      </c>
      <c r="AP453" s="8">
        <f t="shared" si="22"/>
        <v>1414.441875</v>
      </c>
      <c r="AQ453" s="9">
        <f t="shared" si="23"/>
        <v>2062.3351874999998</v>
      </c>
    </row>
    <row r="454" spans="1:43" x14ac:dyDescent="0.25">
      <c r="A454">
        <v>19</v>
      </c>
      <c r="B454">
        <v>8</v>
      </c>
      <c r="C454">
        <v>2024</v>
      </c>
      <c r="D454" t="s">
        <v>43</v>
      </c>
      <c r="E454" t="s">
        <v>84</v>
      </c>
      <c r="F454" t="s">
        <v>85</v>
      </c>
      <c r="G454">
        <v>24</v>
      </c>
      <c r="H454">
        <v>1791882490001</v>
      </c>
      <c r="I454" t="s">
        <v>46</v>
      </c>
      <c r="J454" t="s">
        <v>133</v>
      </c>
      <c r="K454" t="s">
        <v>48</v>
      </c>
      <c r="L454" t="s">
        <v>49</v>
      </c>
      <c r="M454" t="s">
        <v>50</v>
      </c>
      <c r="N454" t="s">
        <v>51</v>
      </c>
      <c r="O454">
        <v>8504409000</v>
      </c>
      <c r="P454" t="s">
        <v>66</v>
      </c>
      <c r="Q454" t="s">
        <v>617</v>
      </c>
      <c r="R454" t="s">
        <v>54</v>
      </c>
      <c r="S454" t="s">
        <v>55</v>
      </c>
      <c r="T454">
        <v>6</v>
      </c>
      <c r="U454">
        <v>1</v>
      </c>
      <c r="V454" t="s">
        <v>135</v>
      </c>
      <c r="W454">
        <v>0</v>
      </c>
      <c r="X454">
        <v>2739.22</v>
      </c>
      <c r="Y454">
        <v>353.45</v>
      </c>
      <c r="Z454">
        <v>18.73</v>
      </c>
      <c r="AA454">
        <v>3111.4</v>
      </c>
      <c r="AB454" t="s">
        <v>57</v>
      </c>
      <c r="AC454" t="s">
        <v>58</v>
      </c>
      <c r="AD454" t="s">
        <v>48</v>
      </c>
      <c r="AE454">
        <v>0</v>
      </c>
      <c r="AF454">
        <v>1.41</v>
      </c>
      <c r="AG454" t="s">
        <v>59</v>
      </c>
      <c r="AH454">
        <v>144527</v>
      </c>
      <c r="AI454" t="s">
        <v>60</v>
      </c>
      <c r="AJ454" t="s">
        <v>60</v>
      </c>
      <c r="AK454" t="s">
        <v>54</v>
      </c>
      <c r="AL454">
        <v>2024</v>
      </c>
      <c r="AM454" s="6" t="s">
        <v>618</v>
      </c>
      <c r="AN454" s="7">
        <v>2739.22</v>
      </c>
      <c r="AO454" s="8">
        <f t="shared" si="21"/>
        <v>5136.0374999999995</v>
      </c>
      <c r="AP454" s="8">
        <f t="shared" si="22"/>
        <v>5706.1376624999994</v>
      </c>
      <c r="AQ454" s="9">
        <f t="shared" si="23"/>
        <v>8319.8671462499988</v>
      </c>
    </row>
    <row r="455" spans="1:43" x14ac:dyDescent="0.25">
      <c r="A455">
        <v>13</v>
      </c>
      <c r="B455">
        <v>3</v>
      </c>
      <c r="C455">
        <v>2024</v>
      </c>
      <c r="D455" t="s">
        <v>43</v>
      </c>
      <c r="E455" t="s">
        <v>69</v>
      </c>
      <c r="F455" t="s">
        <v>70</v>
      </c>
      <c r="G455">
        <v>25</v>
      </c>
      <c r="H455">
        <v>1791882490001</v>
      </c>
      <c r="I455" t="s">
        <v>46</v>
      </c>
      <c r="J455" t="s">
        <v>48</v>
      </c>
      <c r="K455" t="s">
        <v>48</v>
      </c>
      <c r="L455" t="s">
        <v>49</v>
      </c>
      <c r="M455" t="s">
        <v>50</v>
      </c>
      <c r="N455" t="s">
        <v>51</v>
      </c>
      <c r="O455">
        <v>8481909090</v>
      </c>
      <c r="P455" t="s">
        <v>103</v>
      </c>
      <c r="Q455" t="s">
        <v>619</v>
      </c>
      <c r="R455" t="s">
        <v>54</v>
      </c>
      <c r="S455" t="s">
        <v>55</v>
      </c>
      <c r="T455">
        <v>11</v>
      </c>
      <c r="U455">
        <v>1</v>
      </c>
      <c r="V455" t="s">
        <v>135</v>
      </c>
      <c r="W455">
        <v>0</v>
      </c>
      <c r="X455">
        <v>189.49</v>
      </c>
      <c r="Y455">
        <v>24.81</v>
      </c>
      <c r="Z455">
        <v>1.27</v>
      </c>
      <c r="AA455">
        <v>215.57</v>
      </c>
      <c r="AB455" t="s">
        <v>54</v>
      </c>
      <c r="AC455" t="s">
        <v>71</v>
      </c>
      <c r="AD455" t="s">
        <v>48</v>
      </c>
      <c r="AE455">
        <v>0</v>
      </c>
      <c r="AF455">
        <v>2.04</v>
      </c>
      <c r="AG455" t="s">
        <v>59</v>
      </c>
      <c r="AH455">
        <v>895279</v>
      </c>
      <c r="AI455" t="s">
        <v>60</v>
      </c>
      <c r="AJ455" t="s">
        <v>60</v>
      </c>
      <c r="AK455" t="s">
        <v>54</v>
      </c>
      <c r="AL455">
        <v>2024</v>
      </c>
      <c r="AM455" s="6" t="s">
        <v>620</v>
      </c>
      <c r="AN455" s="7">
        <v>189.49</v>
      </c>
      <c r="AO455" s="8">
        <f t="shared" si="21"/>
        <v>355.29375000000005</v>
      </c>
      <c r="AP455" s="8">
        <f t="shared" si="22"/>
        <v>394.73135625000003</v>
      </c>
      <c r="AQ455" s="9">
        <f t="shared" si="23"/>
        <v>575.54034562499999</v>
      </c>
    </row>
    <row r="456" spans="1:43" x14ac:dyDescent="0.25">
      <c r="A456">
        <v>10</v>
      </c>
      <c r="B456">
        <v>10</v>
      </c>
      <c r="C456">
        <v>2024</v>
      </c>
      <c r="D456" t="s">
        <v>43</v>
      </c>
      <c r="E456" t="s">
        <v>44</v>
      </c>
      <c r="F456" t="s">
        <v>45</v>
      </c>
      <c r="G456">
        <v>32</v>
      </c>
      <c r="H456">
        <v>1791882490001</v>
      </c>
      <c r="I456" t="s">
        <v>46</v>
      </c>
      <c r="J456" t="s">
        <v>133</v>
      </c>
      <c r="K456" t="s">
        <v>48</v>
      </c>
      <c r="L456" t="s">
        <v>49</v>
      </c>
      <c r="M456" t="s">
        <v>50</v>
      </c>
      <c r="N456" t="s">
        <v>51</v>
      </c>
      <c r="O456">
        <v>7320209090</v>
      </c>
      <c r="P456" t="s">
        <v>52</v>
      </c>
      <c r="Q456" t="s">
        <v>621</v>
      </c>
      <c r="R456" t="s">
        <v>54</v>
      </c>
      <c r="S456" t="s">
        <v>55</v>
      </c>
      <c r="T456">
        <v>7</v>
      </c>
      <c r="U456">
        <v>4</v>
      </c>
      <c r="V456" t="s">
        <v>56</v>
      </c>
      <c r="W456">
        <v>0</v>
      </c>
      <c r="X456">
        <v>259.14</v>
      </c>
      <c r="Y456">
        <v>45.28</v>
      </c>
      <c r="Z456">
        <v>1.87</v>
      </c>
      <c r="AA456">
        <v>306.27999999999997</v>
      </c>
      <c r="AB456" t="s">
        <v>57</v>
      </c>
      <c r="AC456" t="s">
        <v>58</v>
      </c>
      <c r="AD456" t="s">
        <v>48</v>
      </c>
      <c r="AE456">
        <v>0</v>
      </c>
      <c r="AF456">
        <v>2.8</v>
      </c>
      <c r="AG456" t="s">
        <v>59</v>
      </c>
      <c r="AH456">
        <v>179772</v>
      </c>
      <c r="AI456" t="s">
        <v>60</v>
      </c>
      <c r="AJ456" t="s">
        <v>60</v>
      </c>
      <c r="AK456" t="s">
        <v>54</v>
      </c>
      <c r="AL456">
        <v>2024</v>
      </c>
      <c r="AM456" s="6" t="s">
        <v>622</v>
      </c>
      <c r="AN456" s="7">
        <v>64.78</v>
      </c>
      <c r="AO456" s="8">
        <f t="shared" si="21"/>
        <v>121.46250000000001</v>
      </c>
      <c r="AP456" s="8">
        <f t="shared" si="22"/>
        <v>134.94483750000001</v>
      </c>
      <c r="AQ456" s="9">
        <f t="shared" si="23"/>
        <v>196.75710375</v>
      </c>
    </row>
    <row r="457" spans="1:43" x14ac:dyDescent="0.25">
      <c r="A457">
        <v>13</v>
      </c>
      <c r="B457">
        <v>3</v>
      </c>
      <c r="C457">
        <v>2024</v>
      </c>
      <c r="D457" t="s">
        <v>43</v>
      </c>
      <c r="E457" t="s">
        <v>69</v>
      </c>
      <c r="F457" t="s">
        <v>70</v>
      </c>
      <c r="G457">
        <v>26</v>
      </c>
      <c r="H457">
        <v>1791882490001</v>
      </c>
      <c r="I457" t="s">
        <v>46</v>
      </c>
      <c r="J457" t="s">
        <v>133</v>
      </c>
      <c r="K457" t="s">
        <v>48</v>
      </c>
      <c r="L457" t="s">
        <v>49</v>
      </c>
      <c r="M457" t="s">
        <v>50</v>
      </c>
      <c r="N457" t="s">
        <v>51</v>
      </c>
      <c r="O457">
        <v>8481909090</v>
      </c>
      <c r="P457" t="s">
        <v>103</v>
      </c>
      <c r="Q457" t="s">
        <v>623</v>
      </c>
      <c r="R457" t="s">
        <v>54</v>
      </c>
      <c r="S457" t="s">
        <v>55</v>
      </c>
      <c r="T457">
        <v>11</v>
      </c>
      <c r="U457">
        <v>10</v>
      </c>
      <c r="V457" t="s">
        <v>135</v>
      </c>
      <c r="W457">
        <v>0</v>
      </c>
      <c r="X457">
        <v>296.82</v>
      </c>
      <c r="Y457">
        <v>38.869999999999997</v>
      </c>
      <c r="Z457">
        <v>2</v>
      </c>
      <c r="AA457">
        <v>337.68</v>
      </c>
      <c r="AB457" t="s">
        <v>54</v>
      </c>
      <c r="AC457" t="s">
        <v>71</v>
      </c>
      <c r="AD457" t="s">
        <v>48</v>
      </c>
      <c r="AE457">
        <v>0</v>
      </c>
      <c r="AF457">
        <v>20.39</v>
      </c>
      <c r="AG457" t="s">
        <v>59</v>
      </c>
      <c r="AH457">
        <v>895279</v>
      </c>
      <c r="AI457" t="s">
        <v>60</v>
      </c>
      <c r="AJ457" t="s">
        <v>60</v>
      </c>
      <c r="AK457" t="s">
        <v>54</v>
      </c>
      <c r="AL457">
        <v>2024</v>
      </c>
      <c r="AM457" s="6" t="s">
        <v>624</v>
      </c>
      <c r="AN457" s="7">
        <v>29.68</v>
      </c>
      <c r="AO457" s="8">
        <f t="shared" si="21"/>
        <v>55.65</v>
      </c>
      <c r="AP457" s="8">
        <f t="shared" si="22"/>
        <v>61.827149999999996</v>
      </c>
      <c r="AQ457" s="9">
        <f t="shared" si="23"/>
        <v>90.147434999999987</v>
      </c>
    </row>
    <row r="458" spans="1:43" x14ac:dyDescent="0.25">
      <c r="A458">
        <v>3</v>
      </c>
      <c r="B458">
        <v>4</v>
      </c>
      <c r="C458">
        <v>2024</v>
      </c>
      <c r="D458" t="s">
        <v>43</v>
      </c>
      <c r="E458" t="s">
        <v>73</v>
      </c>
      <c r="F458" t="s">
        <v>74</v>
      </c>
      <c r="G458">
        <v>25</v>
      </c>
      <c r="H458">
        <v>1791882490001</v>
      </c>
      <c r="I458" t="s">
        <v>46</v>
      </c>
      <c r="J458" t="s">
        <v>133</v>
      </c>
      <c r="K458" t="s">
        <v>48</v>
      </c>
      <c r="L458" t="s">
        <v>49</v>
      </c>
      <c r="M458" t="s">
        <v>50</v>
      </c>
      <c r="N458" t="s">
        <v>51</v>
      </c>
      <c r="O458">
        <v>8481909090</v>
      </c>
      <c r="P458" t="s">
        <v>103</v>
      </c>
      <c r="Q458" t="s">
        <v>623</v>
      </c>
      <c r="R458" t="s">
        <v>54</v>
      </c>
      <c r="S458" t="s">
        <v>55</v>
      </c>
      <c r="T458">
        <v>6</v>
      </c>
      <c r="U458">
        <v>16</v>
      </c>
      <c r="V458" t="s">
        <v>135</v>
      </c>
      <c r="W458">
        <v>0</v>
      </c>
      <c r="X458">
        <v>483.78</v>
      </c>
      <c r="Y458">
        <v>56.51</v>
      </c>
      <c r="Z458">
        <v>3.16</v>
      </c>
      <c r="AA458">
        <v>543.45000000000005</v>
      </c>
      <c r="AB458" t="s">
        <v>57</v>
      </c>
      <c r="AC458" t="s">
        <v>58</v>
      </c>
      <c r="AD458" t="s">
        <v>48</v>
      </c>
      <c r="AE458">
        <v>0</v>
      </c>
      <c r="AF458">
        <v>21.33</v>
      </c>
      <c r="AG458" t="s">
        <v>59</v>
      </c>
      <c r="AH458">
        <v>438183</v>
      </c>
      <c r="AI458" t="s">
        <v>60</v>
      </c>
      <c r="AJ458" t="s">
        <v>60</v>
      </c>
      <c r="AK458" t="s">
        <v>54</v>
      </c>
      <c r="AL458">
        <v>2024</v>
      </c>
      <c r="AM458" s="6" t="s">
        <v>624</v>
      </c>
      <c r="AN458" s="7">
        <v>30.24</v>
      </c>
      <c r="AO458" s="8">
        <f t="shared" si="21"/>
        <v>56.699999999999996</v>
      </c>
      <c r="AP458" s="8">
        <f t="shared" si="22"/>
        <v>62.993699999999997</v>
      </c>
      <c r="AQ458" s="9">
        <f t="shared" si="23"/>
        <v>91.84832999999999</v>
      </c>
    </row>
    <row r="459" spans="1:43" x14ac:dyDescent="0.25">
      <c r="A459">
        <v>17</v>
      </c>
      <c r="B459">
        <v>5</v>
      </c>
      <c r="C459">
        <v>2024</v>
      </c>
      <c r="D459" t="s">
        <v>43</v>
      </c>
      <c r="E459" t="s">
        <v>79</v>
      </c>
      <c r="F459" t="s">
        <v>80</v>
      </c>
      <c r="G459">
        <v>21</v>
      </c>
      <c r="H459">
        <v>1791882490001</v>
      </c>
      <c r="I459" t="s">
        <v>46</v>
      </c>
      <c r="J459" t="s">
        <v>133</v>
      </c>
      <c r="K459" t="s">
        <v>48</v>
      </c>
      <c r="L459" t="s">
        <v>49</v>
      </c>
      <c r="M459" t="s">
        <v>50</v>
      </c>
      <c r="N459" t="s">
        <v>51</v>
      </c>
      <c r="O459">
        <v>8481909090</v>
      </c>
      <c r="P459" t="s">
        <v>103</v>
      </c>
      <c r="Q459" t="s">
        <v>625</v>
      </c>
      <c r="R459" t="s">
        <v>54</v>
      </c>
      <c r="S459" t="s">
        <v>55</v>
      </c>
      <c r="T459">
        <v>6</v>
      </c>
      <c r="U459">
        <v>16</v>
      </c>
      <c r="V459" t="s">
        <v>135</v>
      </c>
      <c r="W459">
        <v>0</v>
      </c>
      <c r="X459">
        <v>470.07</v>
      </c>
      <c r="Y459">
        <v>45.38</v>
      </c>
      <c r="Z459">
        <v>3.13</v>
      </c>
      <c r="AA459">
        <v>518.58000000000004</v>
      </c>
      <c r="AB459" t="s">
        <v>57</v>
      </c>
      <c r="AC459" t="s">
        <v>81</v>
      </c>
      <c r="AD459" t="s">
        <v>48</v>
      </c>
      <c r="AE459">
        <v>0</v>
      </c>
      <c r="AF459">
        <v>17.309999999999999</v>
      </c>
      <c r="AG459" t="s">
        <v>82</v>
      </c>
      <c r="AH459">
        <v>471463</v>
      </c>
      <c r="AI459" t="s">
        <v>60</v>
      </c>
      <c r="AJ459" t="s">
        <v>60</v>
      </c>
      <c r="AK459" t="s">
        <v>54</v>
      </c>
      <c r="AL459">
        <v>2024</v>
      </c>
      <c r="AM459" s="6" t="s">
        <v>624</v>
      </c>
      <c r="AN459" s="7">
        <v>29.38</v>
      </c>
      <c r="AO459" s="8">
        <f t="shared" si="21"/>
        <v>55.087499999999999</v>
      </c>
      <c r="AP459" s="8">
        <f t="shared" si="22"/>
        <v>61.202212499999995</v>
      </c>
      <c r="AQ459" s="9">
        <f t="shared" si="23"/>
        <v>89.236241249999992</v>
      </c>
    </row>
    <row r="460" spans="1:43" x14ac:dyDescent="0.25">
      <c r="A460">
        <v>8</v>
      </c>
      <c r="B460">
        <v>7</v>
      </c>
      <c r="C460">
        <v>2024</v>
      </c>
      <c r="D460" t="s">
        <v>43</v>
      </c>
      <c r="E460" t="s">
        <v>75</v>
      </c>
      <c r="F460" t="s">
        <v>76</v>
      </c>
      <c r="G460">
        <v>33</v>
      </c>
      <c r="H460">
        <v>1791882490001</v>
      </c>
      <c r="I460" t="s">
        <v>46</v>
      </c>
      <c r="J460" t="s">
        <v>133</v>
      </c>
      <c r="K460" t="s">
        <v>48</v>
      </c>
      <c r="L460" t="s">
        <v>49</v>
      </c>
      <c r="M460" t="s">
        <v>50</v>
      </c>
      <c r="N460" t="s">
        <v>51</v>
      </c>
      <c r="O460">
        <v>8481909090</v>
      </c>
      <c r="P460" t="s">
        <v>103</v>
      </c>
      <c r="Q460" t="s">
        <v>626</v>
      </c>
      <c r="R460" t="s">
        <v>54</v>
      </c>
      <c r="S460" t="s">
        <v>55</v>
      </c>
      <c r="T460">
        <v>8</v>
      </c>
      <c r="U460">
        <v>15</v>
      </c>
      <c r="V460" t="s">
        <v>135</v>
      </c>
      <c r="W460">
        <v>0</v>
      </c>
      <c r="X460">
        <v>457.12</v>
      </c>
      <c r="Y460">
        <v>39.049999999999997</v>
      </c>
      <c r="Z460">
        <v>2.97</v>
      </c>
      <c r="AA460">
        <v>499.14</v>
      </c>
      <c r="AB460" t="s">
        <v>57</v>
      </c>
      <c r="AC460" t="s">
        <v>77</v>
      </c>
      <c r="AD460" t="s">
        <v>48</v>
      </c>
      <c r="AE460">
        <v>0</v>
      </c>
      <c r="AF460">
        <v>3.03</v>
      </c>
      <c r="AG460" t="s">
        <v>59</v>
      </c>
      <c r="AH460">
        <v>107711</v>
      </c>
      <c r="AI460" t="s">
        <v>60</v>
      </c>
      <c r="AJ460" t="s">
        <v>78</v>
      </c>
      <c r="AK460" t="s">
        <v>54</v>
      </c>
      <c r="AL460">
        <v>2024</v>
      </c>
      <c r="AM460" s="6" t="s">
        <v>624</v>
      </c>
      <c r="AN460" s="7">
        <v>30.47</v>
      </c>
      <c r="AO460" s="8">
        <f t="shared" si="21"/>
        <v>57.131249999999994</v>
      </c>
      <c r="AP460" s="8">
        <f t="shared" si="22"/>
        <v>63.472818749999995</v>
      </c>
      <c r="AQ460" s="9">
        <f t="shared" si="23"/>
        <v>92.546911874999978</v>
      </c>
    </row>
    <row r="461" spans="1:43" x14ac:dyDescent="0.25">
      <c r="A461">
        <v>8</v>
      </c>
      <c r="B461">
        <v>7</v>
      </c>
      <c r="C461">
        <v>2024</v>
      </c>
      <c r="D461" t="s">
        <v>43</v>
      </c>
      <c r="E461" t="s">
        <v>75</v>
      </c>
      <c r="F461" t="s">
        <v>76</v>
      </c>
      <c r="G461">
        <v>33</v>
      </c>
      <c r="H461">
        <v>1791882490001</v>
      </c>
      <c r="I461" t="s">
        <v>46</v>
      </c>
      <c r="J461" t="s">
        <v>133</v>
      </c>
      <c r="K461" t="s">
        <v>48</v>
      </c>
      <c r="L461" t="s">
        <v>49</v>
      </c>
      <c r="M461" t="s">
        <v>50</v>
      </c>
      <c r="N461" t="s">
        <v>51</v>
      </c>
      <c r="O461">
        <v>8481909090</v>
      </c>
      <c r="P461" t="s">
        <v>103</v>
      </c>
      <c r="Q461" t="s">
        <v>626</v>
      </c>
      <c r="R461" t="s">
        <v>54</v>
      </c>
      <c r="S461" t="s">
        <v>55</v>
      </c>
      <c r="T461">
        <v>8</v>
      </c>
      <c r="U461">
        <v>15</v>
      </c>
      <c r="V461" t="s">
        <v>135</v>
      </c>
      <c r="W461">
        <v>0</v>
      </c>
      <c r="X461">
        <v>457.12</v>
      </c>
      <c r="Y461">
        <v>39.049999999999997</v>
      </c>
      <c r="Z461">
        <v>2.97</v>
      </c>
      <c r="AA461">
        <v>499.14</v>
      </c>
      <c r="AB461" t="s">
        <v>57</v>
      </c>
      <c r="AC461" t="s">
        <v>77</v>
      </c>
      <c r="AD461" t="s">
        <v>48</v>
      </c>
      <c r="AE461">
        <v>0</v>
      </c>
      <c r="AF461">
        <v>3.03</v>
      </c>
      <c r="AG461" t="s">
        <v>59</v>
      </c>
      <c r="AH461">
        <v>107711</v>
      </c>
      <c r="AI461" t="s">
        <v>60</v>
      </c>
      <c r="AJ461" t="s">
        <v>78</v>
      </c>
      <c r="AK461" t="s">
        <v>54</v>
      </c>
      <c r="AL461">
        <v>2024</v>
      </c>
      <c r="AM461" s="6" t="s">
        <v>624</v>
      </c>
      <c r="AN461" s="7">
        <v>30.47</v>
      </c>
      <c r="AO461" s="8">
        <f t="shared" si="21"/>
        <v>57.131249999999994</v>
      </c>
      <c r="AP461" s="8">
        <f t="shared" si="22"/>
        <v>63.472818749999995</v>
      </c>
      <c r="AQ461" s="9">
        <f t="shared" si="23"/>
        <v>92.546911874999978</v>
      </c>
    </row>
    <row r="462" spans="1:43" x14ac:dyDescent="0.25">
      <c r="A462">
        <v>11</v>
      </c>
      <c r="B462">
        <v>7</v>
      </c>
      <c r="C462">
        <v>2024</v>
      </c>
      <c r="D462" t="s">
        <v>43</v>
      </c>
      <c r="E462" t="s">
        <v>116</v>
      </c>
      <c r="F462" t="s">
        <v>117</v>
      </c>
      <c r="G462">
        <v>15</v>
      </c>
      <c r="H462">
        <v>1791882490001</v>
      </c>
      <c r="I462" t="s">
        <v>46</v>
      </c>
      <c r="J462" t="s">
        <v>133</v>
      </c>
      <c r="K462" t="s">
        <v>48</v>
      </c>
      <c r="L462" t="s">
        <v>119</v>
      </c>
      <c r="M462" t="s">
        <v>120</v>
      </c>
      <c r="N462" t="s">
        <v>121</v>
      </c>
      <c r="O462">
        <v>8481909090</v>
      </c>
      <c r="P462" t="s">
        <v>103</v>
      </c>
      <c r="Q462" t="s">
        <v>299</v>
      </c>
      <c r="R462" t="s">
        <v>54</v>
      </c>
      <c r="S462" t="s">
        <v>55</v>
      </c>
      <c r="T462">
        <v>9</v>
      </c>
      <c r="U462">
        <v>20</v>
      </c>
      <c r="V462" t="s">
        <v>135</v>
      </c>
      <c r="W462">
        <v>0</v>
      </c>
      <c r="X462">
        <v>559.37</v>
      </c>
      <c r="Y462">
        <v>50.37</v>
      </c>
      <c r="Z462">
        <v>3.76</v>
      </c>
      <c r="AA462">
        <v>613.5</v>
      </c>
      <c r="AB462" t="s">
        <v>124</v>
      </c>
      <c r="AC462" t="s">
        <v>125</v>
      </c>
      <c r="AD462" t="s">
        <v>48</v>
      </c>
      <c r="AE462">
        <v>0</v>
      </c>
      <c r="AF462">
        <v>40.340000000000003</v>
      </c>
      <c r="AG462" t="s">
        <v>59</v>
      </c>
      <c r="AH462">
        <v>486256</v>
      </c>
      <c r="AI462" t="s">
        <v>60</v>
      </c>
      <c r="AJ462" t="s">
        <v>78</v>
      </c>
      <c r="AK462" t="s">
        <v>54</v>
      </c>
      <c r="AL462">
        <v>2024</v>
      </c>
      <c r="AM462" s="6" t="s">
        <v>624</v>
      </c>
      <c r="AN462" s="7">
        <v>27.97</v>
      </c>
      <c r="AO462" s="8">
        <f t="shared" si="21"/>
        <v>52.443749999999994</v>
      </c>
      <c r="AP462" s="8">
        <f t="shared" si="22"/>
        <v>58.265006249999992</v>
      </c>
      <c r="AQ462" s="9">
        <f t="shared" si="23"/>
        <v>84.953630624999988</v>
      </c>
    </row>
    <row r="463" spans="1:43" x14ac:dyDescent="0.25">
      <c r="A463">
        <v>19</v>
      </c>
      <c r="B463">
        <v>8</v>
      </c>
      <c r="C463">
        <v>2024</v>
      </c>
      <c r="D463" t="s">
        <v>43</v>
      </c>
      <c r="E463" t="s">
        <v>84</v>
      </c>
      <c r="F463" t="s">
        <v>85</v>
      </c>
      <c r="G463">
        <v>25</v>
      </c>
      <c r="H463">
        <v>1791882490001</v>
      </c>
      <c r="I463" t="s">
        <v>46</v>
      </c>
      <c r="J463" t="s">
        <v>133</v>
      </c>
      <c r="K463" t="s">
        <v>48</v>
      </c>
      <c r="L463" t="s">
        <v>49</v>
      </c>
      <c r="M463" t="s">
        <v>50</v>
      </c>
      <c r="N463" t="s">
        <v>51</v>
      </c>
      <c r="O463">
        <v>8481909090</v>
      </c>
      <c r="P463" t="s">
        <v>103</v>
      </c>
      <c r="Q463" t="s">
        <v>299</v>
      </c>
      <c r="R463" t="s">
        <v>54</v>
      </c>
      <c r="S463" t="s">
        <v>55</v>
      </c>
      <c r="T463">
        <v>6</v>
      </c>
      <c r="U463">
        <v>10</v>
      </c>
      <c r="V463" t="s">
        <v>135</v>
      </c>
      <c r="W463">
        <v>66.67</v>
      </c>
      <c r="X463">
        <v>293.48</v>
      </c>
      <c r="Y463">
        <v>37.869999999999997</v>
      </c>
      <c r="Z463">
        <v>2.0099999999999998</v>
      </c>
      <c r="AA463">
        <v>333.35</v>
      </c>
      <c r="AB463" t="s">
        <v>57</v>
      </c>
      <c r="AC463" t="s">
        <v>58</v>
      </c>
      <c r="AD463" t="s">
        <v>48</v>
      </c>
      <c r="AE463">
        <v>0</v>
      </c>
      <c r="AF463">
        <v>13.95</v>
      </c>
      <c r="AG463" t="s">
        <v>59</v>
      </c>
      <c r="AH463">
        <v>144527</v>
      </c>
      <c r="AI463" t="s">
        <v>60</v>
      </c>
      <c r="AJ463" t="s">
        <v>60</v>
      </c>
      <c r="AK463" t="s">
        <v>54</v>
      </c>
      <c r="AL463">
        <v>2024</v>
      </c>
      <c r="AM463" s="6" t="s">
        <v>624</v>
      </c>
      <c r="AN463" s="7">
        <v>29.35</v>
      </c>
      <c r="AO463" s="8">
        <f t="shared" si="21"/>
        <v>55.03125</v>
      </c>
      <c r="AP463" s="8">
        <f t="shared" si="22"/>
        <v>61.13971875</v>
      </c>
      <c r="AQ463" s="9">
        <f t="shared" si="23"/>
        <v>89.145121875000001</v>
      </c>
    </row>
    <row r="464" spans="1:43" x14ac:dyDescent="0.25">
      <c r="A464">
        <v>16</v>
      </c>
      <c r="B464">
        <v>12</v>
      </c>
      <c r="C464">
        <v>2024</v>
      </c>
      <c r="D464" t="s">
        <v>43</v>
      </c>
      <c r="E464" t="s">
        <v>128</v>
      </c>
      <c r="F464" t="s">
        <v>129</v>
      </c>
      <c r="G464">
        <v>31</v>
      </c>
      <c r="H464">
        <v>1791882490001</v>
      </c>
      <c r="I464" t="s">
        <v>46</v>
      </c>
      <c r="J464" t="s">
        <v>133</v>
      </c>
      <c r="K464" t="s">
        <v>48</v>
      </c>
      <c r="L464" t="s">
        <v>49</v>
      </c>
      <c r="M464" t="s">
        <v>50</v>
      </c>
      <c r="N464" t="s">
        <v>51</v>
      </c>
      <c r="O464">
        <v>8481909090</v>
      </c>
      <c r="P464" t="s">
        <v>284</v>
      </c>
      <c r="Q464" t="s">
        <v>623</v>
      </c>
      <c r="R464" t="s">
        <v>54</v>
      </c>
      <c r="S464" t="s">
        <v>55</v>
      </c>
      <c r="T464">
        <v>9</v>
      </c>
      <c r="U464">
        <v>10</v>
      </c>
      <c r="V464" t="s">
        <v>135</v>
      </c>
      <c r="W464">
        <v>56.31</v>
      </c>
      <c r="X464">
        <v>247.43</v>
      </c>
      <c r="Y464">
        <v>32.4</v>
      </c>
      <c r="Z464">
        <v>1.7</v>
      </c>
      <c r="AA464">
        <v>281.52999999999997</v>
      </c>
      <c r="AB464" t="s">
        <v>57</v>
      </c>
      <c r="AC464" t="s">
        <v>131</v>
      </c>
      <c r="AD464" t="s">
        <v>48</v>
      </c>
      <c r="AE464">
        <v>0</v>
      </c>
      <c r="AF464">
        <v>19.89</v>
      </c>
      <c r="AG464" t="s">
        <v>59</v>
      </c>
      <c r="AH464">
        <v>325395</v>
      </c>
      <c r="AI464" t="s">
        <v>60</v>
      </c>
      <c r="AJ464" t="s">
        <v>78</v>
      </c>
      <c r="AK464" t="s">
        <v>54</v>
      </c>
      <c r="AL464">
        <v>2024</v>
      </c>
      <c r="AM464" s="6" t="s">
        <v>624</v>
      </c>
      <c r="AN464" s="7">
        <v>24.74</v>
      </c>
      <c r="AO464" s="8">
        <f t="shared" si="21"/>
        <v>46.387499999999996</v>
      </c>
      <c r="AP464" s="8">
        <f t="shared" si="22"/>
        <v>51.536512499999994</v>
      </c>
      <c r="AQ464" s="9">
        <f t="shared" si="23"/>
        <v>75.14311124999999</v>
      </c>
    </row>
    <row r="465" spans="1:43" x14ac:dyDescent="0.25">
      <c r="A465">
        <v>26</v>
      </c>
      <c r="B465">
        <v>12</v>
      </c>
      <c r="C465">
        <v>2024</v>
      </c>
      <c r="D465" t="s">
        <v>43</v>
      </c>
      <c r="E465" t="s">
        <v>222</v>
      </c>
      <c r="F465" t="s">
        <v>223</v>
      </c>
      <c r="G465">
        <v>21</v>
      </c>
      <c r="H465">
        <v>1791882490001</v>
      </c>
      <c r="I465" t="s">
        <v>46</v>
      </c>
      <c r="J465" t="s">
        <v>133</v>
      </c>
      <c r="K465" t="s">
        <v>48</v>
      </c>
      <c r="L465" t="s">
        <v>49</v>
      </c>
      <c r="M465" t="s">
        <v>50</v>
      </c>
      <c r="N465" t="s">
        <v>224</v>
      </c>
      <c r="O465">
        <v>8481909090</v>
      </c>
      <c r="P465" t="s">
        <v>284</v>
      </c>
      <c r="Q465" t="s">
        <v>623</v>
      </c>
      <c r="R465" t="s">
        <v>54</v>
      </c>
      <c r="S465" t="s">
        <v>55</v>
      </c>
      <c r="T465">
        <v>8</v>
      </c>
      <c r="U465">
        <v>14</v>
      </c>
      <c r="V465" t="s">
        <v>135</v>
      </c>
      <c r="W465">
        <v>102.25</v>
      </c>
      <c r="X465">
        <v>420.04</v>
      </c>
      <c r="Y465">
        <v>86.99</v>
      </c>
      <c r="Z465">
        <v>4.2</v>
      </c>
      <c r="AA465">
        <v>511.23</v>
      </c>
      <c r="AB465" t="s">
        <v>57</v>
      </c>
      <c r="AC465" t="s">
        <v>225</v>
      </c>
      <c r="AD465" t="s">
        <v>48</v>
      </c>
      <c r="AE465">
        <v>0</v>
      </c>
      <c r="AF465">
        <v>28.84</v>
      </c>
      <c r="AG465" t="s">
        <v>59</v>
      </c>
      <c r="AH465">
        <v>341996</v>
      </c>
      <c r="AI465" t="s">
        <v>60</v>
      </c>
      <c r="AJ465" t="s">
        <v>60</v>
      </c>
      <c r="AK465" t="s">
        <v>54</v>
      </c>
      <c r="AL465">
        <v>2024</v>
      </c>
      <c r="AM465" s="6" t="s">
        <v>624</v>
      </c>
      <c r="AN465" s="7">
        <v>30</v>
      </c>
      <c r="AO465" s="8">
        <f t="shared" si="21"/>
        <v>56.25</v>
      </c>
      <c r="AP465" s="8">
        <f t="shared" si="22"/>
        <v>62.493749999999999</v>
      </c>
      <c r="AQ465" s="9">
        <f t="shared" si="23"/>
        <v>91.119374999999991</v>
      </c>
    </row>
    <row r="466" spans="1:43" x14ac:dyDescent="0.25">
      <c r="A466">
        <v>17</v>
      </c>
      <c r="B466">
        <v>5</v>
      </c>
      <c r="C466">
        <v>2024</v>
      </c>
      <c r="D466" t="s">
        <v>43</v>
      </c>
      <c r="E466" t="s">
        <v>79</v>
      </c>
      <c r="F466" t="s">
        <v>80</v>
      </c>
      <c r="G466">
        <v>22</v>
      </c>
      <c r="H466">
        <v>1791882490001</v>
      </c>
      <c r="I466" t="s">
        <v>46</v>
      </c>
      <c r="J466" t="s">
        <v>133</v>
      </c>
      <c r="K466" t="s">
        <v>48</v>
      </c>
      <c r="L466" t="s">
        <v>49</v>
      </c>
      <c r="M466" t="s">
        <v>50</v>
      </c>
      <c r="N466" t="s">
        <v>51</v>
      </c>
      <c r="O466">
        <v>8481805900</v>
      </c>
      <c r="P466" t="s">
        <v>103</v>
      </c>
      <c r="Q466" t="s">
        <v>627</v>
      </c>
      <c r="R466" t="s">
        <v>54</v>
      </c>
      <c r="S466" t="s">
        <v>55</v>
      </c>
      <c r="T466">
        <v>6</v>
      </c>
      <c r="U466">
        <v>3</v>
      </c>
      <c r="V466" t="s">
        <v>135</v>
      </c>
      <c r="W466">
        <v>0</v>
      </c>
      <c r="X466">
        <v>421.96</v>
      </c>
      <c r="Y466">
        <v>40.74</v>
      </c>
      <c r="Z466">
        <v>2.81</v>
      </c>
      <c r="AA466">
        <v>465.51</v>
      </c>
      <c r="AB466" t="s">
        <v>57</v>
      </c>
      <c r="AC466" t="s">
        <v>81</v>
      </c>
      <c r="AD466" t="s">
        <v>48</v>
      </c>
      <c r="AE466">
        <v>0</v>
      </c>
      <c r="AF466">
        <v>3.24</v>
      </c>
      <c r="AG466" t="s">
        <v>82</v>
      </c>
      <c r="AH466">
        <v>471463</v>
      </c>
      <c r="AI466" t="s">
        <v>60</v>
      </c>
      <c r="AJ466" t="s">
        <v>60</v>
      </c>
      <c r="AK466" t="s">
        <v>54</v>
      </c>
      <c r="AL466">
        <v>2024</v>
      </c>
      <c r="AM466" s="6" t="s">
        <v>628</v>
      </c>
      <c r="AN466" s="7">
        <v>140.65</v>
      </c>
      <c r="AO466" s="8">
        <f t="shared" si="21"/>
        <v>263.71875</v>
      </c>
      <c r="AP466" s="8">
        <f t="shared" si="22"/>
        <v>292.99153124999998</v>
      </c>
      <c r="AQ466" s="9">
        <f t="shared" si="23"/>
        <v>427.19800312499996</v>
      </c>
    </row>
    <row r="467" spans="1:43" x14ac:dyDescent="0.25">
      <c r="A467">
        <v>8</v>
      </c>
      <c r="B467">
        <v>7</v>
      </c>
      <c r="C467">
        <v>2024</v>
      </c>
      <c r="D467" t="s">
        <v>43</v>
      </c>
      <c r="E467" t="s">
        <v>75</v>
      </c>
      <c r="F467" t="s">
        <v>76</v>
      </c>
      <c r="G467">
        <v>34</v>
      </c>
      <c r="H467">
        <v>1791882490001</v>
      </c>
      <c r="I467" t="s">
        <v>46</v>
      </c>
      <c r="J467" t="s">
        <v>133</v>
      </c>
      <c r="K467" t="s">
        <v>48</v>
      </c>
      <c r="L467" t="s">
        <v>49</v>
      </c>
      <c r="M467" t="s">
        <v>50</v>
      </c>
      <c r="N467" t="s">
        <v>51</v>
      </c>
      <c r="O467">
        <v>4009220000</v>
      </c>
      <c r="P467" t="s">
        <v>142</v>
      </c>
      <c r="Q467" t="s">
        <v>629</v>
      </c>
      <c r="R467" t="s">
        <v>54</v>
      </c>
      <c r="S467" t="s">
        <v>55</v>
      </c>
      <c r="T467">
        <v>8</v>
      </c>
      <c r="U467">
        <v>2</v>
      </c>
      <c r="V467" t="s">
        <v>56</v>
      </c>
      <c r="W467">
        <v>0</v>
      </c>
      <c r="X467">
        <v>314.27999999999997</v>
      </c>
      <c r="Y467">
        <v>26.85</v>
      </c>
      <c r="Z467">
        <v>2.04</v>
      </c>
      <c r="AA467">
        <v>343.17</v>
      </c>
      <c r="AB467" t="s">
        <v>57</v>
      </c>
      <c r="AC467" t="s">
        <v>77</v>
      </c>
      <c r="AD467" t="s">
        <v>48</v>
      </c>
      <c r="AE467">
        <v>0</v>
      </c>
      <c r="AF467">
        <v>2.08</v>
      </c>
      <c r="AG467" t="s">
        <v>59</v>
      </c>
      <c r="AH467">
        <v>107711</v>
      </c>
      <c r="AI467" t="s">
        <v>60</v>
      </c>
      <c r="AJ467" t="s">
        <v>78</v>
      </c>
      <c r="AK467" t="s">
        <v>54</v>
      </c>
      <c r="AL467">
        <v>2024</v>
      </c>
      <c r="AM467" s="6" t="s">
        <v>630</v>
      </c>
      <c r="AN467" s="7">
        <v>157.13999999999999</v>
      </c>
      <c r="AO467" s="8">
        <f t="shared" si="21"/>
        <v>294.63749999999999</v>
      </c>
      <c r="AP467" s="8">
        <f t="shared" si="22"/>
        <v>327.3422625</v>
      </c>
      <c r="AQ467" s="9">
        <f t="shared" si="23"/>
        <v>477.28328624999995</v>
      </c>
    </row>
    <row r="468" spans="1:43" x14ac:dyDescent="0.25">
      <c r="A468">
        <v>8</v>
      </c>
      <c r="B468">
        <v>7</v>
      </c>
      <c r="C468">
        <v>2024</v>
      </c>
      <c r="D468" t="s">
        <v>43</v>
      </c>
      <c r="E468" t="s">
        <v>75</v>
      </c>
      <c r="F468" t="s">
        <v>76</v>
      </c>
      <c r="G468">
        <v>34</v>
      </c>
      <c r="H468">
        <v>1791882490001</v>
      </c>
      <c r="I468" t="s">
        <v>46</v>
      </c>
      <c r="J468" t="s">
        <v>133</v>
      </c>
      <c r="K468" t="s">
        <v>48</v>
      </c>
      <c r="L468" t="s">
        <v>49</v>
      </c>
      <c r="M468" t="s">
        <v>50</v>
      </c>
      <c r="N468" t="s">
        <v>51</v>
      </c>
      <c r="O468">
        <v>4009220000</v>
      </c>
      <c r="P468" t="s">
        <v>142</v>
      </c>
      <c r="Q468" t="s">
        <v>629</v>
      </c>
      <c r="R468" t="s">
        <v>54</v>
      </c>
      <c r="S468" t="s">
        <v>55</v>
      </c>
      <c r="T468">
        <v>8</v>
      </c>
      <c r="U468">
        <v>2</v>
      </c>
      <c r="V468" t="s">
        <v>56</v>
      </c>
      <c r="W468">
        <v>0</v>
      </c>
      <c r="X468">
        <v>314.27999999999997</v>
      </c>
      <c r="Y468">
        <v>26.85</v>
      </c>
      <c r="Z468">
        <v>2.04</v>
      </c>
      <c r="AA468">
        <v>343.17</v>
      </c>
      <c r="AB468" t="s">
        <v>57</v>
      </c>
      <c r="AC468" t="s">
        <v>77</v>
      </c>
      <c r="AD468" t="s">
        <v>48</v>
      </c>
      <c r="AE468">
        <v>0</v>
      </c>
      <c r="AF468">
        <v>2.08</v>
      </c>
      <c r="AG468" t="s">
        <v>59</v>
      </c>
      <c r="AH468">
        <v>107711</v>
      </c>
      <c r="AI468" t="s">
        <v>60</v>
      </c>
      <c r="AJ468" t="s">
        <v>78</v>
      </c>
      <c r="AK468" t="s">
        <v>54</v>
      </c>
      <c r="AL468">
        <v>2024</v>
      </c>
      <c r="AM468" s="6" t="s">
        <v>630</v>
      </c>
      <c r="AN468" s="7">
        <v>157.13999999999999</v>
      </c>
      <c r="AO468" s="8">
        <f t="shared" si="21"/>
        <v>294.63749999999999</v>
      </c>
      <c r="AP468" s="8">
        <f t="shared" si="22"/>
        <v>327.3422625</v>
      </c>
      <c r="AQ468" s="9">
        <f t="shared" si="23"/>
        <v>477.28328624999995</v>
      </c>
    </row>
    <row r="469" spans="1:43" x14ac:dyDescent="0.25">
      <c r="A469">
        <v>8</v>
      </c>
      <c r="B469">
        <v>7</v>
      </c>
      <c r="C469">
        <v>2024</v>
      </c>
      <c r="D469" t="s">
        <v>43</v>
      </c>
      <c r="E469" t="s">
        <v>75</v>
      </c>
      <c r="F469" t="s">
        <v>76</v>
      </c>
      <c r="G469">
        <v>35</v>
      </c>
      <c r="H469">
        <v>1791882490001</v>
      </c>
      <c r="I469" t="s">
        <v>46</v>
      </c>
      <c r="J469" t="s">
        <v>133</v>
      </c>
      <c r="K469" t="s">
        <v>48</v>
      </c>
      <c r="L469" t="s">
        <v>49</v>
      </c>
      <c r="M469" t="s">
        <v>50</v>
      </c>
      <c r="N469" t="s">
        <v>51</v>
      </c>
      <c r="O469">
        <v>4009220000</v>
      </c>
      <c r="P469" t="s">
        <v>142</v>
      </c>
      <c r="Q469" t="s">
        <v>629</v>
      </c>
      <c r="R469" t="s">
        <v>54</v>
      </c>
      <c r="S469" t="s">
        <v>55</v>
      </c>
      <c r="T469">
        <v>8</v>
      </c>
      <c r="U469">
        <v>1</v>
      </c>
      <c r="V469" t="s">
        <v>56</v>
      </c>
      <c r="W469">
        <v>0</v>
      </c>
      <c r="X469">
        <v>89.58</v>
      </c>
      <c r="Y469">
        <v>7.65</v>
      </c>
      <c r="Z469">
        <v>0.57999999999999996</v>
      </c>
      <c r="AA469">
        <v>97.81</v>
      </c>
      <c r="AB469" t="s">
        <v>57</v>
      </c>
      <c r="AC469" t="s">
        <v>77</v>
      </c>
      <c r="AD469" t="s">
        <v>48</v>
      </c>
      <c r="AE469">
        <v>0</v>
      </c>
      <c r="AF469">
        <v>0.59</v>
      </c>
      <c r="AG469" t="s">
        <v>59</v>
      </c>
      <c r="AH469">
        <v>107711</v>
      </c>
      <c r="AI469" t="s">
        <v>60</v>
      </c>
      <c r="AJ469" t="s">
        <v>78</v>
      </c>
      <c r="AK469" t="s">
        <v>54</v>
      </c>
      <c r="AL469">
        <v>2024</v>
      </c>
      <c r="AM469" s="6" t="s">
        <v>631</v>
      </c>
      <c r="AN469" s="7">
        <v>89.58</v>
      </c>
      <c r="AO469" s="8">
        <f t="shared" si="21"/>
        <v>167.96250000000001</v>
      </c>
      <c r="AP469" s="8">
        <f t="shared" si="22"/>
        <v>186.6063375</v>
      </c>
      <c r="AQ469" s="9">
        <f t="shared" si="23"/>
        <v>272.08245375000001</v>
      </c>
    </row>
    <row r="470" spans="1:43" x14ac:dyDescent="0.25">
      <c r="A470">
        <v>8</v>
      </c>
      <c r="B470">
        <v>7</v>
      </c>
      <c r="C470">
        <v>2024</v>
      </c>
      <c r="D470" t="s">
        <v>43</v>
      </c>
      <c r="E470" t="s">
        <v>75</v>
      </c>
      <c r="F470" t="s">
        <v>76</v>
      </c>
      <c r="G470">
        <v>35</v>
      </c>
      <c r="H470">
        <v>1791882490001</v>
      </c>
      <c r="I470" t="s">
        <v>46</v>
      </c>
      <c r="J470" t="s">
        <v>133</v>
      </c>
      <c r="K470" t="s">
        <v>48</v>
      </c>
      <c r="L470" t="s">
        <v>49</v>
      </c>
      <c r="M470" t="s">
        <v>50</v>
      </c>
      <c r="N470" t="s">
        <v>51</v>
      </c>
      <c r="O470">
        <v>4009220000</v>
      </c>
      <c r="P470" t="s">
        <v>142</v>
      </c>
      <c r="Q470" t="s">
        <v>629</v>
      </c>
      <c r="R470" t="s">
        <v>54</v>
      </c>
      <c r="S470" t="s">
        <v>55</v>
      </c>
      <c r="T470">
        <v>8</v>
      </c>
      <c r="U470">
        <v>1</v>
      </c>
      <c r="V470" t="s">
        <v>56</v>
      </c>
      <c r="W470">
        <v>0</v>
      </c>
      <c r="X470">
        <v>89.58</v>
      </c>
      <c r="Y470">
        <v>7.65</v>
      </c>
      <c r="Z470">
        <v>0.57999999999999996</v>
      </c>
      <c r="AA470">
        <v>97.81</v>
      </c>
      <c r="AB470" t="s">
        <v>57</v>
      </c>
      <c r="AC470" t="s">
        <v>77</v>
      </c>
      <c r="AD470" t="s">
        <v>48</v>
      </c>
      <c r="AE470">
        <v>0</v>
      </c>
      <c r="AF470">
        <v>0.59</v>
      </c>
      <c r="AG470" t="s">
        <v>59</v>
      </c>
      <c r="AH470">
        <v>107711</v>
      </c>
      <c r="AI470" t="s">
        <v>60</v>
      </c>
      <c r="AJ470" t="s">
        <v>78</v>
      </c>
      <c r="AK470" t="s">
        <v>54</v>
      </c>
      <c r="AL470">
        <v>2024</v>
      </c>
      <c r="AM470" s="6" t="s">
        <v>631</v>
      </c>
      <c r="AN470" s="7">
        <v>89.58</v>
      </c>
      <c r="AO470" s="8">
        <f t="shared" si="21"/>
        <v>167.96250000000001</v>
      </c>
      <c r="AP470" s="8">
        <f t="shared" si="22"/>
        <v>186.6063375</v>
      </c>
      <c r="AQ470" s="9">
        <f t="shared" si="23"/>
        <v>272.08245375000001</v>
      </c>
    </row>
    <row r="471" spans="1:43" x14ac:dyDescent="0.25">
      <c r="A471">
        <v>1</v>
      </c>
      <c r="B471">
        <v>2</v>
      </c>
      <c r="C471">
        <v>2024</v>
      </c>
      <c r="D471" t="s">
        <v>43</v>
      </c>
      <c r="E471" t="s">
        <v>174</v>
      </c>
      <c r="F471" t="s">
        <v>175</v>
      </c>
      <c r="G471">
        <v>12</v>
      </c>
      <c r="H471">
        <v>1791882490001</v>
      </c>
      <c r="I471" t="s">
        <v>46</v>
      </c>
      <c r="J471" t="s">
        <v>133</v>
      </c>
      <c r="K471" t="s">
        <v>48</v>
      </c>
      <c r="L471" t="s">
        <v>49</v>
      </c>
      <c r="M471" t="s">
        <v>50</v>
      </c>
      <c r="N471" t="s">
        <v>51</v>
      </c>
      <c r="O471">
        <v>8481805900</v>
      </c>
      <c r="P471" t="s">
        <v>103</v>
      </c>
      <c r="Q471" t="s">
        <v>228</v>
      </c>
      <c r="R471" t="s">
        <v>54</v>
      </c>
      <c r="S471" t="s">
        <v>55</v>
      </c>
      <c r="T471">
        <v>5</v>
      </c>
      <c r="U471">
        <v>4</v>
      </c>
      <c r="V471" t="s">
        <v>135</v>
      </c>
      <c r="W471">
        <v>0</v>
      </c>
      <c r="X471">
        <v>348.47</v>
      </c>
      <c r="Y471">
        <v>25.91</v>
      </c>
      <c r="Z471">
        <v>2.08</v>
      </c>
      <c r="AA471">
        <v>376.45</v>
      </c>
      <c r="AB471" t="s">
        <v>54</v>
      </c>
      <c r="AC471" t="s">
        <v>94</v>
      </c>
      <c r="AD471" t="s">
        <v>48</v>
      </c>
      <c r="AE471">
        <v>0</v>
      </c>
      <c r="AF471">
        <v>7.94</v>
      </c>
      <c r="AG471" t="s">
        <v>59</v>
      </c>
      <c r="AH471">
        <v>863266</v>
      </c>
      <c r="AI471" t="s">
        <v>60</v>
      </c>
      <c r="AJ471" t="s">
        <v>60</v>
      </c>
      <c r="AK471" t="s">
        <v>54</v>
      </c>
      <c r="AL471">
        <v>2023</v>
      </c>
      <c r="AM471" s="6" t="s">
        <v>632</v>
      </c>
      <c r="AN471" s="7">
        <v>87.12</v>
      </c>
      <c r="AO471" s="8">
        <f t="shared" si="21"/>
        <v>163.35000000000002</v>
      </c>
      <c r="AP471" s="8">
        <f t="shared" si="22"/>
        <v>181.48185000000004</v>
      </c>
      <c r="AQ471" s="9">
        <f t="shared" si="23"/>
        <v>264.61066500000004</v>
      </c>
    </row>
    <row r="472" spans="1:43" x14ac:dyDescent="0.25">
      <c r="A472">
        <v>20</v>
      </c>
      <c r="B472">
        <v>2</v>
      </c>
      <c r="C472">
        <v>2024</v>
      </c>
      <c r="D472" t="s">
        <v>43</v>
      </c>
      <c r="E472" t="s">
        <v>140</v>
      </c>
      <c r="F472" t="s">
        <v>141</v>
      </c>
      <c r="G472">
        <v>44</v>
      </c>
      <c r="H472">
        <v>1791882490001</v>
      </c>
      <c r="I472" t="s">
        <v>46</v>
      </c>
      <c r="J472" t="s">
        <v>133</v>
      </c>
      <c r="K472" t="s">
        <v>48</v>
      </c>
      <c r="L472" t="s">
        <v>49</v>
      </c>
      <c r="M472" t="s">
        <v>50</v>
      </c>
      <c r="N472" t="s">
        <v>51</v>
      </c>
      <c r="O472">
        <v>8481805900</v>
      </c>
      <c r="P472" t="s">
        <v>103</v>
      </c>
      <c r="Q472" t="s">
        <v>228</v>
      </c>
      <c r="R472" t="s">
        <v>54</v>
      </c>
      <c r="S472" t="s">
        <v>55</v>
      </c>
      <c r="T472">
        <v>6</v>
      </c>
      <c r="U472">
        <v>2</v>
      </c>
      <c r="V472" t="s">
        <v>135</v>
      </c>
      <c r="W472">
        <v>0</v>
      </c>
      <c r="X472">
        <v>174.22</v>
      </c>
      <c r="Y472">
        <v>15.63</v>
      </c>
      <c r="Z472">
        <v>1.17</v>
      </c>
      <c r="AA472">
        <v>191.03</v>
      </c>
      <c r="AB472" t="s">
        <v>54</v>
      </c>
      <c r="AC472" t="s">
        <v>143</v>
      </c>
      <c r="AD472" t="s">
        <v>48</v>
      </c>
      <c r="AE472">
        <v>0</v>
      </c>
      <c r="AF472">
        <v>3.74</v>
      </c>
      <c r="AG472" t="s">
        <v>59</v>
      </c>
      <c r="AH472">
        <v>876053</v>
      </c>
      <c r="AI472" t="s">
        <v>60</v>
      </c>
      <c r="AJ472" t="s">
        <v>60</v>
      </c>
      <c r="AK472" t="s">
        <v>54</v>
      </c>
      <c r="AL472">
        <v>2024</v>
      </c>
      <c r="AM472" s="6" t="s">
        <v>632</v>
      </c>
      <c r="AN472" s="7">
        <v>87.11</v>
      </c>
      <c r="AO472" s="8">
        <f t="shared" si="21"/>
        <v>163.33125000000001</v>
      </c>
      <c r="AP472" s="8">
        <f t="shared" si="22"/>
        <v>181.46101875000002</v>
      </c>
      <c r="AQ472" s="9">
        <f t="shared" si="23"/>
        <v>264.580291875</v>
      </c>
    </row>
    <row r="473" spans="1:43" x14ac:dyDescent="0.25">
      <c r="A473">
        <v>13</v>
      </c>
      <c r="B473">
        <v>3</v>
      </c>
      <c r="C473">
        <v>2024</v>
      </c>
      <c r="D473" t="s">
        <v>43</v>
      </c>
      <c r="E473" t="s">
        <v>69</v>
      </c>
      <c r="F473" t="s">
        <v>70</v>
      </c>
      <c r="G473">
        <v>27</v>
      </c>
      <c r="H473">
        <v>1791882490001</v>
      </c>
      <c r="I473" t="s">
        <v>46</v>
      </c>
      <c r="J473" t="s">
        <v>133</v>
      </c>
      <c r="K473" t="s">
        <v>48</v>
      </c>
      <c r="L473" t="s">
        <v>49</v>
      </c>
      <c r="M473" t="s">
        <v>50</v>
      </c>
      <c r="N473" t="s">
        <v>51</v>
      </c>
      <c r="O473">
        <v>8481805900</v>
      </c>
      <c r="P473" t="s">
        <v>103</v>
      </c>
      <c r="Q473" t="s">
        <v>228</v>
      </c>
      <c r="R473" t="s">
        <v>54</v>
      </c>
      <c r="S473" t="s">
        <v>55</v>
      </c>
      <c r="T473">
        <v>11</v>
      </c>
      <c r="U473">
        <v>6</v>
      </c>
      <c r="V473" t="s">
        <v>135</v>
      </c>
      <c r="W473">
        <v>0</v>
      </c>
      <c r="X473">
        <v>524.67999999999995</v>
      </c>
      <c r="Y473">
        <v>68.709999999999994</v>
      </c>
      <c r="Z473">
        <v>3.53</v>
      </c>
      <c r="AA473">
        <v>596.91</v>
      </c>
      <c r="AB473" t="s">
        <v>54</v>
      </c>
      <c r="AC473" t="s">
        <v>71</v>
      </c>
      <c r="AD473" t="s">
        <v>48</v>
      </c>
      <c r="AE473">
        <v>0</v>
      </c>
      <c r="AF473">
        <v>12.23</v>
      </c>
      <c r="AG473" t="s">
        <v>59</v>
      </c>
      <c r="AH473">
        <v>895279</v>
      </c>
      <c r="AI473" t="s">
        <v>60</v>
      </c>
      <c r="AJ473" t="s">
        <v>60</v>
      </c>
      <c r="AK473" t="s">
        <v>54</v>
      </c>
      <c r="AL473">
        <v>2024</v>
      </c>
      <c r="AM473" s="6" t="s">
        <v>632</v>
      </c>
      <c r="AN473" s="7">
        <v>87.45</v>
      </c>
      <c r="AO473" s="8">
        <f t="shared" si="21"/>
        <v>163.96875</v>
      </c>
      <c r="AP473" s="8">
        <f t="shared" si="22"/>
        <v>182.16928125000001</v>
      </c>
      <c r="AQ473" s="9">
        <f t="shared" si="23"/>
        <v>265.61297812499998</v>
      </c>
    </row>
    <row r="474" spans="1:43" x14ac:dyDescent="0.25">
      <c r="A474">
        <v>16</v>
      </c>
      <c r="B474">
        <v>12</v>
      </c>
      <c r="C474">
        <v>2024</v>
      </c>
      <c r="D474" t="s">
        <v>43</v>
      </c>
      <c r="E474" t="s">
        <v>128</v>
      </c>
      <c r="F474" t="s">
        <v>129</v>
      </c>
      <c r="G474">
        <v>32</v>
      </c>
      <c r="H474">
        <v>1791882490001</v>
      </c>
      <c r="I474" t="s">
        <v>46</v>
      </c>
      <c r="J474" t="s">
        <v>133</v>
      </c>
      <c r="K474" t="s">
        <v>48</v>
      </c>
      <c r="L474" t="s">
        <v>49</v>
      </c>
      <c r="M474" t="s">
        <v>50</v>
      </c>
      <c r="N474" t="s">
        <v>51</v>
      </c>
      <c r="O474">
        <v>8481805900</v>
      </c>
      <c r="P474" t="s">
        <v>52</v>
      </c>
      <c r="Q474" t="s">
        <v>228</v>
      </c>
      <c r="R474" t="s">
        <v>54</v>
      </c>
      <c r="S474" t="s">
        <v>55</v>
      </c>
      <c r="T474">
        <v>9</v>
      </c>
      <c r="U474">
        <v>5</v>
      </c>
      <c r="V474" t="s">
        <v>135</v>
      </c>
      <c r="W474">
        <v>0</v>
      </c>
      <c r="X474">
        <v>407.7</v>
      </c>
      <c r="Y474">
        <v>53.39</v>
      </c>
      <c r="Z474">
        <v>2.8</v>
      </c>
      <c r="AA474">
        <v>463.89</v>
      </c>
      <c r="AB474" t="s">
        <v>57</v>
      </c>
      <c r="AC474" t="s">
        <v>131</v>
      </c>
      <c r="AD474" t="s">
        <v>48</v>
      </c>
      <c r="AE474">
        <v>0</v>
      </c>
      <c r="AF474">
        <v>9.94</v>
      </c>
      <c r="AG474" t="s">
        <v>59</v>
      </c>
      <c r="AH474">
        <v>325395</v>
      </c>
      <c r="AI474" t="s">
        <v>60</v>
      </c>
      <c r="AJ474" t="s">
        <v>78</v>
      </c>
      <c r="AK474" t="s">
        <v>54</v>
      </c>
      <c r="AL474">
        <v>2024</v>
      </c>
      <c r="AM474" s="6" t="s">
        <v>632</v>
      </c>
      <c r="AN474" s="7">
        <v>81.540000000000006</v>
      </c>
      <c r="AO474" s="8">
        <f t="shared" ref="AO474:AO537" si="24">SUM(AN474)*1.875</f>
        <v>152.88750000000002</v>
      </c>
      <c r="AP474" s="8">
        <f t="shared" ref="AP474:AP537" si="25">SUM(AO474)*1.111</f>
        <v>169.85801250000003</v>
      </c>
      <c r="AQ474" s="9">
        <f t="shared" si="23"/>
        <v>247.66246125000001</v>
      </c>
    </row>
    <row r="475" spans="1:43" x14ac:dyDescent="0.25">
      <c r="A475">
        <v>20</v>
      </c>
      <c r="B475">
        <v>2</v>
      </c>
      <c r="C475">
        <v>2024</v>
      </c>
      <c r="D475" t="s">
        <v>43</v>
      </c>
      <c r="E475" t="s">
        <v>140</v>
      </c>
      <c r="F475" t="s">
        <v>141</v>
      </c>
      <c r="G475">
        <v>45</v>
      </c>
      <c r="H475">
        <v>1791882490001</v>
      </c>
      <c r="I475" t="s">
        <v>46</v>
      </c>
      <c r="J475" t="s">
        <v>133</v>
      </c>
      <c r="K475" t="s">
        <v>48</v>
      </c>
      <c r="L475" t="s">
        <v>49</v>
      </c>
      <c r="M475" t="s">
        <v>50</v>
      </c>
      <c r="N475" t="s">
        <v>51</v>
      </c>
      <c r="O475">
        <v>7412200000</v>
      </c>
      <c r="P475" t="s">
        <v>169</v>
      </c>
      <c r="Q475" t="s">
        <v>633</v>
      </c>
      <c r="R475" t="s">
        <v>54</v>
      </c>
      <c r="S475" t="s">
        <v>55</v>
      </c>
      <c r="T475">
        <v>6</v>
      </c>
      <c r="U475">
        <v>2</v>
      </c>
      <c r="V475" t="s">
        <v>56</v>
      </c>
      <c r="W475">
        <v>0</v>
      </c>
      <c r="X475">
        <v>10.96</v>
      </c>
      <c r="Y475">
        <v>0.98</v>
      </c>
      <c r="Z475">
        <v>7.0000000000000007E-2</v>
      </c>
      <c r="AA475">
        <v>12.02</v>
      </c>
      <c r="AB475" t="s">
        <v>54</v>
      </c>
      <c r="AC475" t="s">
        <v>143</v>
      </c>
      <c r="AD475" t="s">
        <v>48</v>
      </c>
      <c r="AE475">
        <v>0</v>
      </c>
      <c r="AF475">
        <v>3.74</v>
      </c>
      <c r="AG475" t="s">
        <v>59</v>
      </c>
      <c r="AH475">
        <v>876053</v>
      </c>
      <c r="AI475" t="s">
        <v>60</v>
      </c>
      <c r="AJ475" t="s">
        <v>60</v>
      </c>
      <c r="AK475" t="s">
        <v>54</v>
      </c>
      <c r="AL475">
        <v>2024</v>
      </c>
      <c r="AM475" s="6" t="s">
        <v>634</v>
      </c>
      <c r="AN475" s="7">
        <v>5.48</v>
      </c>
      <c r="AO475" s="8">
        <f t="shared" si="24"/>
        <v>10.275</v>
      </c>
      <c r="AP475" s="8">
        <f t="shared" si="25"/>
        <v>11.415525000000001</v>
      </c>
      <c r="AQ475" s="9">
        <f t="shared" si="23"/>
        <v>16.644472499999999</v>
      </c>
    </row>
    <row r="476" spans="1:43" x14ac:dyDescent="0.25">
      <c r="A476">
        <v>1</v>
      </c>
      <c r="B476">
        <v>2</v>
      </c>
      <c r="C476">
        <v>2024</v>
      </c>
      <c r="D476" t="s">
        <v>43</v>
      </c>
      <c r="E476" t="s">
        <v>174</v>
      </c>
      <c r="F476" t="s">
        <v>175</v>
      </c>
      <c r="G476">
        <v>13</v>
      </c>
      <c r="H476">
        <v>1791882490001</v>
      </c>
      <c r="I476" t="s">
        <v>46</v>
      </c>
      <c r="J476" t="s">
        <v>133</v>
      </c>
      <c r="K476" t="s">
        <v>48</v>
      </c>
      <c r="L476" t="s">
        <v>49</v>
      </c>
      <c r="M476" t="s">
        <v>50</v>
      </c>
      <c r="N476" t="s">
        <v>51</v>
      </c>
      <c r="O476">
        <v>8481805900</v>
      </c>
      <c r="P476" t="s">
        <v>103</v>
      </c>
      <c r="Q476" t="s">
        <v>635</v>
      </c>
      <c r="R476" t="s">
        <v>54</v>
      </c>
      <c r="S476" t="s">
        <v>55</v>
      </c>
      <c r="T476">
        <v>5</v>
      </c>
      <c r="U476">
        <v>2</v>
      </c>
      <c r="V476" t="s">
        <v>135</v>
      </c>
      <c r="W476">
        <v>0</v>
      </c>
      <c r="X476">
        <v>595.91</v>
      </c>
      <c r="Y476">
        <v>44.3</v>
      </c>
      <c r="Z476">
        <v>3.56</v>
      </c>
      <c r="AA476">
        <v>643.77</v>
      </c>
      <c r="AB476" t="s">
        <v>54</v>
      </c>
      <c r="AC476" t="s">
        <v>94</v>
      </c>
      <c r="AD476" t="s">
        <v>48</v>
      </c>
      <c r="AE476">
        <v>0</v>
      </c>
      <c r="AF476">
        <v>3.97</v>
      </c>
      <c r="AG476" t="s">
        <v>59</v>
      </c>
      <c r="AH476">
        <v>863266</v>
      </c>
      <c r="AI476" t="s">
        <v>60</v>
      </c>
      <c r="AJ476" t="s">
        <v>60</v>
      </c>
      <c r="AK476" t="s">
        <v>54</v>
      </c>
      <c r="AL476">
        <v>2023</v>
      </c>
      <c r="AM476" s="6" t="s">
        <v>636</v>
      </c>
      <c r="AN476" s="7">
        <v>297.95</v>
      </c>
      <c r="AO476" s="8">
        <f t="shared" si="24"/>
        <v>558.65625</v>
      </c>
      <c r="AP476" s="8">
        <f t="shared" si="25"/>
        <v>620.66709375000005</v>
      </c>
      <c r="AQ476" s="9">
        <f t="shared" si="23"/>
        <v>904.96725937499991</v>
      </c>
    </row>
    <row r="477" spans="1:43" x14ac:dyDescent="0.25">
      <c r="A477">
        <v>13</v>
      </c>
      <c r="B477">
        <v>3</v>
      </c>
      <c r="C477">
        <v>2024</v>
      </c>
      <c r="D477" t="s">
        <v>43</v>
      </c>
      <c r="E477" t="s">
        <v>69</v>
      </c>
      <c r="F477" t="s">
        <v>70</v>
      </c>
      <c r="G477">
        <v>28</v>
      </c>
      <c r="H477">
        <v>1791882490001</v>
      </c>
      <c r="I477" t="s">
        <v>46</v>
      </c>
      <c r="J477" t="s">
        <v>133</v>
      </c>
      <c r="K477" t="s">
        <v>48</v>
      </c>
      <c r="L477" t="s">
        <v>49</v>
      </c>
      <c r="M477" t="s">
        <v>50</v>
      </c>
      <c r="N477" t="s">
        <v>51</v>
      </c>
      <c r="O477">
        <v>8481400090</v>
      </c>
      <c r="P477" t="s">
        <v>103</v>
      </c>
      <c r="Q477" t="s">
        <v>206</v>
      </c>
      <c r="R477" t="s">
        <v>54</v>
      </c>
      <c r="S477" t="s">
        <v>55</v>
      </c>
      <c r="T477">
        <v>11</v>
      </c>
      <c r="U477">
        <v>1</v>
      </c>
      <c r="V477" t="s">
        <v>135</v>
      </c>
      <c r="W477">
        <v>0</v>
      </c>
      <c r="X477">
        <v>30.47</v>
      </c>
      <c r="Y477">
        <v>3.99</v>
      </c>
      <c r="Z477">
        <v>0.2</v>
      </c>
      <c r="AA477">
        <v>34.659999999999997</v>
      </c>
      <c r="AB477" t="s">
        <v>54</v>
      </c>
      <c r="AC477" t="s">
        <v>71</v>
      </c>
      <c r="AD477" t="s">
        <v>48</v>
      </c>
      <c r="AE477">
        <v>0</v>
      </c>
      <c r="AF477">
        <v>2.04</v>
      </c>
      <c r="AG477" t="s">
        <v>59</v>
      </c>
      <c r="AH477">
        <v>895279</v>
      </c>
      <c r="AI477" t="s">
        <v>60</v>
      </c>
      <c r="AJ477" t="s">
        <v>60</v>
      </c>
      <c r="AK477" t="s">
        <v>54</v>
      </c>
      <c r="AL477">
        <v>2024</v>
      </c>
      <c r="AM477" s="6" t="s">
        <v>637</v>
      </c>
      <c r="AN477" s="7">
        <v>30.47</v>
      </c>
      <c r="AO477" s="8">
        <f t="shared" si="24"/>
        <v>57.131249999999994</v>
      </c>
      <c r="AP477" s="8">
        <f t="shared" si="25"/>
        <v>63.472818749999995</v>
      </c>
      <c r="AQ477" s="9">
        <f t="shared" si="23"/>
        <v>92.546911874999978</v>
      </c>
    </row>
    <row r="478" spans="1:43" x14ac:dyDescent="0.25">
      <c r="A478">
        <v>19</v>
      </c>
      <c r="B478">
        <v>8</v>
      </c>
      <c r="C478">
        <v>2024</v>
      </c>
      <c r="D478" t="s">
        <v>43</v>
      </c>
      <c r="E478" t="s">
        <v>84</v>
      </c>
      <c r="F478" t="s">
        <v>85</v>
      </c>
      <c r="G478">
        <v>26</v>
      </c>
      <c r="H478">
        <v>1791882490001</v>
      </c>
      <c r="I478" t="s">
        <v>46</v>
      </c>
      <c r="J478" t="s">
        <v>118</v>
      </c>
      <c r="K478" t="s">
        <v>48</v>
      </c>
      <c r="L478" t="s">
        <v>49</v>
      </c>
      <c r="M478" t="s">
        <v>50</v>
      </c>
      <c r="N478" t="s">
        <v>51</v>
      </c>
      <c r="O478">
        <v>4010320000</v>
      </c>
      <c r="P478" t="s">
        <v>122</v>
      </c>
      <c r="Q478" t="s">
        <v>123</v>
      </c>
      <c r="R478" t="s">
        <v>54</v>
      </c>
      <c r="S478" t="s">
        <v>55</v>
      </c>
      <c r="T478">
        <v>6</v>
      </c>
      <c r="U478">
        <v>1</v>
      </c>
      <c r="V478" t="s">
        <v>56</v>
      </c>
      <c r="W478">
        <v>0</v>
      </c>
      <c r="X478">
        <v>24.34</v>
      </c>
      <c r="Y478">
        <v>3.14</v>
      </c>
      <c r="Z478">
        <v>0.17</v>
      </c>
      <c r="AA478">
        <v>27.64</v>
      </c>
      <c r="AB478" t="s">
        <v>57</v>
      </c>
      <c r="AC478" t="s">
        <v>58</v>
      </c>
      <c r="AD478" t="s">
        <v>48</v>
      </c>
      <c r="AE478">
        <v>0</v>
      </c>
      <c r="AF478">
        <v>1.39</v>
      </c>
      <c r="AG478" t="s">
        <v>59</v>
      </c>
      <c r="AH478">
        <v>144527</v>
      </c>
      <c r="AI478" t="s">
        <v>60</v>
      </c>
      <c r="AJ478" t="s">
        <v>60</v>
      </c>
      <c r="AK478" t="s">
        <v>54</v>
      </c>
      <c r="AL478">
        <v>2024</v>
      </c>
      <c r="AM478" s="6" t="s">
        <v>638</v>
      </c>
      <c r="AN478" s="7">
        <v>24.34</v>
      </c>
      <c r="AO478" s="8">
        <f t="shared" si="24"/>
        <v>45.637500000000003</v>
      </c>
      <c r="AP478" s="8">
        <f t="shared" si="25"/>
        <v>50.703262500000001</v>
      </c>
      <c r="AQ478" s="9">
        <f t="shared" si="23"/>
        <v>73.928186249999996</v>
      </c>
    </row>
    <row r="479" spans="1:43" x14ac:dyDescent="0.25">
      <c r="A479">
        <v>26</v>
      </c>
      <c r="B479">
        <v>12</v>
      </c>
      <c r="C479">
        <v>2024</v>
      </c>
      <c r="D479" t="s">
        <v>43</v>
      </c>
      <c r="E479" t="s">
        <v>222</v>
      </c>
      <c r="F479" t="s">
        <v>223</v>
      </c>
      <c r="G479">
        <v>22</v>
      </c>
      <c r="H479">
        <v>1791882490001</v>
      </c>
      <c r="I479" t="s">
        <v>46</v>
      </c>
      <c r="J479" t="s">
        <v>118</v>
      </c>
      <c r="K479" t="s">
        <v>48</v>
      </c>
      <c r="L479" t="s">
        <v>49</v>
      </c>
      <c r="M479" t="s">
        <v>50</v>
      </c>
      <c r="N479" t="s">
        <v>224</v>
      </c>
      <c r="O479">
        <v>4010320000</v>
      </c>
      <c r="P479" t="s">
        <v>130</v>
      </c>
      <c r="Q479" t="s">
        <v>123</v>
      </c>
      <c r="R479" t="s">
        <v>54</v>
      </c>
      <c r="S479" t="s">
        <v>55</v>
      </c>
      <c r="T479">
        <v>8</v>
      </c>
      <c r="U479">
        <v>2</v>
      </c>
      <c r="V479" t="s">
        <v>56</v>
      </c>
      <c r="W479">
        <v>0</v>
      </c>
      <c r="X479">
        <v>48.89</v>
      </c>
      <c r="Y479">
        <v>10.119999999999999</v>
      </c>
      <c r="Z479">
        <v>0.49</v>
      </c>
      <c r="AA479">
        <v>59.5</v>
      </c>
      <c r="AB479" t="s">
        <v>57</v>
      </c>
      <c r="AC479" t="s">
        <v>225</v>
      </c>
      <c r="AD479" t="s">
        <v>48</v>
      </c>
      <c r="AE479">
        <v>0</v>
      </c>
      <c r="AF479">
        <v>4.12</v>
      </c>
      <c r="AG479" t="s">
        <v>59</v>
      </c>
      <c r="AH479">
        <v>341996</v>
      </c>
      <c r="AI479" t="s">
        <v>60</v>
      </c>
      <c r="AJ479" t="s">
        <v>60</v>
      </c>
      <c r="AK479" t="s">
        <v>54</v>
      </c>
      <c r="AL479">
        <v>2024</v>
      </c>
      <c r="AM479" s="6" t="s">
        <v>638</v>
      </c>
      <c r="AN479" s="7">
        <v>24.44</v>
      </c>
      <c r="AO479" s="8">
        <f t="shared" si="24"/>
        <v>45.825000000000003</v>
      </c>
      <c r="AP479" s="8">
        <f t="shared" si="25"/>
        <v>50.911574999999999</v>
      </c>
      <c r="AQ479" s="9">
        <f t="shared" si="23"/>
        <v>74.231917499999994</v>
      </c>
    </row>
    <row r="480" spans="1:43" x14ac:dyDescent="0.25">
      <c r="A480">
        <v>8</v>
      </c>
      <c r="B480">
        <v>4</v>
      </c>
      <c r="C480">
        <v>2024</v>
      </c>
      <c r="D480" t="s">
        <v>43</v>
      </c>
      <c r="E480" t="s">
        <v>355</v>
      </c>
      <c r="F480" t="s">
        <v>356</v>
      </c>
      <c r="G480">
        <v>10</v>
      </c>
      <c r="H480">
        <v>1791882490001</v>
      </c>
      <c r="I480" t="s">
        <v>46</v>
      </c>
      <c r="J480" t="s">
        <v>118</v>
      </c>
      <c r="K480" t="s">
        <v>48</v>
      </c>
      <c r="L480" t="s">
        <v>119</v>
      </c>
      <c r="M480" t="s">
        <v>120</v>
      </c>
      <c r="N480" t="s">
        <v>121</v>
      </c>
      <c r="O480">
        <v>4010320000</v>
      </c>
      <c r="P480" t="s">
        <v>122</v>
      </c>
      <c r="Q480" t="s">
        <v>123</v>
      </c>
      <c r="R480" t="s">
        <v>54</v>
      </c>
      <c r="S480" t="s">
        <v>55</v>
      </c>
      <c r="T480">
        <v>10</v>
      </c>
      <c r="U480">
        <v>3</v>
      </c>
      <c r="V480" t="s">
        <v>56</v>
      </c>
      <c r="W480">
        <v>0</v>
      </c>
      <c r="X480">
        <v>75.819999999999993</v>
      </c>
      <c r="Y480">
        <v>3.79</v>
      </c>
      <c r="Z480">
        <v>0.48</v>
      </c>
      <c r="AA480">
        <v>80.099999999999994</v>
      </c>
      <c r="AB480" t="s">
        <v>359</v>
      </c>
      <c r="AC480" t="s">
        <v>125</v>
      </c>
      <c r="AD480" t="s">
        <v>48</v>
      </c>
      <c r="AE480">
        <v>1</v>
      </c>
      <c r="AF480">
        <v>40.869999999999997</v>
      </c>
      <c r="AG480" t="s">
        <v>59</v>
      </c>
      <c r="AH480">
        <v>882904</v>
      </c>
      <c r="AI480" t="s">
        <v>60</v>
      </c>
      <c r="AJ480" t="s">
        <v>60</v>
      </c>
      <c r="AK480" t="s">
        <v>54</v>
      </c>
      <c r="AL480">
        <v>2024</v>
      </c>
      <c r="AM480" s="6" t="s">
        <v>639</v>
      </c>
      <c r="AN480" s="7">
        <v>25.27</v>
      </c>
      <c r="AO480" s="8">
        <f t="shared" si="24"/>
        <v>47.381250000000001</v>
      </c>
      <c r="AP480" s="8">
        <f t="shared" si="25"/>
        <v>52.64056875</v>
      </c>
      <c r="AQ480" s="9">
        <f t="shared" si="23"/>
        <v>76.752886875000002</v>
      </c>
    </row>
    <row r="481" spans="1:43" x14ac:dyDescent="0.25">
      <c r="A481">
        <v>17</v>
      </c>
      <c r="B481">
        <v>5</v>
      </c>
      <c r="C481">
        <v>2024</v>
      </c>
      <c r="D481" t="s">
        <v>43</v>
      </c>
      <c r="E481" t="s">
        <v>79</v>
      </c>
      <c r="F481" t="s">
        <v>80</v>
      </c>
      <c r="G481">
        <v>23</v>
      </c>
      <c r="H481">
        <v>1791882490001</v>
      </c>
      <c r="I481" t="s">
        <v>46</v>
      </c>
      <c r="J481" t="s">
        <v>118</v>
      </c>
      <c r="K481" t="s">
        <v>48</v>
      </c>
      <c r="L481" t="s">
        <v>49</v>
      </c>
      <c r="M481" t="s">
        <v>50</v>
      </c>
      <c r="N481" t="s">
        <v>51</v>
      </c>
      <c r="O481">
        <v>4010320000</v>
      </c>
      <c r="P481" t="s">
        <v>122</v>
      </c>
      <c r="Q481" t="s">
        <v>123</v>
      </c>
      <c r="R481" t="s">
        <v>54</v>
      </c>
      <c r="S481" t="s">
        <v>55</v>
      </c>
      <c r="T481">
        <v>6</v>
      </c>
      <c r="U481">
        <v>2</v>
      </c>
      <c r="V481" t="s">
        <v>56</v>
      </c>
      <c r="W481">
        <v>0</v>
      </c>
      <c r="X481">
        <v>51.42</v>
      </c>
      <c r="Y481">
        <v>4.97</v>
      </c>
      <c r="Z481">
        <v>0.34</v>
      </c>
      <c r="AA481">
        <v>56.73</v>
      </c>
      <c r="AB481" t="s">
        <v>57</v>
      </c>
      <c r="AC481" t="s">
        <v>81</v>
      </c>
      <c r="AD481" t="s">
        <v>48</v>
      </c>
      <c r="AE481">
        <v>0</v>
      </c>
      <c r="AF481">
        <v>2.16</v>
      </c>
      <c r="AG481" t="s">
        <v>82</v>
      </c>
      <c r="AH481">
        <v>471463</v>
      </c>
      <c r="AI481" t="s">
        <v>60</v>
      </c>
      <c r="AJ481" t="s">
        <v>60</v>
      </c>
      <c r="AK481" t="s">
        <v>54</v>
      </c>
      <c r="AL481">
        <v>2024</v>
      </c>
      <c r="AM481" s="6" t="s">
        <v>639</v>
      </c>
      <c r="AN481" s="7">
        <v>25.71</v>
      </c>
      <c r="AO481" s="8">
        <f t="shared" si="24"/>
        <v>48.206250000000004</v>
      </c>
      <c r="AP481" s="8">
        <f t="shared" si="25"/>
        <v>53.557143750000002</v>
      </c>
      <c r="AQ481" s="9">
        <f t="shared" si="23"/>
        <v>78.089304374999998</v>
      </c>
    </row>
    <row r="482" spans="1:43" x14ac:dyDescent="0.25">
      <c r="A482">
        <v>17</v>
      </c>
      <c r="B482">
        <v>5</v>
      </c>
      <c r="C482">
        <v>2024</v>
      </c>
      <c r="D482" t="s">
        <v>43</v>
      </c>
      <c r="E482" t="s">
        <v>79</v>
      </c>
      <c r="F482" t="s">
        <v>80</v>
      </c>
      <c r="G482">
        <v>24</v>
      </c>
      <c r="H482">
        <v>1791882490001</v>
      </c>
      <c r="I482" t="s">
        <v>46</v>
      </c>
      <c r="J482" t="s">
        <v>118</v>
      </c>
      <c r="K482" t="s">
        <v>48</v>
      </c>
      <c r="L482" t="s">
        <v>49</v>
      </c>
      <c r="M482" t="s">
        <v>50</v>
      </c>
      <c r="N482" t="s">
        <v>51</v>
      </c>
      <c r="O482">
        <v>4010320000</v>
      </c>
      <c r="P482" t="s">
        <v>122</v>
      </c>
      <c r="Q482" t="s">
        <v>123</v>
      </c>
      <c r="R482" t="s">
        <v>54</v>
      </c>
      <c r="S482" t="s">
        <v>55</v>
      </c>
      <c r="T482">
        <v>6</v>
      </c>
      <c r="U482">
        <v>1</v>
      </c>
      <c r="V482" t="s">
        <v>56</v>
      </c>
      <c r="W482">
        <v>0</v>
      </c>
      <c r="X482">
        <v>26.78</v>
      </c>
      <c r="Y482">
        <v>2.59</v>
      </c>
      <c r="Z482">
        <v>0.18</v>
      </c>
      <c r="AA482">
        <v>29.55</v>
      </c>
      <c r="AB482" t="s">
        <v>57</v>
      </c>
      <c r="AC482" t="s">
        <v>81</v>
      </c>
      <c r="AD482" t="s">
        <v>48</v>
      </c>
      <c r="AE482">
        <v>0</v>
      </c>
      <c r="AF482">
        <v>1.08</v>
      </c>
      <c r="AG482" t="s">
        <v>82</v>
      </c>
      <c r="AH482">
        <v>471463</v>
      </c>
      <c r="AI482" t="s">
        <v>60</v>
      </c>
      <c r="AJ482" t="s">
        <v>60</v>
      </c>
      <c r="AK482" t="s">
        <v>54</v>
      </c>
      <c r="AL482">
        <v>2024</v>
      </c>
      <c r="AM482" s="6" t="s">
        <v>640</v>
      </c>
      <c r="AN482" s="7">
        <v>26.78</v>
      </c>
      <c r="AO482" s="8">
        <f t="shared" si="24"/>
        <v>50.212500000000006</v>
      </c>
      <c r="AP482" s="8">
        <f t="shared" si="25"/>
        <v>55.786087500000008</v>
      </c>
      <c r="AQ482" s="9">
        <f t="shared" si="23"/>
        <v>81.339228750000004</v>
      </c>
    </row>
    <row r="483" spans="1:43" x14ac:dyDescent="0.25">
      <c r="A483">
        <v>15</v>
      </c>
      <c r="B483">
        <v>4</v>
      </c>
      <c r="C483">
        <v>2024</v>
      </c>
      <c r="D483" t="s">
        <v>43</v>
      </c>
      <c r="E483" t="s">
        <v>63</v>
      </c>
      <c r="F483" t="s">
        <v>64</v>
      </c>
      <c r="G483">
        <v>29</v>
      </c>
      <c r="H483">
        <v>1791882490001</v>
      </c>
      <c r="I483" t="s">
        <v>46</v>
      </c>
      <c r="J483" t="s">
        <v>65</v>
      </c>
      <c r="K483" t="s">
        <v>48</v>
      </c>
      <c r="L483" t="s">
        <v>49</v>
      </c>
      <c r="M483" t="s">
        <v>50</v>
      </c>
      <c r="N483" t="s">
        <v>51</v>
      </c>
      <c r="O483">
        <v>8421392000</v>
      </c>
      <c r="P483" t="s">
        <v>253</v>
      </c>
      <c r="Q483" t="s">
        <v>641</v>
      </c>
      <c r="R483" t="s">
        <v>54</v>
      </c>
      <c r="S483" t="s">
        <v>55</v>
      </c>
      <c r="T483">
        <v>6</v>
      </c>
      <c r="U483">
        <v>5</v>
      </c>
      <c r="V483" t="s">
        <v>135</v>
      </c>
      <c r="W483">
        <v>0</v>
      </c>
      <c r="X483">
        <v>566.12</v>
      </c>
      <c r="Y483">
        <v>59.59</v>
      </c>
      <c r="Z483">
        <v>3.8</v>
      </c>
      <c r="AA483">
        <v>629.52</v>
      </c>
      <c r="AB483" t="s">
        <v>57</v>
      </c>
      <c r="AC483" t="s">
        <v>58</v>
      </c>
      <c r="AD483" t="s">
        <v>48</v>
      </c>
      <c r="AE483">
        <v>0</v>
      </c>
      <c r="AF483">
        <v>5.43</v>
      </c>
      <c r="AG483" t="s">
        <v>59</v>
      </c>
      <c r="AH483">
        <v>443965</v>
      </c>
      <c r="AI483" t="s">
        <v>60</v>
      </c>
      <c r="AJ483" t="s">
        <v>60</v>
      </c>
      <c r="AK483" t="s">
        <v>54</v>
      </c>
      <c r="AL483">
        <v>2024</v>
      </c>
      <c r="AM483" s="6" t="s">
        <v>642</v>
      </c>
      <c r="AN483" s="7">
        <v>113.22</v>
      </c>
      <c r="AO483" s="8">
        <f t="shared" si="24"/>
        <v>212.28749999999999</v>
      </c>
      <c r="AP483" s="8">
        <f t="shared" si="25"/>
        <v>235.85141249999998</v>
      </c>
      <c r="AQ483" s="9">
        <f t="shared" si="23"/>
        <v>343.88452124999998</v>
      </c>
    </row>
    <row r="484" spans="1:43" x14ac:dyDescent="0.25">
      <c r="A484">
        <v>17</v>
      </c>
      <c r="B484">
        <v>5</v>
      </c>
      <c r="C484">
        <v>2024</v>
      </c>
      <c r="D484" t="s">
        <v>43</v>
      </c>
      <c r="E484" t="s">
        <v>79</v>
      </c>
      <c r="F484" t="s">
        <v>80</v>
      </c>
      <c r="G484">
        <v>25</v>
      </c>
      <c r="H484">
        <v>1791882490001</v>
      </c>
      <c r="I484" t="s">
        <v>46</v>
      </c>
      <c r="J484" t="s">
        <v>65</v>
      </c>
      <c r="K484" t="s">
        <v>48</v>
      </c>
      <c r="L484" t="s">
        <v>49</v>
      </c>
      <c r="M484" t="s">
        <v>50</v>
      </c>
      <c r="N484" t="s">
        <v>51</v>
      </c>
      <c r="O484">
        <v>8421392000</v>
      </c>
      <c r="P484" t="s">
        <v>253</v>
      </c>
      <c r="Q484" t="s">
        <v>643</v>
      </c>
      <c r="R484" t="s">
        <v>54</v>
      </c>
      <c r="S484" t="s">
        <v>55</v>
      </c>
      <c r="T484">
        <v>6</v>
      </c>
      <c r="U484">
        <v>8</v>
      </c>
      <c r="V484" t="s">
        <v>135</v>
      </c>
      <c r="W484">
        <v>0</v>
      </c>
      <c r="X484">
        <v>906.54</v>
      </c>
      <c r="Y484">
        <v>87.52</v>
      </c>
      <c r="Z484">
        <v>6.04</v>
      </c>
      <c r="AA484">
        <v>1000.09</v>
      </c>
      <c r="AB484" t="s">
        <v>57</v>
      </c>
      <c r="AC484" t="s">
        <v>81</v>
      </c>
      <c r="AD484" t="s">
        <v>48</v>
      </c>
      <c r="AE484">
        <v>0</v>
      </c>
      <c r="AF484">
        <v>8.65</v>
      </c>
      <c r="AG484" t="s">
        <v>82</v>
      </c>
      <c r="AH484">
        <v>471463</v>
      </c>
      <c r="AI484" t="s">
        <v>60</v>
      </c>
      <c r="AJ484" t="s">
        <v>60</v>
      </c>
      <c r="AK484" t="s">
        <v>54</v>
      </c>
      <c r="AL484">
        <v>2024</v>
      </c>
      <c r="AM484" s="6" t="s">
        <v>642</v>
      </c>
      <c r="AN484" s="7">
        <v>113.32</v>
      </c>
      <c r="AO484" s="8">
        <f t="shared" si="24"/>
        <v>212.47499999999999</v>
      </c>
      <c r="AP484" s="8">
        <f t="shared" si="25"/>
        <v>236.05972499999999</v>
      </c>
      <c r="AQ484" s="9">
        <f t="shared" si="23"/>
        <v>344.18825249999998</v>
      </c>
    </row>
    <row r="485" spans="1:43" x14ac:dyDescent="0.25">
      <c r="A485">
        <v>10</v>
      </c>
      <c r="B485">
        <v>10</v>
      </c>
      <c r="C485">
        <v>2024</v>
      </c>
      <c r="D485" t="s">
        <v>43</v>
      </c>
      <c r="E485" t="s">
        <v>44</v>
      </c>
      <c r="F485" t="s">
        <v>45</v>
      </c>
      <c r="G485">
        <v>33</v>
      </c>
      <c r="H485">
        <v>1791882490001</v>
      </c>
      <c r="I485" t="s">
        <v>46</v>
      </c>
      <c r="J485" t="s">
        <v>65</v>
      </c>
      <c r="K485" t="s">
        <v>48</v>
      </c>
      <c r="L485" t="s">
        <v>49</v>
      </c>
      <c r="M485" t="s">
        <v>50</v>
      </c>
      <c r="N485" t="s">
        <v>51</v>
      </c>
      <c r="O485">
        <v>8421392000</v>
      </c>
      <c r="P485" t="s">
        <v>480</v>
      </c>
      <c r="Q485" t="s">
        <v>261</v>
      </c>
      <c r="R485" t="s">
        <v>54</v>
      </c>
      <c r="S485" t="s">
        <v>55</v>
      </c>
      <c r="T485">
        <v>7</v>
      </c>
      <c r="U485">
        <v>4</v>
      </c>
      <c r="V485" t="s">
        <v>135</v>
      </c>
      <c r="W485">
        <v>0</v>
      </c>
      <c r="X485">
        <v>457.66</v>
      </c>
      <c r="Y485">
        <v>79.959999999999994</v>
      </c>
      <c r="Z485">
        <v>3.3</v>
      </c>
      <c r="AA485">
        <v>540.91999999999996</v>
      </c>
      <c r="AB485" t="s">
        <v>57</v>
      </c>
      <c r="AC485" t="s">
        <v>58</v>
      </c>
      <c r="AD485" t="s">
        <v>48</v>
      </c>
      <c r="AE485">
        <v>0</v>
      </c>
      <c r="AF485">
        <v>4.9400000000000004</v>
      </c>
      <c r="AG485" t="s">
        <v>59</v>
      </c>
      <c r="AH485">
        <v>179772</v>
      </c>
      <c r="AI485" t="s">
        <v>60</v>
      </c>
      <c r="AJ485" t="s">
        <v>60</v>
      </c>
      <c r="AK485" t="s">
        <v>54</v>
      </c>
      <c r="AL485">
        <v>2024</v>
      </c>
      <c r="AM485" s="6" t="s">
        <v>642</v>
      </c>
      <c r="AN485" s="7">
        <v>114.42</v>
      </c>
      <c r="AO485" s="8">
        <f t="shared" si="24"/>
        <v>214.53749999999999</v>
      </c>
      <c r="AP485" s="8">
        <f t="shared" si="25"/>
        <v>238.35116249999999</v>
      </c>
      <c r="AQ485" s="9">
        <f t="shared" si="23"/>
        <v>347.52929624999996</v>
      </c>
    </row>
    <row r="486" spans="1:43" x14ac:dyDescent="0.25">
      <c r="A486">
        <v>16</v>
      </c>
      <c r="B486">
        <v>12</v>
      </c>
      <c r="C486">
        <v>2024</v>
      </c>
      <c r="D486" t="s">
        <v>43</v>
      </c>
      <c r="E486" t="s">
        <v>128</v>
      </c>
      <c r="F486" t="s">
        <v>129</v>
      </c>
      <c r="G486">
        <v>33</v>
      </c>
      <c r="H486">
        <v>1791882490001</v>
      </c>
      <c r="I486" t="s">
        <v>46</v>
      </c>
      <c r="J486" t="s">
        <v>65</v>
      </c>
      <c r="K486" t="s">
        <v>48</v>
      </c>
      <c r="L486" t="s">
        <v>49</v>
      </c>
      <c r="M486" t="s">
        <v>50</v>
      </c>
      <c r="N486" t="s">
        <v>51</v>
      </c>
      <c r="O486">
        <v>8421392000</v>
      </c>
      <c r="P486" t="s">
        <v>480</v>
      </c>
      <c r="Q486" t="s">
        <v>261</v>
      </c>
      <c r="R486" t="s">
        <v>54</v>
      </c>
      <c r="S486" t="s">
        <v>55</v>
      </c>
      <c r="T486">
        <v>9</v>
      </c>
      <c r="U486">
        <v>4</v>
      </c>
      <c r="V486" t="s">
        <v>135</v>
      </c>
      <c r="W486">
        <v>0</v>
      </c>
      <c r="X486">
        <v>457.46</v>
      </c>
      <c r="Y486">
        <v>59.91</v>
      </c>
      <c r="Z486">
        <v>3.14</v>
      </c>
      <c r="AA486">
        <v>520.51</v>
      </c>
      <c r="AB486" t="s">
        <v>57</v>
      </c>
      <c r="AC486" t="s">
        <v>131</v>
      </c>
      <c r="AD486" t="s">
        <v>48</v>
      </c>
      <c r="AE486">
        <v>0</v>
      </c>
      <c r="AF486">
        <v>7.95</v>
      </c>
      <c r="AG486" t="s">
        <v>59</v>
      </c>
      <c r="AH486">
        <v>325395</v>
      </c>
      <c r="AI486" t="s">
        <v>60</v>
      </c>
      <c r="AJ486" t="s">
        <v>78</v>
      </c>
      <c r="AK486" t="s">
        <v>54</v>
      </c>
      <c r="AL486">
        <v>2024</v>
      </c>
      <c r="AM486" s="6" t="s">
        <v>642</v>
      </c>
      <c r="AN486" s="7">
        <v>114.36</v>
      </c>
      <c r="AO486" s="8">
        <f t="shared" si="24"/>
        <v>214.42500000000001</v>
      </c>
      <c r="AP486" s="8">
        <f t="shared" si="25"/>
        <v>238.22617500000001</v>
      </c>
      <c r="AQ486" s="9">
        <f t="shared" si="23"/>
        <v>347.34705750000001</v>
      </c>
    </row>
    <row r="487" spans="1:43" x14ac:dyDescent="0.25">
      <c r="A487">
        <v>15</v>
      </c>
      <c r="B487">
        <v>4</v>
      </c>
      <c r="C487">
        <v>2024</v>
      </c>
      <c r="D487" t="s">
        <v>43</v>
      </c>
      <c r="E487" t="s">
        <v>63</v>
      </c>
      <c r="F487" t="s">
        <v>64</v>
      </c>
      <c r="G487">
        <v>30</v>
      </c>
      <c r="H487">
        <v>1791882490001</v>
      </c>
      <c r="I487" t="s">
        <v>46</v>
      </c>
      <c r="J487" t="s">
        <v>65</v>
      </c>
      <c r="K487" t="s">
        <v>48</v>
      </c>
      <c r="L487" t="s">
        <v>49</v>
      </c>
      <c r="M487" t="s">
        <v>50</v>
      </c>
      <c r="N487" t="s">
        <v>51</v>
      </c>
      <c r="O487">
        <v>8421299090</v>
      </c>
      <c r="P487" t="s">
        <v>303</v>
      </c>
      <c r="Q487" t="s">
        <v>301</v>
      </c>
      <c r="R487" t="s">
        <v>54</v>
      </c>
      <c r="S487" t="s">
        <v>55</v>
      </c>
      <c r="T487">
        <v>6</v>
      </c>
      <c r="U487">
        <v>6</v>
      </c>
      <c r="V487" t="s">
        <v>135</v>
      </c>
      <c r="W487">
        <v>0</v>
      </c>
      <c r="X487">
        <v>138.1</v>
      </c>
      <c r="Y487">
        <v>14.54</v>
      </c>
      <c r="Z487">
        <v>0.93</v>
      </c>
      <c r="AA487">
        <v>153.56</v>
      </c>
      <c r="AB487" t="s">
        <v>57</v>
      </c>
      <c r="AC487" t="s">
        <v>58</v>
      </c>
      <c r="AD487" t="s">
        <v>48</v>
      </c>
      <c r="AE487">
        <v>0</v>
      </c>
      <c r="AF487">
        <v>1.32</v>
      </c>
      <c r="AG487" t="s">
        <v>59</v>
      </c>
      <c r="AH487">
        <v>443965</v>
      </c>
      <c r="AI487" t="s">
        <v>60</v>
      </c>
      <c r="AJ487" t="s">
        <v>60</v>
      </c>
      <c r="AK487" t="s">
        <v>54</v>
      </c>
      <c r="AL487">
        <v>2024</v>
      </c>
      <c r="AM487" s="6" t="s">
        <v>644</v>
      </c>
      <c r="AN487" s="7">
        <v>23.02</v>
      </c>
      <c r="AO487" s="8">
        <f t="shared" si="24"/>
        <v>43.162500000000001</v>
      </c>
      <c r="AP487" s="8">
        <f t="shared" si="25"/>
        <v>47.953537500000003</v>
      </c>
      <c r="AQ487" s="9">
        <f t="shared" si="23"/>
        <v>69.918933749999994</v>
      </c>
    </row>
    <row r="488" spans="1:43" x14ac:dyDescent="0.25">
      <c r="A488">
        <v>10</v>
      </c>
      <c r="B488">
        <v>10</v>
      </c>
      <c r="C488">
        <v>2024</v>
      </c>
      <c r="D488" t="s">
        <v>43</v>
      </c>
      <c r="E488" t="s">
        <v>44</v>
      </c>
      <c r="F488" t="s">
        <v>45</v>
      </c>
      <c r="G488">
        <v>34</v>
      </c>
      <c r="H488">
        <v>1791882490001</v>
      </c>
      <c r="I488" t="s">
        <v>46</v>
      </c>
      <c r="J488" t="s">
        <v>65</v>
      </c>
      <c r="K488" t="s">
        <v>48</v>
      </c>
      <c r="L488" t="s">
        <v>49</v>
      </c>
      <c r="M488" t="s">
        <v>50</v>
      </c>
      <c r="N488" t="s">
        <v>51</v>
      </c>
      <c r="O488">
        <v>8421299090</v>
      </c>
      <c r="P488" t="s">
        <v>52</v>
      </c>
      <c r="Q488" t="s">
        <v>305</v>
      </c>
      <c r="R488" t="s">
        <v>54</v>
      </c>
      <c r="S488" t="s">
        <v>55</v>
      </c>
      <c r="T488">
        <v>7</v>
      </c>
      <c r="U488">
        <v>5</v>
      </c>
      <c r="V488" t="s">
        <v>135</v>
      </c>
      <c r="W488">
        <v>0</v>
      </c>
      <c r="X488">
        <v>249.29</v>
      </c>
      <c r="Y488">
        <v>43.56</v>
      </c>
      <c r="Z488">
        <v>1.8</v>
      </c>
      <c r="AA488">
        <v>294.64999999999998</v>
      </c>
      <c r="AB488" t="s">
        <v>57</v>
      </c>
      <c r="AC488" t="s">
        <v>58</v>
      </c>
      <c r="AD488" t="s">
        <v>48</v>
      </c>
      <c r="AE488">
        <v>0</v>
      </c>
      <c r="AF488">
        <v>2.69</v>
      </c>
      <c r="AG488" t="s">
        <v>59</v>
      </c>
      <c r="AH488">
        <v>179772</v>
      </c>
      <c r="AI488" t="s">
        <v>60</v>
      </c>
      <c r="AJ488" t="s">
        <v>60</v>
      </c>
      <c r="AK488" t="s">
        <v>54</v>
      </c>
      <c r="AL488">
        <v>2024</v>
      </c>
      <c r="AM488" s="6" t="s">
        <v>645</v>
      </c>
      <c r="AN488" s="7">
        <v>49.86</v>
      </c>
      <c r="AO488" s="8">
        <f t="shared" si="24"/>
        <v>93.487499999999997</v>
      </c>
      <c r="AP488" s="8">
        <f t="shared" si="25"/>
        <v>103.86461249999999</v>
      </c>
      <c r="AQ488" s="9">
        <f t="shared" si="23"/>
        <v>151.44040124999998</v>
      </c>
    </row>
    <row r="489" spans="1:43" x14ac:dyDescent="0.25">
      <c r="A489">
        <v>16</v>
      </c>
      <c r="B489">
        <v>12</v>
      </c>
      <c r="C489">
        <v>2024</v>
      </c>
      <c r="D489" t="s">
        <v>43</v>
      </c>
      <c r="E489" t="s">
        <v>128</v>
      </c>
      <c r="F489" t="s">
        <v>129</v>
      </c>
      <c r="G489">
        <v>34</v>
      </c>
      <c r="H489">
        <v>1791882490001</v>
      </c>
      <c r="I489" t="s">
        <v>46</v>
      </c>
      <c r="J489" t="s">
        <v>65</v>
      </c>
      <c r="K489" t="s">
        <v>48</v>
      </c>
      <c r="L489" t="s">
        <v>49</v>
      </c>
      <c r="M489" t="s">
        <v>50</v>
      </c>
      <c r="N489" t="s">
        <v>51</v>
      </c>
      <c r="O489">
        <v>8421299090</v>
      </c>
      <c r="P489" t="s">
        <v>52</v>
      </c>
      <c r="Q489" t="s">
        <v>305</v>
      </c>
      <c r="R489" t="s">
        <v>54</v>
      </c>
      <c r="S489" t="s">
        <v>55</v>
      </c>
      <c r="T489">
        <v>9</v>
      </c>
      <c r="U489">
        <v>4</v>
      </c>
      <c r="V489" t="s">
        <v>135</v>
      </c>
      <c r="W489">
        <v>0</v>
      </c>
      <c r="X489">
        <v>199.35</v>
      </c>
      <c r="Y489">
        <v>26.11</v>
      </c>
      <c r="Z489">
        <v>1.37</v>
      </c>
      <c r="AA489">
        <v>226.82</v>
      </c>
      <c r="AB489" t="s">
        <v>57</v>
      </c>
      <c r="AC489" t="s">
        <v>131</v>
      </c>
      <c r="AD489" t="s">
        <v>48</v>
      </c>
      <c r="AE489">
        <v>0</v>
      </c>
      <c r="AF489">
        <v>7.95</v>
      </c>
      <c r="AG489" t="s">
        <v>59</v>
      </c>
      <c r="AH489">
        <v>325395</v>
      </c>
      <c r="AI489" t="s">
        <v>60</v>
      </c>
      <c r="AJ489" t="s">
        <v>78</v>
      </c>
      <c r="AK489" t="s">
        <v>54</v>
      </c>
      <c r="AL489">
        <v>2024</v>
      </c>
      <c r="AM489" s="6" t="s">
        <v>645</v>
      </c>
      <c r="AN489" s="7">
        <v>49.84</v>
      </c>
      <c r="AO489" s="8">
        <f t="shared" si="24"/>
        <v>93.45</v>
      </c>
      <c r="AP489" s="8">
        <f t="shared" si="25"/>
        <v>103.82295000000001</v>
      </c>
      <c r="AQ489" s="9">
        <f t="shared" si="23"/>
        <v>151.37965499999999</v>
      </c>
    </row>
    <row r="490" spans="1:43" x14ac:dyDescent="0.25">
      <c r="A490">
        <v>10</v>
      </c>
      <c r="B490">
        <v>10</v>
      </c>
      <c r="C490">
        <v>2024</v>
      </c>
      <c r="D490" t="s">
        <v>43</v>
      </c>
      <c r="E490" t="s">
        <v>44</v>
      </c>
      <c r="F490" t="s">
        <v>45</v>
      </c>
      <c r="G490">
        <v>35</v>
      </c>
      <c r="H490">
        <v>1791882490001</v>
      </c>
      <c r="I490" t="s">
        <v>46</v>
      </c>
      <c r="J490" t="s">
        <v>133</v>
      </c>
      <c r="K490" t="s">
        <v>48</v>
      </c>
      <c r="L490" t="s">
        <v>49</v>
      </c>
      <c r="M490" t="s">
        <v>50</v>
      </c>
      <c r="N490" t="s">
        <v>51</v>
      </c>
      <c r="O490">
        <v>8481809990</v>
      </c>
      <c r="P490" t="s">
        <v>232</v>
      </c>
      <c r="Q490" t="s">
        <v>414</v>
      </c>
      <c r="R490" t="s">
        <v>54</v>
      </c>
      <c r="S490" t="s">
        <v>55</v>
      </c>
      <c r="T490">
        <v>7</v>
      </c>
      <c r="U490">
        <v>1</v>
      </c>
      <c r="V490" t="s">
        <v>135</v>
      </c>
      <c r="W490">
        <v>0</v>
      </c>
      <c r="X490">
        <v>329.87</v>
      </c>
      <c r="Y490">
        <v>57.63</v>
      </c>
      <c r="Z490">
        <v>2.38</v>
      </c>
      <c r="AA490">
        <v>389.88</v>
      </c>
      <c r="AB490" t="s">
        <v>57</v>
      </c>
      <c r="AC490" t="s">
        <v>58</v>
      </c>
      <c r="AD490" t="s">
        <v>48</v>
      </c>
      <c r="AE490">
        <v>0</v>
      </c>
      <c r="AF490">
        <v>3.56</v>
      </c>
      <c r="AG490" t="s">
        <v>59</v>
      </c>
      <c r="AH490">
        <v>179772</v>
      </c>
      <c r="AI490" t="s">
        <v>60</v>
      </c>
      <c r="AJ490" t="s">
        <v>60</v>
      </c>
      <c r="AK490" t="s">
        <v>54</v>
      </c>
      <c r="AL490">
        <v>2024</v>
      </c>
      <c r="AM490" s="6" t="s">
        <v>646</v>
      </c>
      <c r="AN490" s="7">
        <v>329.87</v>
      </c>
      <c r="AO490" s="8">
        <f t="shared" si="24"/>
        <v>618.50625000000002</v>
      </c>
      <c r="AP490" s="8">
        <f t="shared" si="25"/>
        <v>687.16044375000001</v>
      </c>
      <c r="AQ490" s="9">
        <f t="shared" si="23"/>
        <v>1001.918274375</v>
      </c>
    </row>
    <row r="491" spans="1:43" x14ac:dyDescent="0.25">
      <c r="A491">
        <v>13</v>
      </c>
      <c r="B491">
        <v>3</v>
      </c>
      <c r="C491">
        <v>2024</v>
      </c>
      <c r="D491" t="s">
        <v>43</v>
      </c>
      <c r="E491" t="s">
        <v>69</v>
      </c>
      <c r="F491" t="s">
        <v>70</v>
      </c>
      <c r="G491">
        <v>29</v>
      </c>
      <c r="H491">
        <v>1791882490001</v>
      </c>
      <c r="I491" t="s">
        <v>46</v>
      </c>
      <c r="J491" t="s">
        <v>647</v>
      </c>
      <c r="K491" t="s">
        <v>48</v>
      </c>
      <c r="L491" t="s">
        <v>49</v>
      </c>
      <c r="M491" t="s">
        <v>50</v>
      </c>
      <c r="N491" t="s">
        <v>51</v>
      </c>
      <c r="O491">
        <v>8414590000</v>
      </c>
      <c r="P491" t="s">
        <v>66</v>
      </c>
      <c r="Q491" t="s">
        <v>648</v>
      </c>
      <c r="R491" t="s">
        <v>54</v>
      </c>
      <c r="S491" t="s">
        <v>55</v>
      </c>
      <c r="T491">
        <v>11</v>
      </c>
      <c r="U491">
        <v>1</v>
      </c>
      <c r="V491" t="s">
        <v>135</v>
      </c>
      <c r="W491">
        <v>0</v>
      </c>
      <c r="X491">
        <v>216.99</v>
      </c>
      <c r="Y491">
        <v>28.41</v>
      </c>
      <c r="Z491">
        <v>1.46</v>
      </c>
      <c r="AA491">
        <v>246.86</v>
      </c>
      <c r="AB491" t="s">
        <v>54</v>
      </c>
      <c r="AC491" t="s">
        <v>71</v>
      </c>
      <c r="AD491" t="s">
        <v>48</v>
      </c>
      <c r="AE491">
        <v>0</v>
      </c>
      <c r="AF491">
        <v>2.04</v>
      </c>
      <c r="AG491" t="s">
        <v>59</v>
      </c>
      <c r="AH491">
        <v>895279</v>
      </c>
      <c r="AI491" t="s">
        <v>60</v>
      </c>
      <c r="AJ491" t="s">
        <v>60</v>
      </c>
      <c r="AK491" t="s">
        <v>54</v>
      </c>
      <c r="AL491">
        <v>2024</v>
      </c>
      <c r="AM491" s="6" t="s">
        <v>649</v>
      </c>
      <c r="AN491" s="7">
        <v>216.99</v>
      </c>
      <c r="AO491" s="8">
        <f t="shared" si="24"/>
        <v>406.85625000000005</v>
      </c>
      <c r="AP491" s="8">
        <f t="shared" si="25"/>
        <v>452.01729375000002</v>
      </c>
      <c r="AQ491" s="9">
        <f t="shared" si="23"/>
        <v>659.06643937500007</v>
      </c>
    </row>
    <row r="492" spans="1:43" x14ac:dyDescent="0.25">
      <c r="A492">
        <v>12</v>
      </c>
      <c r="B492">
        <v>6</v>
      </c>
      <c r="C492">
        <v>2024</v>
      </c>
      <c r="D492" t="s">
        <v>43</v>
      </c>
      <c r="E492" t="s">
        <v>96</v>
      </c>
      <c r="F492" t="s">
        <v>97</v>
      </c>
      <c r="G492">
        <v>27</v>
      </c>
      <c r="H492">
        <v>1791882490001</v>
      </c>
      <c r="I492" t="s">
        <v>46</v>
      </c>
      <c r="J492" t="s">
        <v>647</v>
      </c>
      <c r="K492" t="s">
        <v>48</v>
      </c>
      <c r="L492" t="s">
        <v>49</v>
      </c>
      <c r="M492" t="s">
        <v>50</v>
      </c>
      <c r="N492" t="s">
        <v>51</v>
      </c>
      <c r="O492">
        <v>8414590000</v>
      </c>
      <c r="P492" t="s">
        <v>66</v>
      </c>
      <c r="Q492" t="s">
        <v>650</v>
      </c>
      <c r="R492" t="s">
        <v>54</v>
      </c>
      <c r="S492" t="s">
        <v>55</v>
      </c>
      <c r="T492">
        <v>7</v>
      </c>
      <c r="U492">
        <v>1</v>
      </c>
      <c r="V492" t="s">
        <v>135</v>
      </c>
      <c r="W492">
        <v>0</v>
      </c>
      <c r="X492">
        <v>217.47</v>
      </c>
      <c r="Y492">
        <v>18.86</v>
      </c>
      <c r="Z492">
        <v>1.46</v>
      </c>
      <c r="AA492">
        <v>237.8</v>
      </c>
      <c r="AB492" t="s">
        <v>57</v>
      </c>
      <c r="AC492" t="s">
        <v>94</v>
      </c>
      <c r="AD492" t="s">
        <v>48</v>
      </c>
      <c r="AE492">
        <v>0</v>
      </c>
      <c r="AF492">
        <v>1.8</v>
      </c>
      <c r="AG492" t="s">
        <v>59</v>
      </c>
      <c r="AH492" t="s">
        <v>98</v>
      </c>
      <c r="AI492" t="s">
        <v>60</v>
      </c>
      <c r="AJ492" t="s">
        <v>60</v>
      </c>
      <c r="AK492" t="s">
        <v>54</v>
      </c>
      <c r="AL492">
        <v>2024</v>
      </c>
      <c r="AM492" s="6" t="s">
        <v>651</v>
      </c>
      <c r="AN492" s="7">
        <v>217.47</v>
      </c>
      <c r="AO492" s="8">
        <f t="shared" si="24"/>
        <v>407.75625000000002</v>
      </c>
      <c r="AP492" s="8">
        <f t="shared" si="25"/>
        <v>453.01719375000005</v>
      </c>
      <c r="AQ492" s="9">
        <f t="shared" si="23"/>
        <v>660.52434937500004</v>
      </c>
    </row>
    <row r="493" spans="1:43" x14ac:dyDescent="0.25">
      <c r="A493">
        <v>19</v>
      </c>
      <c r="B493">
        <v>8</v>
      </c>
      <c r="C493">
        <v>2024</v>
      </c>
      <c r="D493" t="s">
        <v>43</v>
      </c>
      <c r="E493" t="s">
        <v>84</v>
      </c>
      <c r="F493" t="s">
        <v>85</v>
      </c>
      <c r="G493">
        <v>27</v>
      </c>
      <c r="H493">
        <v>1791882490001</v>
      </c>
      <c r="I493" t="s">
        <v>46</v>
      </c>
      <c r="J493" t="s">
        <v>65</v>
      </c>
      <c r="K493" t="s">
        <v>48</v>
      </c>
      <c r="L493" t="s">
        <v>49</v>
      </c>
      <c r="M493" t="s">
        <v>50</v>
      </c>
      <c r="N493" t="s">
        <v>51</v>
      </c>
      <c r="O493">
        <v>4009210000</v>
      </c>
      <c r="P493" t="s">
        <v>652</v>
      </c>
      <c r="Q493" t="s">
        <v>653</v>
      </c>
      <c r="R493" t="s">
        <v>54</v>
      </c>
      <c r="S493" t="s">
        <v>55</v>
      </c>
      <c r="T493">
        <v>6</v>
      </c>
      <c r="U493">
        <v>1</v>
      </c>
      <c r="V493" t="s">
        <v>56</v>
      </c>
      <c r="W493">
        <v>2.12</v>
      </c>
      <c r="X493">
        <v>37.340000000000003</v>
      </c>
      <c r="Y493">
        <v>4.82</v>
      </c>
      <c r="Z493">
        <v>0.25</v>
      </c>
      <c r="AA493">
        <v>42.41</v>
      </c>
      <c r="AB493" t="s">
        <v>57</v>
      </c>
      <c r="AC493" t="s">
        <v>58</v>
      </c>
      <c r="AD493" t="s">
        <v>48</v>
      </c>
      <c r="AE493">
        <v>0</v>
      </c>
      <c r="AF493">
        <v>1.39</v>
      </c>
      <c r="AG493" t="s">
        <v>59</v>
      </c>
      <c r="AH493">
        <v>144527</v>
      </c>
      <c r="AI493" t="s">
        <v>60</v>
      </c>
      <c r="AJ493" t="s">
        <v>60</v>
      </c>
      <c r="AK493" t="s">
        <v>54</v>
      </c>
      <c r="AL493">
        <v>2024</v>
      </c>
      <c r="AM493" s="6" t="s">
        <v>654</v>
      </c>
      <c r="AN493" s="7">
        <v>37.340000000000003</v>
      </c>
      <c r="AO493" s="8">
        <f t="shared" si="24"/>
        <v>70.012500000000003</v>
      </c>
      <c r="AP493" s="8">
        <f t="shared" si="25"/>
        <v>77.783887500000006</v>
      </c>
      <c r="AQ493" s="9">
        <f t="shared" si="23"/>
        <v>113.41324874999999</v>
      </c>
    </row>
    <row r="494" spans="1:43" x14ac:dyDescent="0.25">
      <c r="A494">
        <v>8</v>
      </c>
      <c r="B494">
        <v>7</v>
      </c>
      <c r="C494">
        <v>2024</v>
      </c>
      <c r="D494" t="s">
        <v>43</v>
      </c>
      <c r="E494" t="s">
        <v>75</v>
      </c>
      <c r="F494" t="s">
        <v>76</v>
      </c>
      <c r="G494">
        <v>36</v>
      </c>
      <c r="H494">
        <v>1791882490001</v>
      </c>
      <c r="I494" t="s">
        <v>46</v>
      </c>
      <c r="J494" t="s">
        <v>133</v>
      </c>
      <c r="K494" t="s">
        <v>48</v>
      </c>
      <c r="L494" t="s">
        <v>49</v>
      </c>
      <c r="M494" t="s">
        <v>50</v>
      </c>
      <c r="N494" t="s">
        <v>51</v>
      </c>
      <c r="O494">
        <v>8537109090</v>
      </c>
      <c r="P494" t="s">
        <v>66</v>
      </c>
      <c r="Q494" t="s">
        <v>655</v>
      </c>
      <c r="R494" t="s">
        <v>54</v>
      </c>
      <c r="S494" t="s">
        <v>55</v>
      </c>
      <c r="T494">
        <v>8</v>
      </c>
      <c r="U494">
        <v>2</v>
      </c>
      <c r="V494" t="s">
        <v>135</v>
      </c>
      <c r="W494">
        <v>0</v>
      </c>
      <c r="X494">
        <v>378.11</v>
      </c>
      <c r="Y494">
        <v>32.299999999999997</v>
      </c>
      <c r="Z494">
        <v>2.46</v>
      </c>
      <c r="AA494">
        <v>412.87</v>
      </c>
      <c r="AB494" t="s">
        <v>57</v>
      </c>
      <c r="AC494" t="s">
        <v>77</v>
      </c>
      <c r="AD494" t="s">
        <v>48</v>
      </c>
      <c r="AE494">
        <v>0</v>
      </c>
      <c r="AF494">
        <v>2.5</v>
      </c>
      <c r="AG494" t="s">
        <v>59</v>
      </c>
      <c r="AH494">
        <v>107711</v>
      </c>
      <c r="AI494" t="s">
        <v>60</v>
      </c>
      <c r="AJ494" t="s">
        <v>78</v>
      </c>
      <c r="AK494" t="s">
        <v>54</v>
      </c>
      <c r="AL494">
        <v>2024</v>
      </c>
      <c r="AM494" s="6" t="s">
        <v>656</v>
      </c>
      <c r="AN494" s="7">
        <v>189.06</v>
      </c>
      <c r="AO494" s="8">
        <f t="shared" si="24"/>
        <v>354.48750000000001</v>
      </c>
      <c r="AP494" s="8">
        <f t="shared" si="25"/>
        <v>393.83561250000002</v>
      </c>
      <c r="AQ494" s="9">
        <f t="shared" si="23"/>
        <v>574.23430124999993</v>
      </c>
    </row>
    <row r="495" spans="1:43" x14ac:dyDescent="0.25">
      <c r="A495">
        <v>8</v>
      </c>
      <c r="B495">
        <v>7</v>
      </c>
      <c r="C495">
        <v>2024</v>
      </c>
      <c r="D495" t="s">
        <v>43</v>
      </c>
      <c r="E495" t="s">
        <v>75</v>
      </c>
      <c r="F495" t="s">
        <v>76</v>
      </c>
      <c r="G495">
        <v>36</v>
      </c>
      <c r="H495">
        <v>1791882490001</v>
      </c>
      <c r="I495" t="s">
        <v>46</v>
      </c>
      <c r="J495" t="s">
        <v>133</v>
      </c>
      <c r="K495" t="s">
        <v>48</v>
      </c>
      <c r="L495" t="s">
        <v>49</v>
      </c>
      <c r="M495" t="s">
        <v>50</v>
      </c>
      <c r="N495" t="s">
        <v>51</v>
      </c>
      <c r="O495">
        <v>8537109090</v>
      </c>
      <c r="P495" t="s">
        <v>66</v>
      </c>
      <c r="Q495" t="s">
        <v>655</v>
      </c>
      <c r="R495" t="s">
        <v>54</v>
      </c>
      <c r="S495" t="s">
        <v>55</v>
      </c>
      <c r="T495">
        <v>8</v>
      </c>
      <c r="U495">
        <v>2</v>
      </c>
      <c r="V495" t="s">
        <v>135</v>
      </c>
      <c r="W495">
        <v>0</v>
      </c>
      <c r="X495">
        <v>378.11</v>
      </c>
      <c r="Y495">
        <v>32.299999999999997</v>
      </c>
      <c r="Z495">
        <v>2.46</v>
      </c>
      <c r="AA495">
        <v>412.87</v>
      </c>
      <c r="AB495" t="s">
        <v>57</v>
      </c>
      <c r="AC495" t="s">
        <v>77</v>
      </c>
      <c r="AD495" t="s">
        <v>48</v>
      </c>
      <c r="AE495">
        <v>0</v>
      </c>
      <c r="AF495">
        <v>2.5</v>
      </c>
      <c r="AG495" t="s">
        <v>59</v>
      </c>
      <c r="AH495">
        <v>107711</v>
      </c>
      <c r="AI495" t="s">
        <v>60</v>
      </c>
      <c r="AJ495" t="s">
        <v>78</v>
      </c>
      <c r="AK495" t="s">
        <v>54</v>
      </c>
      <c r="AL495">
        <v>2024</v>
      </c>
      <c r="AM495" s="6" t="s">
        <v>656</v>
      </c>
      <c r="AN495" s="7">
        <v>189.06</v>
      </c>
      <c r="AO495" s="8">
        <f t="shared" si="24"/>
        <v>354.48750000000001</v>
      </c>
      <c r="AP495" s="8">
        <f t="shared" si="25"/>
        <v>393.83561250000002</v>
      </c>
      <c r="AQ495" s="9">
        <f t="shared" si="23"/>
        <v>574.23430124999993</v>
      </c>
    </row>
    <row r="496" spans="1:43" x14ac:dyDescent="0.25">
      <c r="A496">
        <v>1</v>
      </c>
      <c r="B496">
        <v>2</v>
      </c>
      <c r="C496">
        <v>2024</v>
      </c>
      <c r="D496" t="s">
        <v>43</v>
      </c>
      <c r="E496" t="s">
        <v>174</v>
      </c>
      <c r="F496" t="s">
        <v>175</v>
      </c>
      <c r="G496">
        <v>14</v>
      </c>
      <c r="H496">
        <v>1791882490001</v>
      </c>
      <c r="I496" t="s">
        <v>46</v>
      </c>
      <c r="J496" t="s">
        <v>133</v>
      </c>
      <c r="K496" t="s">
        <v>48</v>
      </c>
      <c r="L496" t="s">
        <v>49</v>
      </c>
      <c r="M496" t="s">
        <v>50</v>
      </c>
      <c r="N496" t="s">
        <v>51</v>
      </c>
      <c r="O496">
        <v>8481300000</v>
      </c>
      <c r="P496" t="s">
        <v>203</v>
      </c>
      <c r="Q496" t="s">
        <v>657</v>
      </c>
      <c r="R496" t="s">
        <v>54</v>
      </c>
      <c r="S496" t="s">
        <v>55</v>
      </c>
      <c r="T496">
        <v>5</v>
      </c>
      <c r="U496">
        <v>5</v>
      </c>
      <c r="V496" t="s">
        <v>135</v>
      </c>
      <c r="W496">
        <v>0</v>
      </c>
      <c r="X496">
        <v>191.91</v>
      </c>
      <c r="Y496">
        <v>14.27</v>
      </c>
      <c r="Z496">
        <v>1.1499999999999999</v>
      </c>
      <c r="AA496">
        <v>207.32</v>
      </c>
      <c r="AB496" t="s">
        <v>54</v>
      </c>
      <c r="AC496" t="s">
        <v>94</v>
      </c>
      <c r="AD496" t="s">
        <v>48</v>
      </c>
      <c r="AE496">
        <v>0</v>
      </c>
      <c r="AF496">
        <v>9.92</v>
      </c>
      <c r="AG496" t="s">
        <v>59</v>
      </c>
      <c r="AH496">
        <v>863266</v>
      </c>
      <c r="AI496" t="s">
        <v>60</v>
      </c>
      <c r="AJ496" t="s">
        <v>60</v>
      </c>
      <c r="AK496" t="s">
        <v>54</v>
      </c>
      <c r="AL496">
        <v>2023</v>
      </c>
      <c r="AM496" s="6" t="s">
        <v>658</v>
      </c>
      <c r="AN496" s="7">
        <v>38.380000000000003</v>
      </c>
      <c r="AO496" s="8">
        <f t="shared" si="24"/>
        <v>71.962500000000006</v>
      </c>
      <c r="AP496" s="8">
        <f t="shared" si="25"/>
        <v>79.950337500000003</v>
      </c>
      <c r="AQ496" s="9">
        <f t="shared" si="23"/>
        <v>116.57205374999999</v>
      </c>
    </row>
    <row r="497" spans="1:43" x14ac:dyDescent="0.25">
      <c r="A497">
        <v>3</v>
      </c>
      <c r="B497">
        <v>4</v>
      </c>
      <c r="C497">
        <v>2024</v>
      </c>
      <c r="D497" t="s">
        <v>43</v>
      </c>
      <c r="E497" t="s">
        <v>73</v>
      </c>
      <c r="F497" t="s">
        <v>74</v>
      </c>
      <c r="G497">
        <v>26</v>
      </c>
      <c r="H497">
        <v>1791882490001</v>
      </c>
      <c r="I497" t="s">
        <v>46</v>
      </c>
      <c r="J497" t="s">
        <v>133</v>
      </c>
      <c r="K497" t="s">
        <v>48</v>
      </c>
      <c r="L497" t="s">
        <v>49</v>
      </c>
      <c r="M497" t="s">
        <v>50</v>
      </c>
      <c r="N497" t="s">
        <v>51</v>
      </c>
      <c r="O497">
        <v>8481300000</v>
      </c>
      <c r="P497" t="s">
        <v>203</v>
      </c>
      <c r="Q497" t="s">
        <v>659</v>
      </c>
      <c r="R497" t="s">
        <v>54</v>
      </c>
      <c r="S497" t="s">
        <v>55</v>
      </c>
      <c r="T497">
        <v>6</v>
      </c>
      <c r="U497">
        <v>5</v>
      </c>
      <c r="V497" t="s">
        <v>135</v>
      </c>
      <c r="W497">
        <v>0</v>
      </c>
      <c r="X497">
        <v>204.59</v>
      </c>
      <c r="Y497">
        <v>23.9</v>
      </c>
      <c r="Z497">
        <v>1.34</v>
      </c>
      <c r="AA497">
        <v>229.82</v>
      </c>
      <c r="AB497" t="s">
        <v>57</v>
      </c>
      <c r="AC497" t="s">
        <v>58</v>
      </c>
      <c r="AD497" t="s">
        <v>48</v>
      </c>
      <c r="AE497">
        <v>0</v>
      </c>
      <c r="AF497">
        <v>6.66</v>
      </c>
      <c r="AG497" t="s">
        <v>59</v>
      </c>
      <c r="AH497">
        <v>438183</v>
      </c>
      <c r="AI497" t="s">
        <v>60</v>
      </c>
      <c r="AJ497" t="s">
        <v>60</v>
      </c>
      <c r="AK497" t="s">
        <v>54</v>
      </c>
      <c r="AL497">
        <v>2024</v>
      </c>
      <c r="AM497" s="6" t="s">
        <v>658</v>
      </c>
      <c r="AN497" s="7">
        <v>40.92</v>
      </c>
      <c r="AO497" s="8">
        <f t="shared" si="24"/>
        <v>76.725000000000009</v>
      </c>
      <c r="AP497" s="8">
        <f t="shared" si="25"/>
        <v>85.241475000000008</v>
      </c>
      <c r="AQ497" s="9">
        <f t="shared" si="23"/>
        <v>124.2868275</v>
      </c>
    </row>
    <row r="498" spans="1:43" x14ac:dyDescent="0.25">
      <c r="A498">
        <v>28</v>
      </c>
      <c r="B498">
        <v>8</v>
      </c>
      <c r="C498">
        <v>2024</v>
      </c>
      <c r="D498" t="s">
        <v>43</v>
      </c>
      <c r="E498" t="s">
        <v>91</v>
      </c>
      <c r="F498" t="s">
        <v>92</v>
      </c>
      <c r="G498">
        <v>25</v>
      </c>
      <c r="H498">
        <v>1791882490001</v>
      </c>
      <c r="I498" t="s">
        <v>46</v>
      </c>
      <c r="J498" t="s">
        <v>133</v>
      </c>
      <c r="K498" t="s">
        <v>48</v>
      </c>
      <c r="L498" t="s">
        <v>49</v>
      </c>
      <c r="M498" t="s">
        <v>50</v>
      </c>
      <c r="N498" t="s">
        <v>51</v>
      </c>
      <c r="O498">
        <v>8481300000</v>
      </c>
      <c r="P498" t="s">
        <v>203</v>
      </c>
      <c r="Q498" t="s">
        <v>657</v>
      </c>
      <c r="R498" t="s">
        <v>54</v>
      </c>
      <c r="S498" t="s">
        <v>55</v>
      </c>
      <c r="T498">
        <v>8</v>
      </c>
      <c r="U498">
        <v>3</v>
      </c>
      <c r="V498" t="s">
        <v>135</v>
      </c>
      <c r="W498">
        <v>0</v>
      </c>
      <c r="X498">
        <v>118.88</v>
      </c>
      <c r="Y498">
        <v>13.14</v>
      </c>
      <c r="Z498">
        <v>0.8</v>
      </c>
      <c r="AA498">
        <v>132.82</v>
      </c>
      <c r="AB498" t="s">
        <v>57</v>
      </c>
      <c r="AC498" t="s">
        <v>94</v>
      </c>
      <c r="AD498" t="s">
        <v>48</v>
      </c>
      <c r="AE498">
        <v>0</v>
      </c>
      <c r="AF498">
        <v>1.37</v>
      </c>
      <c r="AG498" t="s">
        <v>59</v>
      </c>
      <c r="AH498">
        <v>150511</v>
      </c>
      <c r="AI498" t="s">
        <v>60</v>
      </c>
      <c r="AJ498" t="s">
        <v>60</v>
      </c>
      <c r="AK498" t="s">
        <v>54</v>
      </c>
      <c r="AL498">
        <v>2024</v>
      </c>
      <c r="AM498" s="6" t="s">
        <v>658</v>
      </c>
      <c r="AN498" s="7">
        <v>39.630000000000003</v>
      </c>
      <c r="AO498" s="8">
        <f t="shared" si="24"/>
        <v>74.306250000000006</v>
      </c>
      <c r="AP498" s="8">
        <f t="shared" si="25"/>
        <v>82.554243750000012</v>
      </c>
      <c r="AQ498" s="9">
        <f t="shared" si="23"/>
        <v>120.368694375</v>
      </c>
    </row>
    <row r="499" spans="1:43" x14ac:dyDescent="0.25">
      <c r="A499">
        <v>10</v>
      </c>
      <c r="B499">
        <v>10</v>
      </c>
      <c r="C499">
        <v>2024</v>
      </c>
      <c r="D499" t="s">
        <v>43</v>
      </c>
      <c r="E499" t="s">
        <v>44</v>
      </c>
      <c r="F499" t="s">
        <v>45</v>
      </c>
      <c r="G499">
        <v>36</v>
      </c>
      <c r="H499">
        <v>1791882490001</v>
      </c>
      <c r="I499" t="s">
        <v>46</v>
      </c>
      <c r="J499" t="s">
        <v>118</v>
      </c>
      <c r="K499" t="s">
        <v>48</v>
      </c>
      <c r="L499" t="s">
        <v>49</v>
      </c>
      <c r="M499" t="s">
        <v>50</v>
      </c>
      <c r="N499" t="s">
        <v>51</v>
      </c>
      <c r="O499">
        <v>4010320000</v>
      </c>
      <c r="P499" t="s">
        <v>130</v>
      </c>
      <c r="Q499" t="s">
        <v>123</v>
      </c>
      <c r="R499" t="s">
        <v>54</v>
      </c>
      <c r="S499" t="s">
        <v>55</v>
      </c>
      <c r="T499">
        <v>7</v>
      </c>
      <c r="U499">
        <v>2</v>
      </c>
      <c r="V499" t="s">
        <v>56</v>
      </c>
      <c r="W499">
        <v>0</v>
      </c>
      <c r="X499">
        <v>47.01</v>
      </c>
      <c r="Y499">
        <v>8.2100000000000009</v>
      </c>
      <c r="Z499">
        <v>0.34</v>
      </c>
      <c r="AA499">
        <v>55.56</v>
      </c>
      <c r="AB499" t="s">
        <v>57</v>
      </c>
      <c r="AC499" t="s">
        <v>58</v>
      </c>
      <c r="AD499" t="s">
        <v>48</v>
      </c>
      <c r="AE499">
        <v>0</v>
      </c>
      <c r="AF499">
        <v>0.51</v>
      </c>
      <c r="AG499" t="s">
        <v>59</v>
      </c>
      <c r="AH499">
        <v>179772</v>
      </c>
      <c r="AI499" t="s">
        <v>60</v>
      </c>
      <c r="AJ499" t="s">
        <v>60</v>
      </c>
      <c r="AK499" t="s">
        <v>54</v>
      </c>
      <c r="AL499">
        <v>2024</v>
      </c>
      <c r="AM499" s="6" t="s">
        <v>660</v>
      </c>
      <c r="AN499" s="7">
        <v>23.51</v>
      </c>
      <c r="AO499" s="8">
        <f t="shared" si="24"/>
        <v>44.081250000000004</v>
      </c>
      <c r="AP499" s="8">
        <f t="shared" si="25"/>
        <v>48.974268750000007</v>
      </c>
      <c r="AQ499" s="9">
        <f t="shared" si="23"/>
        <v>71.407216875000003</v>
      </c>
    </row>
    <row r="500" spans="1:43" x14ac:dyDescent="0.25">
      <c r="A500">
        <v>1</v>
      </c>
      <c r="B500">
        <v>2</v>
      </c>
      <c r="C500">
        <v>2024</v>
      </c>
      <c r="D500" t="s">
        <v>43</v>
      </c>
      <c r="E500" t="s">
        <v>174</v>
      </c>
      <c r="F500" t="s">
        <v>175</v>
      </c>
      <c r="G500">
        <v>15</v>
      </c>
      <c r="H500">
        <v>1791882490001</v>
      </c>
      <c r="I500" t="s">
        <v>46</v>
      </c>
      <c r="J500" t="s">
        <v>118</v>
      </c>
      <c r="K500" t="s">
        <v>48</v>
      </c>
      <c r="L500" t="s">
        <v>49</v>
      </c>
      <c r="M500" t="s">
        <v>50</v>
      </c>
      <c r="N500" t="s">
        <v>51</v>
      </c>
      <c r="O500">
        <v>4010320000</v>
      </c>
      <c r="P500" t="s">
        <v>122</v>
      </c>
      <c r="Q500" t="s">
        <v>123</v>
      </c>
      <c r="R500" t="s">
        <v>54</v>
      </c>
      <c r="S500" t="s">
        <v>55</v>
      </c>
      <c r="T500">
        <v>5</v>
      </c>
      <c r="U500">
        <v>5</v>
      </c>
      <c r="V500" t="s">
        <v>56</v>
      </c>
      <c r="W500">
        <v>0</v>
      </c>
      <c r="X500">
        <v>121.63</v>
      </c>
      <c r="Y500">
        <v>9.0399999999999991</v>
      </c>
      <c r="Z500">
        <v>0.73</v>
      </c>
      <c r="AA500">
        <v>131.4</v>
      </c>
      <c r="AB500" t="s">
        <v>54</v>
      </c>
      <c r="AC500" t="s">
        <v>94</v>
      </c>
      <c r="AD500" t="s">
        <v>48</v>
      </c>
      <c r="AE500">
        <v>0</v>
      </c>
      <c r="AF500">
        <v>9.92</v>
      </c>
      <c r="AG500" t="s">
        <v>59</v>
      </c>
      <c r="AH500">
        <v>863266</v>
      </c>
      <c r="AI500" t="s">
        <v>60</v>
      </c>
      <c r="AJ500" t="s">
        <v>60</v>
      </c>
      <c r="AK500" t="s">
        <v>54</v>
      </c>
      <c r="AL500">
        <v>2023</v>
      </c>
      <c r="AM500" s="6" t="s">
        <v>661</v>
      </c>
      <c r="AN500" s="7">
        <v>24.33</v>
      </c>
      <c r="AO500" s="8">
        <f t="shared" si="24"/>
        <v>45.618749999999999</v>
      </c>
      <c r="AP500" s="8">
        <f t="shared" si="25"/>
        <v>50.68243125</v>
      </c>
      <c r="AQ500" s="9">
        <f t="shared" si="23"/>
        <v>73.897813124999999</v>
      </c>
    </row>
    <row r="501" spans="1:43" x14ac:dyDescent="0.25">
      <c r="A501">
        <v>13</v>
      </c>
      <c r="B501">
        <v>3</v>
      </c>
      <c r="C501">
        <v>2024</v>
      </c>
      <c r="D501" t="s">
        <v>43</v>
      </c>
      <c r="E501" t="s">
        <v>69</v>
      </c>
      <c r="F501" t="s">
        <v>70</v>
      </c>
      <c r="G501">
        <v>30</v>
      </c>
      <c r="H501">
        <v>1791882490001</v>
      </c>
      <c r="I501" t="s">
        <v>46</v>
      </c>
      <c r="J501" t="s">
        <v>118</v>
      </c>
      <c r="K501" t="s">
        <v>48</v>
      </c>
      <c r="L501" t="s">
        <v>49</v>
      </c>
      <c r="M501" t="s">
        <v>50</v>
      </c>
      <c r="N501" t="s">
        <v>51</v>
      </c>
      <c r="O501">
        <v>4010320000</v>
      </c>
      <c r="P501" t="s">
        <v>122</v>
      </c>
      <c r="Q501" t="s">
        <v>123</v>
      </c>
      <c r="R501" t="s">
        <v>54</v>
      </c>
      <c r="S501" t="s">
        <v>55</v>
      </c>
      <c r="T501">
        <v>11</v>
      </c>
      <c r="U501">
        <v>4</v>
      </c>
      <c r="V501" t="s">
        <v>56</v>
      </c>
      <c r="W501">
        <v>0</v>
      </c>
      <c r="X501">
        <v>97.67</v>
      </c>
      <c r="Y501">
        <v>12.79</v>
      </c>
      <c r="Z501">
        <v>0.66</v>
      </c>
      <c r="AA501">
        <v>111.12</v>
      </c>
      <c r="AB501" t="s">
        <v>54</v>
      </c>
      <c r="AC501" t="s">
        <v>71</v>
      </c>
      <c r="AD501" t="s">
        <v>48</v>
      </c>
      <c r="AE501">
        <v>0</v>
      </c>
      <c r="AF501">
        <v>8.16</v>
      </c>
      <c r="AG501" t="s">
        <v>59</v>
      </c>
      <c r="AH501">
        <v>895279</v>
      </c>
      <c r="AI501" t="s">
        <v>60</v>
      </c>
      <c r="AJ501" t="s">
        <v>60</v>
      </c>
      <c r="AK501" t="s">
        <v>54</v>
      </c>
      <c r="AL501">
        <v>2024</v>
      </c>
      <c r="AM501" s="6" t="s">
        <v>661</v>
      </c>
      <c r="AN501" s="7">
        <v>24.42</v>
      </c>
      <c r="AO501" s="8">
        <f t="shared" si="24"/>
        <v>45.787500000000001</v>
      </c>
      <c r="AP501" s="8">
        <f t="shared" si="25"/>
        <v>50.869912499999998</v>
      </c>
      <c r="AQ501" s="9">
        <f t="shared" si="23"/>
        <v>74.17117125</v>
      </c>
    </row>
    <row r="502" spans="1:43" x14ac:dyDescent="0.25">
      <c r="A502">
        <v>11</v>
      </c>
      <c r="B502">
        <v>7</v>
      </c>
      <c r="C502">
        <v>2024</v>
      </c>
      <c r="D502" t="s">
        <v>43</v>
      </c>
      <c r="E502" t="s">
        <v>116</v>
      </c>
      <c r="F502" t="s">
        <v>117</v>
      </c>
      <c r="G502">
        <v>16</v>
      </c>
      <c r="H502">
        <v>1791882490001</v>
      </c>
      <c r="I502" t="s">
        <v>46</v>
      </c>
      <c r="J502" t="s">
        <v>118</v>
      </c>
      <c r="K502" t="s">
        <v>48</v>
      </c>
      <c r="L502" t="s">
        <v>119</v>
      </c>
      <c r="M502" t="s">
        <v>120</v>
      </c>
      <c r="N502" t="s">
        <v>121</v>
      </c>
      <c r="O502">
        <v>4010320000</v>
      </c>
      <c r="P502" t="s">
        <v>122</v>
      </c>
      <c r="Q502" t="s">
        <v>123</v>
      </c>
      <c r="R502" t="s">
        <v>54</v>
      </c>
      <c r="S502" t="s">
        <v>55</v>
      </c>
      <c r="T502">
        <v>9</v>
      </c>
      <c r="U502">
        <v>10</v>
      </c>
      <c r="V502" t="s">
        <v>56</v>
      </c>
      <c r="W502">
        <v>0</v>
      </c>
      <c r="X502">
        <v>242.66</v>
      </c>
      <c r="Y502">
        <v>21.85</v>
      </c>
      <c r="Z502">
        <v>1.63</v>
      </c>
      <c r="AA502">
        <v>266.14</v>
      </c>
      <c r="AB502" t="s">
        <v>124</v>
      </c>
      <c r="AC502" t="s">
        <v>125</v>
      </c>
      <c r="AD502" t="s">
        <v>48</v>
      </c>
      <c r="AE502">
        <v>0</v>
      </c>
      <c r="AF502">
        <v>20.170000000000002</v>
      </c>
      <c r="AG502" t="s">
        <v>59</v>
      </c>
      <c r="AH502">
        <v>486256</v>
      </c>
      <c r="AI502" t="s">
        <v>60</v>
      </c>
      <c r="AJ502" t="s">
        <v>78</v>
      </c>
      <c r="AK502" t="s">
        <v>54</v>
      </c>
      <c r="AL502">
        <v>2024</v>
      </c>
      <c r="AM502" s="6" t="s">
        <v>661</v>
      </c>
      <c r="AN502" s="7">
        <v>24.27</v>
      </c>
      <c r="AO502" s="8">
        <f t="shared" si="24"/>
        <v>45.506250000000001</v>
      </c>
      <c r="AP502" s="8">
        <f t="shared" si="25"/>
        <v>50.557443750000004</v>
      </c>
      <c r="AQ502" s="9">
        <f t="shared" si="23"/>
        <v>73.715574375000003</v>
      </c>
    </row>
    <row r="503" spans="1:43" x14ac:dyDescent="0.25">
      <c r="A503">
        <v>17</v>
      </c>
      <c r="B503">
        <v>5</v>
      </c>
      <c r="C503">
        <v>2024</v>
      </c>
      <c r="D503" t="s">
        <v>43</v>
      </c>
      <c r="E503" t="s">
        <v>79</v>
      </c>
      <c r="F503" t="s">
        <v>80</v>
      </c>
      <c r="G503">
        <v>26</v>
      </c>
      <c r="H503">
        <v>1791882490001</v>
      </c>
      <c r="I503" t="s">
        <v>46</v>
      </c>
      <c r="J503" t="s">
        <v>118</v>
      </c>
      <c r="K503" t="s">
        <v>48</v>
      </c>
      <c r="L503" t="s">
        <v>49</v>
      </c>
      <c r="M503" t="s">
        <v>50</v>
      </c>
      <c r="N503" t="s">
        <v>51</v>
      </c>
      <c r="O503">
        <v>4010320000</v>
      </c>
      <c r="P503" t="s">
        <v>122</v>
      </c>
      <c r="Q503" t="s">
        <v>123</v>
      </c>
      <c r="R503" t="s">
        <v>54</v>
      </c>
      <c r="S503" t="s">
        <v>55</v>
      </c>
      <c r="T503">
        <v>6</v>
      </c>
      <c r="U503">
        <v>1</v>
      </c>
      <c r="V503" t="s">
        <v>56</v>
      </c>
      <c r="W503">
        <v>0</v>
      </c>
      <c r="X503">
        <v>20.77</v>
      </c>
      <c r="Y503">
        <v>2.0099999999999998</v>
      </c>
      <c r="Z503">
        <v>0.14000000000000001</v>
      </c>
      <c r="AA503">
        <v>22.91</v>
      </c>
      <c r="AB503" t="s">
        <v>57</v>
      </c>
      <c r="AC503" t="s">
        <v>81</v>
      </c>
      <c r="AD503" t="s">
        <v>48</v>
      </c>
      <c r="AE503">
        <v>0</v>
      </c>
      <c r="AF503">
        <v>1.08</v>
      </c>
      <c r="AG503" t="s">
        <v>82</v>
      </c>
      <c r="AH503">
        <v>471463</v>
      </c>
      <c r="AI503" t="s">
        <v>60</v>
      </c>
      <c r="AJ503" t="s">
        <v>60</v>
      </c>
      <c r="AK503" t="s">
        <v>54</v>
      </c>
      <c r="AL503">
        <v>2024</v>
      </c>
      <c r="AM503" s="6" t="s">
        <v>662</v>
      </c>
      <c r="AN503" s="7">
        <v>20.77</v>
      </c>
      <c r="AO503" s="8">
        <f t="shared" si="24"/>
        <v>38.943750000000001</v>
      </c>
      <c r="AP503" s="8">
        <f t="shared" si="25"/>
        <v>43.266506249999999</v>
      </c>
      <c r="AQ503" s="9">
        <f t="shared" si="23"/>
        <v>63.084980625</v>
      </c>
    </row>
    <row r="504" spans="1:43" x14ac:dyDescent="0.25">
      <c r="A504">
        <v>10</v>
      </c>
      <c r="B504">
        <v>10</v>
      </c>
      <c r="C504">
        <v>2024</v>
      </c>
      <c r="D504" t="s">
        <v>43</v>
      </c>
      <c r="E504" t="s">
        <v>44</v>
      </c>
      <c r="F504" t="s">
        <v>45</v>
      </c>
      <c r="G504">
        <v>37</v>
      </c>
      <c r="H504">
        <v>1791882490001</v>
      </c>
      <c r="I504" t="s">
        <v>46</v>
      </c>
      <c r="J504" t="s">
        <v>118</v>
      </c>
      <c r="K504" t="s">
        <v>48</v>
      </c>
      <c r="L504" t="s">
        <v>49</v>
      </c>
      <c r="M504" t="s">
        <v>50</v>
      </c>
      <c r="N504" t="s">
        <v>51</v>
      </c>
      <c r="O504">
        <v>4010320000</v>
      </c>
      <c r="P504" t="s">
        <v>130</v>
      </c>
      <c r="Q504" t="s">
        <v>123</v>
      </c>
      <c r="R504" t="s">
        <v>54</v>
      </c>
      <c r="S504" t="s">
        <v>55</v>
      </c>
      <c r="T504">
        <v>7</v>
      </c>
      <c r="U504">
        <v>2</v>
      </c>
      <c r="V504" t="s">
        <v>56</v>
      </c>
      <c r="W504">
        <v>0</v>
      </c>
      <c r="X504">
        <v>41.94</v>
      </c>
      <c r="Y504">
        <v>7.33</v>
      </c>
      <c r="Z504">
        <v>0.3</v>
      </c>
      <c r="AA504">
        <v>49.57</v>
      </c>
      <c r="AB504" t="s">
        <v>57</v>
      </c>
      <c r="AC504" t="s">
        <v>58</v>
      </c>
      <c r="AD504" t="s">
        <v>48</v>
      </c>
      <c r="AE504">
        <v>0</v>
      </c>
      <c r="AF504">
        <v>0.45</v>
      </c>
      <c r="AG504" t="s">
        <v>59</v>
      </c>
      <c r="AH504">
        <v>179772</v>
      </c>
      <c r="AI504" t="s">
        <v>60</v>
      </c>
      <c r="AJ504" t="s">
        <v>60</v>
      </c>
      <c r="AK504" t="s">
        <v>54</v>
      </c>
      <c r="AL504">
        <v>2024</v>
      </c>
      <c r="AM504" s="6" t="s">
        <v>662</v>
      </c>
      <c r="AN504" s="7">
        <v>20.97</v>
      </c>
      <c r="AO504" s="8">
        <f t="shared" si="24"/>
        <v>39.318749999999994</v>
      </c>
      <c r="AP504" s="8">
        <f t="shared" si="25"/>
        <v>43.683131249999995</v>
      </c>
      <c r="AQ504" s="9">
        <f t="shared" si="23"/>
        <v>63.69244312499999</v>
      </c>
    </row>
    <row r="505" spans="1:43" x14ac:dyDescent="0.25">
      <c r="A505">
        <v>10</v>
      </c>
      <c r="B505">
        <v>10</v>
      </c>
      <c r="C505">
        <v>2024</v>
      </c>
      <c r="D505" t="s">
        <v>43</v>
      </c>
      <c r="E505" t="s">
        <v>44</v>
      </c>
      <c r="F505" t="s">
        <v>45</v>
      </c>
      <c r="G505">
        <v>38</v>
      </c>
      <c r="H505">
        <v>1791882490001</v>
      </c>
      <c r="I505" t="s">
        <v>46</v>
      </c>
      <c r="J505" t="s">
        <v>133</v>
      </c>
      <c r="K505" t="s">
        <v>48</v>
      </c>
      <c r="L505" t="s">
        <v>49</v>
      </c>
      <c r="M505" t="s">
        <v>50</v>
      </c>
      <c r="N505" t="s">
        <v>51</v>
      </c>
      <c r="O505">
        <v>8481805900</v>
      </c>
      <c r="P505" t="s">
        <v>52</v>
      </c>
      <c r="Q505" t="s">
        <v>299</v>
      </c>
      <c r="R505" t="s">
        <v>54</v>
      </c>
      <c r="S505" t="s">
        <v>55</v>
      </c>
      <c r="T505">
        <v>7</v>
      </c>
      <c r="U505">
        <v>2</v>
      </c>
      <c r="V505" t="s">
        <v>135</v>
      </c>
      <c r="W505">
        <v>0</v>
      </c>
      <c r="X505">
        <v>285.62</v>
      </c>
      <c r="Y505">
        <v>49.9</v>
      </c>
      <c r="Z505">
        <v>2.06</v>
      </c>
      <c r="AA505">
        <v>337.58</v>
      </c>
      <c r="AB505" t="s">
        <v>57</v>
      </c>
      <c r="AC505" t="s">
        <v>58</v>
      </c>
      <c r="AD505" t="s">
        <v>48</v>
      </c>
      <c r="AE505">
        <v>0</v>
      </c>
      <c r="AF505">
        <v>3.08</v>
      </c>
      <c r="AG505" t="s">
        <v>59</v>
      </c>
      <c r="AH505">
        <v>179772</v>
      </c>
      <c r="AI505" t="s">
        <v>60</v>
      </c>
      <c r="AJ505" t="s">
        <v>60</v>
      </c>
      <c r="AK505" t="s">
        <v>54</v>
      </c>
      <c r="AL505">
        <v>2024</v>
      </c>
      <c r="AM505" s="6" t="s">
        <v>663</v>
      </c>
      <c r="AN505" s="7">
        <v>142.81</v>
      </c>
      <c r="AO505" s="8">
        <f t="shared" si="24"/>
        <v>267.76875000000001</v>
      </c>
      <c r="AP505" s="8">
        <f t="shared" si="25"/>
        <v>297.49108125000004</v>
      </c>
      <c r="AQ505" s="9">
        <f t="shared" si="23"/>
        <v>433.75859812499999</v>
      </c>
    </row>
    <row r="506" spans="1:43" x14ac:dyDescent="0.25">
      <c r="A506">
        <v>13</v>
      </c>
      <c r="B506">
        <v>3</v>
      </c>
      <c r="C506">
        <v>2024</v>
      </c>
      <c r="D506" t="s">
        <v>43</v>
      </c>
      <c r="E506" t="s">
        <v>69</v>
      </c>
      <c r="F506" t="s">
        <v>70</v>
      </c>
      <c r="G506">
        <v>58</v>
      </c>
      <c r="H506">
        <v>1791882490001</v>
      </c>
      <c r="I506" t="s">
        <v>46</v>
      </c>
      <c r="J506" t="s">
        <v>133</v>
      </c>
      <c r="K506" t="s">
        <v>48</v>
      </c>
      <c r="L506" t="s">
        <v>49</v>
      </c>
      <c r="M506" t="s">
        <v>50</v>
      </c>
      <c r="N506" t="s">
        <v>51</v>
      </c>
      <c r="O506">
        <v>8481909090</v>
      </c>
      <c r="P506" t="s">
        <v>103</v>
      </c>
      <c r="Q506" t="s">
        <v>664</v>
      </c>
      <c r="R506" t="s">
        <v>54</v>
      </c>
      <c r="S506" t="s">
        <v>55</v>
      </c>
      <c r="T506">
        <v>11</v>
      </c>
      <c r="U506">
        <v>1</v>
      </c>
      <c r="V506" t="s">
        <v>135</v>
      </c>
      <c r="W506">
        <v>0</v>
      </c>
      <c r="X506">
        <v>97.92</v>
      </c>
      <c r="Y506">
        <v>12.82</v>
      </c>
      <c r="Z506">
        <v>0.66</v>
      </c>
      <c r="AA506">
        <v>111.4</v>
      </c>
      <c r="AB506" t="s">
        <v>54</v>
      </c>
      <c r="AC506" t="s">
        <v>71</v>
      </c>
      <c r="AD506" t="s">
        <v>48</v>
      </c>
      <c r="AE506">
        <v>0</v>
      </c>
      <c r="AF506">
        <v>2.04</v>
      </c>
      <c r="AG506" t="s">
        <v>59</v>
      </c>
      <c r="AH506">
        <v>895279</v>
      </c>
      <c r="AI506" t="s">
        <v>60</v>
      </c>
      <c r="AJ506" t="s">
        <v>60</v>
      </c>
      <c r="AK506" t="s">
        <v>54</v>
      </c>
      <c r="AL506">
        <v>2024</v>
      </c>
      <c r="AM506" s="6" t="s">
        <v>665</v>
      </c>
      <c r="AN506" s="7">
        <v>97.92</v>
      </c>
      <c r="AO506" s="8">
        <f t="shared" si="24"/>
        <v>183.6</v>
      </c>
      <c r="AP506" s="8">
        <f t="shared" si="25"/>
        <v>203.9796</v>
      </c>
      <c r="AQ506" s="9">
        <f t="shared" si="23"/>
        <v>297.41363999999999</v>
      </c>
    </row>
    <row r="507" spans="1:43" x14ac:dyDescent="0.25">
      <c r="A507">
        <v>8</v>
      </c>
      <c r="B507">
        <v>7</v>
      </c>
      <c r="C507">
        <v>2024</v>
      </c>
      <c r="D507" t="s">
        <v>43</v>
      </c>
      <c r="E507" t="s">
        <v>75</v>
      </c>
      <c r="F507" t="s">
        <v>76</v>
      </c>
      <c r="G507">
        <v>37</v>
      </c>
      <c r="H507">
        <v>1791882490001</v>
      </c>
      <c r="I507" t="s">
        <v>46</v>
      </c>
      <c r="J507" t="s">
        <v>48</v>
      </c>
      <c r="K507" t="s">
        <v>48</v>
      </c>
      <c r="L507" t="s">
        <v>49</v>
      </c>
      <c r="M507" t="s">
        <v>50</v>
      </c>
      <c r="N507" t="s">
        <v>51</v>
      </c>
      <c r="O507">
        <v>9026200000</v>
      </c>
      <c r="P507" t="s">
        <v>526</v>
      </c>
      <c r="Q507" t="s">
        <v>666</v>
      </c>
      <c r="R507" t="s">
        <v>54</v>
      </c>
      <c r="S507" t="s">
        <v>55</v>
      </c>
      <c r="T507">
        <v>8</v>
      </c>
      <c r="U507">
        <v>2</v>
      </c>
      <c r="V507" t="s">
        <v>135</v>
      </c>
      <c r="W507">
        <v>0</v>
      </c>
      <c r="X507">
        <v>393.75</v>
      </c>
      <c r="Y507">
        <v>33.64</v>
      </c>
      <c r="Z507">
        <v>2.56</v>
      </c>
      <c r="AA507">
        <v>429.95</v>
      </c>
      <c r="AB507" t="s">
        <v>57</v>
      </c>
      <c r="AC507" t="s">
        <v>77</v>
      </c>
      <c r="AD507" t="s">
        <v>48</v>
      </c>
      <c r="AE507">
        <v>0</v>
      </c>
      <c r="AF507">
        <v>2.61</v>
      </c>
      <c r="AG507" t="s">
        <v>59</v>
      </c>
      <c r="AH507">
        <v>107711</v>
      </c>
      <c r="AI507" t="s">
        <v>60</v>
      </c>
      <c r="AJ507" t="s">
        <v>78</v>
      </c>
      <c r="AK507" t="s">
        <v>54</v>
      </c>
      <c r="AL507">
        <v>2024</v>
      </c>
      <c r="AM507" s="6" t="s">
        <v>667</v>
      </c>
      <c r="AN507" s="7">
        <v>196.88</v>
      </c>
      <c r="AO507" s="8">
        <f t="shared" si="24"/>
        <v>369.15</v>
      </c>
      <c r="AP507" s="8">
        <f t="shared" si="25"/>
        <v>410.12564999999995</v>
      </c>
      <c r="AQ507" s="9">
        <f t="shared" si="23"/>
        <v>597.98608499999989</v>
      </c>
    </row>
    <row r="508" spans="1:43" x14ac:dyDescent="0.25">
      <c r="A508">
        <v>8</v>
      </c>
      <c r="B508">
        <v>7</v>
      </c>
      <c r="C508">
        <v>2024</v>
      </c>
      <c r="D508" t="s">
        <v>43</v>
      </c>
      <c r="E508" t="s">
        <v>75</v>
      </c>
      <c r="F508" t="s">
        <v>76</v>
      </c>
      <c r="G508">
        <v>37</v>
      </c>
      <c r="H508">
        <v>1791882490001</v>
      </c>
      <c r="I508" t="s">
        <v>46</v>
      </c>
      <c r="J508" t="s">
        <v>48</v>
      </c>
      <c r="K508" t="s">
        <v>48</v>
      </c>
      <c r="L508" t="s">
        <v>49</v>
      </c>
      <c r="M508" t="s">
        <v>50</v>
      </c>
      <c r="N508" t="s">
        <v>51</v>
      </c>
      <c r="O508">
        <v>9026200000</v>
      </c>
      <c r="P508" t="s">
        <v>526</v>
      </c>
      <c r="Q508" t="s">
        <v>666</v>
      </c>
      <c r="R508" t="s">
        <v>54</v>
      </c>
      <c r="S508" t="s">
        <v>55</v>
      </c>
      <c r="T508">
        <v>8</v>
      </c>
      <c r="U508">
        <v>2</v>
      </c>
      <c r="V508" t="s">
        <v>135</v>
      </c>
      <c r="W508">
        <v>0</v>
      </c>
      <c r="X508">
        <v>393.75</v>
      </c>
      <c r="Y508">
        <v>33.64</v>
      </c>
      <c r="Z508">
        <v>2.56</v>
      </c>
      <c r="AA508">
        <v>429.95</v>
      </c>
      <c r="AB508" t="s">
        <v>57</v>
      </c>
      <c r="AC508" t="s">
        <v>77</v>
      </c>
      <c r="AD508" t="s">
        <v>48</v>
      </c>
      <c r="AE508">
        <v>0</v>
      </c>
      <c r="AF508">
        <v>2.61</v>
      </c>
      <c r="AG508" t="s">
        <v>59</v>
      </c>
      <c r="AH508">
        <v>107711</v>
      </c>
      <c r="AI508" t="s">
        <v>60</v>
      </c>
      <c r="AJ508" t="s">
        <v>78</v>
      </c>
      <c r="AK508" t="s">
        <v>54</v>
      </c>
      <c r="AL508">
        <v>2024</v>
      </c>
      <c r="AM508" s="6" t="s">
        <v>667</v>
      </c>
      <c r="AN508" s="7">
        <v>196.88</v>
      </c>
      <c r="AO508" s="8">
        <f t="shared" si="24"/>
        <v>369.15</v>
      </c>
      <c r="AP508" s="8">
        <f t="shared" si="25"/>
        <v>410.12564999999995</v>
      </c>
      <c r="AQ508" s="9">
        <f t="shared" si="23"/>
        <v>597.98608499999989</v>
      </c>
    </row>
    <row r="509" spans="1:43" x14ac:dyDescent="0.25">
      <c r="A509">
        <v>19</v>
      </c>
      <c r="B509">
        <v>8</v>
      </c>
      <c r="C509">
        <v>2024</v>
      </c>
      <c r="D509" t="s">
        <v>43</v>
      </c>
      <c r="E509" t="s">
        <v>84</v>
      </c>
      <c r="F509" t="s">
        <v>85</v>
      </c>
      <c r="G509">
        <v>28</v>
      </c>
      <c r="H509">
        <v>1791882490001</v>
      </c>
      <c r="I509" t="s">
        <v>46</v>
      </c>
      <c r="J509" t="s">
        <v>48</v>
      </c>
      <c r="K509" t="s">
        <v>48</v>
      </c>
      <c r="L509" t="s">
        <v>49</v>
      </c>
      <c r="M509" t="s">
        <v>50</v>
      </c>
      <c r="N509" t="s">
        <v>51</v>
      </c>
      <c r="O509">
        <v>9026200000</v>
      </c>
      <c r="P509" t="s">
        <v>526</v>
      </c>
      <c r="Q509" t="s">
        <v>666</v>
      </c>
      <c r="R509" t="s">
        <v>54</v>
      </c>
      <c r="S509" t="s">
        <v>55</v>
      </c>
      <c r="T509">
        <v>6</v>
      </c>
      <c r="U509">
        <v>3</v>
      </c>
      <c r="V509" t="s">
        <v>135</v>
      </c>
      <c r="W509">
        <v>0</v>
      </c>
      <c r="X509">
        <v>568.79</v>
      </c>
      <c r="Y509">
        <v>73.39</v>
      </c>
      <c r="Z509">
        <v>3.89</v>
      </c>
      <c r="AA509">
        <v>646.07000000000005</v>
      </c>
      <c r="AB509" t="s">
        <v>57</v>
      </c>
      <c r="AC509" t="s">
        <v>58</v>
      </c>
      <c r="AD509" t="s">
        <v>48</v>
      </c>
      <c r="AE509">
        <v>0</v>
      </c>
      <c r="AF509">
        <v>4.1900000000000004</v>
      </c>
      <c r="AG509" t="s">
        <v>59</v>
      </c>
      <c r="AH509">
        <v>144527</v>
      </c>
      <c r="AI509" t="s">
        <v>60</v>
      </c>
      <c r="AJ509" t="s">
        <v>60</v>
      </c>
      <c r="AK509" t="s">
        <v>54</v>
      </c>
      <c r="AL509">
        <v>2024</v>
      </c>
      <c r="AM509" s="6" t="s">
        <v>667</v>
      </c>
      <c r="AN509" s="7">
        <v>189.6</v>
      </c>
      <c r="AO509" s="8">
        <f t="shared" si="24"/>
        <v>355.5</v>
      </c>
      <c r="AP509" s="8">
        <f t="shared" si="25"/>
        <v>394.96049999999997</v>
      </c>
      <c r="AQ509" s="9">
        <f t="shared" si="23"/>
        <v>575.87444999999991</v>
      </c>
    </row>
    <row r="510" spans="1:43" x14ac:dyDescent="0.25">
      <c r="A510">
        <v>26</v>
      </c>
      <c r="B510">
        <v>12</v>
      </c>
      <c r="C510">
        <v>2024</v>
      </c>
      <c r="D510" t="s">
        <v>43</v>
      </c>
      <c r="E510" t="s">
        <v>222</v>
      </c>
      <c r="F510" t="s">
        <v>223</v>
      </c>
      <c r="G510">
        <v>23</v>
      </c>
      <c r="H510">
        <v>1791882490001</v>
      </c>
      <c r="I510" t="s">
        <v>46</v>
      </c>
      <c r="J510" t="s">
        <v>48</v>
      </c>
      <c r="K510" t="s">
        <v>48</v>
      </c>
      <c r="L510" t="s">
        <v>49</v>
      </c>
      <c r="M510" t="s">
        <v>50</v>
      </c>
      <c r="N510" t="s">
        <v>224</v>
      </c>
      <c r="O510">
        <v>9026200000</v>
      </c>
      <c r="P510" t="s">
        <v>256</v>
      </c>
      <c r="Q510" t="s">
        <v>666</v>
      </c>
      <c r="R510" t="s">
        <v>54</v>
      </c>
      <c r="S510" t="s">
        <v>55</v>
      </c>
      <c r="T510">
        <v>8</v>
      </c>
      <c r="U510">
        <v>2</v>
      </c>
      <c r="V510" t="s">
        <v>135</v>
      </c>
      <c r="W510">
        <v>0</v>
      </c>
      <c r="X510">
        <v>387.66</v>
      </c>
      <c r="Y510">
        <v>80.28</v>
      </c>
      <c r="Z510">
        <v>3.88</v>
      </c>
      <c r="AA510">
        <v>471.82</v>
      </c>
      <c r="AB510" t="s">
        <v>57</v>
      </c>
      <c r="AC510" t="s">
        <v>225</v>
      </c>
      <c r="AD510" t="s">
        <v>48</v>
      </c>
      <c r="AE510">
        <v>0</v>
      </c>
      <c r="AF510">
        <v>4.12</v>
      </c>
      <c r="AG510" t="s">
        <v>59</v>
      </c>
      <c r="AH510">
        <v>341996</v>
      </c>
      <c r="AI510" t="s">
        <v>60</v>
      </c>
      <c r="AJ510" t="s">
        <v>60</v>
      </c>
      <c r="AK510" t="s">
        <v>54</v>
      </c>
      <c r="AL510">
        <v>2024</v>
      </c>
      <c r="AM510" s="6" t="s">
        <v>667</v>
      </c>
      <c r="AN510" s="7">
        <v>193.83</v>
      </c>
      <c r="AO510" s="8">
        <f t="shared" si="24"/>
        <v>363.43125000000003</v>
      </c>
      <c r="AP510" s="8">
        <f t="shared" si="25"/>
        <v>403.77211875000006</v>
      </c>
      <c r="AQ510" s="9">
        <f t="shared" si="23"/>
        <v>588.72228187500002</v>
      </c>
    </row>
    <row r="511" spans="1:43" x14ac:dyDescent="0.25">
      <c r="A511">
        <v>8</v>
      </c>
      <c r="B511">
        <v>7</v>
      </c>
      <c r="C511">
        <v>2024</v>
      </c>
      <c r="D511" t="s">
        <v>43</v>
      </c>
      <c r="E511" t="s">
        <v>75</v>
      </c>
      <c r="F511" t="s">
        <v>76</v>
      </c>
      <c r="G511">
        <v>38</v>
      </c>
      <c r="H511">
        <v>1791882490001</v>
      </c>
      <c r="I511" t="s">
        <v>46</v>
      </c>
      <c r="J511" t="s">
        <v>48</v>
      </c>
      <c r="K511" t="s">
        <v>48</v>
      </c>
      <c r="L511" t="s">
        <v>49</v>
      </c>
      <c r="M511" t="s">
        <v>50</v>
      </c>
      <c r="N511" t="s">
        <v>51</v>
      </c>
      <c r="O511">
        <v>8487909000</v>
      </c>
      <c r="P511" t="s">
        <v>66</v>
      </c>
      <c r="Q511" t="s">
        <v>588</v>
      </c>
      <c r="R511" t="s">
        <v>54</v>
      </c>
      <c r="S511" t="s">
        <v>55</v>
      </c>
      <c r="T511">
        <v>8</v>
      </c>
      <c r="U511">
        <v>1</v>
      </c>
      <c r="V511" t="s">
        <v>135</v>
      </c>
      <c r="W511">
        <v>0</v>
      </c>
      <c r="X511">
        <v>753.52</v>
      </c>
      <c r="Y511">
        <v>64.349999999999994</v>
      </c>
      <c r="Z511">
        <v>4.9000000000000004</v>
      </c>
      <c r="AA511">
        <v>822.77</v>
      </c>
      <c r="AB511" t="s">
        <v>57</v>
      </c>
      <c r="AC511" t="s">
        <v>77</v>
      </c>
      <c r="AD511" t="s">
        <v>48</v>
      </c>
      <c r="AE511">
        <v>0</v>
      </c>
      <c r="AF511">
        <v>4.99</v>
      </c>
      <c r="AG511" t="s">
        <v>59</v>
      </c>
      <c r="AH511">
        <v>107711</v>
      </c>
      <c r="AI511" t="s">
        <v>60</v>
      </c>
      <c r="AJ511" t="s">
        <v>78</v>
      </c>
      <c r="AK511" t="s">
        <v>54</v>
      </c>
      <c r="AL511">
        <v>2024</v>
      </c>
      <c r="AM511" s="6" t="s">
        <v>668</v>
      </c>
      <c r="AN511" s="7">
        <v>753.52</v>
      </c>
      <c r="AO511" s="8">
        <f t="shared" si="24"/>
        <v>1412.85</v>
      </c>
      <c r="AP511" s="8">
        <f t="shared" si="25"/>
        <v>1569.67635</v>
      </c>
      <c r="AQ511" s="9">
        <f t="shared" si="23"/>
        <v>2288.6757149999999</v>
      </c>
    </row>
    <row r="512" spans="1:43" x14ac:dyDescent="0.25">
      <c r="A512">
        <v>8</v>
      </c>
      <c r="B512">
        <v>7</v>
      </c>
      <c r="C512">
        <v>2024</v>
      </c>
      <c r="D512" t="s">
        <v>43</v>
      </c>
      <c r="E512" t="s">
        <v>75</v>
      </c>
      <c r="F512" t="s">
        <v>76</v>
      </c>
      <c r="G512">
        <v>38</v>
      </c>
      <c r="H512">
        <v>1791882490001</v>
      </c>
      <c r="I512" t="s">
        <v>46</v>
      </c>
      <c r="J512" t="s">
        <v>48</v>
      </c>
      <c r="K512" t="s">
        <v>48</v>
      </c>
      <c r="L512" t="s">
        <v>49</v>
      </c>
      <c r="M512" t="s">
        <v>50</v>
      </c>
      <c r="N512" t="s">
        <v>51</v>
      </c>
      <c r="O512">
        <v>8487909000</v>
      </c>
      <c r="P512" t="s">
        <v>66</v>
      </c>
      <c r="Q512" t="s">
        <v>588</v>
      </c>
      <c r="R512" t="s">
        <v>54</v>
      </c>
      <c r="S512" t="s">
        <v>55</v>
      </c>
      <c r="T512">
        <v>8</v>
      </c>
      <c r="U512">
        <v>1</v>
      </c>
      <c r="V512" t="s">
        <v>135</v>
      </c>
      <c r="W512">
        <v>0</v>
      </c>
      <c r="X512">
        <v>753.52</v>
      </c>
      <c r="Y512">
        <v>64.349999999999994</v>
      </c>
      <c r="Z512">
        <v>4.9000000000000004</v>
      </c>
      <c r="AA512">
        <v>822.77</v>
      </c>
      <c r="AB512" t="s">
        <v>57</v>
      </c>
      <c r="AC512" t="s">
        <v>77</v>
      </c>
      <c r="AD512" t="s">
        <v>48</v>
      </c>
      <c r="AE512">
        <v>0</v>
      </c>
      <c r="AF512">
        <v>4.99</v>
      </c>
      <c r="AG512" t="s">
        <v>59</v>
      </c>
      <c r="AH512">
        <v>107711</v>
      </c>
      <c r="AI512" t="s">
        <v>60</v>
      </c>
      <c r="AJ512" t="s">
        <v>78</v>
      </c>
      <c r="AK512" t="s">
        <v>54</v>
      </c>
      <c r="AL512">
        <v>2024</v>
      </c>
      <c r="AM512" s="6" t="s">
        <v>668</v>
      </c>
      <c r="AN512" s="7">
        <v>753.52</v>
      </c>
      <c r="AO512" s="8">
        <f t="shared" si="24"/>
        <v>1412.85</v>
      </c>
      <c r="AP512" s="8">
        <f t="shared" si="25"/>
        <v>1569.67635</v>
      </c>
      <c r="AQ512" s="9">
        <f t="shared" si="23"/>
        <v>2288.6757149999999</v>
      </c>
    </row>
    <row r="513" spans="1:43" x14ac:dyDescent="0.25">
      <c r="A513">
        <v>26</v>
      </c>
      <c r="B513">
        <v>12</v>
      </c>
      <c r="C513">
        <v>2024</v>
      </c>
      <c r="D513" t="s">
        <v>43</v>
      </c>
      <c r="E513" t="s">
        <v>222</v>
      </c>
      <c r="F513" t="s">
        <v>223</v>
      </c>
      <c r="G513">
        <v>24</v>
      </c>
      <c r="H513">
        <v>1791882490001</v>
      </c>
      <c r="I513" t="s">
        <v>46</v>
      </c>
      <c r="J513" t="s">
        <v>259</v>
      </c>
      <c r="K513" t="s">
        <v>48</v>
      </c>
      <c r="L513" t="s">
        <v>49</v>
      </c>
      <c r="M513" t="s">
        <v>50</v>
      </c>
      <c r="N513" t="s">
        <v>224</v>
      </c>
      <c r="O513">
        <v>8419909000</v>
      </c>
      <c r="P513" t="s">
        <v>232</v>
      </c>
      <c r="Q513" t="s">
        <v>669</v>
      </c>
      <c r="R513" t="s">
        <v>54</v>
      </c>
      <c r="S513" t="s">
        <v>55</v>
      </c>
      <c r="T513">
        <v>8</v>
      </c>
      <c r="U513">
        <v>1</v>
      </c>
      <c r="V513" t="s">
        <v>135</v>
      </c>
      <c r="W513">
        <v>0</v>
      </c>
      <c r="X513">
        <v>321.51</v>
      </c>
      <c r="Y513">
        <v>66.58</v>
      </c>
      <c r="Z513">
        <v>3.21</v>
      </c>
      <c r="AA513">
        <v>391.31</v>
      </c>
      <c r="AB513" t="s">
        <v>57</v>
      </c>
      <c r="AC513" t="s">
        <v>225</v>
      </c>
      <c r="AD513" t="s">
        <v>48</v>
      </c>
      <c r="AE513">
        <v>0</v>
      </c>
      <c r="AF513">
        <v>2.06</v>
      </c>
      <c r="AG513" t="s">
        <v>59</v>
      </c>
      <c r="AH513">
        <v>341996</v>
      </c>
      <c r="AI513" t="s">
        <v>60</v>
      </c>
      <c r="AJ513" t="s">
        <v>60</v>
      </c>
      <c r="AK513" t="s">
        <v>54</v>
      </c>
      <c r="AL513">
        <v>2024</v>
      </c>
      <c r="AM513" s="6" t="s">
        <v>670</v>
      </c>
      <c r="AN513" s="7">
        <v>321.51</v>
      </c>
      <c r="AO513" s="8">
        <f t="shared" si="24"/>
        <v>602.83124999999995</v>
      </c>
      <c r="AP513" s="8">
        <f t="shared" si="25"/>
        <v>669.74551874999997</v>
      </c>
      <c r="AQ513" s="9">
        <f t="shared" si="23"/>
        <v>976.52634187499984</v>
      </c>
    </row>
    <row r="514" spans="1:43" x14ac:dyDescent="0.25">
      <c r="A514">
        <v>26</v>
      </c>
      <c r="B514">
        <v>12</v>
      </c>
      <c r="C514">
        <v>2024</v>
      </c>
      <c r="D514" t="s">
        <v>43</v>
      </c>
      <c r="E514" t="s">
        <v>222</v>
      </c>
      <c r="F514" t="s">
        <v>223</v>
      </c>
      <c r="G514">
        <v>25</v>
      </c>
      <c r="H514">
        <v>1791882490001</v>
      </c>
      <c r="I514" t="s">
        <v>46</v>
      </c>
      <c r="J514" t="s">
        <v>259</v>
      </c>
      <c r="K514" t="s">
        <v>48</v>
      </c>
      <c r="L514" t="s">
        <v>49</v>
      </c>
      <c r="M514" t="s">
        <v>50</v>
      </c>
      <c r="N514" t="s">
        <v>224</v>
      </c>
      <c r="O514">
        <v>8419909000</v>
      </c>
      <c r="P514" t="s">
        <v>232</v>
      </c>
      <c r="Q514" t="s">
        <v>669</v>
      </c>
      <c r="R514" t="s">
        <v>54</v>
      </c>
      <c r="S514" t="s">
        <v>55</v>
      </c>
      <c r="T514">
        <v>8</v>
      </c>
      <c r="U514">
        <v>1</v>
      </c>
      <c r="V514" t="s">
        <v>135</v>
      </c>
      <c r="W514">
        <v>0</v>
      </c>
      <c r="X514">
        <v>438.68</v>
      </c>
      <c r="Y514">
        <v>90.85</v>
      </c>
      <c r="Z514">
        <v>4.3899999999999997</v>
      </c>
      <c r="AA514">
        <v>533.91</v>
      </c>
      <c r="AB514" t="s">
        <v>57</v>
      </c>
      <c r="AC514" t="s">
        <v>225</v>
      </c>
      <c r="AD514" t="s">
        <v>48</v>
      </c>
      <c r="AE514">
        <v>0</v>
      </c>
      <c r="AF514">
        <v>2.06</v>
      </c>
      <c r="AG514" t="s">
        <v>59</v>
      </c>
      <c r="AH514">
        <v>341996</v>
      </c>
      <c r="AI514" t="s">
        <v>60</v>
      </c>
      <c r="AJ514" t="s">
        <v>60</v>
      </c>
      <c r="AK514" t="s">
        <v>54</v>
      </c>
      <c r="AL514">
        <v>2024</v>
      </c>
      <c r="AM514" s="6" t="s">
        <v>671</v>
      </c>
      <c r="AN514" s="7">
        <v>438.68</v>
      </c>
      <c r="AO514" s="8">
        <f t="shared" si="24"/>
        <v>822.52499999999998</v>
      </c>
      <c r="AP514" s="8">
        <f t="shared" si="25"/>
        <v>913.82527499999992</v>
      </c>
      <c r="AQ514" s="9">
        <f t="shared" si="23"/>
        <v>1332.4082474999998</v>
      </c>
    </row>
    <row r="515" spans="1:43" x14ac:dyDescent="0.25">
      <c r="A515">
        <v>26</v>
      </c>
      <c r="B515">
        <v>12</v>
      </c>
      <c r="C515">
        <v>2024</v>
      </c>
      <c r="D515" t="s">
        <v>43</v>
      </c>
      <c r="E515" t="s">
        <v>222</v>
      </c>
      <c r="F515" t="s">
        <v>223</v>
      </c>
      <c r="G515">
        <v>26</v>
      </c>
      <c r="H515">
        <v>1791882490001</v>
      </c>
      <c r="I515" t="s">
        <v>46</v>
      </c>
      <c r="J515" t="s">
        <v>259</v>
      </c>
      <c r="K515" t="s">
        <v>48</v>
      </c>
      <c r="L515" t="s">
        <v>49</v>
      </c>
      <c r="M515" t="s">
        <v>50</v>
      </c>
      <c r="N515" t="s">
        <v>224</v>
      </c>
      <c r="O515">
        <v>8536690090</v>
      </c>
      <c r="P515" t="s">
        <v>213</v>
      </c>
      <c r="Q515" t="s">
        <v>672</v>
      </c>
      <c r="R515" t="s">
        <v>54</v>
      </c>
      <c r="S515" t="s">
        <v>55</v>
      </c>
      <c r="T515">
        <v>8</v>
      </c>
      <c r="U515">
        <v>1</v>
      </c>
      <c r="V515" t="s">
        <v>135</v>
      </c>
      <c r="W515">
        <v>1.83</v>
      </c>
      <c r="X515">
        <v>30.08</v>
      </c>
      <c r="Y515">
        <v>6.23</v>
      </c>
      <c r="Z515">
        <v>0.3</v>
      </c>
      <c r="AA515">
        <v>36.61</v>
      </c>
      <c r="AB515" t="s">
        <v>57</v>
      </c>
      <c r="AC515" t="s">
        <v>225</v>
      </c>
      <c r="AD515" t="s">
        <v>48</v>
      </c>
      <c r="AE515">
        <v>0</v>
      </c>
      <c r="AF515">
        <v>2.06</v>
      </c>
      <c r="AG515" t="s">
        <v>59</v>
      </c>
      <c r="AH515">
        <v>341996</v>
      </c>
      <c r="AI515" t="s">
        <v>60</v>
      </c>
      <c r="AJ515" t="s">
        <v>60</v>
      </c>
      <c r="AK515" t="s">
        <v>54</v>
      </c>
      <c r="AL515">
        <v>2024</v>
      </c>
      <c r="AM515" s="6" t="s">
        <v>673</v>
      </c>
      <c r="AN515" s="7">
        <v>30.08</v>
      </c>
      <c r="AO515" s="8">
        <f t="shared" si="24"/>
        <v>56.4</v>
      </c>
      <c r="AP515" s="8">
        <f t="shared" si="25"/>
        <v>62.660399999999996</v>
      </c>
      <c r="AQ515" s="9">
        <f t="shared" ref="AQ515:AQ578" si="26">SUM(AO515)*1.6199</f>
        <v>91.362359999999995</v>
      </c>
    </row>
    <row r="516" spans="1:43" x14ac:dyDescent="0.25">
      <c r="A516">
        <v>26</v>
      </c>
      <c r="B516">
        <v>12</v>
      </c>
      <c r="C516">
        <v>2024</v>
      </c>
      <c r="D516" t="s">
        <v>43</v>
      </c>
      <c r="E516" t="s">
        <v>222</v>
      </c>
      <c r="F516" t="s">
        <v>223</v>
      </c>
      <c r="G516">
        <v>27</v>
      </c>
      <c r="H516">
        <v>1791882490001</v>
      </c>
      <c r="I516" t="s">
        <v>46</v>
      </c>
      <c r="J516" t="s">
        <v>259</v>
      </c>
      <c r="K516" t="s">
        <v>48</v>
      </c>
      <c r="L516" t="s">
        <v>49</v>
      </c>
      <c r="M516" t="s">
        <v>50</v>
      </c>
      <c r="N516" t="s">
        <v>224</v>
      </c>
      <c r="O516">
        <v>7412200000</v>
      </c>
      <c r="P516" t="s">
        <v>674</v>
      </c>
      <c r="Q516" t="s">
        <v>675</v>
      </c>
      <c r="R516" t="s">
        <v>54</v>
      </c>
      <c r="S516" t="s">
        <v>55</v>
      </c>
      <c r="T516">
        <v>8</v>
      </c>
      <c r="U516">
        <v>1</v>
      </c>
      <c r="V516" t="s">
        <v>56</v>
      </c>
      <c r="W516">
        <v>0</v>
      </c>
      <c r="X516">
        <v>300.31</v>
      </c>
      <c r="Y516">
        <v>62.19</v>
      </c>
      <c r="Z516">
        <v>3</v>
      </c>
      <c r="AA516">
        <v>365.51</v>
      </c>
      <c r="AB516" t="s">
        <v>57</v>
      </c>
      <c r="AC516" t="s">
        <v>225</v>
      </c>
      <c r="AD516" t="s">
        <v>48</v>
      </c>
      <c r="AE516">
        <v>0</v>
      </c>
      <c r="AF516">
        <v>2.06</v>
      </c>
      <c r="AG516" t="s">
        <v>59</v>
      </c>
      <c r="AH516">
        <v>341996</v>
      </c>
      <c r="AI516" t="s">
        <v>60</v>
      </c>
      <c r="AJ516" t="s">
        <v>60</v>
      </c>
      <c r="AK516" t="s">
        <v>54</v>
      </c>
      <c r="AL516">
        <v>2024</v>
      </c>
      <c r="AM516" s="6" t="s">
        <v>676</v>
      </c>
      <c r="AN516" s="7">
        <v>300.31</v>
      </c>
      <c r="AO516" s="8">
        <f t="shared" si="24"/>
        <v>563.08124999999995</v>
      </c>
      <c r="AP516" s="8">
        <f t="shared" si="25"/>
        <v>625.58326874999989</v>
      </c>
      <c r="AQ516" s="9">
        <f t="shared" si="26"/>
        <v>912.13531687499983</v>
      </c>
    </row>
    <row r="517" spans="1:43" x14ac:dyDescent="0.25">
      <c r="A517">
        <v>26</v>
      </c>
      <c r="B517">
        <v>12</v>
      </c>
      <c r="C517">
        <v>2024</v>
      </c>
      <c r="D517" t="s">
        <v>43</v>
      </c>
      <c r="E517" t="s">
        <v>222</v>
      </c>
      <c r="F517" t="s">
        <v>223</v>
      </c>
      <c r="G517">
        <v>28</v>
      </c>
      <c r="H517">
        <v>1791882490001</v>
      </c>
      <c r="I517" t="s">
        <v>46</v>
      </c>
      <c r="J517" t="s">
        <v>259</v>
      </c>
      <c r="K517" t="s">
        <v>48</v>
      </c>
      <c r="L517" t="s">
        <v>49</v>
      </c>
      <c r="M517" t="s">
        <v>50</v>
      </c>
      <c r="N517" t="s">
        <v>224</v>
      </c>
      <c r="O517">
        <v>4016930000</v>
      </c>
      <c r="P517" t="s">
        <v>184</v>
      </c>
      <c r="Q517" t="s">
        <v>677</v>
      </c>
      <c r="R517" t="s">
        <v>54</v>
      </c>
      <c r="S517" t="s">
        <v>55</v>
      </c>
      <c r="T517">
        <v>8</v>
      </c>
      <c r="U517">
        <v>1</v>
      </c>
      <c r="V517" t="s">
        <v>135</v>
      </c>
      <c r="W517">
        <v>0</v>
      </c>
      <c r="X517">
        <v>76.09</v>
      </c>
      <c r="Y517">
        <v>15.76</v>
      </c>
      <c r="Z517">
        <v>0.76</v>
      </c>
      <c r="AA517">
        <v>92.61</v>
      </c>
      <c r="AB517" t="s">
        <v>57</v>
      </c>
      <c r="AC517" t="s">
        <v>225</v>
      </c>
      <c r="AD517" t="s">
        <v>48</v>
      </c>
      <c r="AE517">
        <v>0</v>
      </c>
      <c r="AF517">
        <v>2.06</v>
      </c>
      <c r="AG517" t="s">
        <v>59</v>
      </c>
      <c r="AH517">
        <v>341996</v>
      </c>
      <c r="AI517" t="s">
        <v>60</v>
      </c>
      <c r="AJ517" t="s">
        <v>60</v>
      </c>
      <c r="AK517" t="s">
        <v>54</v>
      </c>
      <c r="AL517">
        <v>2024</v>
      </c>
      <c r="AM517" s="6" t="s">
        <v>678</v>
      </c>
      <c r="AN517" s="7">
        <v>76.09</v>
      </c>
      <c r="AO517" s="8">
        <f t="shared" si="24"/>
        <v>142.66875000000002</v>
      </c>
      <c r="AP517" s="8">
        <f t="shared" si="25"/>
        <v>158.50498125000001</v>
      </c>
      <c r="AQ517" s="9">
        <f t="shared" si="26"/>
        <v>231.10910812500001</v>
      </c>
    </row>
    <row r="518" spans="1:43" x14ac:dyDescent="0.25">
      <c r="A518">
        <v>1</v>
      </c>
      <c r="B518">
        <v>2</v>
      </c>
      <c r="C518">
        <v>2024</v>
      </c>
      <c r="D518" t="s">
        <v>43</v>
      </c>
      <c r="E518" t="s">
        <v>174</v>
      </c>
      <c r="F518" t="s">
        <v>175</v>
      </c>
      <c r="G518">
        <v>1</v>
      </c>
      <c r="H518">
        <v>1791882490001</v>
      </c>
      <c r="I518" t="s">
        <v>46</v>
      </c>
      <c r="J518" t="s">
        <v>48</v>
      </c>
      <c r="K518" t="s">
        <v>48</v>
      </c>
      <c r="L518" t="s">
        <v>49</v>
      </c>
      <c r="M518" t="s">
        <v>50</v>
      </c>
      <c r="N518" t="s">
        <v>51</v>
      </c>
      <c r="O518">
        <v>8504409000</v>
      </c>
      <c r="P518" t="s">
        <v>66</v>
      </c>
      <c r="Q518" t="s">
        <v>679</v>
      </c>
      <c r="R518" t="s">
        <v>54</v>
      </c>
      <c r="S518" t="s">
        <v>55</v>
      </c>
      <c r="T518">
        <v>5</v>
      </c>
      <c r="U518">
        <v>1</v>
      </c>
      <c r="V518" t="s">
        <v>135</v>
      </c>
      <c r="W518">
        <v>0</v>
      </c>
      <c r="X518">
        <v>7177.75</v>
      </c>
      <c r="Y518">
        <v>533.59</v>
      </c>
      <c r="Z518">
        <v>42.89</v>
      </c>
      <c r="AA518">
        <v>7754.23</v>
      </c>
      <c r="AB518" t="s">
        <v>54</v>
      </c>
      <c r="AC518" t="s">
        <v>94</v>
      </c>
      <c r="AD518" t="s">
        <v>48</v>
      </c>
      <c r="AE518">
        <v>0</v>
      </c>
      <c r="AF518">
        <v>1.99</v>
      </c>
      <c r="AG518" t="s">
        <v>59</v>
      </c>
      <c r="AH518">
        <v>863266</v>
      </c>
      <c r="AI518" t="s">
        <v>60</v>
      </c>
      <c r="AJ518" t="s">
        <v>60</v>
      </c>
      <c r="AK518" t="s">
        <v>54</v>
      </c>
      <c r="AL518">
        <v>2023</v>
      </c>
      <c r="AM518" s="6" t="s">
        <v>680</v>
      </c>
      <c r="AN518" s="7">
        <v>7177.75</v>
      </c>
      <c r="AO518" s="8">
        <f t="shared" si="24"/>
        <v>13458.28125</v>
      </c>
      <c r="AP518" s="8">
        <f t="shared" si="25"/>
        <v>14952.15046875</v>
      </c>
      <c r="AQ518" s="9">
        <f t="shared" si="26"/>
        <v>21801.069796874999</v>
      </c>
    </row>
    <row r="519" spans="1:43" x14ac:dyDescent="0.25">
      <c r="A519">
        <v>3</v>
      </c>
      <c r="B519">
        <v>4</v>
      </c>
      <c r="C519">
        <v>2024</v>
      </c>
      <c r="D519" t="s">
        <v>43</v>
      </c>
      <c r="E519" t="s">
        <v>73</v>
      </c>
      <c r="F519" t="s">
        <v>74</v>
      </c>
      <c r="G519">
        <v>27</v>
      </c>
      <c r="H519">
        <v>1791882490001</v>
      </c>
      <c r="I519" t="s">
        <v>46</v>
      </c>
      <c r="J519" t="s">
        <v>133</v>
      </c>
      <c r="K519" t="s">
        <v>48</v>
      </c>
      <c r="L519" t="s">
        <v>49</v>
      </c>
      <c r="M519" t="s">
        <v>50</v>
      </c>
      <c r="N519" t="s">
        <v>51</v>
      </c>
      <c r="O519">
        <v>4016999000</v>
      </c>
      <c r="P519" t="s">
        <v>103</v>
      </c>
      <c r="Q519" t="s">
        <v>681</v>
      </c>
      <c r="R519" t="s">
        <v>54</v>
      </c>
      <c r="S519" t="s">
        <v>55</v>
      </c>
      <c r="T519">
        <v>6</v>
      </c>
      <c r="U519">
        <v>4</v>
      </c>
      <c r="V519" t="s">
        <v>135</v>
      </c>
      <c r="W519">
        <v>0</v>
      </c>
      <c r="X519">
        <v>27.42</v>
      </c>
      <c r="Y519">
        <v>3.2</v>
      </c>
      <c r="Z519">
        <v>0.18</v>
      </c>
      <c r="AA519">
        <v>30.8</v>
      </c>
      <c r="AB519" t="s">
        <v>57</v>
      </c>
      <c r="AC519" t="s">
        <v>58</v>
      </c>
      <c r="AD519" t="s">
        <v>48</v>
      </c>
      <c r="AE519">
        <v>0</v>
      </c>
      <c r="AF519">
        <v>5.33</v>
      </c>
      <c r="AG519" t="s">
        <v>59</v>
      </c>
      <c r="AH519">
        <v>438183</v>
      </c>
      <c r="AI519" t="s">
        <v>60</v>
      </c>
      <c r="AJ519" t="s">
        <v>60</v>
      </c>
      <c r="AK519" t="s">
        <v>54</v>
      </c>
      <c r="AL519">
        <v>2024</v>
      </c>
      <c r="AM519" s="6" t="s">
        <v>682</v>
      </c>
      <c r="AN519" s="7">
        <v>6.85</v>
      </c>
      <c r="AO519" s="8">
        <f t="shared" si="24"/>
        <v>12.84375</v>
      </c>
      <c r="AP519" s="8">
        <f t="shared" si="25"/>
        <v>14.269406249999999</v>
      </c>
      <c r="AQ519" s="9">
        <f t="shared" si="26"/>
        <v>20.805590624999997</v>
      </c>
    </row>
    <row r="520" spans="1:43" x14ac:dyDescent="0.25">
      <c r="A520">
        <v>15</v>
      </c>
      <c r="B520">
        <v>4</v>
      </c>
      <c r="C520">
        <v>2024</v>
      </c>
      <c r="D520" t="s">
        <v>43</v>
      </c>
      <c r="E520" t="s">
        <v>63</v>
      </c>
      <c r="F520" t="s">
        <v>64</v>
      </c>
      <c r="G520">
        <v>31</v>
      </c>
      <c r="H520">
        <v>1791882490001</v>
      </c>
      <c r="I520" t="s">
        <v>46</v>
      </c>
      <c r="J520" t="s">
        <v>133</v>
      </c>
      <c r="K520" t="s">
        <v>48</v>
      </c>
      <c r="L520" t="s">
        <v>49</v>
      </c>
      <c r="M520" t="s">
        <v>50</v>
      </c>
      <c r="N520" t="s">
        <v>51</v>
      </c>
      <c r="O520">
        <v>4016999000</v>
      </c>
      <c r="P520" t="s">
        <v>103</v>
      </c>
      <c r="Q520" t="s">
        <v>681</v>
      </c>
      <c r="R520" t="s">
        <v>54</v>
      </c>
      <c r="S520" t="s">
        <v>55</v>
      </c>
      <c r="T520">
        <v>6</v>
      </c>
      <c r="U520">
        <v>20</v>
      </c>
      <c r="V520" t="s">
        <v>135</v>
      </c>
      <c r="W520">
        <v>0</v>
      </c>
      <c r="X520">
        <v>127.59</v>
      </c>
      <c r="Y520">
        <v>13.43</v>
      </c>
      <c r="Z520">
        <v>0.86</v>
      </c>
      <c r="AA520">
        <v>141.87</v>
      </c>
      <c r="AB520" t="s">
        <v>57</v>
      </c>
      <c r="AC520" t="s">
        <v>58</v>
      </c>
      <c r="AD520" t="s">
        <v>48</v>
      </c>
      <c r="AE520">
        <v>0</v>
      </c>
      <c r="AF520">
        <v>1.22</v>
      </c>
      <c r="AG520" t="s">
        <v>59</v>
      </c>
      <c r="AH520">
        <v>443965</v>
      </c>
      <c r="AI520" t="s">
        <v>60</v>
      </c>
      <c r="AJ520" t="s">
        <v>60</v>
      </c>
      <c r="AK520" t="s">
        <v>54</v>
      </c>
      <c r="AL520">
        <v>2024</v>
      </c>
      <c r="AM520" s="6" t="s">
        <v>682</v>
      </c>
      <c r="AN520" s="7">
        <v>6.38</v>
      </c>
      <c r="AO520" s="8">
        <f t="shared" si="24"/>
        <v>11.9625</v>
      </c>
      <c r="AP520" s="8">
        <f t="shared" si="25"/>
        <v>13.2903375</v>
      </c>
      <c r="AQ520" s="9">
        <f t="shared" si="26"/>
        <v>19.378053749999999</v>
      </c>
    </row>
    <row r="521" spans="1:43" x14ac:dyDescent="0.25">
      <c r="A521">
        <v>12</v>
      </c>
      <c r="B521">
        <v>6</v>
      </c>
      <c r="C521">
        <v>2024</v>
      </c>
      <c r="D521" t="s">
        <v>43</v>
      </c>
      <c r="E521" t="s">
        <v>96</v>
      </c>
      <c r="F521" t="s">
        <v>97</v>
      </c>
      <c r="G521">
        <v>28</v>
      </c>
      <c r="H521">
        <v>1791882490001</v>
      </c>
      <c r="I521" t="s">
        <v>46</v>
      </c>
      <c r="J521" t="s">
        <v>133</v>
      </c>
      <c r="K521" t="s">
        <v>48</v>
      </c>
      <c r="L521" t="s">
        <v>49</v>
      </c>
      <c r="M521" t="s">
        <v>50</v>
      </c>
      <c r="N521" t="s">
        <v>51</v>
      </c>
      <c r="O521">
        <v>4016999000</v>
      </c>
      <c r="P521" t="s">
        <v>103</v>
      </c>
      <c r="Q521" t="s">
        <v>681</v>
      </c>
      <c r="R521" t="s">
        <v>54</v>
      </c>
      <c r="S521" t="s">
        <v>55</v>
      </c>
      <c r="T521">
        <v>7</v>
      </c>
      <c r="U521">
        <v>12</v>
      </c>
      <c r="V521" t="s">
        <v>135</v>
      </c>
      <c r="W521">
        <v>0</v>
      </c>
      <c r="X521">
        <v>80.540000000000006</v>
      </c>
      <c r="Y521">
        <v>6.99</v>
      </c>
      <c r="Z521">
        <v>0.54</v>
      </c>
      <c r="AA521">
        <v>88.06</v>
      </c>
      <c r="AB521" t="s">
        <v>57</v>
      </c>
      <c r="AC521" t="s">
        <v>94</v>
      </c>
      <c r="AD521" t="s">
        <v>48</v>
      </c>
      <c r="AE521">
        <v>0</v>
      </c>
      <c r="AF521">
        <v>21.6</v>
      </c>
      <c r="AG521" t="s">
        <v>59</v>
      </c>
      <c r="AH521" t="s">
        <v>98</v>
      </c>
      <c r="AI521" t="s">
        <v>60</v>
      </c>
      <c r="AJ521" t="s">
        <v>60</v>
      </c>
      <c r="AK521" t="s">
        <v>54</v>
      </c>
      <c r="AL521">
        <v>2024</v>
      </c>
      <c r="AM521" s="6" t="s">
        <v>682</v>
      </c>
      <c r="AN521" s="7">
        <v>6.71</v>
      </c>
      <c r="AO521" s="8">
        <f t="shared" si="24"/>
        <v>12.581250000000001</v>
      </c>
      <c r="AP521" s="8">
        <f t="shared" si="25"/>
        <v>13.977768750000001</v>
      </c>
      <c r="AQ521" s="9">
        <f t="shared" si="26"/>
        <v>20.380366875</v>
      </c>
    </row>
    <row r="522" spans="1:43" x14ac:dyDescent="0.25">
      <c r="A522">
        <v>16</v>
      </c>
      <c r="B522">
        <v>12</v>
      </c>
      <c r="C522">
        <v>2024</v>
      </c>
      <c r="D522" t="s">
        <v>43</v>
      </c>
      <c r="E522" t="s">
        <v>128</v>
      </c>
      <c r="F522" t="s">
        <v>129</v>
      </c>
      <c r="G522">
        <v>35</v>
      </c>
      <c r="H522">
        <v>1791882490001</v>
      </c>
      <c r="I522" t="s">
        <v>46</v>
      </c>
      <c r="J522" t="s">
        <v>133</v>
      </c>
      <c r="K522" t="s">
        <v>48</v>
      </c>
      <c r="L522" t="s">
        <v>49</v>
      </c>
      <c r="M522" t="s">
        <v>50</v>
      </c>
      <c r="N522" t="s">
        <v>51</v>
      </c>
      <c r="O522">
        <v>4016999000</v>
      </c>
      <c r="P522" t="s">
        <v>232</v>
      </c>
      <c r="Q522" t="s">
        <v>683</v>
      </c>
      <c r="R522" t="s">
        <v>54</v>
      </c>
      <c r="S522" t="s">
        <v>55</v>
      </c>
      <c r="T522">
        <v>9</v>
      </c>
      <c r="U522">
        <v>10</v>
      </c>
      <c r="V522" t="s">
        <v>135</v>
      </c>
      <c r="W522">
        <v>0</v>
      </c>
      <c r="X522">
        <v>67.22</v>
      </c>
      <c r="Y522">
        <v>8.8000000000000007</v>
      </c>
      <c r="Z522">
        <v>0.46</v>
      </c>
      <c r="AA522">
        <v>76.48</v>
      </c>
      <c r="AB522" t="s">
        <v>57</v>
      </c>
      <c r="AC522" t="s">
        <v>131</v>
      </c>
      <c r="AD522" t="s">
        <v>48</v>
      </c>
      <c r="AE522">
        <v>0</v>
      </c>
      <c r="AF522">
        <v>19.89</v>
      </c>
      <c r="AG522" t="s">
        <v>59</v>
      </c>
      <c r="AH522">
        <v>325395</v>
      </c>
      <c r="AI522" t="s">
        <v>60</v>
      </c>
      <c r="AJ522" t="s">
        <v>78</v>
      </c>
      <c r="AK522" t="s">
        <v>54</v>
      </c>
      <c r="AL522">
        <v>2024</v>
      </c>
      <c r="AM522" s="6" t="s">
        <v>682</v>
      </c>
      <c r="AN522" s="7">
        <v>6.72</v>
      </c>
      <c r="AO522" s="8">
        <f t="shared" si="24"/>
        <v>12.6</v>
      </c>
      <c r="AP522" s="8">
        <f t="shared" si="25"/>
        <v>13.9986</v>
      </c>
      <c r="AQ522" s="9">
        <f t="shared" si="26"/>
        <v>20.410739999999997</v>
      </c>
    </row>
    <row r="523" spans="1:43" x14ac:dyDescent="0.25">
      <c r="A523">
        <v>26</v>
      </c>
      <c r="B523">
        <v>12</v>
      </c>
      <c r="C523">
        <v>2024</v>
      </c>
      <c r="D523" t="s">
        <v>43</v>
      </c>
      <c r="E523" t="s">
        <v>222</v>
      </c>
      <c r="F523" t="s">
        <v>223</v>
      </c>
      <c r="G523">
        <v>29</v>
      </c>
      <c r="H523">
        <v>1791882490001</v>
      </c>
      <c r="I523" t="s">
        <v>46</v>
      </c>
      <c r="J523" t="s">
        <v>133</v>
      </c>
      <c r="K523" t="s">
        <v>48</v>
      </c>
      <c r="L523" t="s">
        <v>49</v>
      </c>
      <c r="M523" t="s">
        <v>50</v>
      </c>
      <c r="N523" t="s">
        <v>224</v>
      </c>
      <c r="O523">
        <v>4016999000</v>
      </c>
      <c r="P523" t="s">
        <v>232</v>
      </c>
      <c r="Q523" t="s">
        <v>684</v>
      </c>
      <c r="R523" t="s">
        <v>54</v>
      </c>
      <c r="S523" t="s">
        <v>55</v>
      </c>
      <c r="T523">
        <v>8</v>
      </c>
      <c r="U523">
        <v>12</v>
      </c>
      <c r="V523" t="s">
        <v>135</v>
      </c>
      <c r="W523">
        <v>0</v>
      </c>
      <c r="X523">
        <v>75.739999999999995</v>
      </c>
      <c r="Y523">
        <v>15.69</v>
      </c>
      <c r="Z523">
        <v>0.76</v>
      </c>
      <c r="AA523">
        <v>92.18</v>
      </c>
      <c r="AB523" t="s">
        <v>57</v>
      </c>
      <c r="AC523" t="s">
        <v>225</v>
      </c>
      <c r="AD523" t="s">
        <v>48</v>
      </c>
      <c r="AE523">
        <v>0</v>
      </c>
      <c r="AF523">
        <v>24.72</v>
      </c>
      <c r="AG523" t="s">
        <v>59</v>
      </c>
      <c r="AH523">
        <v>341996</v>
      </c>
      <c r="AI523" t="s">
        <v>60</v>
      </c>
      <c r="AJ523" t="s">
        <v>60</v>
      </c>
      <c r="AK523" t="s">
        <v>54</v>
      </c>
      <c r="AL523">
        <v>2024</v>
      </c>
      <c r="AM523" s="6" t="s">
        <v>682</v>
      </c>
      <c r="AN523" s="7">
        <v>6.31</v>
      </c>
      <c r="AO523" s="8">
        <f t="shared" si="24"/>
        <v>11.831249999999999</v>
      </c>
      <c r="AP523" s="8">
        <f t="shared" si="25"/>
        <v>13.144518749999998</v>
      </c>
      <c r="AQ523" s="9">
        <f t="shared" si="26"/>
        <v>19.165441874999996</v>
      </c>
    </row>
    <row r="524" spans="1:43" x14ac:dyDescent="0.25">
      <c r="A524">
        <v>26</v>
      </c>
      <c r="B524">
        <v>12</v>
      </c>
      <c r="C524">
        <v>2024</v>
      </c>
      <c r="D524" t="s">
        <v>43</v>
      </c>
      <c r="E524" t="s">
        <v>222</v>
      </c>
      <c r="F524" t="s">
        <v>223</v>
      </c>
      <c r="G524">
        <v>30</v>
      </c>
      <c r="H524">
        <v>1791882490001</v>
      </c>
      <c r="I524" t="s">
        <v>46</v>
      </c>
      <c r="J524" t="s">
        <v>133</v>
      </c>
      <c r="K524" t="s">
        <v>48</v>
      </c>
      <c r="L524" t="s">
        <v>49</v>
      </c>
      <c r="M524" t="s">
        <v>50</v>
      </c>
      <c r="N524" t="s">
        <v>224</v>
      </c>
      <c r="O524">
        <v>8487909000</v>
      </c>
      <c r="P524" t="s">
        <v>66</v>
      </c>
      <c r="Q524" t="s">
        <v>685</v>
      </c>
      <c r="R524" t="s">
        <v>54</v>
      </c>
      <c r="S524" t="s">
        <v>55</v>
      </c>
      <c r="T524">
        <v>8</v>
      </c>
      <c r="U524">
        <v>1</v>
      </c>
      <c r="V524" t="s">
        <v>135</v>
      </c>
      <c r="W524">
        <v>0</v>
      </c>
      <c r="X524">
        <v>79.290000000000006</v>
      </c>
      <c r="Y524">
        <v>16.420000000000002</v>
      </c>
      <c r="Z524">
        <v>0.79</v>
      </c>
      <c r="AA524">
        <v>96.5</v>
      </c>
      <c r="AB524" t="s">
        <v>57</v>
      </c>
      <c r="AC524" t="s">
        <v>225</v>
      </c>
      <c r="AD524" t="s">
        <v>48</v>
      </c>
      <c r="AE524">
        <v>0</v>
      </c>
      <c r="AF524">
        <v>2.06</v>
      </c>
      <c r="AG524" t="s">
        <v>59</v>
      </c>
      <c r="AH524">
        <v>341996</v>
      </c>
      <c r="AI524" t="s">
        <v>60</v>
      </c>
      <c r="AJ524" t="s">
        <v>60</v>
      </c>
      <c r="AK524" t="s">
        <v>54</v>
      </c>
      <c r="AL524">
        <v>2024</v>
      </c>
      <c r="AM524" s="6" t="s">
        <v>686</v>
      </c>
      <c r="AN524" s="7">
        <v>79.290000000000006</v>
      </c>
      <c r="AO524" s="8">
        <f t="shared" si="24"/>
        <v>148.66875000000002</v>
      </c>
      <c r="AP524" s="8">
        <f t="shared" si="25"/>
        <v>165.17098125000001</v>
      </c>
      <c r="AQ524" s="9">
        <f t="shared" si="26"/>
        <v>240.82850812500001</v>
      </c>
    </row>
    <row r="525" spans="1:43" x14ac:dyDescent="0.25">
      <c r="A525">
        <v>13</v>
      </c>
      <c r="B525">
        <v>3</v>
      </c>
      <c r="C525">
        <v>2024</v>
      </c>
      <c r="D525" t="s">
        <v>43</v>
      </c>
      <c r="E525" t="s">
        <v>69</v>
      </c>
      <c r="F525" t="s">
        <v>70</v>
      </c>
      <c r="G525">
        <v>31</v>
      </c>
      <c r="H525">
        <v>1791882490001</v>
      </c>
      <c r="I525" t="s">
        <v>46</v>
      </c>
      <c r="J525" t="s">
        <v>65</v>
      </c>
      <c r="K525" t="s">
        <v>48</v>
      </c>
      <c r="L525" t="s">
        <v>49</v>
      </c>
      <c r="M525" t="s">
        <v>50</v>
      </c>
      <c r="N525" t="s">
        <v>51</v>
      </c>
      <c r="O525">
        <v>8301409000</v>
      </c>
      <c r="P525" t="s">
        <v>687</v>
      </c>
      <c r="Q525" t="s">
        <v>688</v>
      </c>
      <c r="R525" t="s">
        <v>54</v>
      </c>
      <c r="S525" t="s">
        <v>55</v>
      </c>
      <c r="T525">
        <v>11</v>
      </c>
      <c r="U525">
        <v>24</v>
      </c>
      <c r="V525" t="s">
        <v>135</v>
      </c>
      <c r="W525">
        <v>0</v>
      </c>
      <c r="X525">
        <v>353.71</v>
      </c>
      <c r="Y525">
        <v>46.32</v>
      </c>
      <c r="Z525">
        <v>2.38</v>
      </c>
      <c r="AA525">
        <v>402.4</v>
      </c>
      <c r="AB525" t="s">
        <v>54</v>
      </c>
      <c r="AC525" t="s">
        <v>71</v>
      </c>
      <c r="AD525" t="s">
        <v>48</v>
      </c>
      <c r="AE525">
        <v>0</v>
      </c>
      <c r="AF525">
        <v>48.93</v>
      </c>
      <c r="AG525" t="s">
        <v>59</v>
      </c>
      <c r="AH525">
        <v>895279</v>
      </c>
      <c r="AI525" t="s">
        <v>60</v>
      </c>
      <c r="AJ525" t="s">
        <v>60</v>
      </c>
      <c r="AK525" t="s">
        <v>54</v>
      </c>
      <c r="AL525">
        <v>2024</v>
      </c>
      <c r="AM525" s="6" t="s">
        <v>689</v>
      </c>
      <c r="AN525" s="7">
        <v>14.74</v>
      </c>
      <c r="AO525" s="8">
        <f t="shared" si="24"/>
        <v>27.637499999999999</v>
      </c>
      <c r="AP525" s="8">
        <f t="shared" si="25"/>
        <v>30.7052625</v>
      </c>
      <c r="AQ525" s="9">
        <f t="shared" si="26"/>
        <v>44.769986249999995</v>
      </c>
    </row>
    <row r="526" spans="1:43" x14ac:dyDescent="0.25">
      <c r="A526">
        <v>20</v>
      </c>
      <c r="B526">
        <v>2</v>
      </c>
      <c r="C526">
        <v>2024</v>
      </c>
      <c r="D526" t="s">
        <v>43</v>
      </c>
      <c r="E526" t="s">
        <v>140</v>
      </c>
      <c r="F526" t="s">
        <v>141</v>
      </c>
      <c r="G526">
        <v>46</v>
      </c>
      <c r="H526">
        <v>1791882490001</v>
      </c>
      <c r="I526" t="s">
        <v>46</v>
      </c>
      <c r="J526" t="s">
        <v>48</v>
      </c>
      <c r="K526" t="s">
        <v>48</v>
      </c>
      <c r="L526" t="s">
        <v>49</v>
      </c>
      <c r="M526" t="s">
        <v>50</v>
      </c>
      <c r="N526" t="s">
        <v>51</v>
      </c>
      <c r="O526">
        <v>8481300000</v>
      </c>
      <c r="P526" t="s">
        <v>203</v>
      </c>
      <c r="Q526" t="s">
        <v>657</v>
      </c>
      <c r="R526" t="s">
        <v>54</v>
      </c>
      <c r="S526" t="s">
        <v>55</v>
      </c>
      <c r="T526">
        <v>6</v>
      </c>
      <c r="U526">
        <v>2</v>
      </c>
      <c r="V526" t="s">
        <v>135</v>
      </c>
      <c r="W526">
        <v>0</v>
      </c>
      <c r="X526">
        <v>91.81</v>
      </c>
      <c r="Y526">
        <v>8.24</v>
      </c>
      <c r="Z526">
        <v>0.62</v>
      </c>
      <c r="AA526">
        <v>100.67</v>
      </c>
      <c r="AB526" t="s">
        <v>54</v>
      </c>
      <c r="AC526" t="s">
        <v>143</v>
      </c>
      <c r="AD526" t="s">
        <v>48</v>
      </c>
      <c r="AE526">
        <v>0</v>
      </c>
      <c r="AF526">
        <v>3.74</v>
      </c>
      <c r="AG526" t="s">
        <v>59</v>
      </c>
      <c r="AH526">
        <v>876053</v>
      </c>
      <c r="AI526" t="s">
        <v>60</v>
      </c>
      <c r="AJ526" t="s">
        <v>60</v>
      </c>
      <c r="AK526" t="s">
        <v>54</v>
      </c>
      <c r="AL526">
        <v>2024</v>
      </c>
      <c r="AM526" s="6" t="s">
        <v>690</v>
      </c>
      <c r="AN526" s="7">
        <v>45.9</v>
      </c>
      <c r="AO526" s="8">
        <f t="shared" si="24"/>
        <v>86.0625</v>
      </c>
      <c r="AP526" s="8">
        <f t="shared" si="25"/>
        <v>95.615437499999999</v>
      </c>
      <c r="AQ526" s="9">
        <f t="shared" si="26"/>
        <v>139.41264375</v>
      </c>
    </row>
    <row r="527" spans="1:43" x14ac:dyDescent="0.25">
      <c r="A527">
        <v>26</v>
      </c>
      <c r="B527">
        <v>12</v>
      </c>
      <c r="C527">
        <v>2024</v>
      </c>
      <c r="D527" t="s">
        <v>43</v>
      </c>
      <c r="E527" t="s">
        <v>222</v>
      </c>
      <c r="F527" t="s">
        <v>223</v>
      </c>
      <c r="G527">
        <v>31</v>
      </c>
      <c r="H527">
        <v>1791882490001</v>
      </c>
      <c r="I527" t="s">
        <v>46</v>
      </c>
      <c r="J527" t="s">
        <v>691</v>
      </c>
      <c r="K527" t="s">
        <v>48</v>
      </c>
      <c r="L527" t="s">
        <v>49</v>
      </c>
      <c r="M527" t="s">
        <v>50</v>
      </c>
      <c r="N527" t="s">
        <v>224</v>
      </c>
      <c r="O527">
        <v>3403990000</v>
      </c>
      <c r="P527" t="s">
        <v>232</v>
      </c>
      <c r="Q527" t="s">
        <v>534</v>
      </c>
      <c r="R527" t="s">
        <v>54</v>
      </c>
      <c r="S527" t="s">
        <v>55</v>
      </c>
      <c r="T527">
        <v>8</v>
      </c>
      <c r="U527">
        <v>3</v>
      </c>
      <c r="V527" t="s">
        <v>56</v>
      </c>
      <c r="W527">
        <v>0</v>
      </c>
      <c r="X527">
        <v>580.21</v>
      </c>
      <c r="Y527">
        <v>120.16</v>
      </c>
      <c r="Z527">
        <v>5.8</v>
      </c>
      <c r="AA527">
        <v>706.17</v>
      </c>
      <c r="AB527" t="s">
        <v>57</v>
      </c>
      <c r="AC527" t="s">
        <v>225</v>
      </c>
      <c r="AD527" t="s">
        <v>48</v>
      </c>
      <c r="AE527">
        <v>0</v>
      </c>
      <c r="AF527">
        <v>6.18</v>
      </c>
      <c r="AG527" t="s">
        <v>59</v>
      </c>
      <c r="AH527">
        <v>341996</v>
      </c>
      <c r="AI527" t="s">
        <v>60</v>
      </c>
      <c r="AJ527" t="s">
        <v>60</v>
      </c>
      <c r="AK527" t="s">
        <v>54</v>
      </c>
      <c r="AL527">
        <v>2024</v>
      </c>
      <c r="AM527" s="6" t="s">
        <v>692</v>
      </c>
      <c r="AN527" s="7">
        <v>193.4</v>
      </c>
      <c r="AO527" s="8">
        <f t="shared" si="24"/>
        <v>362.625</v>
      </c>
      <c r="AP527" s="8">
        <f t="shared" si="25"/>
        <v>402.876375</v>
      </c>
      <c r="AQ527" s="9">
        <f t="shared" si="26"/>
        <v>587.41623749999997</v>
      </c>
    </row>
    <row r="528" spans="1:43" x14ac:dyDescent="0.25">
      <c r="A528">
        <v>15</v>
      </c>
      <c r="B528">
        <v>4</v>
      </c>
      <c r="C528">
        <v>2024</v>
      </c>
      <c r="D528" t="s">
        <v>43</v>
      </c>
      <c r="E528" t="s">
        <v>63</v>
      </c>
      <c r="F528" t="s">
        <v>64</v>
      </c>
      <c r="G528">
        <v>32</v>
      </c>
      <c r="H528">
        <v>1791882490001</v>
      </c>
      <c r="I528" t="s">
        <v>46</v>
      </c>
      <c r="J528" t="s">
        <v>65</v>
      </c>
      <c r="K528" t="s">
        <v>48</v>
      </c>
      <c r="L528" t="s">
        <v>49</v>
      </c>
      <c r="M528" t="s">
        <v>50</v>
      </c>
      <c r="N528" t="s">
        <v>51</v>
      </c>
      <c r="O528">
        <v>8421999000</v>
      </c>
      <c r="P528" t="s">
        <v>66</v>
      </c>
      <c r="Q528" t="s">
        <v>477</v>
      </c>
      <c r="R528" t="s">
        <v>54</v>
      </c>
      <c r="S528" t="s">
        <v>55</v>
      </c>
      <c r="T528">
        <v>6</v>
      </c>
      <c r="U528">
        <v>3</v>
      </c>
      <c r="V528" t="s">
        <v>135</v>
      </c>
      <c r="W528">
        <v>0</v>
      </c>
      <c r="X528">
        <v>197.44</v>
      </c>
      <c r="Y528">
        <v>20.78</v>
      </c>
      <c r="Z528">
        <v>1.33</v>
      </c>
      <c r="AA528">
        <v>219.55</v>
      </c>
      <c r="AB528" t="s">
        <v>57</v>
      </c>
      <c r="AC528" t="s">
        <v>58</v>
      </c>
      <c r="AD528" t="s">
        <v>48</v>
      </c>
      <c r="AE528">
        <v>0</v>
      </c>
      <c r="AF528">
        <v>1.89</v>
      </c>
      <c r="AG528" t="s">
        <v>59</v>
      </c>
      <c r="AH528">
        <v>443965</v>
      </c>
      <c r="AI528" t="s">
        <v>60</v>
      </c>
      <c r="AJ528" t="s">
        <v>60</v>
      </c>
      <c r="AK528" t="s">
        <v>54</v>
      </c>
      <c r="AL528">
        <v>2024</v>
      </c>
      <c r="AM528" s="6" t="s">
        <v>693</v>
      </c>
      <c r="AN528" s="7">
        <v>65.81</v>
      </c>
      <c r="AO528" s="8">
        <f t="shared" si="24"/>
        <v>123.39375000000001</v>
      </c>
      <c r="AP528" s="8">
        <f t="shared" si="25"/>
        <v>137.09045625000002</v>
      </c>
      <c r="AQ528" s="9">
        <f t="shared" si="26"/>
        <v>199.88553562500002</v>
      </c>
    </row>
    <row r="529" spans="1:43" x14ac:dyDescent="0.25">
      <c r="A529">
        <v>10</v>
      </c>
      <c r="B529">
        <v>10</v>
      </c>
      <c r="C529">
        <v>2024</v>
      </c>
      <c r="D529" t="s">
        <v>43</v>
      </c>
      <c r="E529" t="s">
        <v>44</v>
      </c>
      <c r="F529" t="s">
        <v>45</v>
      </c>
      <c r="G529">
        <v>39</v>
      </c>
      <c r="H529">
        <v>1791882490001</v>
      </c>
      <c r="I529" t="s">
        <v>46</v>
      </c>
      <c r="J529" t="s">
        <v>48</v>
      </c>
      <c r="K529" t="s">
        <v>48</v>
      </c>
      <c r="L529" t="s">
        <v>49</v>
      </c>
      <c r="M529" t="s">
        <v>50</v>
      </c>
      <c r="N529" t="s">
        <v>51</v>
      </c>
      <c r="O529">
        <v>8481909090</v>
      </c>
      <c r="P529" t="s">
        <v>284</v>
      </c>
      <c r="Q529" t="s">
        <v>694</v>
      </c>
      <c r="R529" t="s">
        <v>54</v>
      </c>
      <c r="S529" t="s">
        <v>55</v>
      </c>
      <c r="T529">
        <v>7</v>
      </c>
      <c r="U529">
        <v>5</v>
      </c>
      <c r="V529" t="s">
        <v>135</v>
      </c>
      <c r="W529">
        <v>0</v>
      </c>
      <c r="X529">
        <v>613.9</v>
      </c>
      <c r="Y529">
        <v>107.26</v>
      </c>
      <c r="Z529">
        <v>4.43</v>
      </c>
      <c r="AA529">
        <v>725.59</v>
      </c>
      <c r="AB529" t="s">
        <v>57</v>
      </c>
      <c r="AC529" t="s">
        <v>58</v>
      </c>
      <c r="AD529" t="s">
        <v>48</v>
      </c>
      <c r="AE529">
        <v>0</v>
      </c>
      <c r="AF529">
        <v>6.62</v>
      </c>
      <c r="AG529" t="s">
        <v>59</v>
      </c>
      <c r="AH529">
        <v>179772</v>
      </c>
      <c r="AI529" t="s">
        <v>60</v>
      </c>
      <c r="AJ529" t="s">
        <v>60</v>
      </c>
      <c r="AK529" t="s">
        <v>54</v>
      </c>
      <c r="AL529">
        <v>2024</v>
      </c>
      <c r="AM529" s="6" t="s">
        <v>695</v>
      </c>
      <c r="AN529" s="7">
        <v>122.78</v>
      </c>
      <c r="AO529" s="8">
        <f t="shared" si="24"/>
        <v>230.21250000000001</v>
      </c>
      <c r="AP529" s="8">
        <f t="shared" si="25"/>
        <v>255.7660875</v>
      </c>
      <c r="AQ529" s="9">
        <f t="shared" si="26"/>
        <v>372.92122875000001</v>
      </c>
    </row>
    <row r="530" spans="1:43" x14ac:dyDescent="0.25">
      <c r="A530">
        <v>16</v>
      </c>
      <c r="B530">
        <v>1</v>
      </c>
      <c r="C530">
        <v>2024</v>
      </c>
      <c r="D530" t="s">
        <v>43</v>
      </c>
      <c r="E530" t="s">
        <v>191</v>
      </c>
      <c r="F530" t="s">
        <v>192</v>
      </c>
      <c r="G530">
        <v>16</v>
      </c>
      <c r="H530">
        <v>1791882490001</v>
      </c>
      <c r="I530" t="s">
        <v>46</v>
      </c>
      <c r="J530" t="s">
        <v>65</v>
      </c>
      <c r="K530" t="s">
        <v>48</v>
      </c>
      <c r="L530" t="s">
        <v>49</v>
      </c>
      <c r="M530" t="s">
        <v>50</v>
      </c>
      <c r="N530" t="s">
        <v>51</v>
      </c>
      <c r="O530">
        <v>8421999000</v>
      </c>
      <c r="P530" t="s">
        <v>52</v>
      </c>
      <c r="Q530" t="s">
        <v>696</v>
      </c>
      <c r="R530" t="s">
        <v>54</v>
      </c>
      <c r="S530" t="s">
        <v>55</v>
      </c>
      <c r="T530">
        <v>11</v>
      </c>
      <c r="U530">
        <v>5</v>
      </c>
      <c r="V530" t="s">
        <v>135</v>
      </c>
      <c r="W530">
        <v>0</v>
      </c>
      <c r="X530">
        <v>1101.06</v>
      </c>
      <c r="Y530">
        <v>72.239999999999995</v>
      </c>
      <c r="Z530">
        <v>7.11</v>
      </c>
      <c r="AA530">
        <v>1180.4100000000001</v>
      </c>
      <c r="AB530" t="s">
        <v>57</v>
      </c>
      <c r="AC530" t="s">
        <v>81</v>
      </c>
      <c r="AD530" t="s">
        <v>48</v>
      </c>
      <c r="AE530">
        <v>0</v>
      </c>
      <c r="AF530">
        <v>14.28</v>
      </c>
      <c r="AG530" t="s">
        <v>59</v>
      </c>
      <c r="AH530">
        <v>850332</v>
      </c>
      <c r="AI530" t="s">
        <v>60</v>
      </c>
      <c r="AJ530" t="s">
        <v>60</v>
      </c>
      <c r="AK530" t="s">
        <v>54</v>
      </c>
      <c r="AL530">
        <v>2023</v>
      </c>
      <c r="AM530" s="6" t="s">
        <v>697</v>
      </c>
      <c r="AN530" s="7">
        <v>220.21</v>
      </c>
      <c r="AO530" s="8">
        <f t="shared" si="24"/>
        <v>412.89375000000001</v>
      </c>
      <c r="AP530" s="8">
        <f t="shared" si="25"/>
        <v>458.72495624999999</v>
      </c>
      <c r="AQ530" s="9">
        <f t="shared" si="26"/>
        <v>668.84658562499999</v>
      </c>
    </row>
    <row r="531" spans="1:43" x14ac:dyDescent="0.25">
      <c r="A531">
        <v>1</v>
      </c>
      <c r="B531">
        <v>2</v>
      </c>
      <c r="C531">
        <v>2024</v>
      </c>
      <c r="D531" t="s">
        <v>43</v>
      </c>
      <c r="E531" t="s">
        <v>174</v>
      </c>
      <c r="F531" t="s">
        <v>175</v>
      </c>
      <c r="G531">
        <v>16</v>
      </c>
      <c r="H531">
        <v>1791882490001</v>
      </c>
      <c r="I531" t="s">
        <v>46</v>
      </c>
      <c r="J531" t="s">
        <v>65</v>
      </c>
      <c r="K531" t="s">
        <v>48</v>
      </c>
      <c r="L531" t="s">
        <v>49</v>
      </c>
      <c r="M531" t="s">
        <v>50</v>
      </c>
      <c r="N531" t="s">
        <v>51</v>
      </c>
      <c r="O531">
        <v>8421999000</v>
      </c>
      <c r="P531" t="s">
        <v>66</v>
      </c>
      <c r="Q531" t="s">
        <v>696</v>
      </c>
      <c r="R531" t="s">
        <v>54</v>
      </c>
      <c r="S531" t="s">
        <v>55</v>
      </c>
      <c r="T531">
        <v>5</v>
      </c>
      <c r="U531">
        <v>4</v>
      </c>
      <c r="V531" t="s">
        <v>135</v>
      </c>
      <c r="W531">
        <v>0</v>
      </c>
      <c r="X531">
        <v>884.47</v>
      </c>
      <c r="Y531">
        <v>65.75</v>
      </c>
      <c r="Z531">
        <v>5.28</v>
      </c>
      <c r="AA531">
        <v>955.51</v>
      </c>
      <c r="AB531" t="s">
        <v>54</v>
      </c>
      <c r="AC531" t="s">
        <v>94</v>
      </c>
      <c r="AD531" t="s">
        <v>48</v>
      </c>
      <c r="AE531">
        <v>0</v>
      </c>
      <c r="AF531">
        <v>7.94</v>
      </c>
      <c r="AG531" t="s">
        <v>59</v>
      </c>
      <c r="AH531">
        <v>863266</v>
      </c>
      <c r="AI531" t="s">
        <v>60</v>
      </c>
      <c r="AJ531" t="s">
        <v>60</v>
      </c>
      <c r="AK531" t="s">
        <v>54</v>
      </c>
      <c r="AL531">
        <v>2023</v>
      </c>
      <c r="AM531" s="6" t="s">
        <v>697</v>
      </c>
      <c r="AN531" s="7">
        <v>221.12</v>
      </c>
      <c r="AO531" s="8">
        <f t="shared" si="24"/>
        <v>414.6</v>
      </c>
      <c r="AP531" s="8">
        <f t="shared" si="25"/>
        <v>460.62060000000002</v>
      </c>
      <c r="AQ531" s="9">
        <f t="shared" si="26"/>
        <v>671.61054000000001</v>
      </c>
    </row>
    <row r="532" spans="1:43" x14ac:dyDescent="0.25">
      <c r="A532">
        <v>17</v>
      </c>
      <c r="B532">
        <v>5</v>
      </c>
      <c r="C532">
        <v>2024</v>
      </c>
      <c r="D532" t="s">
        <v>43</v>
      </c>
      <c r="E532" t="s">
        <v>79</v>
      </c>
      <c r="F532" t="s">
        <v>80</v>
      </c>
      <c r="G532">
        <v>27</v>
      </c>
      <c r="H532">
        <v>1791882490001</v>
      </c>
      <c r="I532" t="s">
        <v>46</v>
      </c>
      <c r="J532" t="s">
        <v>65</v>
      </c>
      <c r="K532" t="s">
        <v>48</v>
      </c>
      <c r="L532" t="s">
        <v>49</v>
      </c>
      <c r="M532" t="s">
        <v>50</v>
      </c>
      <c r="N532" t="s">
        <v>51</v>
      </c>
      <c r="O532">
        <v>8421999000</v>
      </c>
      <c r="P532" t="s">
        <v>66</v>
      </c>
      <c r="Q532" t="s">
        <v>261</v>
      </c>
      <c r="R532" t="s">
        <v>54</v>
      </c>
      <c r="S532" t="s">
        <v>55</v>
      </c>
      <c r="T532">
        <v>6</v>
      </c>
      <c r="U532">
        <v>3</v>
      </c>
      <c r="V532" t="s">
        <v>135</v>
      </c>
      <c r="W532">
        <v>0</v>
      </c>
      <c r="X532">
        <v>585.79</v>
      </c>
      <c r="Y532">
        <v>56.55</v>
      </c>
      <c r="Z532">
        <v>3.9</v>
      </c>
      <c r="AA532">
        <v>646.25</v>
      </c>
      <c r="AB532" t="s">
        <v>57</v>
      </c>
      <c r="AC532" t="s">
        <v>81</v>
      </c>
      <c r="AD532" t="s">
        <v>48</v>
      </c>
      <c r="AE532">
        <v>0</v>
      </c>
      <c r="AF532">
        <v>3.24</v>
      </c>
      <c r="AG532" t="s">
        <v>82</v>
      </c>
      <c r="AH532">
        <v>471463</v>
      </c>
      <c r="AI532" t="s">
        <v>60</v>
      </c>
      <c r="AJ532" t="s">
        <v>60</v>
      </c>
      <c r="AK532" t="s">
        <v>54</v>
      </c>
      <c r="AL532">
        <v>2024</v>
      </c>
      <c r="AM532" s="6" t="s">
        <v>698</v>
      </c>
      <c r="AN532" s="7">
        <v>195.26</v>
      </c>
      <c r="AO532" s="8">
        <f t="shared" si="24"/>
        <v>366.11249999999995</v>
      </c>
      <c r="AP532" s="8">
        <f t="shared" si="25"/>
        <v>406.75098749999995</v>
      </c>
      <c r="AQ532" s="9">
        <f t="shared" si="26"/>
        <v>593.06563874999983</v>
      </c>
    </row>
    <row r="533" spans="1:43" x14ac:dyDescent="0.25">
      <c r="A533">
        <v>28</v>
      </c>
      <c r="B533">
        <v>8</v>
      </c>
      <c r="C533">
        <v>2024</v>
      </c>
      <c r="D533" t="s">
        <v>43</v>
      </c>
      <c r="E533" t="s">
        <v>91</v>
      </c>
      <c r="F533" t="s">
        <v>92</v>
      </c>
      <c r="G533">
        <v>26</v>
      </c>
      <c r="H533">
        <v>1791882490001</v>
      </c>
      <c r="I533" t="s">
        <v>46</v>
      </c>
      <c r="J533" t="s">
        <v>65</v>
      </c>
      <c r="K533" t="s">
        <v>48</v>
      </c>
      <c r="L533" t="s">
        <v>49</v>
      </c>
      <c r="M533" t="s">
        <v>50</v>
      </c>
      <c r="N533" t="s">
        <v>51</v>
      </c>
      <c r="O533">
        <v>8421999000</v>
      </c>
      <c r="P533" t="s">
        <v>66</v>
      </c>
      <c r="Q533" t="s">
        <v>261</v>
      </c>
      <c r="R533" t="s">
        <v>54</v>
      </c>
      <c r="S533" t="s">
        <v>55</v>
      </c>
      <c r="T533">
        <v>8</v>
      </c>
      <c r="U533">
        <v>4</v>
      </c>
      <c r="V533" t="s">
        <v>135</v>
      </c>
      <c r="W533">
        <v>0</v>
      </c>
      <c r="X533">
        <v>778.5</v>
      </c>
      <c r="Y533">
        <v>86.01</v>
      </c>
      <c r="Z533">
        <v>5.24</v>
      </c>
      <c r="AA533">
        <v>869.75</v>
      </c>
      <c r="AB533" t="s">
        <v>57</v>
      </c>
      <c r="AC533" t="s">
        <v>94</v>
      </c>
      <c r="AD533" t="s">
        <v>48</v>
      </c>
      <c r="AE533">
        <v>0</v>
      </c>
      <c r="AF533">
        <v>8.9600000000000009</v>
      </c>
      <c r="AG533" t="s">
        <v>59</v>
      </c>
      <c r="AH533">
        <v>150511</v>
      </c>
      <c r="AI533" t="s">
        <v>60</v>
      </c>
      <c r="AJ533" t="s">
        <v>60</v>
      </c>
      <c r="AK533" t="s">
        <v>54</v>
      </c>
      <c r="AL533">
        <v>2024</v>
      </c>
      <c r="AM533" s="6" t="s">
        <v>698</v>
      </c>
      <c r="AN533" s="7">
        <v>194.62</v>
      </c>
      <c r="AO533" s="8">
        <f t="shared" si="24"/>
        <v>364.91250000000002</v>
      </c>
      <c r="AP533" s="8">
        <f t="shared" si="25"/>
        <v>405.41778750000003</v>
      </c>
      <c r="AQ533" s="9">
        <f t="shared" si="26"/>
        <v>591.12175875000003</v>
      </c>
    </row>
    <row r="534" spans="1:43" x14ac:dyDescent="0.25">
      <c r="A534">
        <v>15</v>
      </c>
      <c r="B534">
        <v>4</v>
      </c>
      <c r="C534">
        <v>2024</v>
      </c>
      <c r="D534" t="s">
        <v>43</v>
      </c>
      <c r="E534" t="s">
        <v>63</v>
      </c>
      <c r="F534" t="s">
        <v>64</v>
      </c>
      <c r="G534">
        <v>33</v>
      </c>
      <c r="H534">
        <v>1791882490001</v>
      </c>
      <c r="I534" t="s">
        <v>46</v>
      </c>
      <c r="J534" t="s">
        <v>65</v>
      </c>
      <c r="K534" t="s">
        <v>48</v>
      </c>
      <c r="L534" t="s">
        <v>49</v>
      </c>
      <c r="M534" t="s">
        <v>50</v>
      </c>
      <c r="N534" t="s">
        <v>51</v>
      </c>
      <c r="O534">
        <v>8421999000</v>
      </c>
      <c r="P534" t="s">
        <v>66</v>
      </c>
      <c r="Q534" t="s">
        <v>699</v>
      </c>
      <c r="R534" t="s">
        <v>54</v>
      </c>
      <c r="S534" t="s">
        <v>55</v>
      </c>
      <c r="T534">
        <v>6</v>
      </c>
      <c r="U534">
        <v>2</v>
      </c>
      <c r="V534" t="s">
        <v>135</v>
      </c>
      <c r="W534">
        <v>0</v>
      </c>
      <c r="X534">
        <v>562.64</v>
      </c>
      <c r="Y534">
        <v>59.22</v>
      </c>
      <c r="Z534">
        <v>3.78</v>
      </c>
      <c r="AA534">
        <v>625.65</v>
      </c>
      <c r="AB534" t="s">
        <v>57</v>
      </c>
      <c r="AC534" t="s">
        <v>58</v>
      </c>
      <c r="AD534" t="s">
        <v>48</v>
      </c>
      <c r="AE534">
        <v>0</v>
      </c>
      <c r="AF534">
        <v>5.39</v>
      </c>
      <c r="AG534" t="s">
        <v>59</v>
      </c>
      <c r="AH534">
        <v>443965</v>
      </c>
      <c r="AI534" t="s">
        <v>60</v>
      </c>
      <c r="AJ534" t="s">
        <v>60</v>
      </c>
      <c r="AK534" t="s">
        <v>54</v>
      </c>
      <c r="AL534">
        <v>2024</v>
      </c>
      <c r="AM534" s="6" t="s">
        <v>700</v>
      </c>
      <c r="AN534" s="7">
        <v>281.32</v>
      </c>
      <c r="AO534" s="8">
        <f t="shared" si="24"/>
        <v>527.47500000000002</v>
      </c>
      <c r="AP534" s="8">
        <f t="shared" si="25"/>
        <v>586.02472499999999</v>
      </c>
      <c r="AQ534" s="9">
        <f t="shared" si="26"/>
        <v>854.45675249999999</v>
      </c>
    </row>
    <row r="535" spans="1:43" x14ac:dyDescent="0.25">
      <c r="A535">
        <v>2</v>
      </c>
      <c r="B535">
        <v>1</v>
      </c>
      <c r="C535">
        <v>2024</v>
      </c>
      <c r="D535" t="s">
        <v>43</v>
      </c>
      <c r="E535" t="s">
        <v>181</v>
      </c>
      <c r="F535" t="s">
        <v>182</v>
      </c>
      <c r="G535">
        <v>24</v>
      </c>
      <c r="H535">
        <v>1791882490001</v>
      </c>
      <c r="I535" t="s">
        <v>46</v>
      </c>
      <c r="J535" t="s">
        <v>65</v>
      </c>
      <c r="K535" t="s">
        <v>48</v>
      </c>
      <c r="L535" t="s">
        <v>49</v>
      </c>
      <c r="M535" t="s">
        <v>50</v>
      </c>
      <c r="N535" t="s">
        <v>51</v>
      </c>
      <c r="O535">
        <v>8421999000</v>
      </c>
      <c r="P535" t="s">
        <v>52</v>
      </c>
      <c r="Q535" t="s">
        <v>699</v>
      </c>
      <c r="R535" t="s">
        <v>54</v>
      </c>
      <c r="S535" t="s">
        <v>55</v>
      </c>
      <c r="T535">
        <v>8</v>
      </c>
      <c r="U535">
        <v>1</v>
      </c>
      <c r="V535" t="s">
        <v>135</v>
      </c>
      <c r="W535">
        <v>0</v>
      </c>
      <c r="X535">
        <v>399.93</v>
      </c>
      <c r="Y535">
        <v>81.260000000000005</v>
      </c>
      <c r="Z535">
        <v>2.57</v>
      </c>
      <c r="AA535">
        <v>483.77</v>
      </c>
      <c r="AB535" t="s">
        <v>57</v>
      </c>
      <c r="AC535" t="s">
        <v>81</v>
      </c>
      <c r="AD535" t="s">
        <v>48</v>
      </c>
      <c r="AE535">
        <v>0</v>
      </c>
      <c r="AF535">
        <v>3.24</v>
      </c>
      <c r="AG535" t="s">
        <v>59</v>
      </c>
      <c r="AH535">
        <v>413505</v>
      </c>
      <c r="AI535" t="s">
        <v>60</v>
      </c>
      <c r="AJ535" t="s">
        <v>60</v>
      </c>
      <c r="AK535" t="s">
        <v>54</v>
      </c>
      <c r="AL535">
        <v>2023</v>
      </c>
      <c r="AM535" s="6" t="s">
        <v>701</v>
      </c>
      <c r="AN535" s="7">
        <v>399.93</v>
      </c>
      <c r="AO535" s="8">
        <f t="shared" si="24"/>
        <v>749.86874999999998</v>
      </c>
      <c r="AP535" s="8">
        <f t="shared" si="25"/>
        <v>833.10418125000001</v>
      </c>
      <c r="AQ535" s="9">
        <f t="shared" si="26"/>
        <v>1214.712388125</v>
      </c>
    </row>
    <row r="536" spans="1:43" x14ac:dyDescent="0.25">
      <c r="A536">
        <v>1</v>
      </c>
      <c r="B536">
        <v>2</v>
      </c>
      <c r="C536">
        <v>2024</v>
      </c>
      <c r="D536" t="s">
        <v>43</v>
      </c>
      <c r="E536" t="s">
        <v>174</v>
      </c>
      <c r="F536" t="s">
        <v>175</v>
      </c>
      <c r="G536">
        <v>17</v>
      </c>
      <c r="H536">
        <v>1791882490001</v>
      </c>
      <c r="I536" t="s">
        <v>46</v>
      </c>
      <c r="J536" t="s">
        <v>65</v>
      </c>
      <c r="K536" t="s">
        <v>48</v>
      </c>
      <c r="L536" t="s">
        <v>49</v>
      </c>
      <c r="M536" t="s">
        <v>50</v>
      </c>
      <c r="N536" t="s">
        <v>51</v>
      </c>
      <c r="O536">
        <v>8421999000</v>
      </c>
      <c r="P536" t="s">
        <v>66</v>
      </c>
      <c r="Q536" t="s">
        <v>699</v>
      </c>
      <c r="R536" t="s">
        <v>54</v>
      </c>
      <c r="S536" t="s">
        <v>55</v>
      </c>
      <c r="T536">
        <v>5</v>
      </c>
      <c r="U536">
        <v>2</v>
      </c>
      <c r="V536" t="s">
        <v>135</v>
      </c>
      <c r="W536">
        <v>0</v>
      </c>
      <c r="X536">
        <v>795.1</v>
      </c>
      <c r="Y536">
        <v>59.11</v>
      </c>
      <c r="Z536">
        <v>4.75</v>
      </c>
      <c r="AA536">
        <v>858.96</v>
      </c>
      <c r="AB536" t="s">
        <v>54</v>
      </c>
      <c r="AC536" t="s">
        <v>94</v>
      </c>
      <c r="AD536" t="s">
        <v>48</v>
      </c>
      <c r="AE536">
        <v>0</v>
      </c>
      <c r="AF536">
        <v>3.97</v>
      </c>
      <c r="AG536" t="s">
        <v>59</v>
      </c>
      <c r="AH536">
        <v>863266</v>
      </c>
      <c r="AI536" t="s">
        <v>60</v>
      </c>
      <c r="AJ536" t="s">
        <v>60</v>
      </c>
      <c r="AK536" t="s">
        <v>54</v>
      </c>
      <c r="AL536">
        <v>2023</v>
      </c>
      <c r="AM536" s="6" t="s">
        <v>701</v>
      </c>
      <c r="AN536" s="7">
        <v>397.55</v>
      </c>
      <c r="AO536" s="8">
        <f t="shared" si="24"/>
        <v>745.40625</v>
      </c>
      <c r="AP536" s="8">
        <f t="shared" si="25"/>
        <v>828.14634375000003</v>
      </c>
      <c r="AQ536" s="9">
        <f t="shared" si="26"/>
        <v>1207.483584375</v>
      </c>
    </row>
    <row r="537" spans="1:43" x14ac:dyDescent="0.25">
      <c r="A537">
        <v>15</v>
      </c>
      <c r="B537">
        <v>4</v>
      </c>
      <c r="C537">
        <v>2024</v>
      </c>
      <c r="D537" t="s">
        <v>43</v>
      </c>
      <c r="E537" t="s">
        <v>63</v>
      </c>
      <c r="F537" t="s">
        <v>64</v>
      </c>
      <c r="G537">
        <v>34</v>
      </c>
      <c r="H537">
        <v>1791882490001</v>
      </c>
      <c r="I537" t="s">
        <v>46</v>
      </c>
      <c r="J537" t="s">
        <v>65</v>
      </c>
      <c r="K537" t="s">
        <v>48</v>
      </c>
      <c r="L537" t="s">
        <v>49</v>
      </c>
      <c r="M537" t="s">
        <v>50</v>
      </c>
      <c r="N537" t="s">
        <v>51</v>
      </c>
      <c r="O537">
        <v>8421999000</v>
      </c>
      <c r="P537" t="s">
        <v>66</v>
      </c>
      <c r="Q537" t="s">
        <v>699</v>
      </c>
      <c r="R537" t="s">
        <v>54</v>
      </c>
      <c r="S537" t="s">
        <v>55</v>
      </c>
      <c r="T537">
        <v>6</v>
      </c>
      <c r="U537">
        <v>2</v>
      </c>
      <c r="V537" t="s">
        <v>135</v>
      </c>
      <c r="W537">
        <v>0</v>
      </c>
      <c r="X537">
        <v>833.06</v>
      </c>
      <c r="Y537">
        <v>87.69</v>
      </c>
      <c r="Z537">
        <v>5.59</v>
      </c>
      <c r="AA537">
        <v>926.35</v>
      </c>
      <c r="AB537" t="s">
        <v>57</v>
      </c>
      <c r="AC537" t="s">
        <v>58</v>
      </c>
      <c r="AD537" t="s">
        <v>48</v>
      </c>
      <c r="AE537">
        <v>0</v>
      </c>
      <c r="AF537">
        <v>7.98</v>
      </c>
      <c r="AG537" t="s">
        <v>59</v>
      </c>
      <c r="AH537">
        <v>443965</v>
      </c>
      <c r="AI537" t="s">
        <v>60</v>
      </c>
      <c r="AJ537" t="s">
        <v>60</v>
      </c>
      <c r="AK537" t="s">
        <v>54</v>
      </c>
      <c r="AL537">
        <v>2024</v>
      </c>
      <c r="AM537" s="6" t="s">
        <v>701</v>
      </c>
      <c r="AN537" s="7">
        <v>416.53</v>
      </c>
      <c r="AO537" s="8">
        <f t="shared" si="24"/>
        <v>780.99374999999998</v>
      </c>
      <c r="AP537" s="8">
        <f t="shared" si="25"/>
        <v>867.68405624999991</v>
      </c>
      <c r="AQ537" s="9">
        <f t="shared" si="26"/>
        <v>1265.1317756249998</v>
      </c>
    </row>
    <row r="538" spans="1:43" x14ac:dyDescent="0.25">
      <c r="A538">
        <v>1</v>
      </c>
      <c r="B538">
        <v>2</v>
      </c>
      <c r="C538">
        <v>2024</v>
      </c>
      <c r="D538" t="s">
        <v>43</v>
      </c>
      <c r="E538" t="s">
        <v>174</v>
      </c>
      <c r="F538" t="s">
        <v>175</v>
      </c>
      <c r="G538">
        <v>18</v>
      </c>
      <c r="H538">
        <v>1791882490001</v>
      </c>
      <c r="I538" t="s">
        <v>46</v>
      </c>
      <c r="J538" t="s">
        <v>48</v>
      </c>
      <c r="K538" t="s">
        <v>48</v>
      </c>
      <c r="L538" t="s">
        <v>49</v>
      </c>
      <c r="M538" t="s">
        <v>50</v>
      </c>
      <c r="N538" t="s">
        <v>51</v>
      </c>
      <c r="O538">
        <v>8481909090</v>
      </c>
      <c r="P538" t="s">
        <v>103</v>
      </c>
      <c r="Q538" t="s">
        <v>702</v>
      </c>
      <c r="R538" t="s">
        <v>54</v>
      </c>
      <c r="S538" t="s">
        <v>55</v>
      </c>
      <c r="T538">
        <v>5</v>
      </c>
      <c r="U538">
        <v>2</v>
      </c>
      <c r="V538" t="s">
        <v>135</v>
      </c>
      <c r="W538">
        <v>0</v>
      </c>
      <c r="X538">
        <v>199.84</v>
      </c>
      <c r="Y538">
        <v>14.86</v>
      </c>
      <c r="Z538">
        <v>1.19</v>
      </c>
      <c r="AA538">
        <v>215.88</v>
      </c>
      <c r="AB538" t="s">
        <v>54</v>
      </c>
      <c r="AC538" t="s">
        <v>94</v>
      </c>
      <c r="AD538" t="s">
        <v>48</v>
      </c>
      <c r="AE538">
        <v>0</v>
      </c>
      <c r="AF538">
        <v>3.97</v>
      </c>
      <c r="AG538" t="s">
        <v>59</v>
      </c>
      <c r="AH538">
        <v>863266</v>
      </c>
      <c r="AI538" t="s">
        <v>60</v>
      </c>
      <c r="AJ538" t="s">
        <v>60</v>
      </c>
      <c r="AK538" t="s">
        <v>54</v>
      </c>
      <c r="AL538">
        <v>2023</v>
      </c>
      <c r="AM538" s="6" t="s">
        <v>703</v>
      </c>
      <c r="AN538" s="7">
        <v>99.92</v>
      </c>
      <c r="AO538" s="8">
        <f t="shared" ref="AO538:AO601" si="27">SUM(AN538)*1.875</f>
        <v>187.35</v>
      </c>
      <c r="AP538" s="8">
        <f t="shared" ref="AP538:AP601" si="28">SUM(AO538)*1.111</f>
        <v>208.14585</v>
      </c>
      <c r="AQ538" s="9">
        <f t="shared" si="26"/>
        <v>303.48826499999996</v>
      </c>
    </row>
    <row r="539" spans="1:43" x14ac:dyDescent="0.25">
      <c r="A539">
        <v>10</v>
      </c>
      <c r="B539">
        <v>10</v>
      </c>
      <c r="C539">
        <v>2024</v>
      </c>
      <c r="D539" t="s">
        <v>43</v>
      </c>
      <c r="E539" t="s">
        <v>44</v>
      </c>
      <c r="F539" t="s">
        <v>45</v>
      </c>
      <c r="G539">
        <v>40</v>
      </c>
      <c r="H539">
        <v>1791882490001</v>
      </c>
      <c r="I539" t="s">
        <v>46</v>
      </c>
      <c r="J539" t="s">
        <v>65</v>
      </c>
      <c r="K539" t="s">
        <v>48</v>
      </c>
      <c r="L539" t="s">
        <v>49</v>
      </c>
      <c r="M539" t="s">
        <v>50</v>
      </c>
      <c r="N539" t="s">
        <v>51</v>
      </c>
      <c r="O539">
        <v>8421999000</v>
      </c>
      <c r="P539" t="s">
        <v>52</v>
      </c>
      <c r="Q539" t="s">
        <v>699</v>
      </c>
      <c r="R539" t="s">
        <v>54</v>
      </c>
      <c r="S539" t="s">
        <v>55</v>
      </c>
      <c r="T539">
        <v>7</v>
      </c>
      <c r="U539">
        <v>2</v>
      </c>
      <c r="V539" t="s">
        <v>135</v>
      </c>
      <c r="W539">
        <v>0</v>
      </c>
      <c r="X539">
        <v>598.54999999999995</v>
      </c>
      <c r="Y539">
        <v>104.58</v>
      </c>
      <c r="Z539">
        <v>4.32</v>
      </c>
      <c r="AA539">
        <v>707.45</v>
      </c>
      <c r="AB539" t="s">
        <v>57</v>
      </c>
      <c r="AC539" t="s">
        <v>58</v>
      </c>
      <c r="AD539" t="s">
        <v>48</v>
      </c>
      <c r="AE539">
        <v>0</v>
      </c>
      <c r="AF539">
        <v>6.46</v>
      </c>
      <c r="AG539" t="s">
        <v>59</v>
      </c>
      <c r="AH539">
        <v>179772</v>
      </c>
      <c r="AI539" t="s">
        <v>60</v>
      </c>
      <c r="AJ539" t="s">
        <v>60</v>
      </c>
      <c r="AK539" t="s">
        <v>54</v>
      </c>
      <c r="AL539">
        <v>2024</v>
      </c>
      <c r="AM539" s="6" t="s">
        <v>704</v>
      </c>
      <c r="AN539" s="7">
        <v>299.27999999999997</v>
      </c>
      <c r="AO539" s="8">
        <f t="shared" si="27"/>
        <v>561.15</v>
      </c>
      <c r="AP539" s="8">
        <f t="shared" si="28"/>
        <v>623.43764999999996</v>
      </c>
      <c r="AQ539" s="9">
        <f t="shared" si="26"/>
        <v>909.0068849999999</v>
      </c>
    </row>
    <row r="540" spans="1:43" x14ac:dyDescent="0.25">
      <c r="A540">
        <v>16</v>
      </c>
      <c r="B540">
        <v>12</v>
      </c>
      <c r="C540">
        <v>2024</v>
      </c>
      <c r="D540" t="s">
        <v>43</v>
      </c>
      <c r="E540" t="s">
        <v>128</v>
      </c>
      <c r="F540" t="s">
        <v>129</v>
      </c>
      <c r="G540">
        <v>36</v>
      </c>
      <c r="H540">
        <v>1791882490001</v>
      </c>
      <c r="I540" t="s">
        <v>46</v>
      </c>
      <c r="J540" t="s">
        <v>48</v>
      </c>
      <c r="K540" t="s">
        <v>48</v>
      </c>
      <c r="L540" t="s">
        <v>49</v>
      </c>
      <c r="M540" t="s">
        <v>50</v>
      </c>
      <c r="N540" t="s">
        <v>51</v>
      </c>
      <c r="O540">
        <v>7326909090</v>
      </c>
      <c r="P540" t="s">
        <v>232</v>
      </c>
      <c r="Q540" t="s">
        <v>705</v>
      </c>
      <c r="R540" t="s">
        <v>54</v>
      </c>
      <c r="S540" t="s">
        <v>55</v>
      </c>
      <c r="T540">
        <v>9</v>
      </c>
      <c r="U540">
        <v>2</v>
      </c>
      <c r="V540" t="s">
        <v>135</v>
      </c>
      <c r="W540">
        <v>18.73</v>
      </c>
      <c r="X540">
        <v>65.86</v>
      </c>
      <c r="Y540">
        <v>8.6300000000000008</v>
      </c>
      <c r="Z540">
        <v>0.45</v>
      </c>
      <c r="AA540">
        <v>74.930000000000007</v>
      </c>
      <c r="AB540" t="s">
        <v>57</v>
      </c>
      <c r="AC540" t="s">
        <v>131</v>
      </c>
      <c r="AD540" t="s">
        <v>48</v>
      </c>
      <c r="AE540">
        <v>0</v>
      </c>
      <c r="AF540">
        <v>3.98</v>
      </c>
      <c r="AG540" t="s">
        <v>59</v>
      </c>
      <c r="AH540">
        <v>325395</v>
      </c>
      <c r="AI540" t="s">
        <v>60</v>
      </c>
      <c r="AJ540" t="s">
        <v>78</v>
      </c>
      <c r="AK540" t="s">
        <v>54</v>
      </c>
      <c r="AL540">
        <v>2024</v>
      </c>
      <c r="AM540" s="6" t="s">
        <v>706</v>
      </c>
      <c r="AN540" s="7">
        <v>32.93</v>
      </c>
      <c r="AO540" s="8">
        <f t="shared" si="27"/>
        <v>61.743749999999999</v>
      </c>
      <c r="AP540" s="8">
        <f t="shared" si="28"/>
        <v>68.597306250000003</v>
      </c>
      <c r="AQ540" s="9">
        <f t="shared" si="26"/>
        <v>100.01870062499999</v>
      </c>
    </row>
    <row r="541" spans="1:43" x14ac:dyDescent="0.25">
      <c r="A541">
        <v>15</v>
      </c>
      <c r="B541">
        <v>4</v>
      </c>
      <c r="C541">
        <v>2024</v>
      </c>
      <c r="D541" t="s">
        <v>43</v>
      </c>
      <c r="E541" t="s">
        <v>63</v>
      </c>
      <c r="F541" t="s">
        <v>64</v>
      </c>
      <c r="G541">
        <v>35</v>
      </c>
      <c r="H541">
        <v>1791882490001</v>
      </c>
      <c r="I541" t="s">
        <v>46</v>
      </c>
      <c r="J541" t="s">
        <v>48</v>
      </c>
      <c r="K541" t="s">
        <v>48</v>
      </c>
      <c r="L541" t="s">
        <v>49</v>
      </c>
      <c r="M541" t="s">
        <v>50</v>
      </c>
      <c r="N541" t="s">
        <v>51</v>
      </c>
      <c r="O541">
        <v>8481909090</v>
      </c>
      <c r="P541" t="s">
        <v>103</v>
      </c>
      <c r="Q541" t="s">
        <v>707</v>
      </c>
      <c r="R541" t="s">
        <v>54</v>
      </c>
      <c r="S541" t="s">
        <v>55</v>
      </c>
      <c r="T541">
        <v>6</v>
      </c>
      <c r="U541">
        <v>4</v>
      </c>
      <c r="V541" t="s">
        <v>135</v>
      </c>
      <c r="W541">
        <v>0</v>
      </c>
      <c r="X541">
        <v>796.05</v>
      </c>
      <c r="Y541">
        <v>83.79</v>
      </c>
      <c r="Z541">
        <v>5.34</v>
      </c>
      <c r="AA541">
        <v>885.19</v>
      </c>
      <c r="AB541" t="s">
        <v>57</v>
      </c>
      <c r="AC541" t="s">
        <v>58</v>
      </c>
      <c r="AD541" t="s">
        <v>48</v>
      </c>
      <c r="AE541">
        <v>0</v>
      </c>
      <c r="AF541">
        <v>7.63</v>
      </c>
      <c r="AG541" t="s">
        <v>59</v>
      </c>
      <c r="AH541">
        <v>443965</v>
      </c>
      <c r="AI541" t="s">
        <v>60</v>
      </c>
      <c r="AJ541" t="s">
        <v>60</v>
      </c>
      <c r="AK541" t="s">
        <v>54</v>
      </c>
      <c r="AL541">
        <v>2024</v>
      </c>
      <c r="AM541" s="6" t="s">
        <v>708</v>
      </c>
      <c r="AN541" s="7">
        <v>199.01</v>
      </c>
      <c r="AO541" s="8">
        <f t="shared" si="27"/>
        <v>373.14374999999995</v>
      </c>
      <c r="AP541" s="8">
        <f t="shared" si="28"/>
        <v>414.56270624999996</v>
      </c>
      <c r="AQ541" s="9">
        <f t="shared" si="26"/>
        <v>604.45556062499986</v>
      </c>
    </row>
    <row r="542" spans="1:43" x14ac:dyDescent="0.25">
      <c r="A542">
        <v>17</v>
      </c>
      <c r="B542">
        <v>5</v>
      </c>
      <c r="C542">
        <v>2024</v>
      </c>
      <c r="D542" t="s">
        <v>43</v>
      </c>
      <c r="E542" t="s">
        <v>79</v>
      </c>
      <c r="F542" t="s">
        <v>80</v>
      </c>
      <c r="G542">
        <v>28</v>
      </c>
      <c r="H542">
        <v>1791882490001</v>
      </c>
      <c r="I542" t="s">
        <v>46</v>
      </c>
      <c r="J542" t="s">
        <v>48</v>
      </c>
      <c r="K542" t="s">
        <v>48</v>
      </c>
      <c r="L542" t="s">
        <v>49</v>
      </c>
      <c r="M542" t="s">
        <v>50</v>
      </c>
      <c r="N542" t="s">
        <v>51</v>
      </c>
      <c r="O542">
        <v>8481909090</v>
      </c>
      <c r="P542" t="s">
        <v>103</v>
      </c>
      <c r="Q542" t="s">
        <v>709</v>
      </c>
      <c r="R542" t="s">
        <v>54</v>
      </c>
      <c r="S542" t="s">
        <v>55</v>
      </c>
      <c r="T542">
        <v>6</v>
      </c>
      <c r="U542">
        <v>1</v>
      </c>
      <c r="V542" t="s">
        <v>135</v>
      </c>
      <c r="W542">
        <v>0</v>
      </c>
      <c r="X542">
        <v>199.18</v>
      </c>
      <c r="Y542">
        <v>19.23</v>
      </c>
      <c r="Z542">
        <v>1.33</v>
      </c>
      <c r="AA542">
        <v>219.73</v>
      </c>
      <c r="AB542" t="s">
        <v>57</v>
      </c>
      <c r="AC542" t="s">
        <v>81</v>
      </c>
      <c r="AD542" t="s">
        <v>48</v>
      </c>
      <c r="AE542">
        <v>0</v>
      </c>
      <c r="AF542">
        <v>1.08</v>
      </c>
      <c r="AG542" t="s">
        <v>82</v>
      </c>
      <c r="AH542">
        <v>471463</v>
      </c>
      <c r="AI542" t="s">
        <v>60</v>
      </c>
      <c r="AJ542" t="s">
        <v>60</v>
      </c>
      <c r="AK542" t="s">
        <v>54</v>
      </c>
      <c r="AL542">
        <v>2024</v>
      </c>
      <c r="AM542" s="6" t="s">
        <v>708</v>
      </c>
      <c r="AN542" s="7">
        <v>199.18</v>
      </c>
      <c r="AO542" s="8">
        <f t="shared" si="27"/>
        <v>373.46250000000003</v>
      </c>
      <c r="AP542" s="8">
        <f t="shared" si="28"/>
        <v>414.91683750000004</v>
      </c>
      <c r="AQ542" s="9">
        <f t="shared" si="26"/>
        <v>604.97190375000002</v>
      </c>
    </row>
    <row r="543" spans="1:43" x14ac:dyDescent="0.25">
      <c r="A543">
        <v>8</v>
      </c>
      <c r="B543">
        <v>7</v>
      </c>
      <c r="C543">
        <v>2024</v>
      </c>
      <c r="D543" t="s">
        <v>43</v>
      </c>
      <c r="E543" t="s">
        <v>75</v>
      </c>
      <c r="F543" t="s">
        <v>76</v>
      </c>
      <c r="G543">
        <v>39</v>
      </c>
      <c r="H543">
        <v>1791882490001</v>
      </c>
      <c r="I543" t="s">
        <v>46</v>
      </c>
      <c r="J543" t="s">
        <v>48</v>
      </c>
      <c r="K543" t="s">
        <v>48</v>
      </c>
      <c r="L543" t="s">
        <v>49</v>
      </c>
      <c r="M543" t="s">
        <v>50</v>
      </c>
      <c r="N543" t="s">
        <v>51</v>
      </c>
      <c r="O543">
        <v>8481909090</v>
      </c>
      <c r="P543" t="s">
        <v>103</v>
      </c>
      <c r="Q543" t="s">
        <v>707</v>
      </c>
      <c r="R543" t="s">
        <v>54</v>
      </c>
      <c r="S543" t="s">
        <v>55</v>
      </c>
      <c r="T543">
        <v>8</v>
      </c>
      <c r="U543">
        <v>1</v>
      </c>
      <c r="V543" t="s">
        <v>135</v>
      </c>
      <c r="W543">
        <v>0</v>
      </c>
      <c r="X543">
        <v>206.6</v>
      </c>
      <c r="Y543">
        <v>17.649999999999999</v>
      </c>
      <c r="Z543">
        <v>1.34</v>
      </c>
      <c r="AA543">
        <v>225.59</v>
      </c>
      <c r="AB543" t="s">
        <v>57</v>
      </c>
      <c r="AC543" t="s">
        <v>77</v>
      </c>
      <c r="AD543" t="s">
        <v>48</v>
      </c>
      <c r="AE543">
        <v>0</v>
      </c>
      <c r="AF543">
        <v>1.37</v>
      </c>
      <c r="AG543" t="s">
        <v>59</v>
      </c>
      <c r="AH543">
        <v>107711</v>
      </c>
      <c r="AI543" t="s">
        <v>60</v>
      </c>
      <c r="AJ543" t="s">
        <v>78</v>
      </c>
      <c r="AK543" t="s">
        <v>54</v>
      </c>
      <c r="AL543">
        <v>2024</v>
      </c>
      <c r="AM543" s="6" t="s">
        <v>708</v>
      </c>
      <c r="AN543" s="7">
        <v>206.6</v>
      </c>
      <c r="AO543" s="8">
        <f t="shared" si="27"/>
        <v>387.375</v>
      </c>
      <c r="AP543" s="8">
        <f t="shared" si="28"/>
        <v>430.373625</v>
      </c>
      <c r="AQ543" s="9">
        <f t="shared" si="26"/>
        <v>627.50876249999999</v>
      </c>
    </row>
    <row r="544" spans="1:43" x14ac:dyDescent="0.25">
      <c r="A544">
        <v>8</v>
      </c>
      <c r="B544">
        <v>7</v>
      </c>
      <c r="C544">
        <v>2024</v>
      </c>
      <c r="D544" t="s">
        <v>43</v>
      </c>
      <c r="E544" t="s">
        <v>75</v>
      </c>
      <c r="F544" t="s">
        <v>76</v>
      </c>
      <c r="G544">
        <v>39</v>
      </c>
      <c r="H544">
        <v>1791882490001</v>
      </c>
      <c r="I544" t="s">
        <v>46</v>
      </c>
      <c r="J544" t="s">
        <v>48</v>
      </c>
      <c r="K544" t="s">
        <v>48</v>
      </c>
      <c r="L544" t="s">
        <v>49</v>
      </c>
      <c r="M544" t="s">
        <v>50</v>
      </c>
      <c r="N544" t="s">
        <v>51</v>
      </c>
      <c r="O544">
        <v>8481909090</v>
      </c>
      <c r="P544" t="s">
        <v>103</v>
      </c>
      <c r="Q544" t="s">
        <v>707</v>
      </c>
      <c r="R544" t="s">
        <v>54</v>
      </c>
      <c r="S544" t="s">
        <v>55</v>
      </c>
      <c r="T544">
        <v>8</v>
      </c>
      <c r="U544">
        <v>1</v>
      </c>
      <c r="V544" t="s">
        <v>135</v>
      </c>
      <c r="W544">
        <v>0</v>
      </c>
      <c r="X544">
        <v>206.6</v>
      </c>
      <c r="Y544">
        <v>17.649999999999999</v>
      </c>
      <c r="Z544">
        <v>1.34</v>
      </c>
      <c r="AA544">
        <v>225.59</v>
      </c>
      <c r="AB544" t="s">
        <v>57</v>
      </c>
      <c r="AC544" t="s">
        <v>77</v>
      </c>
      <c r="AD544" t="s">
        <v>48</v>
      </c>
      <c r="AE544">
        <v>0</v>
      </c>
      <c r="AF544">
        <v>1.37</v>
      </c>
      <c r="AG544" t="s">
        <v>59</v>
      </c>
      <c r="AH544">
        <v>107711</v>
      </c>
      <c r="AI544" t="s">
        <v>60</v>
      </c>
      <c r="AJ544" t="s">
        <v>78</v>
      </c>
      <c r="AK544" t="s">
        <v>54</v>
      </c>
      <c r="AL544">
        <v>2024</v>
      </c>
      <c r="AM544" s="6" t="s">
        <v>708</v>
      </c>
      <c r="AN544" s="7">
        <v>206.6</v>
      </c>
      <c r="AO544" s="8">
        <f t="shared" si="27"/>
        <v>387.375</v>
      </c>
      <c r="AP544" s="8">
        <f t="shared" si="28"/>
        <v>430.373625</v>
      </c>
      <c r="AQ544" s="9">
        <f t="shared" si="26"/>
        <v>627.50876249999999</v>
      </c>
    </row>
    <row r="545" spans="1:43" x14ac:dyDescent="0.25">
      <c r="A545">
        <v>16</v>
      </c>
      <c r="B545">
        <v>12</v>
      </c>
      <c r="C545">
        <v>2024</v>
      </c>
      <c r="D545" t="s">
        <v>43</v>
      </c>
      <c r="E545" t="s">
        <v>128</v>
      </c>
      <c r="F545" t="s">
        <v>129</v>
      </c>
      <c r="G545">
        <v>37</v>
      </c>
      <c r="H545">
        <v>1791882490001</v>
      </c>
      <c r="I545" t="s">
        <v>46</v>
      </c>
      <c r="J545" t="s">
        <v>48</v>
      </c>
      <c r="K545" t="s">
        <v>48</v>
      </c>
      <c r="L545" t="s">
        <v>49</v>
      </c>
      <c r="M545" t="s">
        <v>50</v>
      </c>
      <c r="N545" t="s">
        <v>51</v>
      </c>
      <c r="O545">
        <v>8481909090</v>
      </c>
      <c r="P545" t="s">
        <v>284</v>
      </c>
      <c r="Q545" t="s">
        <v>710</v>
      </c>
      <c r="R545" t="s">
        <v>54</v>
      </c>
      <c r="S545" t="s">
        <v>55</v>
      </c>
      <c r="T545">
        <v>9</v>
      </c>
      <c r="U545">
        <v>1</v>
      </c>
      <c r="V545" t="s">
        <v>135</v>
      </c>
      <c r="W545">
        <v>0</v>
      </c>
      <c r="X545">
        <v>201.02</v>
      </c>
      <c r="Y545">
        <v>26.33</v>
      </c>
      <c r="Z545">
        <v>1.38</v>
      </c>
      <c r="AA545">
        <v>228.72</v>
      </c>
      <c r="AB545" t="s">
        <v>57</v>
      </c>
      <c r="AC545" t="s">
        <v>131</v>
      </c>
      <c r="AD545" t="s">
        <v>48</v>
      </c>
      <c r="AE545">
        <v>0</v>
      </c>
      <c r="AF545">
        <v>1.99</v>
      </c>
      <c r="AG545" t="s">
        <v>59</v>
      </c>
      <c r="AH545">
        <v>325395</v>
      </c>
      <c r="AI545" t="s">
        <v>60</v>
      </c>
      <c r="AJ545" t="s">
        <v>78</v>
      </c>
      <c r="AK545" t="s">
        <v>54</v>
      </c>
      <c r="AL545">
        <v>2024</v>
      </c>
      <c r="AM545" s="6" t="s">
        <v>708</v>
      </c>
      <c r="AN545" s="7">
        <v>201.02</v>
      </c>
      <c r="AO545" s="8">
        <f t="shared" si="27"/>
        <v>376.91250000000002</v>
      </c>
      <c r="AP545" s="8">
        <f t="shared" si="28"/>
        <v>418.74978750000002</v>
      </c>
      <c r="AQ545" s="9">
        <f t="shared" si="26"/>
        <v>610.56055875000004</v>
      </c>
    </row>
    <row r="546" spans="1:43" x14ac:dyDescent="0.25">
      <c r="A546">
        <v>11</v>
      </c>
      <c r="B546">
        <v>7</v>
      </c>
      <c r="C546">
        <v>2024</v>
      </c>
      <c r="D546" t="s">
        <v>43</v>
      </c>
      <c r="E546" t="s">
        <v>116</v>
      </c>
      <c r="F546" t="s">
        <v>117</v>
      </c>
      <c r="G546">
        <v>17</v>
      </c>
      <c r="H546">
        <v>1791882490001</v>
      </c>
      <c r="I546" t="s">
        <v>46</v>
      </c>
      <c r="J546" t="s">
        <v>48</v>
      </c>
      <c r="K546" t="s">
        <v>48</v>
      </c>
      <c r="L546" t="s">
        <v>119</v>
      </c>
      <c r="M546" t="s">
        <v>120</v>
      </c>
      <c r="N546" t="s">
        <v>121</v>
      </c>
      <c r="O546">
        <v>8481809990</v>
      </c>
      <c r="P546" t="s">
        <v>103</v>
      </c>
      <c r="Q546" t="s">
        <v>711</v>
      </c>
      <c r="R546" t="s">
        <v>54</v>
      </c>
      <c r="S546" t="s">
        <v>55</v>
      </c>
      <c r="T546">
        <v>9</v>
      </c>
      <c r="U546">
        <v>5</v>
      </c>
      <c r="V546" t="s">
        <v>135</v>
      </c>
      <c r="W546">
        <v>0</v>
      </c>
      <c r="X546">
        <v>478.3</v>
      </c>
      <c r="Y546">
        <v>43.07</v>
      </c>
      <c r="Z546">
        <v>3.21</v>
      </c>
      <c r="AA546">
        <v>524.58000000000004</v>
      </c>
      <c r="AB546" t="s">
        <v>124</v>
      </c>
      <c r="AC546" t="s">
        <v>125</v>
      </c>
      <c r="AD546" t="s">
        <v>48</v>
      </c>
      <c r="AE546">
        <v>0</v>
      </c>
      <c r="AF546">
        <v>10.09</v>
      </c>
      <c r="AG546" t="s">
        <v>59</v>
      </c>
      <c r="AH546">
        <v>486256</v>
      </c>
      <c r="AI546" t="s">
        <v>60</v>
      </c>
      <c r="AJ546" t="s">
        <v>78</v>
      </c>
      <c r="AK546" t="s">
        <v>54</v>
      </c>
      <c r="AL546">
        <v>2024</v>
      </c>
      <c r="AM546" s="6" t="s">
        <v>712</v>
      </c>
      <c r="AN546" s="7">
        <v>95.66</v>
      </c>
      <c r="AO546" s="8">
        <f t="shared" si="27"/>
        <v>179.36249999999998</v>
      </c>
      <c r="AP546" s="8">
        <f t="shared" si="28"/>
        <v>199.27173749999997</v>
      </c>
      <c r="AQ546" s="9">
        <f t="shared" si="26"/>
        <v>290.54931374999995</v>
      </c>
    </row>
    <row r="547" spans="1:43" x14ac:dyDescent="0.25">
      <c r="A547">
        <v>20</v>
      </c>
      <c r="B547">
        <v>2</v>
      </c>
      <c r="C547">
        <v>2024</v>
      </c>
      <c r="D547" t="s">
        <v>43</v>
      </c>
      <c r="E547" t="s">
        <v>140</v>
      </c>
      <c r="F547" t="s">
        <v>141</v>
      </c>
      <c r="G547">
        <v>47</v>
      </c>
      <c r="H547">
        <v>1791882490001</v>
      </c>
      <c r="I547" t="s">
        <v>46</v>
      </c>
      <c r="J547" t="s">
        <v>65</v>
      </c>
      <c r="K547" t="s">
        <v>48</v>
      </c>
      <c r="L547" t="s">
        <v>49</v>
      </c>
      <c r="M547" t="s">
        <v>50</v>
      </c>
      <c r="N547" t="s">
        <v>51</v>
      </c>
      <c r="O547">
        <v>3403990000</v>
      </c>
      <c r="P547" t="s">
        <v>103</v>
      </c>
      <c r="Q547" t="s">
        <v>534</v>
      </c>
      <c r="R547" t="s">
        <v>54</v>
      </c>
      <c r="S547" t="s">
        <v>55</v>
      </c>
      <c r="T547">
        <v>6</v>
      </c>
      <c r="U547">
        <v>3</v>
      </c>
      <c r="V547" t="s">
        <v>56</v>
      </c>
      <c r="W547">
        <v>0</v>
      </c>
      <c r="X547">
        <v>498.05</v>
      </c>
      <c r="Y547">
        <v>44.69</v>
      </c>
      <c r="Z547">
        <v>3.35</v>
      </c>
      <c r="AA547">
        <v>546.09</v>
      </c>
      <c r="AB547" t="s">
        <v>54</v>
      </c>
      <c r="AC547" t="s">
        <v>143</v>
      </c>
      <c r="AD547" t="s">
        <v>48</v>
      </c>
      <c r="AE547">
        <v>0</v>
      </c>
      <c r="AF547">
        <v>5.61</v>
      </c>
      <c r="AG547" t="s">
        <v>59</v>
      </c>
      <c r="AH547">
        <v>876053</v>
      </c>
      <c r="AI547" t="s">
        <v>60</v>
      </c>
      <c r="AJ547" t="s">
        <v>60</v>
      </c>
      <c r="AK547" t="s">
        <v>54</v>
      </c>
      <c r="AL547">
        <v>2024</v>
      </c>
      <c r="AM547" s="6" t="s">
        <v>713</v>
      </c>
      <c r="AN547" s="7">
        <v>166.02</v>
      </c>
      <c r="AO547" s="8">
        <f t="shared" si="27"/>
        <v>311.28750000000002</v>
      </c>
      <c r="AP547" s="8">
        <f t="shared" si="28"/>
        <v>345.84041250000001</v>
      </c>
      <c r="AQ547" s="9">
        <f t="shared" si="26"/>
        <v>504.25462125000001</v>
      </c>
    </row>
    <row r="548" spans="1:43" x14ac:dyDescent="0.25">
      <c r="A548">
        <v>28</v>
      </c>
      <c r="B548">
        <v>8</v>
      </c>
      <c r="C548">
        <v>2024</v>
      </c>
      <c r="D548" t="s">
        <v>43</v>
      </c>
      <c r="E548" t="s">
        <v>91</v>
      </c>
      <c r="F548" t="s">
        <v>92</v>
      </c>
      <c r="G548">
        <v>27</v>
      </c>
      <c r="H548">
        <v>1791882490001</v>
      </c>
      <c r="I548" t="s">
        <v>46</v>
      </c>
      <c r="J548" t="s">
        <v>48</v>
      </c>
      <c r="K548" t="s">
        <v>48</v>
      </c>
      <c r="L548" t="s">
        <v>49</v>
      </c>
      <c r="M548" t="s">
        <v>50</v>
      </c>
      <c r="N548" t="s">
        <v>51</v>
      </c>
      <c r="O548">
        <v>8483309000</v>
      </c>
      <c r="P548" t="s">
        <v>66</v>
      </c>
      <c r="Q548" t="s">
        <v>714</v>
      </c>
      <c r="R548" t="s">
        <v>54</v>
      </c>
      <c r="S548" t="s">
        <v>55</v>
      </c>
      <c r="T548">
        <v>8</v>
      </c>
      <c r="U548">
        <v>2</v>
      </c>
      <c r="V548" t="s">
        <v>135</v>
      </c>
      <c r="W548">
        <v>0</v>
      </c>
      <c r="X548">
        <v>311.99</v>
      </c>
      <c r="Y548">
        <v>34.47</v>
      </c>
      <c r="Z548">
        <v>2.1</v>
      </c>
      <c r="AA548">
        <v>348.56</v>
      </c>
      <c r="AB548" t="s">
        <v>57</v>
      </c>
      <c r="AC548" t="s">
        <v>94</v>
      </c>
      <c r="AD548" t="s">
        <v>48</v>
      </c>
      <c r="AE548">
        <v>0</v>
      </c>
      <c r="AF548">
        <v>3.59</v>
      </c>
      <c r="AG548" t="s">
        <v>59</v>
      </c>
      <c r="AH548">
        <v>150511</v>
      </c>
      <c r="AI548" t="s">
        <v>60</v>
      </c>
      <c r="AJ548" t="s">
        <v>60</v>
      </c>
      <c r="AK548" t="s">
        <v>54</v>
      </c>
      <c r="AL548">
        <v>2024</v>
      </c>
      <c r="AM548" s="6" t="s">
        <v>715</v>
      </c>
      <c r="AN548" s="7">
        <v>155.99</v>
      </c>
      <c r="AO548" s="8">
        <f t="shared" si="27"/>
        <v>292.48125000000005</v>
      </c>
      <c r="AP548" s="8">
        <f t="shared" si="28"/>
        <v>324.94666875000007</v>
      </c>
      <c r="AQ548" s="9">
        <f t="shared" si="26"/>
        <v>473.79037687500005</v>
      </c>
    </row>
    <row r="549" spans="1:43" x14ac:dyDescent="0.25">
      <c r="A549">
        <v>3</v>
      </c>
      <c r="B549">
        <v>4</v>
      </c>
      <c r="C549">
        <v>2024</v>
      </c>
      <c r="D549" t="s">
        <v>43</v>
      </c>
      <c r="E549" t="s">
        <v>73</v>
      </c>
      <c r="F549" t="s">
        <v>74</v>
      </c>
      <c r="G549">
        <v>28</v>
      </c>
      <c r="H549">
        <v>1791882490001</v>
      </c>
      <c r="I549" t="s">
        <v>46</v>
      </c>
      <c r="J549" t="s">
        <v>133</v>
      </c>
      <c r="K549" t="s">
        <v>48</v>
      </c>
      <c r="L549" t="s">
        <v>49</v>
      </c>
      <c r="M549" t="s">
        <v>50</v>
      </c>
      <c r="N549" t="s">
        <v>51</v>
      </c>
      <c r="O549">
        <v>8481809990</v>
      </c>
      <c r="P549" t="s">
        <v>103</v>
      </c>
      <c r="Q549" t="s">
        <v>447</v>
      </c>
      <c r="R549" t="s">
        <v>54</v>
      </c>
      <c r="S549" t="s">
        <v>55</v>
      </c>
      <c r="T549">
        <v>6</v>
      </c>
      <c r="U549">
        <v>12</v>
      </c>
      <c r="V549" t="s">
        <v>135</v>
      </c>
      <c r="W549">
        <v>0</v>
      </c>
      <c r="X549">
        <v>1071.5899999999999</v>
      </c>
      <c r="Y549">
        <v>125.17</v>
      </c>
      <c r="Z549">
        <v>7.01</v>
      </c>
      <c r="AA549">
        <v>1203.77</v>
      </c>
      <c r="AB549" t="s">
        <v>57</v>
      </c>
      <c r="AC549" t="s">
        <v>58</v>
      </c>
      <c r="AD549" t="s">
        <v>48</v>
      </c>
      <c r="AE549">
        <v>0</v>
      </c>
      <c r="AF549">
        <v>16</v>
      </c>
      <c r="AG549" t="s">
        <v>59</v>
      </c>
      <c r="AH549">
        <v>438183</v>
      </c>
      <c r="AI549" t="s">
        <v>60</v>
      </c>
      <c r="AJ549" t="s">
        <v>60</v>
      </c>
      <c r="AK549" t="s">
        <v>54</v>
      </c>
      <c r="AL549">
        <v>2024</v>
      </c>
      <c r="AM549" s="6" t="s">
        <v>716</v>
      </c>
      <c r="AN549" s="7">
        <v>89.3</v>
      </c>
      <c r="AO549" s="8">
        <f t="shared" si="27"/>
        <v>167.4375</v>
      </c>
      <c r="AP549" s="8">
        <f t="shared" si="28"/>
        <v>186.02306250000001</v>
      </c>
      <c r="AQ549" s="9">
        <f t="shared" si="26"/>
        <v>271.23200624999998</v>
      </c>
    </row>
    <row r="550" spans="1:43" x14ac:dyDescent="0.25">
      <c r="A550">
        <v>17</v>
      </c>
      <c r="B550">
        <v>5</v>
      </c>
      <c r="C550">
        <v>2024</v>
      </c>
      <c r="D550" t="s">
        <v>43</v>
      </c>
      <c r="E550" t="s">
        <v>79</v>
      </c>
      <c r="F550" t="s">
        <v>80</v>
      </c>
      <c r="G550">
        <v>29</v>
      </c>
      <c r="H550">
        <v>1791882490001</v>
      </c>
      <c r="I550" t="s">
        <v>46</v>
      </c>
      <c r="J550" t="s">
        <v>133</v>
      </c>
      <c r="K550" t="s">
        <v>48</v>
      </c>
      <c r="L550" t="s">
        <v>49</v>
      </c>
      <c r="M550" t="s">
        <v>50</v>
      </c>
      <c r="N550" t="s">
        <v>51</v>
      </c>
      <c r="O550">
        <v>8481809990</v>
      </c>
      <c r="P550" t="s">
        <v>103</v>
      </c>
      <c r="Q550" t="s">
        <v>717</v>
      </c>
      <c r="R550" t="s">
        <v>54</v>
      </c>
      <c r="S550" t="s">
        <v>55</v>
      </c>
      <c r="T550">
        <v>6</v>
      </c>
      <c r="U550">
        <v>10</v>
      </c>
      <c r="V550" t="s">
        <v>135</v>
      </c>
      <c r="W550">
        <v>0</v>
      </c>
      <c r="X550">
        <v>867.68</v>
      </c>
      <c r="Y550">
        <v>83.77</v>
      </c>
      <c r="Z550">
        <v>5.78</v>
      </c>
      <c r="AA550">
        <v>957.23</v>
      </c>
      <c r="AB550" t="s">
        <v>57</v>
      </c>
      <c r="AC550" t="s">
        <v>81</v>
      </c>
      <c r="AD550" t="s">
        <v>48</v>
      </c>
      <c r="AE550">
        <v>0</v>
      </c>
      <c r="AF550">
        <v>10.82</v>
      </c>
      <c r="AG550" t="s">
        <v>82</v>
      </c>
      <c r="AH550">
        <v>471463</v>
      </c>
      <c r="AI550" t="s">
        <v>60</v>
      </c>
      <c r="AJ550" t="s">
        <v>60</v>
      </c>
      <c r="AK550" t="s">
        <v>54</v>
      </c>
      <c r="AL550">
        <v>2024</v>
      </c>
      <c r="AM550" s="6" t="s">
        <v>716</v>
      </c>
      <c r="AN550" s="7">
        <v>86.77</v>
      </c>
      <c r="AO550" s="8">
        <f t="shared" si="27"/>
        <v>162.69374999999999</v>
      </c>
      <c r="AP550" s="8">
        <f t="shared" si="28"/>
        <v>180.75275625</v>
      </c>
      <c r="AQ550" s="9">
        <f t="shared" si="26"/>
        <v>263.54760562499996</v>
      </c>
    </row>
    <row r="551" spans="1:43" x14ac:dyDescent="0.25">
      <c r="A551">
        <v>11</v>
      </c>
      <c r="B551">
        <v>7</v>
      </c>
      <c r="C551">
        <v>2024</v>
      </c>
      <c r="D551" t="s">
        <v>43</v>
      </c>
      <c r="E551" t="s">
        <v>116</v>
      </c>
      <c r="F551" t="s">
        <v>117</v>
      </c>
      <c r="G551">
        <v>18</v>
      </c>
      <c r="H551">
        <v>1791882490001</v>
      </c>
      <c r="I551" t="s">
        <v>46</v>
      </c>
      <c r="J551" t="s">
        <v>133</v>
      </c>
      <c r="K551" t="s">
        <v>48</v>
      </c>
      <c r="L551" t="s">
        <v>119</v>
      </c>
      <c r="M551" t="s">
        <v>120</v>
      </c>
      <c r="N551" t="s">
        <v>121</v>
      </c>
      <c r="O551">
        <v>8481809990</v>
      </c>
      <c r="P551" t="s">
        <v>103</v>
      </c>
      <c r="Q551" t="s">
        <v>447</v>
      </c>
      <c r="R551" t="s">
        <v>54</v>
      </c>
      <c r="S551" t="s">
        <v>55</v>
      </c>
      <c r="T551">
        <v>9</v>
      </c>
      <c r="U551">
        <v>10</v>
      </c>
      <c r="V551" t="s">
        <v>135</v>
      </c>
      <c r="W551">
        <v>0</v>
      </c>
      <c r="X551">
        <v>871.16</v>
      </c>
      <c r="Y551">
        <v>78.45</v>
      </c>
      <c r="Z551">
        <v>5.85</v>
      </c>
      <c r="AA551">
        <v>955.46</v>
      </c>
      <c r="AB551" t="s">
        <v>124</v>
      </c>
      <c r="AC551" t="s">
        <v>125</v>
      </c>
      <c r="AD551" t="s">
        <v>48</v>
      </c>
      <c r="AE551">
        <v>0</v>
      </c>
      <c r="AF551">
        <v>20.170000000000002</v>
      </c>
      <c r="AG551" t="s">
        <v>59</v>
      </c>
      <c r="AH551">
        <v>486256</v>
      </c>
      <c r="AI551" t="s">
        <v>60</v>
      </c>
      <c r="AJ551" t="s">
        <v>78</v>
      </c>
      <c r="AK551" t="s">
        <v>54</v>
      </c>
      <c r="AL551">
        <v>2024</v>
      </c>
      <c r="AM551" s="6" t="s">
        <v>716</v>
      </c>
      <c r="AN551" s="7">
        <v>87.12</v>
      </c>
      <c r="AO551" s="8">
        <f t="shared" si="27"/>
        <v>163.35000000000002</v>
      </c>
      <c r="AP551" s="8">
        <f t="shared" si="28"/>
        <v>181.48185000000004</v>
      </c>
      <c r="AQ551" s="9">
        <f t="shared" si="26"/>
        <v>264.61066500000004</v>
      </c>
    </row>
    <row r="552" spans="1:43" x14ac:dyDescent="0.25">
      <c r="A552">
        <v>28</v>
      </c>
      <c r="B552">
        <v>8</v>
      </c>
      <c r="C552">
        <v>2024</v>
      </c>
      <c r="D552" t="s">
        <v>43</v>
      </c>
      <c r="E552" t="s">
        <v>91</v>
      </c>
      <c r="F552" t="s">
        <v>92</v>
      </c>
      <c r="G552">
        <v>28</v>
      </c>
      <c r="H552">
        <v>1791882490001</v>
      </c>
      <c r="I552" t="s">
        <v>46</v>
      </c>
      <c r="J552" t="s">
        <v>65</v>
      </c>
      <c r="K552" t="s">
        <v>48</v>
      </c>
      <c r="L552" t="s">
        <v>49</v>
      </c>
      <c r="M552" t="s">
        <v>50</v>
      </c>
      <c r="N552" t="s">
        <v>51</v>
      </c>
      <c r="O552">
        <v>8421999000</v>
      </c>
      <c r="P552" t="s">
        <v>66</v>
      </c>
      <c r="Q552" t="s">
        <v>261</v>
      </c>
      <c r="R552" t="s">
        <v>54</v>
      </c>
      <c r="S552" t="s">
        <v>55</v>
      </c>
      <c r="T552">
        <v>8</v>
      </c>
      <c r="U552">
        <v>5</v>
      </c>
      <c r="V552" t="s">
        <v>135</v>
      </c>
      <c r="W552">
        <v>0</v>
      </c>
      <c r="X552">
        <v>1455.73</v>
      </c>
      <c r="Y552">
        <v>160.84</v>
      </c>
      <c r="Z552">
        <v>9.7899999999999991</v>
      </c>
      <c r="AA552">
        <v>1626.37</v>
      </c>
      <c r="AB552" t="s">
        <v>57</v>
      </c>
      <c r="AC552" t="s">
        <v>94</v>
      </c>
      <c r="AD552" t="s">
        <v>48</v>
      </c>
      <c r="AE552">
        <v>0</v>
      </c>
      <c r="AF552">
        <v>16.75</v>
      </c>
      <c r="AG552" t="s">
        <v>59</v>
      </c>
      <c r="AH552">
        <v>150511</v>
      </c>
      <c r="AI552" t="s">
        <v>60</v>
      </c>
      <c r="AJ552" t="s">
        <v>60</v>
      </c>
      <c r="AK552" t="s">
        <v>54</v>
      </c>
      <c r="AL552">
        <v>2024</v>
      </c>
      <c r="AM552" s="6" t="s">
        <v>718</v>
      </c>
      <c r="AN552" s="7">
        <v>291.14999999999998</v>
      </c>
      <c r="AO552" s="8">
        <f t="shared" si="27"/>
        <v>545.90625</v>
      </c>
      <c r="AP552" s="8">
        <f t="shared" si="28"/>
        <v>606.50184375000003</v>
      </c>
      <c r="AQ552" s="9">
        <f t="shared" si="26"/>
        <v>884.3135343749999</v>
      </c>
    </row>
    <row r="553" spans="1:43" x14ac:dyDescent="0.25">
      <c r="A553">
        <v>1</v>
      </c>
      <c r="B553">
        <v>2</v>
      </c>
      <c r="C553">
        <v>2024</v>
      </c>
      <c r="D553" t="s">
        <v>43</v>
      </c>
      <c r="E553" t="s">
        <v>174</v>
      </c>
      <c r="F553" t="s">
        <v>175</v>
      </c>
      <c r="G553">
        <v>19</v>
      </c>
      <c r="H553">
        <v>1791882490001</v>
      </c>
      <c r="I553" t="s">
        <v>46</v>
      </c>
      <c r="J553" t="s">
        <v>65</v>
      </c>
      <c r="K553" t="s">
        <v>48</v>
      </c>
      <c r="L553" t="s">
        <v>49</v>
      </c>
      <c r="M553" t="s">
        <v>50</v>
      </c>
      <c r="N553" t="s">
        <v>51</v>
      </c>
      <c r="O553">
        <v>8421999000</v>
      </c>
      <c r="P553" t="s">
        <v>66</v>
      </c>
      <c r="Q553" t="s">
        <v>594</v>
      </c>
      <c r="R553" t="s">
        <v>54</v>
      </c>
      <c r="S553" t="s">
        <v>55</v>
      </c>
      <c r="T553">
        <v>5</v>
      </c>
      <c r="U553">
        <v>2</v>
      </c>
      <c r="V553" t="s">
        <v>135</v>
      </c>
      <c r="W553">
        <v>0</v>
      </c>
      <c r="X553">
        <v>811.98</v>
      </c>
      <c r="Y553">
        <v>60.36</v>
      </c>
      <c r="Z553">
        <v>4.8499999999999996</v>
      </c>
      <c r="AA553">
        <v>877.2</v>
      </c>
      <c r="AB553" t="s">
        <v>54</v>
      </c>
      <c r="AC553" t="s">
        <v>94</v>
      </c>
      <c r="AD553" t="s">
        <v>48</v>
      </c>
      <c r="AE553">
        <v>0</v>
      </c>
      <c r="AF553">
        <v>3.97</v>
      </c>
      <c r="AG553" t="s">
        <v>59</v>
      </c>
      <c r="AH553">
        <v>863266</v>
      </c>
      <c r="AI553" t="s">
        <v>60</v>
      </c>
      <c r="AJ553" t="s">
        <v>60</v>
      </c>
      <c r="AK553" t="s">
        <v>54</v>
      </c>
      <c r="AL553">
        <v>2023</v>
      </c>
      <c r="AM553" s="6" t="s">
        <v>719</v>
      </c>
      <c r="AN553" s="7">
        <v>405.99</v>
      </c>
      <c r="AO553" s="8">
        <f t="shared" si="27"/>
        <v>761.23125000000005</v>
      </c>
      <c r="AP553" s="8">
        <f t="shared" si="28"/>
        <v>845.72791875000007</v>
      </c>
      <c r="AQ553" s="9">
        <f t="shared" si="26"/>
        <v>1233.118501875</v>
      </c>
    </row>
    <row r="554" spans="1:43" x14ac:dyDescent="0.25">
      <c r="A554">
        <v>15</v>
      </c>
      <c r="B554">
        <v>4</v>
      </c>
      <c r="C554">
        <v>2024</v>
      </c>
      <c r="D554" t="s">
        <v>43</v>
      </c>
      <c r="E554" t="s">
        <v>63</v>
      </c>
      <c r="F554" t="s">
        <v>64</v>
      </c>
      <c r="G554">
        <v>36</v>
      </c>
      <c r="H554">
        <v>1791882490001</v>
      </c>
      <c r="I554" t="s">
        <v>46</v>
      </c>
      <c r="J554" t="s">
        <v>65</v>
      </c>
      <c r="K554" t="s">
        <v>48</v>
      </c>
      <c r="L554" t="s">
        <v>49</v>
      </c>
      <c r="M554" t="s">
        <v>50</v>
      </c>
      <c r="N554" t="s">
        <v>51</v>
      </c>
      <c r="O554">
        <v>8421999000</v>
      </c>
      <c r="P554" t="s">
        <v>66</v>
      </c>
      <c r="Q554" t="s">
        <v>594</v>
      </c>
      <c r="R554" t="s">
        <v>54</v>
      </c>
      <c r="S554" t="s">
        <v>55</v>
      </c>
      <c r="T554">
        <v>6</v>
      </c>
      <c r="U554">
        <v>4</v>
      </c>
      <c r="V554" t="s">
        <v>135</v>
      </c>
      <c r="W554">
        <v>0</v>
      </c>
      <c r="X554">
        <v>1701.48</v>
      </c>
      <c r="Y554">
        <v>179.1</v>
      </c>
      <c r="Z554">
        <v>11.42</v>
      </c>
      <c r="AA554">
        <v>1892.01</v>
      </c>
      <c r="AB554" t="s">
        <v>57</v>
      </c>
      <c r="AC554" t="s">
        <v>58</v>
      </c>
      <c r="AD554" t="s">
        <v>48</v>
      </c>
      <c r="AE554">
        <v>0</v>
      </c>
      <c r="AF554">
        <v>16.3</v>
      </c>
      <c r="AG554" t="s">
        <v>59</v>
      </c>
      <c r="AH554">
        <v>443965</v>
      </c>
      <c r="AI554" t="s">
        <v>60</v>
      </c>
      <c r="AJ554" t="s">
        <v>60</v>
      </c>
      <c r="AK554" t="s">
        <v>54</v>
      </c>
      <c r="AL554">
        <v>2024</v>
      </c>
      <c r="AM554" s="6" t="s">
        <v>719</v>
      </c>
      <c r="AN554" s="7">
        <v>425.37</v>
      </c>
      <c r="AO554" s="8">
        <f t="shared" si="27"/>
        <v>797.56875000000002</v>
      </c>
      <c r="AP554" s="8">
        <f t="shared" si="28"/>
        <v>886.09888124999998</v>
      </c>
      <c r="AQ554" s="9">
        <f t="shared" si="26"/>
        <v>1291.9816181249998</v>
      </c>
    </row>
    <row r="555" spans="1:43" x14ac:dyDescent="0.25">
      <c r="A555">
        <v>16</v>
      </c>
      <c r="B555">
        <v>12</v>
      </c>
      <c r="C555">
        <v>2024</v>
      </c>
      <c r="D555" t="s">
        <v>43</v>
      </c>
      <c r="E555" t="s">
        <v>128</v>
      </c>
      <c r="F555" t="s">
        <v>129</v>
      </c>
      <c r="G555">
        <v>38</v>
      </c>
      <c r="H555">
        <v>1791882490001</v>
      </c>
      <c r="I555" t="s">
        <v>46</v>
      </c>
      <c r="J555" t="s">
        <v>65</v>
      </c>
      <c r="K555" t="s">
        <v>48</v>
      </c>
      <c r="L555" t="s">
        <v>49</v>
      </c>
      <c r="M555" t="s">
        <v>50</v>
      </c>
      <c r="N555" t="s">
        <v>51</v>
      </c>
      <c r="O555">
        <v>8421999000</v>
      </c>
      <c r="P555" t="s">
        <v>52</v>
      </c>
      <c r="Q555" t="s">
        <v>261</v>
      </c>
      <c r="R555" t="s">
        <v>54</v>
      </c>
      <c r="S555" t="s">
        <v>55</v>
      </c>
      <c r="T555">
        <v>9</v>
      </c>
      <c r="U555">
        <v>2</v>
      </c>
      <c r="V555" t="s">
        <v>135</v>
      </c>
      <c r="W555">
        <v>0</v>
      </c>
      <c r="X555">
        <v>859.31</v>
      </c>
      <c r="Y555">
        <v>112.54</v>
      </c>
      <c r="Z555">
        <v>5.89</v>
      </c>
      <c r="AA555">
        <v>977.74</v>
      </c>
      <c r="AB555" t="s">
        <v>57</v>
      </c>
      <c r="AC555" t="s">
        <v>131</v>
      </c>
      <c r="AD555" t="s">
        <v>48</v>
      </c>
      <c r="AE555">
        <v>0</v>
      </c>
      <c r="AF555">
        <v>3.98</v>
      </c>
      <c r="AG555" t="s">
        <v>59</v>
      </c>
      <c r="AH555">
        <v>325395</v>
      </c>
      <c r="AI555" t="s">
        <v>60</v>
      </c>
      <c r="AJ555" t="s">
        <v>78</v>
      </c>
      <c r="AK555" t="s">
        <v>54</v>
      </c>
      <c r="AL555">
        <v>2024</v>
      </c>
      <c r="AM555" s="6" t="s">
        <v>719</v>
      </c>
      <c r="AN555" s="7">
        <v>429.65</v>
      </c>
      <c r="AO555" s="8">
        <f t="shared" si="27"/>
        <v>805.59375</v>
      </c>
      <c r="AP555" s="8">
        <f t="shared" si="28"/>
        <v>895.01465625000003</v>
      </c>
      <c r="AQ555" s="9">
        <f t="shared" si="26"/>
        <v>1304.981315625</v>
      </c>
    </row>
    <row r="556" spans="1:43" x14ac:dyDescent="0.25">
      <c r="A556">
        <v>3</v>
      </c>
      <c r="B556">
        <v>4</v>
      </c>
      <c r="C556">
        <v>2024</v>
      </c>
      <c r="D556" t="s">
        <v>43</v>
      </c>
      <c r="E556" t="s">
        <v>73</v>
      </c>
      <c r="F556" t="s">
        <v>74</v>
      </c>
      <c r="G556">
        <v>29</v>
      </c>
      <c r="H556">
        <v>1791882490001</v>
      </c>
      <c r="I556" t="s">
        <v>46</v>
      </c>
      <c r="J556" t="s">
        <v>65</v>
      </c>
      <c r="K556" t="s">
        <v>48</v>
      </c>
      <c r="L556" t="s">
        <v>49</v>
      </c>
      <c r="M556" t="s">
        <v>50</v>
      </c>
      <c r="N556" t="s">
        <v>51</v>
      </c>
      <c r="O556">
        <v>8481909090</v>
      </c>
      <c r="P556" t="s">
        <v>103</v>
      </c>
      <c r="Q556" t="s">
        <v>720</v>
      </c>
      <c r="R556" t="s">
        <v>54</v>
      </c>
      <c r="S556" t="s">
        <v>55</v>
      </c>
      <c r="T556">
        <v>6</v>
      </c>
      <c r="U556">
        <v>12</v>
      </c>
      <c r="V556" t="s">
        <v>135</v>
      </c>
      <c r="W556">
        <v>0</v>
      </c>
      <c r="X556">
        <v>1239.8900000000001</v>
      </c>
      <c r="Y556">
        <v>144.82</v>
      </c>
      <c r="Z556">
        <v>8.11</v>
      </c>
      <c r="AA556">
        <v>1392.82</v>
      </c>
      <c r="AB556" t="s">
        <v>57</v>
      </c>
      <c r="AC556" t="s">
        <v>58</v>
      </c>
      <c r="AD556" t="s">
        <v>48</v>
      </c>
      <c r="AE556">
        <v>0</v>
      </c>
      <c r="AF556">
        <v>16</v>
      </c>
      <c r="AG556" t="s">
        <v>59</v>
      </c>
      <c r="AH556">
        <v>438183</v>
      </c>
      <c r="AI556" t="s">
        <v>60</v>
      </c>
      <c r="AJ556" t="s">
        <v>60</v>
      </c>
      <c r="AK556" t="s">
        <v>54</v>
      </c>
      <c r="AL556">
        <v>2024</v>
      </c>
      <c r="AM556" s="6" t="s">
        <v>721</v>
      </c>
      <c r="AN556" s="7">
        <v>103.32</v>
      </c>
      <c r="AO556" s="8">
        <f t="shared" si="27"/>
        <v>193.72499999999999</v>
      </c>
      <c r="AP556" s="8">
        <f t="shared" si="28"/>
        <v>215.228475</v>
      </c>
      <c r="AQ556" s="9">
        <f t="shared" si="26"/>
        <v>313.81512749999996</v>
      </c>
    </row>
    <row r="557" spans="1:43" x14ac:dyDescent="0.25">
      <c r="A557">
        <v>17</v>
      </c>
      <c r="B557">
        <v>5</v>
      </c>
      <c r="C557">
        <v>2024</v>
      </c>
      <c r="D557" t="s">
        <v>43</v>
      </c>
      <c r="E557" t="s">
        <v>79</v>
      </c>
      <c r="F557" t="s">
        <v>80</v>
      </c>
      <c r="G557">
        <v>30</v>
      </c>
      <c r="H557">
        <v>1791882490001</v>
      </c>
      <c r="I557" t="s">
        <v>46</v>
      </c>
      <c r="J557" t="s">
        <v>65</v>
      </c>
      <c r="K557" t="s">
        <v>48</v>
      </c>
      <c r="L557" t="s">
        <v>49</v>
      </c>
      <c r="M557" t="s">
        <v>50</v>
      </c>
      <c r="N557" t="s">
        <v>51</v>
      </c>
      <c r="O557">
        <v>8481909090</v>
      </c>
      <c r="P557" t="s">
        <v>103</v>
      </c>
      <c r="Q557" t="s">
        <v>722</v>
      </c>
      <c r="R557" t="s">
        <v>54</v>
      </c>
      <c r="S557" t="s">
        <v>55</v>
      </c>
      <c r="T557">
        <v>6</v>
      </c>
      <c r="U557">
        <v>10</v>
      </c>
      <c r="V557" t="s">
        <v>135</v>
      </c>
      <c r="W557">
        <v>0</v>
      </c>
      <c r="X557">
        <v>1003.95</v>
      </c>
      <c r="Y557">
        <v>96.92</v>
      </c>
      <c r="Z557">
        <v>6.68</v>
      </c>
      <c r="AA557">
        <v>1107.56</v>
      </c>
      <c r="AB557" t="s">
        <v>57</v>
      </c>
      <c r="AC557" t="s">
        <v>81</v>
      </c>
      <c r="AD557" t="s">
        <v>48</v>
      </c>
      <c r="AE557">
        <v>0</v>
      </c>
      <c r="AF557">
        <v>10.82</v>
      </c>
      <c r="AG557" t="s">
        <v>82</v>
      </c>
      <c r="AH557">
        <v>471463</v>
      </c>
      <c r="AI557" t="s">
        <v>60</v>
      </c>
      <c r="AJ557" t="s">
        <v>60</v>
      </c>
      <c r="AK557" t="s">
        <v>54</v>
      </c>
      <c r="AL557">
        <v>2024</v>
      </c>
      <c r="AM557" s="6" t="s">
        <v>721</v>
      </c>
      <c r="AN557" s="7">
        <v>100.4</v>
      </c>
      <c r="AO557" s="8">
        <f t="shared" si="27"/>
        <v>188.25</v>
      </c>
      <c r="AP557" s="8">
        <f t="shared" si="28"/>
        <v>209.14574999999999</v>
      </c>
      <c r="AQ557" s="9">
        <f t="shared" si="26"/>
        <v>304.94617499999998</v>
      </c>
    </row>
    <row r="558" spans="1:43" x14ac:dyDescent="0.25">
      <c r="A558">
        <v>8</v>
      </c>
      <c r="B558">
        <v>7</v>
      </c>
      <c r="C558">
        <v>2024</v>
      </c>
      <c r="D558" t="s">
        <v>43</v>
      </c>
      <c r="E558" t="s">
        <v>75</v>
      </c>
      <c r="F558" t="s">
        <v>76</v>
      </c>
      <c r="G558">
        <v>40</v>
      </c>
      <c r="H558">
        <v>1791882490001</v>
      </c>
      <c r="I558" t="s">
        <v>46</v>
      </c>
      <c r="J558" t="s">
        <v>65</v>
      </c>
      <c r="K558" t="s">
        <v>48</v>
      </c>
      <c r="L558" t="s">
        <v>49</v>
      </c>
      <c r="M558" t="s">
        <v>50</v>
      </c>
      <c r="N558" t="s">
        <v>51</v>
      </c>
      <c r="O558">
        <v>8481909090</v>
      </c>
      <c r="P558" t="s">
        <v>103</v>
      </c>
      <c r="Q558" t="s">
        <v>720</v>
      </c>
      <c r="R558" t="s">
        <v>54</v>
      </c>
      <c r="S558" t="s">
        <v>55</v>
      </c>
      <c r="T558">
        <v>8</v>
      </c>
      <c r="U558">
        <v>10</v>
      </c>
      <c r="V558" t="s">
        <v>135</v>
      </c>
      <c r="W558">
        <v>0</v>
      </c>
      <c r="X558">
        <v>1041.3900000000001</v>
      </c>
      <c r="Y558">
        <v>88.95</v>
      </c>
      <c r="Z558">
        <v>6.77</v>
      </c>
      <c r="AA558">
        <v>1137.1099999999999</v>
      </c>
      <c r="AB558" t="s">
        <v>57</v>
      </c>
      <c r="AC558" t="s">
        <v>77</v>
      </c>
      <c r="AD558" t="s">
        <v>48</v>
      </c>
      <c r="AE558">
        <v>0</v>
      </c>
      <c r="AF558">
        <v>6.89</v>
      </c>
      <c r="AG558" t="s">
        <v>59</v>
      </c>
      <c r="AH558">
        <v>107711</v>
      </c>
      <c r="AI558" t="s">
        <v>60</v>
      </c>
      <c r="AJ558" t="s">
        <v>78</v>
      </c>
      <c r="AK558" t="s">
        <v>54</v>
      </c>
      <c r="AL558">
        <v>2024</v>
      </c>
      <c r="AM558" s="6" t="s">
        <v>721</v>
      </c>
      <c r="AN558" s="7">
        <v>104.14</v>
      </c>
      <c r="AO558" s="8">
        <f t="shared" si="27"/>
        <v>195.26249999999999</v>
      </c>
      <c r="AP558" s="8">
        <f t="shared" si="28"/>
        <v>216.93663749999999</v>
      </c>
      <c r="AQ558" s="9">
        <f t="shared" si="26"/>
        <v>316.30572374999997</v>
      </c>
    </row>
    <row r="559" spans="1:43" x14ac:dyDescent="0.25">
      <c r="A559">
        <v>8</v>
      </c>
      <c r="B559">
        <v>7</v>
      </c>
      <c r="C559">
        <v>2024</v>
      </c>
      <c r="D559" t="s">
        <v>43</v>
      </c>
      <c r="E559" t="s">
        <v>75</v>
      </c>
      <c r="F559" t="s">
        <v>76</v>
      </c>
      <c r="G559">
        <v>40</v>
      </c>
      <c r="H559">
        <v>1791882490001</v>
      </c>
      <c r="I559" t="s">
        <v>46</v>
      </c>
      <c r="J559" t="s">
        <v>65</v>
      </c>
      <c r="K559" t="s">
        <v>48</v>
      </c>
      <c r="L559" t="s">
        <v>49</v>
      </c>
      <c r="M559" t="s">
        <v>50</v>
      </c>
      <c r="N559" t="s">
        <v>51</v>
      </c>
      <c r="O559">
        <v>8481909090</v>
      </c>
      <c r="P559" t="s">
        <v>103</v>
      </c>
      <c r="Q559" t="s">
        <v>720</v>
      </c>
      <c r="R559" t="s">
        <v>54</v>
      </c>
      <c r="S559" t="s">
        <v>55</v>
      </c>
      <c r="T559">
        <v>8</v>
      </c>
      <c r="U559">
        <v>10</v>
      </c>
      <c r="V559" t="s">
        <v>135</v>
      </c>
      <c r="W559">
        <v>0</v>
      </c>
      <c r="X559">
        <v>1041.3900000000001</v>
      </c>
      <c r="Y559">
        <v>88.95</v>
      </c>
      <c r="Z559">
        <v>6.77</v>
      </c>
      <c r="AA559">
        <v>1137.1099999999999</v>
      </c>
      <c r="AB559" t="s">
        <v>57</v>
      </c>
      <c r="AC559" t="s">
        <v>77</v>
      </c>
      <c r="AD559" t="s">
        <v>48</v>
      </c>
      <c r="AE559">
        <v>0</v>
      </c>
      <c r="AF559">
        <v>6.89</v>
      </c>
      <c r="AG559" t="s">
        <v>59</v>
      </c>
      <c r="AH559">
        <v>107711</v>
      </c>
      <c r="AI559" t="s">
        <v>60</v>
      </c>
      <c r="AJ559" t="s">
        <v>78</v>
      </c>
      <c r="AK559" t="s">
        <v>54</v>
      </c>
      <c r="AL559">
        <v>2024</v>
      </c>
      <c r="AM559" s="6" t="s">
        <v>721</v>
      </c>
      <c r="AN559" s="7">
        <v>104.14</v>
      </c>
      <c r="AO559" s="8">
        <f t="shared" si="27"/>
        <v>195.26249999999999</v>
      </c>
      <c r="AP559" s="8">
        <f t="shared" si="28"/>
        <v>216.93663749999999</v>
      </c>
      <c r="AQ559" s="9">
        <f t="shared" si="26"/>
        <v>316.30572374999997</v>
      </c>
    </row>
    <row r="560" spans="1:43" x14ac:dyDescent="0.25">
      <c r="A560">
        <v>12</v>
      </c>
      <c r="B560">
        <v>6</v>
      </c>
      <c r="C560">
        <v>2024</v>
      </c>
      <c r="D560" t="s">
        <v>43</v>
      </c>
      <c r="E560" t="s">
        <v>96</v>
      </c>
      <c r="F560" t="s">
        <v>97</v>
      </c>
      <c r="G560">
        <v>29</v>
      </c>
      <c r="H560">
        <v>1791882490001</v>
      </c>
      <c r="I560" t="s">
        <v>46</v>
      </c>
      <c r="J560" t="s">
        <v>48</v>
      </c>
      <c r="K560" t="s">
        <v>48</v>
      </c>
      <c r="L560" t="s">
        <v>49</v>
      </c>
      <c r="M560" t="s">
        <v>50</v>
      </c>
      <c r="N560" t="s">
        <v>51</v>
      </c>
      <c r="O560">
        <v>8482500000</v>
      </c>
      <c r="P560" t="s">
        <v>454</v>
      </c>
      <c r="Q560" t="s">
        <v>723</v>
      </c>
      <c r="R560" t="s">
        <v>54</v>
      </c>
      <c r="S560" t="s">
        <v>55</v>
      </c>
      <c r="T560">
        <v>7</v>
      </c>
      <c r="U560">
        <v>5</v>
      </c>
      <c r="V560" t="s">
        <v>135</v>
      </c>
      <c r="W560">
        <v>0</v>
      </c>
      <c r="X560">
        <v>2697.28</v>
      </c>
      <c r="Y560">
        <v>233.93</v>
      </c>
      <c r="Z560">
        <v>18.16</v>
      </c>
      <c r="AA560">
        <v>2949.36</v>
      </c>
      <c r="AB560" t="s">
        <v>57</v>
      </c>
      <c r="AC560" t="s">
        <v>94</v>
      </c>
      <c r="AD560" t="s">
        <v>48</v>
      </c>
      <c r="AE560">
        <v>0</v>
      </c>
      <c r="AF560">
        <v>9</v>
      </c>
      <c r="AG560" t="s">
        <v>59</v>
      </c>
      <c r="AH560" t="s">
        <v>98</v>
      </c>
      <c r="AI560" t="s">
        <v>60</v>
      </c>
      <c r="AJ560" t="s">
        <v>60</v>
      </c>
      <c r="AK560" t="s">
        <v>54</v>
      </c>
      <c r="AL560">
        <v>2024</v>
      </c>
      <c r="AM560" s="6" t="s">
        <v>724</v>
      </c>
      <c r="AN560" s="7">
        <v>539.46</v>
      </c>
      <c r="AO560" s="8">
        <f t="shared" si="27"/>
        <v>1011.4875000000001</v>
      </c>
      <c r="AP560" s="8">
        <f t="shared" si="28"/>
        <v>1123.7626125000002</v>
      </c>
      <c r="AQ560" s="9">
        <f t="shared" si="26"/>
        <v>1638.5086012500001</v>
      </c>
    </row>
    <row r="561" spans="1:43" x14ac:dyDescent="0.25">
      <c r="A561">
        <v>19</v>
      </c>
      <c r="B561">
        <v>8</v>
      </c>
      <c r="C561">
        <v>2024</v>
      </c>
      <c r="D561" t="s">
        <v>43</v>
      </c>
      <c r="E561" t="s">
        <v>84</v>
      </c>
      <c r="F561" t="s">
        <v>85</v>
      </c>
      <c r="G561">
        <v>29</v>
      </c>
      <c r="H561">
        <v>1791882490001</v>
      </c>
      <c r="I561" t="s">
        <v>46</v>
      </c>
      <c r="J561" t="s">
        <v>48</v>
      </c>
      <c r="K561" t="s">
        <v>48</v>
      </c>
      <c r="L561" t="s">
        <v>49</v>
      </c>
      <c r="M561" t="s">
        <v>50</v>
      </c>
      <c r="N561" t="s">
        <v>51</v>
      </c>
      <c r="O561">
        <v>8482500000</v>
      </c>
      <c r="P561" t="s">
        <v>454</v>
      </c>
      <c r="Q561" t="s">
        <v>455</v>
      </c>
      <c r="R561" t="s">
        <v>54</v>
      </c>
      <c r="S561" t="s">
        <v>55</v>
      </c>
      <c r="T561">
        <v>6</v>
      </c>
      <c r="U561">
        <v>2</v>
      </c>
      <c r="V561" t="s">
        <v>135</v>
      </c>
      <c r="W561">
        <v>0</v>
      </c>
      <c r="X561">
        <v>1069.55</v>
      </c>
      <c r="Y561">
        <v>138.01</v>
      </c>
      <c r="Z561">
        <v>7.32</v>
      </c>
      <c r="AA561">
        <v>1214.8699999999999</v>
      </c>
      <c r="AB561" t="s">
        <v>57</v>
      </c>
      <c r="AC561" t="s">
        <v>58</v>
      </c>
      <c r="AD561" t="s">
        <v>48</v>
      </c>
      <c r="AE561">
        <v>0</v>
      </c>
      <c r="AF561">
        <v>2.79</v>
      </c>
      <c r="AG561" t="s">
        <v>59</v>
      </c>
      <c r="AH561">
        <v>144527</v>
      </c>
      <c r="AI561" t="s">
        <v>60</v>
      </c>
      <c r="AJ561" t="s">
        <v>60</v>
      </c>
      <c r="AK561" t="s">
        <v>54</v>
      </c>
      <c r="AL561">
        <v>2024</v>
      </c>
      <c r="AM561" s="6" t="s">
        <v>724</v>
      </c>
      <c r="AN561" s="7">
        <v>534.78</v>
      </c>
      <c r="AO561" s="8">
        <f t="shared" si="27"/>
        <v>1002.7125</v>
      </c>
      <c r="AP561" s="8">
        <f t="shared" si="28"/>
        <v>1114.0135874999999</v>
      </c>
      <c r="AQ561" s="9">
        <f t="shared" si="26"/>
        <v>1624.29397875</v>
      </c>
    </row>
    <row r="562" spans="1:43" x14ac:dyDescent="0.25">
      <c r="A562">
        <v>10</v>
      </c>
      <c r="B562">
        <v>10</v>
      </c>
      <c r="C562">
        <v>2024</v>
      </c>
      <c r="D562" t="s">
        <v>43</v>
      </c>
      <c r="E562" t="s">
        <v>44</v>
      </c>
      <c r="F562" t="s">
        <v>45</v>
      </c>
      <c r="G562">
        <v>41</v>
      </c>
      <c r="H562">
        <v>1791882490001</v>
      </c>
      <c r="I562" t="s">
        <v>46</v>
      </c>
      <c r="J562" t="s">
        <v>48</v>
      </c>
      <c r="K562" t="s">
        <v>48</v>
      </c>
      <c r="L562" t="s">
        <v>49</v>
      </c>
      <c r="M562" t="s">
        <v>50</v>
      </c>
      <c r="N562" t="s">
        <v>51</v>
      </c>
      <c r="O562">
        <v>8482500000</v>
      </c>
      <c r="P562" t="s">
        <v>606</v>
      </c>
      <c r="Q562" t="s">
        <v>455</v>
      </c>
      <c r="R562" t="s">
        <v>54</v>
      </c>
      <c r="S562" t="s">
        <v>55</v>
      </c>
      <c r="T562">
        <v>7</v>
      </c>
      <c r="U562">
        <v>1</v>
      </c>
      <c r="V562" t="s">
        <v>135</v>
      </c>
      <c r="W562">
        <v>0</v>
      </c>
      <c r="X562">
        <v>540.54</v>
      </c>
      <c r="Y562">
        <v>94.44</v>
      </c>
      <c r="Z562">
        <v>3.9</v>
      </c>
      <c r="AA562">
        <v>638.88</v>
      </c>
      <c r="AB562" t="s">
        <v>57</v>
      </c>
      <c r="AC562" t="s">
        <v>58</v>
      </c>
      <c r="AD562" t="s">
        <v>48</v>
      </c>
      <c r="AE562">
        <v>0</v>
      </c>
      <c r="AF562">
        <v>5.83</v>
      </c>
      <c r="AG562" t="s">
        <v>59</v>
      </c>
      <c r="AH562">
        <v>179772</v>
      </c>
      <c r="AI562" t="s">
        <v>60</v>
      </c>
      <c r="AJ562" t="s">
        <v>60</v>
      </c>
      <c r="AK562" t="s">
        <v>54</v>
      </c>
      <c r="AL562">
        <v>2024</v>
      </c>
      <c r="AM562" s="6" t="s">
        <v>724</v>
      </c>
      <c r="AN562" s="7">
        <v>540.54</v>
      </c>
      <c r="AO562" s="8">
        <f t="shared" si="27"/>
        <v>1013.5124999999999</v>
      </c>
      <c r="AP562" s="8">
        <f t="shared" si="28"/>
        <v>1126.0123874999999</v>
      </c>
      <c r="AQ562" s="9">
        <f t="shared" si="26"/>
        <v>1641.7888987499998</v>
      </c>
    </row>
    <row r="563" spans="1:43" x14ac:dyDescent="0.25">
      <c r="A563">
        <v>16</v>
      </c>
      <c r="B563">
        <v>12</v>
      </c>
      <c r="C563">
        <v>2024</v>
      </c>
      <c r="D563" t="s">
        <v>43</v>
      </c>
      <c r="E563" t="s">
        <v>128</v>
      </c>
      <c r="F563" t="s">
        <v>129</v>
      </c>
      <c r="G563">
        <v>39</v>
      </c>
      <c r="H563">
        <v>1791882490001</v>
      </c>
      <c r="I563" t="s">
        <v>46</v>
      </c>
      <c r="J563" t="s">
        <v>48</v>
      </c>
      <c r="K563" t="s">
        <v>48</v>
      </c>
      <c r="L563" t="s">
        <v>49</v>
      </c>
      <c r="M563" t="s">
        <v>50</v>
      </c>
      <c r="N563" t="s">
        <v>51</v>
      </c>
      <c r="O563">
        <v>8482500000</v>
      </c>
      <c r="P563" t="s">
        <v>606</v>
      </c>
      <c r="Q563" t="s">
        <v>455</v>
      </c>
      <c r="R563" t="s">
        <v>54</v>
      </c>
      <c r="S563" t="s">
        <v>55</v>
      </c>
      <c r="T563">
        <v>9</v>
      </c>
      <c r="U563">
        <v>1</v>
      </c>
      <c r="V563" t="s">
        <v>135</v>
      </c>
      <c r="W563">
        <v>0</v>
      </c>
      <c r="X563">
        <v>540.29999999999995</v>
      </c>
      <c r="Y563">
        <v>70.760000000000005</v>
      </c>
      <c r="Z563">
        <v>3.7</v>
      </c>
      <c r="AA563">
        <v>614.76</v>
      </c>
      <c r="AB563" t="s">
        <v>57</v>
      </c>
      <c r="AC563" t="s">
        <v>131</v>
      </c>
      <c r="AD563" t="s">
        <v>48</v>
      </c>
      <c r="AE563">
        <v>0</v>
      </c>
      <c r="AF563">
        <v>1.99</v>
      </c>
      <c r="AG563" t="s">
        <v>59</v>
      </c>
      <c r="AH563">
        <v>325395</v>
      </c>
      <c r="AI563" t="s">
        <v>60</v>
      </c>
      <c r="AJ563" t="s">
        <v>78</v>
      </c>
      <c r="AK563" t="s">
        <v>54</v>
      </c>
      <c r="AL563">
        <v>2024</v>
      </c>
      <c r="AM563" s="6" t="s">
        <v>724</v>
      </c>
      <c r="AN563" s="7">
        <v>540.29999999999995</v>
      </c>
      <c r="AO563" s="8">
        <f t="shared" si="27"/>
        <v>1013.0624999999999</v>
      </c>
      <c r="AP563" s="8">
        <f t="shared" si="28"/>
        <v>1125.5124374999998</v>
      </c>
      <c r="AQ563" s="9">
        <f t="shared" si="26"/>
        <v>1641.0599437499998</v>
      </c>
    </row>
    <row r="564" spans="1:43" x14ac:dyDescent="0.25">
      <c r="A564">
        <v>20</v>
      </c>
      <c r="B564">
        <v>2</v>
      </c>
      <c r="C564">
        <v>2024</v>
      </c>
      <c r="D564" t="s">
        <v>43</v>
      </c>
      <c r="E564" t="s">
        <v>140</v>
      </c>
      <c r="F564" t="s">
        <v>141</v>
      </c>
      <c r="G564">
        <v>48</v>
      </c>
      <c r="H564">
        <v>1791882490001</v>
      </c>
      <c r="I564" t="s">
        <v>46</v>
      </c>
      <c r="J564" t="s">
        <v>48</v>
      </c>
      <c r="K564" t="s">
        <v>48</v>
      </c>
      <c r="L564" t="s">
        <v>49</v>
      </c>
      <c r="M564" t="s">
        <v>50</v>
      </c>
      <c r="N564" t="s">
        <v>51</v>
      </c>
      <c r="O564">
        <v>8481809990</v>
      </c>
      <c r="P564" t="s">
        <v>103</v>
      </c>
      <c r="Q564" t="s">
        <v>299</v>
      </c>
      <c r="R564" t="s">
        <v>54</v>
      </c>
      <c r="S564" t="s">
        <v>55</v>
      </c>
      <c r="T564">
        <v>6</v>
      </c>
      <c r="U564">
        <v>2</v>
      </c>
      <c r="V564" t="s">
        <v>135</v>
      </c>
      <c r="W564">
        <v>0</v>
      </c>
      <c r="X564">
        <v>283.76</v>
      </c>
      <c r="Y564">
        <v>25.46</v>
      </c>
      <c r="Z564">
        <v>1.91</v>
      </c>
      <c r="AA564">
        <v>311.13</v>
      </c>
      <c r="AB564" t="s">
        <v>54</v>
      </c>
      <c r="AC564" t="s">
        <v>143</v>
      </c>
      <c r="AD564" t="s">
        <v>48</v>
      </c>
      <c r="AE564">
        <v>0</v>
      </c>
      <c r="AF564">
        <v>3.74</v>
      </c>
      <c r="AG564" t="s">
        <v>59</v>
      </c>
      <c r="AH564">
        <v>876053</v>
      </c>
      <c r="AI564" t="s">
        <v>60</v>
      </c>
      <c r="AJ564" t="s">
        <v>60</v>
      </c>
      <c r="AK564" t="s">
        <v>54</v>
      </c>
      <c r="AL564">
        <v>2024</v>
      </c>
      <c r="AM564" s="6" t="s">
        <v>725</v>
      </c>
      <c r="AN564" s="7">
        <v>141.88</v>
      </c>
      <c r="AO564" s="8">
        <f t="shared" si="27"/>
        <v>266.02499999999998</v>
      </c>
      <c r="AP564" s="8">
        <f t="shared" si="28"/>
        <v>295.55377499999997</v>
      </c>
      <c r="AQ564" s="9">
        <f t="shared" si="26"/>
        <v>430.93389749999994</v>
      </c>
    </row>
    <row r="565" spans="1:43" x14ac:dyDescent="0.25">
      <c r="A565">
        <v>17</v>
      </c>
      <c r="B565">
        <v>5</v>
      </c>
      <c r="C565">
        <v>2024</v>
      </c>
      <c r="D565" t="s">
        <v>43</v>
      </c>
      <c r="E565" t="s">
        <v>79</v>
      </c>
      <c r="F565" t="s">
        <v>80</v>
      </c>
      <c r="G565">
        <v>31</v>
      </c>
      <c r="H565">
        <v>1791882490001</v>
      </c>
      <c r="I565" t="s">
        <v>46</v>
      </c>
      <c r="J565" t="s">
        <v>48</v>
      </c>
      <c r="K565" t="s">
        <v>48</v>
      </c>
      <c r="L565" t="s">
        <v>49</v>
      </c>
      <c r="M565" t="s">
        <v>50</v>
      </c>
      <c r="N565" t="s">
        <v>51</v>
      </c>
      <c r="O565">
        <v>8481809990</v>
      </c>
      <c r="P565" t="s">
        <v>103</v>
      </c>
      <c r="Q565" t="s">
        <v>299</v>
      </c>
      <c r="R565" t="s">
        <v>54</v>
      </c>
      <c r="S565" t="s">
        <v>55</v>
      </c>
      <c r="T565">
        <v>6</v>
      </c>
      <c r="U565">
        <v>2</v>
      </c>
      <c r="V565" t="s">
        <v>135</v>
      </c>
      <c r="W565">
        <v>0</v>
      </c>
      <c r="X565">
        <v>303.17</v>
      </c>
      <c r="Y565">
        <v>29.27</v>
      </c>
      <c r="Z565">
        <v>2.02</v>
      </c>
      <c r="AA565">
        <v>334.45</v>
      </c>
      <c r="AB565" t="s">
        <v>57</v>
      </c>
      <c r="AC565" t="s">
        <v>81</v>
      </c>
      <c r="AD565" t="s">
        <v>48</v>
      </c>
      <c r="AE565">
        <v>0</v>
      </c>
      <c r="AF565">
        <v>2.16</v>
      </c>
      <c r="AG565" t="s">
        <v>82</v>
      </c>
      <c r="AH565">
        <v>471463</v>
      </c>
      <c r="AI565" t="s">
        <v>60</v>
      </c>
      <c r="AJ565" t="s">
        <v>60</v>
      </c>
      <c r="AK565" t="s">
        <v>54</v>
      </c>
      <c r="AL565">
        <v>2024</v>
      </c>
      <c r="AM565" s="6" t="s">
        <v>725</v>
      </c>
      <c r="AN565" s="7">
        <v>151.58000000000001</v>
      </c>
      <c r="AO565" s="8">
        <f t="shared" si="27"/>
        <v>284.21250000000003</v>
      </c>
      <c r="AP565" s="8">
        <f t="shared" si="28"/>
        <v>315.76008750000005</v>
      </c>
      <c r="AQ565" s="9">
        <f t="shared" si="26"/>
        <v>460.39582875000002</v>
      </c>
    </row>
    <row r="566" spans="1:43" x14ac:dyDescent="0.25">
      <c r="A566">
        <v>17</v>
      </c>
      <c r="B566">
        <v>5</v>
      </c>
      <c r="C566">
        <v>2024</v>
      </c>
      <c r="D566" t="s">
        <v>43</v>
      </c>
      <c r="E566" t="s">
        <v>79</v>
      </c>
      <c r="F566" t="s">
        <v>80</v>
      </c>
      <c r="G566">
        <v>32</v>
      </c>
      <c r="H566">
        <v>1791882490001</v>
      </c>
      <c r="I566" t="s">
        <v>46</v>
      </c>
      <c r="J566" t="s">
        <v>48</v>
      </c>
      <c r="K566" t="s">
        <v>48</v>
      </c>
      <c r="L566" t="s">
        <v>49</v>
      </c>
      <c r="M566" t="s">
        <v>50</v>
      </c>
      <c r="N566" t="s">
        <v>51</v>
      </c>
      <c r="O566">
        <v>8481809990</v>
      </c>
      <c r="P566" t="s">
        <v>103</v>
      </c>
      <c r="Q566" t="s">
        <v>299</v>
      </c>
      <c r="R566" t="s">
        <v>54</v>
      </c>
      <c r="S566" t="s">
        <v>55</v>
      </c>
      <c r="T566">
        <v>6</v>
      </c>
      <c r="U566">
        <v>2</v>
      </c>
      <c r="V566" t="s">
        <v>135</v>
      </c>
      <c r="W566">
        <v>0</v>
      </c>
      <c r="X566">
        <v>303.17</v>
      </c>
      <c r="Y566">
        <v>29.27</v>
      </c>
      <c r="Z566">
        <v>2.02</v>
      </c>
      <c r="AA566">
        <v>334.45</v>
      </c>
      <c r="AB566" t="s">
        <v>57</v>
      </c>
      <c r="AC566" t="s">
        <v>81</v>
      </c>
      <c r="AD566" t="s">
        <v>48</v>
      </c>
      <c r="AE566">
        <v>0</v>
      </c>
      <c r="AF566">
        <v>2.16</v>
      </c>
      <c r="AG566" t="s">
        <v>82</v>
      </c>
      <c r="AH566">
        <v>471463</v>
      </c>
      <c r="AI566" t="s">
        <v>60</v>
      </c>
      <c r="AJ566" t="s">
        <v>60</v>
      </c>
      <c r="AK566" t="s">
        <v>54</v>
      </c>
      <c r="AL566">
        <v>2024</v>
      </c>
      <c r="AM566" s="6" t="s">
        <v>725</v>
      </c>
      <c r="AN566" s="7">
        <v>151.58000000000001</v>
      </c>
      <c r="AO566" s="8">
        <f t="shared" si="27"/>
        <v>284.21250000000003</v>
      </c>
      <c r="AP566" s="8">
        <f t="shared" si="28"/>
        <v>315.76008750000005</v>
      </c>
      <c r="AQ566" s="9">
        <f t="shared" si="26"/>
        <v>460.39582875000002</v>
      </c>
    </row>
    <row r="567" spans="1:43" x14ac:dyDescent="0.25">
      <c r="A567">
        <v>1</v>
      </c>
      <c r="B567">
        <v>2</v>
      </c>
      <c r="C567">
        <v>2024</v>
      </c>
      <c r="D567" t="s">
        <v>43</v>
      </c>
      <c r="E567" t="s">
        <v>174</v>
      </c>
      <c r="F567" t="s">
        <v>175</v>
      </c>
      <c r="G567">
        <v>20</v>
      </c>
      <c r="H567">
        <v>1791882490001</v>
      </c>
      <c r="I567" t="s">
        <v>46</v>
      </c>
      <c r="J567" t="s">
        <v>48</v>
      </c>
      <c r="K567" t="s">
        <v>48</v>
      </c>
      <c r="L567" t="s">
        <v>49</v>
      </c>
      <c r="M567" t="s">
        <v>50</v>
      </c>
      <c r="N567" t="s">
        <v>51</v>
      </c>
      <c r="O567">
        <v>8481809990</v>
      </c>
      <c r="P567" t="s">
        <v>103</v>
      </c>
      <c r="Q567" t="s">
        <v>726</v>
      </c>
      <c r="R567" t="s">
        <v>54</v>
      </c>
      <c r="S567" t="s">
        <v>55</v>
      </c>
      <c r="T567">
        <v>5</v>
      </c>
      <c r="U567">
        <v>5</v>
      </c>
      <c r="V567" t="s">
        <v>135</v>
      </c>
      <c r="W567">
        <v>0</v>
      </c>
      <c r="X567">
        <v>405.97</v>
      </c>
      <c r="Y567">
        <v>30.18</v>
      </c>
      <c r="Z567">
        <v>2.4300000000000002</v>
      </c>
      <c r="AA567">
        <v>438.58</v>
      </c>
      <c r="AB567" t="s">
        <v>54</v>
      </c>
      <c r="AC567" t="s">
        <v>94</v>
      </c>
      <c r="AD567" t="s">
        <v>48</v>
      </c>
      <c r="AE567">
        <v>0</v>
      </c>
      <c r="AF567">
        <v>9.92</v>
      </c>
      <c r="AG567" t="s">
        <v>59</v>
      </c>
      <c r="AH567">
        <v>863266</v>
      </c>
      <c r="AI567" t="s">
        <v>60</v>
      </c>
      <c r="AJ567" t="s">
        <v>60</v>
      </c>
      <c r="AK567" t="s">
        <v>54</v>
      </c>
      <c r="AL567">
        <v>2023</v>
      </c>
      <c r="AM567" s="6" t="s">
        <v>727</v>
      </c>
      <c r="AN567" s="7">
        <v>81.19</v>
      </c>
      <c r="AO567" s="8">
        <f t="shared" si="27"/>
        <v>152.23124999999999</v>
      </c>
      <c r="AP567" s="8">
        <f t="shared" si="28"/>
        <v>169.12891875</v>
      </c>
      <c r="AQ567" s="9">
        <f t="shared" si="26"/>
        <v>246.59940187499996</v>
      </c>
    </row>
    <row r="568" spans="1:43" x14ac:dyDescent="0.25">
      <c r="A568">
        <v>19</v>
      </c>
      <c r="B568">
        <v>8</v>
      </c>
      <c r="C568">
        <v>2024</v>
      </c>
      <c r="D568" t="s">
        <v>43</v>
      </c>
      <c r="E568" t="s">
        <v>84</v>
      </c>
      <c r="F568" t="s">
        <v>85</v>
      </c>
      <c r="G568">
        <v>30</v>
      </c>
      <c r="H568">
        <v>1791882490001</v>
      </c>
      <c r="I568" t="s">
        <v>46</v>
      </c>
      <c r="J568" t="s">
        <v>48</v>
      </c>
      <c r="K568" t="s">
        <v>48</v>
      </c>
      <c r="L568" t="s">
        <v>49</v>
      </c>
      <c r="M568" t="s">
        <v>50</v>
      </c>
      <c r="N568" t="s">
        <v>51</v>
      </c>
      <c r="O568">
        <v>8421392000</v>
      </c>
      <c r="P568" t="s">
        <v>253</v>
      </c>
      <c r="Q568" t="s">
        <v>254</v>
      </c>
      <c r="R568" t="s">
        <v>54</v>
      </c>
      <c r="S568" t="s">
        <v>55</v>
      </c>
      <c r="T568">
        <v>6</v>
      </c>
      <c r="U568">
        <v>1</v>
      </c>
      <c r="V568" t="s">
        <v>135</v>
      </c>
      <c r="W568">
        <v>0</v>
      </c>
      <c r="X568">
        <v>71.44</v>
      </c>
      <c r="Y568">
        <v>9.2200000000000006</v>
      </c>
      <c r="Z568">
        <v>0.49</v>
      </c>
      <c r="AA568">
        <v>81.150000000000006</v>
      </c>
      <c r="AB568" t="s">
        <v>57</v>
      </c>
      <c r="AC568" t="s">
        <v>58</v>
      </c>
      <c r="AD568" t="s">
        <v>48</v>
      </c>
      <c r="AE568">
        <v>0</v>
      </c>
      <c r="AF568">
        <v>1.39</v>
      </c>
      <c r="AG568" t="s">
        <v>59</v>
      </c>
      <c r="AH568">
        <v>144527</v>
      </c>
      <c r="AI568" t="s">
        <v>60</v>
      </c>
      <c r="AJ568" t="s">
        <v>60</v>
      </c>
      <c r="AK568" t="s">
        <v>54</v>
      </c>
      <c r="AL568">
        <v>2024</v>
      </c>
      <c r="AM568" s="6" t="s">
        <v>728</v>
      </c>
      <c r="AN568" s="7">
        <v>71.44</v>
      </c>
      <c r="AO568" s="8">
        <f t="shared" si="27"/>
        <v>133.94999999999999</v>
      </c>
      <c r="AP568" s="8">
        <f t="shared" si="28"/>
        <v>148.81844999999998</v>
      </c>
      <c r="AQ568" s="9">
        <f t="shared" si="26"/>
        <v>216.98560499999996</v>
      </c>
    </row>
    <row r="569" spans="1:43" x14ac:dyDescent="0.25">
      <c r="A569">
        <v>19</v>
      </c>
      <c r="B569">
        <v>8</v>
      </c>
      <c r="C569">
        <v>2024</v>
      </c>
      <c r="D569" t="s">
        <v>43</v>
      </c>
      <c r="E569" t="s">
        <v>84</v>
      </c>
      <c r="F569" t="s">
        <v>85</v>
      </c>
      <c r="G569">
        <v>31</v>
      </c>
      <c r="H569">
        <v>1791882490001</v>
      </c>
      <c r="I569" t="s">
        <v>46</v>
      </c>
      <c r="J569" t="s">
        <v>48</v>
      </c>
      <c r="K569" t="s">
        <v>48</v>
      </c>
      <c r="L569" t="s">
        <v>49</v>
      </c>
      <c r="M569" t="s">
        <v>50</v>
      </c>
      <c r="N569" t="s">
        <v>51</v>
      </c>
      <c r="O569">
        <v>8421392000</v>
      </c>
      <c r="P569" t="s">
        <v>253</v>
      </c>
      <c r="Q569" t="s">
        <v>254</v>
      </c>
      <c r="R569" t="s">
        <v>54</v>
      </c>
      <c r="S569" t="s">
        <v>55</v>
      </c>
      <c r="T569">
        <v>6</v>
      </c>
      <c r="U569">
        <v>1</v>
      </c>
      <c r="V569" t="s">
        <v>135</v>
      </c>
      <c r="W569">
        <v>0</v>
      </c>
      <c r="X569">
        <v>71.44</v>
      </c>
      <c r="Y569">
        <v>9.2200000000000006</v>
      </c>
      <c r="Z569">
        <v>0.49</v>
      </c>
      <c r="AA569">
        <v>81.150000000000006</v>
      </c>
      <c r="AB569" t="s">
        <v>57</v>
      </c>
      <c r="AC569" t="s">
        <v>58</v>
      </c>
      <c r="AD569" t="s">
        <v>48</v>
      </c>
      <c r="AE569">
        <v>0</v>
      </c>
      <c r="AF569">
        <v>1.39</v>
      </c>
      <c r="AG569" t="s">
        <v>59</v>
      </c>
      <c r="AH569">
        <v>144527</v>
      </c>
      <c r="AI569" t="s">
        <v>60</v>
      </c>
      <c r="AJ569" t="s">
        <v>60</v>
      </c>
      <c r="AK569" t="s">
        <v>54</v>
      </c>
      <c r="AL569">
        <v>2024</v>
      </c>
      <c r="AM569" s="6" t="s">
        <v>728</v>
      </c>
      <c r="AN569" s="7">
        <v>71.44</v>
      </c>
      <c r="AO569" s="8">
        <f t="shared" si="27"/>
        <v>133.94999999999999</v>
      </c>
      <c r="AP569" s="8">
        <f t="shared" si="28"/>
        <v>148.81844999999998</v>
      </c>
      <c r="AQ569" s="9">
        <f t="shared" si="26"/>
        <v>216.98560499999996</v>
      </c>
    </row>
    <row r="570" spans="1:43" x14ac:dyDescent="0.25">
      <c r="A570">
        <v>15</v>
      </c>
      <c r="B570">
        <v>4</v>
      </c>
      <c r="C570">
        <v>2024</v>
      </c>
      <c r="D570" t="s">
        <v>43</v>
      </c>
      <c r="E570" t="s">
        <v>63</v>
      </c>
      <c r="F570" t="s">
        <v>64</v>
      </c>
      <c r="G570">
        <v>37</v>
      </c>
      <c r="H570">
        <v>1791882490001</v>
      </c>
      <c r="I570" t="s">
        <v>46</v>
      </c>
      <c r="J570" t="s">
        <v>65</v>
      </c>
      <c r="K570" t="s">
        <v>48</v>
      </c>
      <c r="L570" t="s">
        <v>49</v>
      </c>
      <c r="M570" t="s">
        <v>50</v>
      </c>
      <c r="N570" t="s">
        <v>51</v>
      </c>
      <c r="O570">
        <v>8421999000</v>
      </c>
      <c r="P570" t="s">
        <v>66</v>
      </c>
      <c r="Q570" t="s">
        <v>261</v>
      </c>
      <c r="R570" t="s">
        <v>54</v>
      </c>
      <c r="S570" t="s">
        <v>55</v>
      </c>
      <c r="T570">
        <v>6</v>
      </c>
      <c r="U570">
        <v>3</v>
      </c>
      <c r="V570" t="s">
        <v>135</v>
      </c>
      <c r="W570">
        <v>0</v>
      </c>
      <c r="X570">
        <v>617.62</v>
      </c>
      <c r="Y570">
        <v>65.010000000000005</v>
      </c>
      <c r="Z570">
        <v>4.1500000000000004</v>
      </c>
      <c r="AA570">
        <v>686.78</v>
      </c>
      <c r="AB570" t="s">
        <v>57</v>
      </c>
      <c r="AC570" t="s">
        <v>58</v>
      </c>
      <c r="AD570" t="s">
        <v>48</v>
      </c>
      <c r="AE570">
        <v>0</v>
      </c>
      <c r="AF570">
        <v>5.92</v>
      </c>
      <c r="AG570" t="s">
        <v>59</v>
      </c>
      <c r="AH570">
        <v>443965</v>
      </c>
      <c r="AI570" t="s">
        <v>60</v>
      </c>
      <c r="AJ570" t="s">
        <v>60</v>
      </c>
      <c r="AK570" t="s">
        <v>54</v>
      </c>
      <c r="AL570">
        <v>2024</v>
      </c>
      <c r="AM570" s="6" t="s">
        <v>729</v>
      </c>
      <c r="AN570" s="7">
        <v>205.87</v>
      </c>
      <c r="AO570" s="8">
        <f t="shared" si="27"/>
        <v>386.00625000000002</v>
      </c>
      <c r="AP570" s="8">
        <f t="shared" si="28"/>
        <v>428.85294375000001</v>
      </c>
      <c r="AQ570" s="9">
        <f t="shared" si="26"/>
        <v>625.29152437499999</v>
      </c>
    </row>
    <row r="571" spans="1:43" x14ac:dyDescent="0.25">
      <c r="A571">
        <v>15</v>
      </c>
      <c r="B571">
        <v>4</v>
      </c>
      <c r="C571">
        <v>2024</v>
      </c>
      <c r="D571" t="s">
        <v>43</v>
      </c>
      <c r="E571" t="s">
        <v>63</v>
      </c>
      <c r="F571" t="s">
        <v>64</v>
      </c>
      <c r="G571">
        <v>38</v>
      </c>
      <c r="H571">
        <v>1791882490001</v>
      </c>
      <c r="I571" t="s">
        <v>46</v>
      </c>
      <c r="J571" t="s">
        <v>65</v>
      </c>
      <c r="K571" t="s">
        <v>48</v>
      </c>
      <c r="L571" t="s">
        <v>49</v>
      </c>
      <c r="M571" t="s">
        <v>50</v>
      </c>
      <c r="N571" t="s">
        <v>51</v>
      </c>
      <c r="O571">
        <v>8421999000</v>
      </c>
      <c r="P571" t="s">
        <v>66</v>
      </c>
      <c r="Q571" t="s">
        <v>261</v>
      </c>
      <c r="R571" t="s">
        <v>54</v>
      </c>
      <c r="S571" t="s">
        <v>55</v>
      </c>
      <c r="T571">
        <v>6</v>
      </c>
      <c r="U571">
        <v>1</v>
      </c>
      <c r="V571" t="s">
        <v>135</v>
      </c>
      <c r="W571">
        <v>0</v>
      </c>
      <c r="X571">
        <v>205.87</v>
      </c>
      <c r="Y571">
        <v>21.67</v>
      </c>
      <c r="Z571">
        <v>1.38</v>
      </c>
      <c r="AA571">
        <v>228.93</v>
      </c>
      <c r="AB571" t="s">
        <v>57</v>
      </c>
      <c r="AC571" t="s">
        <v>58</v>
      </c>
      <c r="AD571" t="s">
        <v>48</v>
      </c>
      <c r="AE571">
        <v>0</v>
      </c>
      <c r="AF571">
        <v>1.97</v>
      </c>
      <c r="AG571" t="s">
        <v>59</v>
      </c>
      <c r="AH571">
        <v>443965</v>
      </c>
      <c r="AI571" t="s">
        <v>60</v>
      </c>
      <c r="AJ571" t="s">
        <v>60</v>
      </c>
      <c r="AK571" t="s">
        <v>54</v>
      </c>
      <c r="AL571">
        <v>2024</v>
      </c>
      <c r="AM571" s="6" t="s">
        <v>729</v>
      </c>
      <c r="AN571" s="7">
        <v>205.87</v>
      </c>
      <c r="AO571" s="8">
        <f t="shared" si="27"/>
        <v>386.00625000000002</v>
      </c>
      <c r="AP571" s="8">
        <f t="shared" si="28"/>
        <v>428.85294375000001</v>
      </c>
      <c r="AQ571" s="9">
        <f t="shared" si="26"/>
        <v>625.29152437499999</v>
      </c>
    </row>
    <row r="572" spans="1:43" x14ac:dyDescent="0.25">
      <c r="A572">
        <v>1</v>
      </c>
      <c r="B572">
        <v>2</v>
      </c>
      <c r="C572">
        <v>2024</v>
      </c>
      <c r="D572" t="s">
        <v>43</v>
      </c>
      <c r="E572" t="s">
        <v>174</v>
      </c>
      <c r="F572" t="s">
        <v>175</v>
      </c>
      <c r="G572">
        <v>21</v>
      </c>
      <c r="H572">
        <v>1791882490001</v>
      </c>
      <c r="I572" t="s">
        <v>46</v>
      </c>
      <c r="J572" t="s">
        <v>48</v>
      </c>
      <c r="K572" t="s">
        <v>48</v>
      </c>
      <c r="L572" t="s">
        <v>49</v>
      </c>
      <c r="M572" t="s">
        <v>50</v>
      </c>
      <c r="N572" t="s">
        <v>51</v>
      </c>
      <c r="O572">
        <v>8484900000</v>
      </c>
      <c r="P572" t="s">
        <v>66</v>
      </c>
      <c r="Q572" t="s">
        <v>730</v>
      </c>
      <c r="R572" t="s">
        <v>54</v>
      </c>
      <c r="S572" t="s">
        <v>55</v>
      </c>
      <c r="T572">
        <v>5</v>
      </c>
      <c r="U572">
        <v>10</v>
      </c>
      <c r="V572" t="s">
        <v>135</v>
      </c>
      <c r="W572">
        <v>0</v>
      </c>
      <c r="X572">
        <v>362.22</v>
      </c>
      <c r="Y572">
        <v>26.93</v>
      </c>
      <c r="Z572">
        <v>2.16</v>
      </c>
      <c r="AA572">
        <v>391.32</v>
      </c>
      <c r="AB572" t="s">
        <v>54</v>
      </c>
      <c r="AC572" t="s">
        <v>94</v>
      </c>
      <c r="AD572" t="s">
        <v>48</v>
      </c>
      <c r="AE572">
        <v>0</v>
      </c>
      <c r="AF572">
        <v>19.84</v>
      </c>
      <c r="AG572" t="s">
        <v>59</v>
      </c>
      <c r="AH572">
        <v>863266</v>
      </c>
      <c r="AI572" t="s">
        <v>60</v>
      </c>
      <c r="AJ572" t="s">
        <v>60</v>
      </c>
      <c r="AK572" t="s">
        <v>54</v>
      </c>
      <c r="AL572">
        <v>2023</v>
      </c>
      <c r="AM572" s="6" t="s">
        <v>731</v>
      </c>
      <c r="AN572" s="7">
        <v>36.22</v>
      </c>
      <c r="AO572" s="8">
        <f t="shared" si="27"/>
        <v>67.912499999999994</v>
      </c>
      <c r="AP572" s="8">
        <f t="shared" si="28"/>
        <v>75.45078749999999</v>
      </c>
      <c r="AQ572" s="9">
        <f t="shared" si="26"/>
        <v>110.01145874999999</v>
      </c>
    </row>
    <row r="573" spans="1:43" x14ac:dyDescent="0.25">
      <c r="A573">
        <v>15</v>
      </c>
      <c r="B573">
        <v>4</v>
      </c>
      <c r="C573">
        <v>2024</v>
      </c>
      <c r="D573" t="s">
        <v>43</v>
      </c>
      <c r="E573" t="s">
        <v>63</v>
      </c>
      <c r="F573" t="s">
        <v>64</v>
      </c>
      <c r="G573">
        <v>39</v>
      </c>
      <c r="H573">
        <v>1791882490001</v>
      </c>
      <c r="I573" t="s">
        <v>46</v>
      </c>
      <c r="J573" t="s">
        <v>65</v>
      </c>
      <c r="K573" t="s">
        <v>48</v>
      </c>
      <c r="L573" t="s">
        <v>49</v>
      </c>
      <c r="M573" t="s">
        <v>50</v>
      </c>
      <c r="N573" t="s">
        <v>51</v>
      </c>
      <c r="O573">
        <v>8421999000</v>
      </c>
      <c r="P573" t="s">
        <v>66</v>
      </c>
      <c r="Q573" t="s">
        <v>477</v>
      </c>
      <c r="R573" t="s">
        <v>54</v>
      </c>
      <c r="S573" t="s">
        <v>55</v>
      </c>
      <c r="T573">
        <v>6</v>
      </c>
      <c r="U573">
        <v>5</v>
      </c>
      <c r="V573" t="s">
        <v>135</v>
      </c>
      <c r="W573">
        <v>0</v>
      </c>
      <c r="X573">
        <v>794.76</v>
      </c>
      <c r="Y573">
        <v>83.66</v>
      </c>
      <c r="Z573">
        <v>5.34</v>
      </c>
      <c r="AA573">
        <v>883.75</v>
      </c>
      <c r="AB573" t="s">
        <v>57</v>
      </c>
      <c r="AC573" t="s">
        <v>58</v>
      </c>
      <c r="AD573" t="s">
        <v>48</v>
      </c>
      <c r="AE573">
        <v>0</v>
      </c>
      <c r="AF573">
        <v>7.62</v>
      </c>
      <c r="AG573" t="s">
        <v>59</v>
      </c>
      <c r="AH573">
        <v>443965</v>
      </c>
      <c r="AI573" t="s">
        <v>60</v>
      </c>
      <c r="AJ573" t="s">
        <v>60</v>
      </c>
      <c r="AK573" t="s">
        <v>54</v>
      </c>
      <c r="AL573">
        <v>2024</v>
      </c>
      <c r="AM573" s="6" t="s">
        <v>732</v>
      </c>
      <c r="AN573" s="7">
        <v>158.94999999999999</v>
      </c>
      <c r="AO573" s="8">
        <f t="shared" si="27"/>
        <v>298.03125</v>
      </c>
      <c r="AP573" s="8">
        <f t="shared" si="28"/>
        <v>331.11271875</v>
      </c>
      <c r="AQ573" s="9">
        <f t="shared" si="26"/>
        <v>482.78082187499996</v>
      </c>
    </row>
    <row r="574" spans="1:43" x14ac:dyDescent="0.25">
      <c r="A574">
        <v>16</v>
      </c>
      <c r="B574">
        <v>12</v>
      </c>
      <c r="C574">
        <v>2024</v>
      </c>
      <c r="D574" t="s">
        <v>43</v>
      </c>
      <c r="E574" t="s">
        <v>128</v>
      </c>
      <c r="F574" t="s">
        <v>129</v>
      </c>
      <c r="G574">
        <v>40</v>
      </c>
      <c r="H574">
        <v>1791882490001</v>
      </c>
      <c r="I574" t="s">
        <v>46</v>
      </c>
      <c r="J574" t="s">
        <v>65</v>
      </c>
      <c r="K574" t="s">
        <v>48</v>
      </c>
      <c r="L574" t="s">
        <v>49</v>
      </c>
      <c r="M574" t="s">
        <v>50</v>
      </c>
      <c r="N574" t="s">
        <v>51</v>
      </c>
      <c r="O574">
        <v>8421999000</v>
      </c>
      <c r="P574" t="s">
        <v>52</v>
      </c>
      <c r="Q574" t="s">
        <v>733</v>
      </c>
      <c r="R574" t="s">
        <v>54</v>
      </c>
      <c r="S574" t="s">
        <v>55</v>
      </c>
      <c r="T574">
        <v>9</v>
      </c>
      <c r="U574">
        <v>8</v>
      </c>
      <c r="V574" t="s">
        <v>135</v>
      </c>
      <c r="W574">
        <v>0</v>
      </c>
      <c r="X574">
        <v>1516.01</v>
      </c>
      <c r="Y574">
        <v>198.54</v>
      </c>
      <c r="Z574">
        <v>10.4</v>
      </c>
      <c r="AA574">
        <v>1724.95</v>
      </c>
      <c r="AB574" t="s">
        <v>57</v>
      </c>
      <c r="AC574" t="s">
        <v>131</v>
      </c>
      <c r="AD574" t="s">
        <v>48</v>
      </c>
      <c r="AE574">
        <v>0</v>
      </c>
      <c r="AF574">
        <v>15.91</v>
      </c>
      <c r="AG574" t="s">
        <v>59</v>
      </c>
      <c r="AH574">
        <v>325395</v>
      </c>
      <c r="AI574" t="s">
        <v>60</v>
      </c>
      <c r="AJ574" t="s">
        <v>78</v>
      </c>
      <c r="AK574" t="s">
        <v>54</v>
      </c>
      <c r="AL574">
        <v>2024</v>
      </c>
      <c r="AM574" s="6" t="s">
        <v>732</v>
      </c>
      <c r="AN574" s="7">
        <v>189.5</v>
      </c>
      <c r="AO574" s="8">
        <f t="shared" si="27"/>
        <v>355.3125</v>
      </c>
      <c r="AP574" s="8">
        <f t="shared" si="28"/>
        <v>394.75218749999999</v>
      </c>
      <c r="AQ574" s="9">
        <f t="shared" si="26"/>
        <v>575.57071874999997</v>
      </c>
    </row>
    <row r="575" spans="1:43" x14ac:dyDescent="0.25">
      <c r="A575">
        <v>26</v>
      </c>
      <c r="B575">
        <v>12</v>
      </c>
      <c r="C575">
        <v>2024</v>
      </c>
      <c r="D575" t="s">
        <v>43</v>
      </c>
      <c r="E575" t="s">
        <v>222</v>
      </c>
      <c r="F575" t="s">
        <v>223</v>
      </c>
      <c r="G575">
        <v>32</v>
      </c>
      <c r="H575">
        <v>1791882490001</v>
      </c>
      <c r="I575" t="s">
        <v>46</v>
      </c>
      <c r="J575" t="s">
        <v>65</v>
      </c>
      <c r="K575" t="s">
        <v>48</v>
      </c>
      <c r="L575" t="s">
        <v>49</v>
      </c>
      <c r="M575" t="s">
        <v>50</v>
      </c>
      <c r="N575" t="s">
        <v>224</v>
      </c>
      <c r="O575">
        <v>8421999000</v>
      </c>
      <c r="P575" t="s">
        <v>52</v>
      </c>
      <c r="Q575" t="s">
        <v>733</v>
      </c>
      <c r="R575" t="s">
        <v>54</v>
      </c>
      <c r="S575" t="s">
        <v>55</v>
      </c>
      <c r="T575">
        <v>8</v>
      </c>
      <c r="U575">
        <v>8</v>
      </c>
      <c r="V575" t="s">
        <v>135</v>
      </c>
      <c r="W575">
        <v>0</v>
      </c>
      <c r="X575">
        <v>1534.04</v>
      </c>
      <c r="Y575">
        <v>317.69</v>
      </c>
      <c r="Z575">
        <v>15.34</v>
      </c>
      <c r="AA575">
        <v>1867.07</v>
      </c>
      <c r="AB575" t="s">
        <v>57</v>
      </c>
      <c r="AC575" t="s">
        <v>225</v>
      </c>
      <c r="AD575" t="s">
        <v>48</v>
      </c>
      <c r="AE575">
        <v>0</v>
      </c>
      <c r="AF575">
        <v>16.48</v>
      </c>
      <c r="AG575" t="s">
        <v>59</v>
      </c>
      <c r="AH575">
        <v>341996</v>
      </c>
      <c r="AI575" t="s">
        <v>60</v>
      </c>
      <c r="AJ575" t="s">
        <v>60</v>
      </c>
      <c r="AK575" t="s">
        <v>54</v>
      </c>
      <c r="AL575">
        <v>2024</v>
      </c>
      <c r="AM575" s="6" t="s">
        <v>732</v>
      </c>
      <c r="AN575" s="7">
        <v>191.76</v>
      </c>
      <c r="AO575" s="8">
        <f t="shared" si="27"/>
        <v>359.54999999999995</v>
      </c>
      <c r="AP575" s="8">
        <f t="shared" si="28"/>
        <v>399.46004999999997</v>
      </c>
      <c r="AQ575" s="9">
        <f t="shared" si="26"/>
        <v>582.43504499999995</v>
      </c>
    </row>
    <row r="576" spans="1:43" x14ac:dyDescent="0.25">
      <c r="A576">
        <v>13</v>
      </c>
      <c r="B576">
        <v>3</v>
      </c>
      <c r="C576">
        <v>2024</v>
      </c>
      <c r="D576" t="s">
        <v>43</v>
      </c>
      <c r="E576" t="s">
        <v>69</v>
      </c>
      <c r="F576" t="s">
        <v>70</v>
      </c>
      <c r="G576">
        <v>32</v>
      </c>
      <c r="H576">
        <v>1791882490001</v>
      </c>
      <c r="I576" t="s">
        <v>46</v>
      </c>
      <c r="J576" t="s">
        <v>65</v>
      </c>
      <c r="K576" t="s">
        <v>48</v>
      </c>
      <c r="L576" t="s">
        <v>49</v>
      </c>
      <c r="M576" t="s">
        <v>50</v>
      </c>
      <c r="N576" t="s">
        <v>51</v>
      </c>
      <c r="O576">
        <v>8421999000</v>
      </c>
      <c r="P576" t="s">
        <v>66</v>
      </c>
      <c r="Q576" t="s">
        <v>477</v>
      </c>
      <c r="R576" t="s">
        <v>54</v>
      </c>
      <c r="S576" t="s">
        <v>55</v>
      </c>
      <c r="T576">
        <v>11</v>
      </c>
      <c r="U576">
        <v>6</v>
      </c>
      <c r="V576" t="s">
        <v>135</v>
      </c>
      <c r="W576">
        <v>0</v>
      </c>
      <c r="X576">
        <v>964.33</v>
      </c>
      <c r="Y576">
        <v>126.28</v>
      </c>
      <c r="Z576">
        <v>6.49</v>
      </c>
      <c r="AA576">
        <v>1097.0999999999999</v>
      </c>
      <c r="AB576" t="s">
        <v>54</v>
      </c>
      <c r="AC576" t="s">
        <v>71</v>
      </c>
      <c r="AD576" t="s">
        <v>48</v>
      </c>
      <c r="AE576">
        <v>0</v>
      </c>
      <c r="AF576">
        <v>12.23</v>
      </c>
      <c r="AG576" t="s">
        <v>59</v>
      </c>
      <c r="AH576">
        <v>895279</v>
      </c>
      <c r="AI576" t="s">
        <v>60</v>
      </c>
      <c r="AJ576" t="s">
        <v>60</v>
      </c>
      <c r="AK576" t="s">
        <v>54</v>
      </c>
      <c r="AL576">
        <v>2024</v>
      </c>
      <c r="AM576" s="6" t="s">
        <v>734</v>
      </c>
      <c r="AN576" s="7">
        <v>160.72</v>
      </c>
      <c r="AO576" s="8">
        <f t="shared" si="27"/>
        <v>301.35000000000002</v>
      </c>
      <c r="AP576" s="8">
        <f t="shared" si="28"/>
        <v>334.79985000000005</v>
      </c>
      <c r="AQ576" s="9">
        <f t="shared" si="26"/>
        <v>488.15686499999998</v>
      </c>
    </row>
    <row r="577" spans="1:43" x14ac:dyDescent="0.25">
      <c r="A577">
        <v>2</v>
      </c>
      <c r="B577">
        <v>1</v>
      </c>
      <c r="C577">
        <v>2024</v>
      </c>
      <c r="D577" t="s">
        <v>43</v>
      </c>
      <c r="E577" t="s">
        <v>181</v>
      </c>
      <c r="F577" t="s">
        <v>182</v>
      </c>
      <c r="G577">
        <v>25</v>
      </c>
      <c r="H577">
        <v>1791882490001</v>
      </c>
      <c r="I577" t="s">
        <v>46</v>
      </c>
      <c r="J577" t="s">
        <v>65</v>
      </c>
      <c r="K577" t="s">
        <v>48</v>
      </c>
      <c r="L577" t="s">
        <v>49</v>
      </c>
      <c r="M577" t="s">
        <v>50</v>
      </c>
      <c r="N577" t="s">
        <v>51</v>
      </c>
      <c r="O577">
        <v>8421999000</v>
      </c>
      <c r="P577" t="s">
        <v>52</v>
      </c>
      <c r="Q577" t="s">
        <v>735</v>
      </c>
      <c r="R577" t="s">
        <v>54</v>
      </c>
      <c r="S577" t="s">
        <v>55</v>
      </c>
      <c r="T577">
        <v>8</v>
      </c>
      <c r="U577">
        <v>4</v>
      </c>
      <c r="V577" t="s">
        <v>135</v>
      </c>
      <c r="W577">
        <v>0</v>
      </c>
      <c r="X577">
        <v>577.61</v>
      </c>
      <c r="Y577">
        <v>117.36</v>
      </c>
      <c r="Z577">
        <v>3.72</v>
      </c>
      <c r="AA577">
        <v>698.68</v>
      </c>
      <c r="AB577" t="s">
        <v>57</v>
      </c>
      <c r="AC577" t="s">
        <v>81</v>
      </c>
      <c r="AD577" t="s">
        <v>48</v>
      </c>
      <c r="AE577">
        <v>0</v>
      </c>
      <c r="AF577">
        <v>12.96</v>
      </c>
      <c r="AG577" t="s">
        <v>59</v>
      </c>
      <c r="AH577">
        <v>413505</v>
      </c>
      <c r="AI577" t="s">
        <v>60</v>
      </c>
      <c r="AJ577" t="s">
        <v>60</v>
      </c>
      <c r="AK577" t="s">
        <v>54</v>
      </c>
      <c r="AL577">
        <v>2023</v>
      </c>
      <c r="AM577" s="6" t="s">
        <v>736</v>
      </c>
      <c r="AN577" s="7">
        <v>144.4</v>
      </c>
      <c r="AO577" s="8">
        <f t="shared" si="27"/>
        <v>270.75</v>
      </c>
      <c r="AP577" s="8">
        <f t="shared" si="28"/>
        <v>300.80324999999999</v>
      </c>
      <c r="AQ577" s="9">
        <f t="shared" si="26"/>
        <v>438.58792499999998</v>
      </c>
    </row>
    <row r="578" spans="1:43" x14ac:dyDescent="0.25">
      <c r="A578">
        <v>1</v>
      </c>
      <c r="B578">
        <v>2</v>
      </c>
      <c r="C578">
        <v>2024</v>
      </c>
      <c r="D578" t="s">
        <v>43</v>
      </c>
      <c r="E578" t="s">
        <v>174</v>
      </c>
      <c r="F578" t="s">
        <v>175</v>
      </c>
      <c r="G578">
        <v>22</v>
      </c>
      <c r="H578">
        <v>1791882490001</v>
      </c>
      <c r="I578" t="s">
        <v>46</v>
      </c>
      <c r="J578" t="s">
        <v>65</v>
      </c>
      <c r="K578" t="s">
        <v>48</v>
      </c>
      <c r="L578" t="s">
        <v>49</v>
      </c>
      <c r="M578" t="s">
        <v>50</v>
      </c>
      <c r="N578" t="s">
        <v>51</v>
      </c>
      <c r="O578">
        <v>8421999000</v>
      </c>
      <c r="P578" t="s">
        <v>66</v>
      </c>
      <c r="Q578" t="s">
        <v>735</v>
      </c>
      <c r="R578" t="s">
        <v>54</v>
      </c>
      <c r="S578" t="s">
        <v>55</v>
      </c>
      <c r="T578">
        <v>5</v>
      </c>
      <c r="U578">
        <v>4</v>
      </c>
      <c r="V578" t="s">
        <v>135</v>
      </c>
      <c r="W578">
        <v>0</v>
      </c>
      <c r="X578">
        <v>574.16999999999996</v>
      </c>
      <c r="Y578">
        <v>42.68</v>
      </c>
      <c r="Z578">
        <v>3.43</v>
      </c>
      <c r="AA578">
        <v>620.28</v>
      </c>
      <c r="AB578" t="s">
        <v>54</v>
      </c>
      <c r="AC578" t="s">
        <v>94</v>
      </c>
      <c r="AD578" t="s">
        <v>48</v>
      </c>
      <c r="AE578">
        <v>0</v>
      </c>
      <c r="AF578">
        <v>7.94</v>
      </c>
      <c r="AG578" t="s">
        <v>59</v>
      </c>
      <c r="AH578">
        <v>863266</v>
      </c>
      <c r="AI578" t="s">
        <v>60</v>
      </c>
      <c r="AJ578" t="s">
        <v>60</v>
      </c>
      <c r="AK578" t="s">
        <v>54</v>
      </c>
      <c r="AL578">
        <v>2023</v>
      </c>
      <c r="AM578" s="6" t="s">
        <v>736</v>
      </c>
      <c r="AN578" s="7">
        <v>143.54</v>
      </c>
      <c r="AO578" s="8">
        <f t="shared" si="27"/>
        <v>269.13749999999999</v>
      </c>
      <c r="AP578" s="8">
        <f t="shared" si="28"/>
        <v>299.01176249999997</v>
      </c>
      <c r="AQ578" s="9">
        <f t="shared" si="26"/>
        <v>435.97583624999993</v>
      </c>
    </row>
    <row r="579" spans="1:43" x14ac:dyDescent="0.25">
      <c r="A579">
        <v>19</v>
      </c>
      <c r="B579">
        <v>8</v>
      </c>
      <c r="C579">
        <v>2024</v>
      </c>
      <c r="D579" t="s">
        <v>43</v>
      </c>
      <c r="E579" t="s">
        <v>84</v>
      </c>
      <c r="F579" t="s">
        <v>85</v>
      </c>
      <c r="G579">
        <v>32</v>
      </c>
      <c r="H579">
        <v>1791882490001</v>
      </c>
      <c r="I579" t="s">
        <v>46</v>
      </c>
      <c r="J579" t="s">
        <v>65</v>
      </c>
      <c r="K579" t="s">
        <v>48</v>
      </c>
      <c r="L579" t="s">
        <v>49</v>
      </c>
      <c r="M579" t="s">
        <v>50</v>
      </c>
      <c r="N579" t="s">
        <v>51</v>
      </c>
      <c r="O579">
        <v>8421999000</v>
      </c>
      <c r="P579" t="s">
        <v>66</v>
      </c>
      <c r="Q579" t="s">
        <v>477</v>
      </c>
      <c r="R579" t="s">
        <v>54</v>
      </c>
      <c r="S579" t="s">
        <v>55</v>
      </c>
      <c r="T579">
        <v>6</v>
      </c>
      <c r="U579">
        <v>10</v>
      </c>
      <c r="V579" t="s">
        <v>135</v>
      </c>
      <c r="W579">
        <v>0</v>
      </c>
      <c r="X579">
        <v>1616.77</v>
      </c>
      <c r="Y579">
        <v>208.61</v>
      </c>
      <c r="Z579">
        <v>11.06</v>
      </c>
      <c r="AA579">
        <v>1836.44</v>
      </c>
      <c r="AB579" t="s">
        <v>57</v>
      </c>
      <c r="AC579" t="s">
        <v>58</v>
      </c>
      <c r="AD579" t="s">
        <v>48</v>
      </c>
      <c r="AE579">
        <v>0</v>
      </c>
      <c r="AF579">
        <v>13.95</v>
      </c>
      <c r="AG579" t="s">
        <v>59</v>
      </c>
      <c r="AH579">
        <v>144527</v>
      </c>
      <c r="AI579" t="s">
        <v>60</v>
      </c>
      <c r="AJ579" t="s">
        <v>60</v>
      </c>
      <c r="AK579" t="s">
        <v>54</v>
      </c>
      <c r="AL579">
        <v>2024</v>
      </c>
      <c r="AM579" s="6" t="s">
        <v>736</v>
      </c>
      <c r="AN579" s="7">
        <v>161.68</v>
      </c>
      <c r="AO579" s="8">
        <f t="shared" si="27"/>
        <v>303.15000000000003</v>
      </c>
      <c r="AP579" s="8">
        <f t="shared" si="28"/>
        <v>336.79965000000004</v>
      </c>
      <c r="AQ579" s="9">
        <f t="shared" ref="AQ579:AQ642" si="29">SUM(AO579)*1.6199</f>
        <v>491.07268500000004</v>
      </c>
    </row>
    <row r="580" spans="1:43" x14ac:dyDescent="0.25">
      <c r="A580">
        <v>28</v>
      </c>
      <c r="B580">
        <v>8</v>
      </c>
      <c r="C580">
        <v>2024</v>
      </c>
      <c r="D580" t="s">
        <v>43</v>
      </c>
      <c r="E580" t="s">
        <v>91</v>
      </c>
      <c r="F580" t="s">
        <v>92</v>
      </c>
      <c r="G580">
        <v>29</v>
      </c>
      <c r="H580">
        <v>1791882490001</v>
      </c>
      <c r="I580" t="s">
        <v>46</v>
      </c>
      <c r="J580" t="s">
        <v>65</v>
      </c>
      <c r="K580" t="s">
        <v>48</v>
      </c>
      <c r="L580" t="s">
        <v>49</v>
      </c>
      <c r="M580" t="s">
        <v>50</v>
      </c>
      <c r="N580" t="s">
        <v>51</v>
      </c>
      <c r="O580">
        <v>8421999000</v>
      </c>
      <c r="P580" t="s">
        <v>66</v>
      </c>
      <c r="Q580" t="s">
        <v>254</v>
      </c>
      <c r="R580" t="s">
        <v>54</v>
      </c>
      <c r="S580" t="s">
        <v>55</v>
      </c>
      <c r="T580">
        <v>8</v>
      </c>
      <c r="U580">
        <v>5</v>
      </c>
      <c r="V580" t="s">
        <v>135</v>
      </c>
      <c r="W580">
        <v>0</v>
      </c>
      <c r="X580">
        <v>689.41</v>
      </c>
      <c r="Y580">
        <v>76.17</v>
      </c>
      <c r="Z580">
        <v>4.6399999999999997</v>
      </c>
      <c r="AA580">
        <v>770.21</v>
      </c>
      <c r="AB580" t="s">
        <v>57</v>
      </c>
      <c r="AC580" t="s">
        <v>94</v>
      </c>
      <c r="AD580" t="s">
        <v>48</v>
      </c>
      <c r="AE580">
        <v>0</v>
      </c>
      <c r="AF580">
        <v>7.93</v>
      </c>
      <c r="AG580" t="s">
        <v>59</v>
      </c>
      <c r="AH580">
        <v>150511</v>
      </c>
      <c r="AI580" t="s">
        <v>60</v>
      </c>
      <c r="AJ580" t="s">
        <v>60</v>
      </c>
      <c r="AK580" t="s">
        <v>54</v>
      </c>
      <c r="AL580">
        <v>2024</v>
      </c>
      <c r="AM580" s="6" t="s">
        <v>736</v>
      </c>
      <c r="AN580" s="7">
        <v>137.88</v>
      </c>
      <c r="AO580" s="8">
        <f t="shared" si="27"/>
        <v>258.52499999999998</v>
      </c>
      <c r="AP580" s="8">
        <f t="shared" si="28"/>
        <v>287.22127499999999</v>
      </c>
      <c r="AQ580" s="9">
        <f t="shared" si="29"/>
        <v>418.78464749999995</v>
      </c>
    </row>
    <row r="581" spans="1:43" x14ac:dyDescent="0.25">
      <c r="A581">
        <v>10</v>
      </c>
      <c r="B581">
        <v>10</v>
      </c>
      <c r="C581">
        <v>2024</v>
      </c>
      <c r="D581" t="s">
        <v>43</v>
      </c>
      <c r="E581" t="s">
        <v>44</v>
      </c>
      <c r="F581" t="s">
        <v>45</v>
      </c>
      <c r="G581">
        <v>42</v>
      </c>
      <c r="H581">
        <v>1791882490001</v>
      </c>
      <c r="I581" t="s">
        <v>46</v>
      </c>
      <c r="J581" t="s">
        <v>65</v>
      </c>
      <c r="K581" t="s">
        <v>48</v>
      </c>
      <c r="L581" t="s">
        <v>49</v>
      </c>
      <c r="M581" t="s">
        <v>50</v>
      </c>
      <c r="N581" t="s">
        <v>51</v>
      </c>
      <c r="O581">
        <v>8421999000</v>
      </c>
      <c r="P581" t="s">
        <v>52</v>
      </c>
      <c r="Q581" t="s">
        <v>477</v>
      </c>
      <c r="R581" t="s">
        <v>54</v>
      </c>
      <c r="S581" t="s">
        <v>55</v>
      </c>
      <c r="T581">
        <v>7</v>
      </c>
      <c r="U581">
        <v>5</v>
      </c>
      <c r="V581" t="s">
        <v>135</v>
      </c>
      <c r="W581">
        <v>0</v>
      </c>
      <c r="X581">
        <v>817.09</v>
      </c>
      <c r="Y581">
        <v>142.76</v>
      </c>
      <c r="Z581">
        <v>5.89</v>
      </c>
      <c r="AA581">
        <v>965.75</v>
      </c>
      <c r="AB581" t="s">
        <v>57</v>
      </c>
      <c r="AC581" t="s">
        <v>58</v>
      </c>
      <c r="AD581" t="s">
        <v>48</v>
      </c>
      <c r="AE581">
        <v>0</v>
      </c>
      <c r="AF581">
        <v>8.81</v>
      </c>
      <c r="AG581" t="s">
        <v>59</v>
      </c>
      <c r="AH581">
        <v>179772</v>
      </c>
      <c r="AI581" t="s">
        <v>60</v>
      </c>
      <c r="AJ581" t="s">
        <v>60</v>
      </c>
      <c r="AK581" t="s">
        <v>54</v>
      </c>
      <c r="AL581">
        <v>2024</v>
      </c>
      <c r="AM581" s="6" t="s">
        <v>736</v>
      </c>
      <c r="AN581" s="7">
        <v>163.41999999999999</v>
      </c>
      <c r="AO581" s="8">
        <f t="shared" si="27"/>
        <v>306.41249999999997</v>
      </c>
      <c r="AP581" s="8">
        <f t="shared" si="28"/>
        <v>340.42428749999993</v>
      </c>
      <c r="AQ581" s="9">
        <f t="shared" si="29"/>
        <v>496.35760874999994</v>
      </c>
    </row>
    <row r="582" spans="1:43" x14ac:dyDescent="0.25">
      <c r="A582">
        <v>16</v>
      </c>
      <c r="B582">
        <v>12</v>
      </c>
      <c r="C582">
        <v>2024</v>
      </c>
      <c r="D582" t="s">
        <v>43</v>
      </c>
      <c r="E582" t="s">
        <v>128</v>
      </c>
      <c r="F582" t="s">
        <v>129</v>
      </c>
      <c r="G582">
        <v>41</v>
      </c>
      <c r="H582">
        <v>1791882490001</v>
      </c>
      <c r="I582" t="s">
        <v>46</v>
      </c>
      <c r="J582" t="s">
        <v>65</v>
      </c>
      <c r="K582" t="s">
        <v>48</v>
      </c>
      <c r="L582" t="s">
        <v>49</v>
      </c>
      <c r="M582" t="s">
        <v>50</v>
      </c>
      <c r="N582" t="s">
        <v>51</v>
      </c>
      <c r="O582">
        <v>8421999000</v>
      </c>
      <c r="P582" t="s">
        <v>52</v>
      </c>
      <c r="Q582" t="s">
        <v>477</v>
      </c>
      <c r="R582" t="s">
        <v>54</v>
      </c>
      <c r="S582" t="s">
        <v>55</v>
      </c>
      <c r="T582">
        <v>9</v>
      </c>
      <c r="U582">
        <v>10</v>
      </c>
      <c r="V582" t="s">
        <v>135</v>
      </c>
      <c r="W582">
        <v>0</v>
      </c>
      <c r="X582">
        <v>1633.46</v>
      </c>
      <c r="Y582">
        <v>213.93</v>
      </c>
      <c r="Z582">
        <v>11.2</v>
      </c>
      <c r="AA582">
        <v>1858.59</v>
      </c>
      <c r="AB582" t="s">
        <v>57</v>
      </c>
      <c r="AC582" t="s">
        <v>131</v>
      </c>
      <c r="AD582" t="s">
        <v>48</v>
      </c>
      <c r="AE582">
        <v>0</v>
      </c>
      <c r="AF582">
        <v>19.89</v>
      </c>
      <c r="AG582" t="s">
        <v>59</v>
      </c>
      <c r="AH582">
        <v>325395</v>
      </c>
      <c r="AI582" t="s">
        <v>60</v>
      </c>
      <c r="AJ582" t="s">
        <v>78</v>
      </c>
      <c r="AK582" t="s">
        <v>54</v>
      </c>
      <c r="AL582">
        <v>2024</v>
      </c>
      <c r="AM582" s="6" t="s">
        <v>736</v>
      </c>
      <c r="AN582" s="7">
        <v>163.35</v>
      </c>
      <c r="AO582" s="8">
        <f t="shared" si="27"/>
        <v>306.28125</v>
      </c>
      <c r="AP582" s="8">
        <f t="shared" si="28"/>
        <v>340.27846875</v>
      </c>
      <c r="AQ582" s="9">
        <f t="shared" si="29"/>
        <v>496.14499687499995</v>
      </c>
    </row>
    <row r="583" spans="1:43" x14ac:dyDescent="0.25">
      <c r="A583">
        <v>3</v>
      </c>
      <c r="B583">
        <v>4</v>
      </c>
      <c r="C583">
        <v>2024</v>
      </c>
      <c r="D583" t="s">
        <v>43</v>
      </c>
      <c r="E583" t="s">
        <v>73</v>
      </c>
      <c r="F583" t="s">
        <v>74</v>
      </c>
      <c r="G583">
        <v>30</v>
      </c>
      <c r="H583">
        <v>1791882490001</v>
      </c>
      <c r="I583" t="s">
        <v>46</v>
      </c>
      <c r="J583" t="s">
        <v>48</v>
      </c>
      <c r="K583" t="s">
        <v>48</v>
      </c>
      <c r="L583" t="s">
        <v>49</v>
      </c>
      <c r="M583" t="s">
        <v>50</v>
      </c>
      <c r="N583" t="s">
        <v>51</v>
      </c>
      <c r="O583">
        <v>8481909090</v>
      </c>
      <c r="P583" t="s">
        <v>103</v>
      </c>
      <c r="Q583" t="s">
        <v>737</v>
      </c>
      <c r="R583" t="s">
        <v>54</v>
      </c>
      <c r="S583" t="s">
        <v>55</v>
      </c>
      <c r="T583">
        <v>6</v>
      </c>
      <c r="U583">
        <v>1</v>
      </c>
      <c r="V583" t="s">
        <v>135</v>
      </c>
      <c r="W583">
        <v>0</v>
      </c>
      <c r="X583">
        <v>99.57</v>
      </c>
      <c r="Y583">
        <v>11.63</v>
      </c>
      <c r="Z583">
        <v>0.65</v>
      </c>
      <c r="AA583">
        <v>111.85</v>
      </c>
      <c r="AB583" t="s">
        <v>57</v>
      </c>
      <c r="AC583" t="s">
        <v>58</v>
      </c>
      <c r="AD583" t="s">
        <v>48</v>
      </c>
      <c r="AE583">
        <v>0</v>
      </c>
      <c r="AF583">
        <v>1.33</v>
      </c>
      <c r="AG583" t="s">
        <v>59</v>
      </c>
      <c r="AH583">
        <v>438183</v>
      </c>
      <c r="AI583" t="s">
        <v>60</v>
      </c>
      <c r="AJ583" t="s">
        <v>60</v>
      </c>
      <c r="AK583" t="s">
        <v>54</v>
      </c>
      <c r="AL583">
        <v>2024</v>
      </c>
      <c r="AM583" s="6" t="s">
        <v>738</v>
      </c>
      <c r="AN583" s="7">
        <v>99.57</v>
      </c>
      <c r="AO583" s="8">
        <f t="shared" si="27"/>
        <v>186.69374999999999</v>
      </c>
      <c r="AP583" s="8">
        <f t="shared" si="28"/>
        <v>207.41675624999999</v>
      </c>
      <c r="AQ583" s="9">
        <f t="shared" si="29"/>
        <v>302.42520562499999</v>
      </c>
    </row>
    <row r="584" spans="1:43" x14ac:dyDescent="0.25">
      <c r="A584">
        <v>12</v>
      </c>
      <c r="B584">
        <v>6</v>
      </c>
      <c r="C584">
        <v>2024</v>
      </c>
      <c r="D584" t="s">
        <v>43</v>
      </c>
      <c r="E584" t="s">
        <v>96</v>
      </c>
      <c r="F584" t="s">
        <v>97</v>
      </c>
      <c r="G584">
        <v>30</v>
      </c>
      <c r="H584">
        <v>1791882490001</v>
      </c>
      <c r="I584" t="s">
        <v>46</v>
      </c>
      <c r="J584" t="s">
        <v>48</v>
      </c>
      <c r="K584" t="s">
        <v>48</v>
      </c>
      <c r="L584" t="s">
        <v>49</v>
      </c>
      <c r="M584" t="s">
        <v>50</v>
      </c>
      <c r="N584" t="s">
        <v>51</v>
      </c>
      <c r="O584">
        <v>8481909090</v>
      </c>
      <c r="P584" t="s">
        <v>103</v>
      </c>
      <c r="Q584" t="s">
        <v>739</v>
      </c>
      <c r="R584" t="s">
        <v>54</v>
      </c>
      <c r="S584" t="s">
        <v>55</v>
      </c>
      <c r="T584">
        <v>7</v>
      </c>
      <c r="U584">
        <v>8</v>
      </c>
      <c r="V584" t="s">
        <v>135</v>
      </c>
      <c r="W584">
        <v>0</v>
      </c>
      <c r="X584">
        <v>779.92</v>
      </c>
      <c r="Y584">
        <v>67.64</v>
      </c>
      <c r="Z584">
        <v>5.25</v>
      </c>
      <c r="AA584">
        <v>852.81</v>
      </c>
      <c r="AB584" t="s">
        <v>57</v>
      </c>
      <c r="AC584" t="s">
        <v>94</v>
      </c>
      <c r="AD584" t="s">
        <v>48</v>
      </c>
      <c r="AE584">
        <v>0</v>
      </c>
      <c r="AF584">
        <v>14.4</v>
      </c>
      <c r="AG584" t="s">
        <v>59</v>
      </c>
      <c r="AH584" t="s">
        <v>98</v>
      </c>
      <c r="AI584" t="s">
        <v>60</v>
      </c>
      <c r="AJ584" t="s">
        <v>60</v>
      </c>
      <c r="AK584" t="s">
        <v>54</v>
      </c>
      <c r="AL584">
        <v>2024</v>
      </c>
      <c r="AM584" s="6" t="s">
        <v>738</v>
      </c>
      <c r="AN584" s="7">
        <v>97.49</v>
      </c>
      <c r="AO584" s="8">
        <f t="shared" si="27"/>
        <v>182.79374999999999</v>
      </c>
      <c r="AP584" s="8">
        <f t="shared" si="28"/>
        <v>203.08385625</v>
      </c>
      <c r="AQ584" s="9">
        <f t="shared" si="29"/>
        <v>296.10759562499999</v>
      </c>
    </row>
    <row r="585" spans="1:43" x14ac:dyDescent="0.25">
      <c r="A585">
        <v>1</v>
      </c>
      <c r="B585">
        <v>2</v>
      </c>
      <c r="C585">
        <v>2024</v>
      </c>
      <c r="D585" t="s">
        <v>43</v>
      </c>
      <c r="E585" t="s">
        <v>174</v>
      </c>
      <c r="F585" t="s">
        <v>175</v>
      </c>
      <c r="G585">
        <v>23</v>
      </c>
      <c r="H585">
        <v>1791882490001</v>
      </c>
      <c r="I585" t="s">
        <v>46</v>
      </c>
      <c r="J585" t="s">
        <v>48</v>
      </c>
      <c r="K585" t="s">
        <v>48</v>
      </c>
      <c r="L585" t="s">
        <v>49</v>
      </c>
      <c r="M585" t="s">
        <v>50</v>
      </c>
      <c r="N585" t="s">
        <v>51</v>
      </c>
      <c r="O585">
        <v>8481909090</v>
      </c>
      <c r="P585" t="s">
        <v>103</v>
      </c>
      <c r="Q585" t="s">
        <v>740</v>
      </c>
      <c r="R585" t="s">
        <v>54</v>
      </c>
      <c r="S585" t="s">
        <v>55</v>
      </c>
      <c r="T585">
        <v>5</v>
      </c>
      <c r="U585">
        <v>15</v>
      </c>
      <c r="V585" t="s">
        <v>135</v>
      </c>
      <c r="W585">
        <v>0</v>
      </c>
      <c r="X585">
        <v>205.89</v>
      </c>
      <c r="Y585">
        <v>15.31</v>
      </c>
      <c r="Z585">
        <v>1.23</v>
      </c>
      <c r="AA585">
        <v>222.43</v>
      </c>
      <c r="AB585" t="s">
        <v>54</v>
      </c>
      <c r="AC585" t="s">
        <v>94</v>
      </c>
      <c r="AD585" t="s">
        <v>48</v>
      </c>
      <c r="AE585">
        <v>0</v>
      </c>
      <c r="AF585">
        <v>29.76</v>
      </c>
      <c r="AG585" t="s">
        <v>59</v>
      </c>
      <c r="AH585">
        <v>863266</v>
      </c>
      <c r="AI585" t="s">
        <v>60</v>
      </c>
      <c r="AJ585" t="s">
        <v>60</v>
      </c>
      <c r="AK585" t="s">
        <v>54</v>
      </c>
      <c r="AL585">
        <v>2023</v>
      </c>
      <c r="AM585" s="6" t="s">
        <v>741</v>
      </c>
      <c r="AN585" s="7">
        <v>13.73</v>
      </c>
      <c r="AO585" s="8">
        <f t="shared" si="27"/>
        <v>25.743750000000002</v>
      </c>
      <c r="AP585" s="8">
        <f t="shared" si="28"/>
        <v>28.60130625</v>
      </c>
      <c r="AQ585" s="9">
        <f t="shared" si="29"/>
        <v>41.702300624999999</v>
      </c>
    </row>
    <row r="586" spans="1:43" x14ac:dyDescent="0.25">
      <c r="A586">
        <v>3</v>
      </c>
      <c r="B586">
        <v>4</v>
      </c>
      <c r="C586">
        <v>2024</v>
      </c>
      <c r="D586" t="s">
        <v>43</v>
      </c>
      <c r="E586" t="s">
        <v>73</v>
      </c>
      <c r="F586" t="s">
        <v>74</v>
      </c>
      <c r="G586">
        <v>31</v>
      </c>
      <c r="H586">
        <v>1791882490001</v>
      </c>
      <c r="I586" t="s">
        <v>46</v>
      </c>
      <c r="J586" t="s">
        <v>48</v>
      </c>
      <c r="K586" t="s">
        <v>48</v>
      </c>
      <c r="L586" t="s">
        <v>49</v>
      </c>
      <c r="M586" t="s">
        <v>50</v>
      </c>
      <c r="N586" t="s">
        <v>51</v>
      </c>
      <c r="O586">
        <v>8481909090</v>
      </c>
      <c r="P586" t="s">
        <v>103</v>
      </c>
      <c r="Q586" t="s">
        <v>740</v>
      </c>
      <c r="R586" t="s">
        <v>54</v>
      </c>
      <c r="S586" t="s">
        <v>55</v>
      </c>
      <c r="T586">
        <v>6</v>
      </c>
      <c r="U586">
        <v>1</v>
      </c>
      <c r="V586" t="s">
        <v>135</v>
      </c>
      <c r="W586">
        <v>0</v>
      </c>
      <c r="X586">
        <v>14.89</v>
      </c>
      <c r="Y586">
        <v>1.74</v>
      </c>
      <c r="Z586">
        <v>0.1</v>
      </c>
      <c r="AA586">
        <v>16.72</v>
      </c>
      <c r="AB586" t="s">
        <v>57</v>
      </c>
      <c r="AC586" t="s">
        <v>58</v>
      </c>
      <c r="AD586" t="s">
        <v>48</v>
      </c>
      <c r="AE586">
        <v>0</v>
      </c>
      <c r="AF586">
        <v>1.33</v>
      </c>
      <c r="AG586" t="s">
        <v>59</v>
      </c>
      <c r="AH586">
        <v>438183</v>
      </c>
      <c r="AI586" t="s">
        <v>60</v>
      </c>
      <c r="AJ586" t="s">
        <v>60</v>
      </c>
      <c r="AK586" t="s">
        <v>54</v>
      </c>
      <c r="AL586">
        <v>2024</v>
      </c>
      <c r="AM586" s="6" t="s">
        <v>741</v>
      </c>
      <c r="AN586" s="7">
        <v>14.89</v>
      </c>
      <c r="AO586" s="8">
        <f t="shared" si="27"/>
        <v>27.918750000000003</v>
      </c>
      <c r="AP586" s="8">
        <f t="shared" si="28"/>
        <v>31.017731250000004</v>
      </c>
      <c r="AQ586" s="9">
        <f t="shared" si="29"/>
        <v>45.225583125</v>
      </c>
    </row>
    <row r="587" spans="1:43" x14ac:dyDescent="0.25">
      <c r="A587">
        <v>15</v>
      </c>
      <c r="B587">
        <v>4</v>
      </c>
      <c r="C587">
        <v>2024</v>
      </c>
      <c r="D587" t="s">
        <v>43</v>
      </c>
      <c r="E587" t="s">
        <v>63</v>
      </c>
      <c r="F587" t="s">
        <v>64</v>
      </c>
      <c r="G587">
        <v>40</v>
      </c>
      <c r="H587">
        <v>1791882490001</v>
      </c>
      <c r="I587" t="s">
        <v>46</v>
      </c>
      <c r="J587" t="s">
        <v>48</v>
      </c>
      <c r="K587" t="s">
        <v>48</v>
      </c>
      <c r="L587" t="s">
        <v>49</v>
      </c>
      <c r="M587" t="s">
        <v>50</v>
      </c>
      <c r="N587" t="s">
        <v>51</v>
      </c>
      <c r="O587">
        <v>8481909090</v>
      </c>
      <c r="P587" t="s">
        <v>103</v>
      </c>
      <c r="Q587" t="s">
        <v>742</v>
      </c>
      <c r="R587" t="s">
        <v>54</v>
      </c>
      <c r="S587" t="s">
        <v>55</v>
      </c>
      <c r="T587">
        <v>6</v>
      </c>
      <c r="U587">
        <v>10</v>
      </c>
      <c r="V587" t="s">
        <v>135</v>
      </c>
      <c r="W587">
        <v>0</v>
      </c>
      <c r="X587">
        <v>144.53</v>
      </c>
      <c r="Y587">
        <v>15.21</v>
      </c>
      <c r="Z587">
        <v>0.97</v>
      </c>
      <c r="AA587">
        <v>160.71</v>
      </c>
      <c r="AB587" t="s">
        <v>57</v>
      </c>
      <c r="AC587" t="s">
        <v>58</v>
      </c>
      <c r="AD587" t="s">
        <v>48</v>
      </c>
      <c r="AE587">
        <v>0</v>
      </c>
      <c r="AF587">
        <v>1.38</v>
      </c>
      <c r="AG587" t="s">
        <v>59</v>
      </c>
      <c r="AH587">
        <v>443965</v>
      </c>
      <c r="AI587" t="s">
        <v>60</v>
      </c>
      <c r="AJ587" t="s">
        <v>60</v>
      </c>
      <c r="AK587" t="s">
        <v>54</v>
      </c>
      <c r="AL587">
        <v>2024</v>
      </c>
      <c r="AM587" s="6" t="s">
        <v>741</v>
      </c>
      <c r="AN587" s="7">
        <v>14.45</v>
      </c>
      <c r="AO587" s="8">
        <f t="shared" si="27"/>
        <v>27.09375</v>
      </c>
      <c r="AP587" s="8">
        <f t="shared" si="28"/>
        <v>30.101156249999999</v>
      </c>
      <c r="AQ587" s="9">
        <f t="shared" si="29"/>
        <v>43.889165624999997</v>
      </c>
    </row>
    <row r="588" spans="1:43" x14ac:dyDescent="0.25">
      <c r="A588">
        <v>17</v>
      </c>
      <c r="B588">
        <v>5</v>
      </c>
      <c r="C588">
        <v>2024</v>
      </c>
      <c r="D588" t="s">
        <v>43</v>
      </c>
      <c r="E588" t="s">
        <v>79</v>
      </c>
      <c r="F588" t="s">
        <v>80</v>
      </c>
      <c r="G588">
        <v>33</v>
      </c>
      <c r="H588">
        <v>1791882490001</v>
      </c>
      <c r="I588" t="s">
        <v>46</v>
      </c>
      <c r="J588" t="s">
        <v>48</v>
      </c>
      <c r="K588" t="s">
        <v>48</v>
      </c>
      <c r="L588" t="s">
        <v>49</v>
      </c>
      <c r="M588" t="s">
        <v>50</v>
      </c>
      <c r="N588" t="s">
        <v>51</v>
      </c>
      <c r="O588">
        <v>8481909090</v>
      </c>
      <c r="P588" t="s">
        <v>103</v>
      </c>
      <c r="Q588" t="s">
        <v>740</v>
      </c>
      <c r="R588" t="s">
        <v>54</v>
      </c>
      <c r="S588" t="s">
        <v>55</v>
      </c>
      <c r="T588">
        <v>6</v>
      </c>
      <c r="U588">
        <v>10</v>
      </c>
      <c r="V588" t="s">
        <v>135</v>
      </c>
      <c r="W588">
        <v>0</v>
      </c>
      <c r="X588">
        <v>144.65</v>
      </c>
      <c r="Y588">
        <v>13.96</v>
      </c>
      <c r="Z588">
        <v>0.96</v>
      </c>
      <c r="AA588">
        <v>159.57</v>
      </c>
      <c r="AB588" t="s">
        <v>57</v>
      </c>
      <c r="AC588" t="s">
        <v>81</v>
      </c>
      <c r="AD588" t="s">
        <v>48</v>
      </c>
      <c r="AE588">
        <v>0</v>
      </c>
      <c r="AF588">
        <v>10.82</v>
      </c>
      <c r="AG588" t="s">
        <v>82</v>
      </c>
      <c r="AH588">
        <v>471463</v>
      </c>
      <c r="AI588" t="s">
        <v>60</v>
      </c>
      <c r="AJ588" t="s">
        <v>60</v>
      </c>
      <c r="AK588" t="s">
        <v>54</v>
      </c>
      <c r="AL588">
        <v>2024</v>
      </c>
      <c r="AM588" s="6" t="s">
        <v>741</v>
      </c>
      <c r="AN588" s="7">
        <v>14.46</v>
      </c>
      <c r="AO588" s="8">
        <f t="shared" si="27"/>
        <v>27.112500000000001</v>
      </c>
      <c r="AP588" s="8">
        <f t="shared" si="28"/>
        <v>30.121987499999999</v>
      </c>
      <c r="AQ588" s="9">
        <f t="shared" si="29"/>
        <v>43.919538750000001</v>
      </c>
    </row>
    <row r="589" spans="1:43" x14ac:dyDescent="0.25">
      <c r="A589">
        <v>8</v>
      </c>
      <c r="B589">
        <v>7</v>
      </c>
      <c r="C589">
        <v>2024</v>
      </c>
      <c r="D589" t="s">
        <v>43</v>
      </c>
      <c r="E589" t="s">
        <v>75</v>
      </c>
      <c r="F589" t="s">
        <v>76</v>
      </c>
      <c r="G589">
        <v>41</v>
      </c>
      <c r="H589">
        <v>1791882490001</v>
      </c>
      <c r="I589" t="s">
        <v>46</v>
      </c>
      <c r="J589" t="s">
        <v>48</v>
      </c>
      <c r="K589" t="s">
        <v>48</v>
      </c>
      <c r="L589" t="s">
        <v>49</v>
      </c>
      <c r="M589" t="s">
        <v>50</v>
      </c>
      <c r="N589" t="s">
        <v>51</v>
      </c>
      <c r="O589">
        <v>8481909090</v>
      </c>
      <c r="P589" t="s">
        <v>103</v>
      </c>
      <c r="Q589" t="s">
        <v>743</v>
      </c>
      <c r="R589" t="s">
        <v>54</v>
      </c>
      <c r="S589" t="s">
        <v>55</v>
      </c>
      <c r="T589">
        <v>8</v>
      </c>
      <c r="U589">
        <v>15</v>
      </c>
      <c r="V589" t="s">
        <v>135</v>
      </c>
      <c r="W589">
        <v>0</v>
      </c>
      <c r="X589">
        <v>225.06</v>
      </c>
      <c r="Y589">
        <v>19.23</v>
      </c>
      <c r="Z589">
        <v>1.46</v>
      </c>
      <c r="AA589">
        <v>245.75</v>
      </c>
      <c r="AB589" t="s">
        <v>57</v>
      </c>
      <c r="AC589" t="s">
        <v>77</v>
      </c>
      <c r="AD589" t="s">
        <v>48</v>
      </c>
      <c r="AE589">
        <v>0</v>
      </c>
      <c r="AF589">
        <v>1.49</v>
      </c>
      <c r="AG589" t="s">
        <v>59</v>
      </c>
      <c r="AH589">
        <v>107711</v>
      </c>
      <c r="AI589" t="s">
        <v>60</v>
      </c>
      <c r="AJ589" t="s">
        <v>78</v>
      </c>
      <c r="AK589" t="s">
        <v>54</v>
      </c>
      <c r="AL589">
        <v>2024</v>
      </c>
      <c r="AM589" s="6" t="s">
        <v>741</v>
      </c>
      <c r="AN589" s="7">
        <v>15</v>
      </c>
      <c r="AO589" s="8">
        <f t="shared" si="27"/>
        <v>28.125</v>
      </c>
      <c r="AP589" s="8">
        <f t="shared" si="28"/>
        <v>31.246874999999999</v>
      </c>
      <c r="AQ589" s="9">
        <f t="shared" si="29"/>
        <v>45.559687499999995</v>
      </c>
    </row>
    <row r="590" spans="1:43" x14ac:dyDescent="0.25">
      <c r="A590">
        <v>8</v>
      </c>
      <c r="B590">
        <v>7</v>
      </c>
      <c r="C590">
        <v>2024</v>
      </c>
      <c r="D590" t="s">
        <v>43</v>
      </c>
      <c r="E590" t="s">
        <v>75</v>
      </c>
      <c r="F590" t="s">
        <v>76</v>
      </c>
      <c r="G590">
        <v>41</v>
      </c>
      <c r="H590">
        <v>1791882490001</v>
      </c>
      <c r="I590" t="s">
        <v>46</v>
      </c>
      <c r="J590" t="s">
        <v>48</v>
      </c>
      <c r="K590" t="s">
        <v>48</v>
      </c>
      <c r="L590" t="s">
        <v>49</v>
      </c>
      <c r="M590" t="s">
        <v>50</v>
      </c>
      <c r="N590" t="s">
        <v>51</v>
      </c>
      <c r="O590">
        <v>8481909090</v>
      </c>
      <c r="P590" t="s">
        <v>103</v>
      </c>
      <c r="Q590" t="s">
        <v>743</v>
      </c>
      <c r="R590" t="s">
        <v>54</v>
      </c>
      <c r="S590" t="s">
        <v>55</v>
      </c>
      <c r="T590">
        <v>8</v>
      </c>
      <c r="U590">
        <v>15</v>
      </c>
      <c r="V590" t="s">
        <v>135</v>
      </c>
      <c r="W590">
        <v>0</v>
      </c>
      <c r="X590">
        <v>225.06</v>
      </c>
      <c r="Y590">
        <v>19.23</v>
      </c>
      <c r="Z590">
        <v>1.46</v>
      </c>
      <c r="AA590">
        <v>245.75</v>
      </c>
      <c r="AB590" t="s">
        <v>57</v>
      </c>
      <c r="AC590" t="s">
        <v>77</v>
      </c>
      <c r="AD590" t="s">
        <v>48</v>
      </c>
      <c r="AE590">
        <v>0</v>
      </c>
      <c r="AF590">
        <v>1.49</v>
      </c>
      <c r="AG590" t="s">
        <v>59</v>
      </c>
      <c r="AH590">
        <v>107711</v>
      </c>
      <c r="AI590" t="s">
        <v>60</v>
      </c>
      <c r="AJ590" t="s">
        <v>78</v>
      </c>
      <c r="AK590" t="s">
        <v>54</v>
      </c>
      <c r="AL590">
        <v>2024</v>
      </c>
      <c r="AM590" s="6" t="s">
        <v>741</v>
      </c>
      <c r="AN590" s="7">
        <v>15</v>
      </c>
      <c r="AO590" s="8">
        <f t="shared" si="27"/>
        <v>28.125</v>
      </c>
      <c r="AP590" s="8">
        <f t="shared" si="28"/>
        <v>31.246874999999999</v>
      </c>
      <c r="AQ590" s="9">
        <f t="shared" si="29"/>
        <v>45.559687499999995</v>
      </c>
    </row>
    <row r="591" spans="1:43" x14ac:dyDescent="0.25">
      <c r="A591">
        <v>16</v>
      </c>
      <c r="B591">
        <v>12</v>
      </c>
      <c r="C591">
        <v>2024</v>
      </c>
      <c r="D591" t="s">
        <v>43</v>
      </c>
      <c r="E591" t="s">
        <v>128</v>
      </c>
      <c r="F591" t="s">
        <v>129</v>
      </c>
      <c r="G591">
        <v>42</v>
      </c>
      <c r="H591">
        <v>1791882490001</v>
      </c>
      <c r="I591" t="s">
        <v>46</v>
      </c>
      <c r="J591" t="s">
        <v>48</v>
      </c>
      <c r="K591" t="s">
        <v>48</v>
      </c>
      <c r="L591" t="s">
        <v>49</v>
      </c>
      <c r="M591" t="s">
        <v>50</v>
      </c>
      <c r="N591" t="s">
        <v>51</v>
      </c>
      <c r="O591">
        <v>8481909090</v>
      </c>
      <c r="P591" t="s">
        <v>284</v>
      </c>
      <c r="Q591" t="s">
        <v>710</v>
      </c>
      <c r="R591" t="s">
        <v>54</v>
      </c>
      <c r="S591" t="s">
        <v>55</v>
      </c>
      <c r="T591">
        <v>9</v>
      </c>
      <c r="U591">
        <v>1</v>
      </c>
      <c r="V591" t="s">
        <v>135</v>
      </c>
      <c r="W591">
        <v>0</v>
      </c>
      <c r="X591">
        <v>206.91</v>
      </c>
      <c r="Y591">
        <v>27.1</v>
      </c>
      <c r="Z591">
        <v>1.42</v>
      </c>
      <c r="AA591">
        <v>235.43</v>
      </c>
      <c r="AB591" t="s">
        <v>57</v>
      </c>
      <c r="AC591" t="s">
        <v>131</v>
      </c>
      <c r="AD591" t="s">
        <v>48</v>
      </c>
      <c r="AE591">
        <v>0</v>
      </c>
      <c r="AF591">
        <v>1.99</v>
      </c>
      <c r="AG591" t="s">
        <v>59</v>
      </c>
      <c r="AH591">
        <v>325395</v>
      </c>
      <c r="AI591" t="s">
        <v>60</v>
      </c>
      <c r="AJ591" t="s">
        <v>78</v>
      </c>
      <c r="AK591" t="s">
        <v>54</v>
      </c>
      <c r="AL591">
        <v>2024</v>
      </c>
      <c r="AM591" s="6" t="s">
        <v>744</v>
      </c>
      <c r="AN591" s="7">
        <v>206.91</v>
      </c>
      <c r="AO591" s="8">
        <f t="shared" si="27"/>
        <v>387.95625000000001</v>
      </c>
      <c r="AP591" s="8">
        <f t="shared" si="28"/>
        <v>431.01939375000001</v>
      </c>
      <c r="AQ591" s="9">
        <f t="shared" si="29"/>
        <v>628.45032937500002</v>
      </c>
    </row>
    <row r="592" spans="1:43" x14ac:dyDescent="0.25">
      <c r="A592">
        <v>19</v>
      </c>
      <c r="B592">
        <v>8</v>
      </c>
      <c r="C592">
        <v>2024</v>
      </c>
      <c r="D592" t="s">
        <v>43</v>
      </c>
      <c r="E592" t="s">
        <v>84</v>
      </c>
      <c r="F592" t="s">
        <v>85</v>
      </c>
      <c r="G592">
        <v>33</v>
      </c>
      <c r="H592">
        <v>1791882490001</v>
      </c>
      <c r="I592" t="s">
        <v>46</v>
      </c>
      <c r="J592" t="s">
        <v>48</v>
      </c>
      <c r="K592" t="s">
        <v>48</v>
      </c>
      <c r="L592" t="s">
        <v>49</v>
      </c>
      <c r="M592" t="s">
        <v>50</v>
      </c>
      <c r="N592" t="s">
        <v>51</v>
      </c>
      <c r="O592">
        <v>8482800000</v>
      </c>
      <c r="P592" t="s">
        <v>745</v>
      </c>
      <c r="Q592" t="s">
        <v>455</v>
      </c>
      <c r="R592" t="s">
        <v>54</v>
      </c>
      <c r="S592" t="s">
        <v>55</v>
      </c>
      <c r="T592">
        <v>6</v>
      </c>
      <c r="U592">
        <v>1</v>
      </c>
      <c r="V592" t="s">
        <v>135</v>
      </c>
      <c r="W592">
        <v>0</v>
      </c>
      <c r="X592">
        <v>2016.06</v>
      </c>
      <c r="Y592">
        <v>260.13</v>
      </c>
      <c r="Z592">
        <v>13.79</v>
      </c>
      <c r="AA592">
        <v>2289.9899999999998</v>
      </c>
      <c r="AB592" t="s">
        <v>57</v>
      </c>
      <c r="AC592" t="s">
        <v>58</v>
      </c>
      <c r="AD592" t="s">
        <v>48</v>
      </c>
      <c r="AE592">
        <v>0</v>
      </c>
      <c r="AF592">
        <v>1.39</v>
      </c>
      <c r="AG592" t="s">
        <v>59</v>
      </c>
      <c r="AH592">
        <v>144527</v>
      </c>
      <c r="AI592" t="s">
        <v>60</v>
      </c>
      <c r="AJ592" t="s">
        <v>60</v>
      </c>
      <c r="AK592" t="s">
        <v>54</v>
      </c>
      <c r="AL592">
        <v>2024</v>
      </c>
      <c r="AM592" s="6" t="s">
        <v>746</v>
      </c>
      <c r="AN592" s="7">
        <v>2016.06</v>
      </c>
      <c r="AO592" s="8">
        <f t="shared" si="27"/>
        <v>3780.1124999999997</v>
      </c>
      <c r="AP592" s="8">
        <f t="shared" si="28"/>
        <v>4199.7049874999993</v>
      </c>
      <c r="AQ592" s="9">
        <f t="shared" si="29"/>
        <v>6123.4042387499994</v>
      </c>
    </row>
    <row r="593" spans="1:43" x14ac:dyDescent="0.25">
      <c r="A593">
        <v>28</v>
      </c>
      <c r="B593">
        <v>8</v>
      </c>
      <c r="C593">
        <v>2024</v>
      </c>
      <c r="D593" t="s">
        <v>43</v>
      </c>
      <c r="E593" t="s">
        <v>91</v>
      </c>
      <c r="F593" t="s">
        <v>92</v>
      </c>
      <c r="G593">
        <v>30</v>
      </c>
      <c r="H593">
        <v>1791882490001</v>
      </c>
      <c r="I593" t="s">
        <v>46</v>
      </c>
      <c r="J593" t="s">
        <v>48</v>
      </c>
      <c r="K593" t="s">
        <v>48</v>
      </c>
      <c r="L593" t="s">
        <v>49</v>
      </c>
      <c r="M593" t="s">
        <v>50</v>
      </c>
      <c r="N593" t="s">
        <v>51</v>
      </c>
      <c r="O593">
        <v>8482200000</v>
      </c>
      <c r="P593" t="s">
        <v>747</v>
      </c>
      <c r="Q593" t="s">
        <v>455</v>
      </c>
      <c r="R593" t="s">
        <v>54</v>
      </c>
      <c r="S593" t="s">
        <v>55</v>
      </c>
      <c r="T593">
        <v>8</v>
      </c>
      <c r="U593">
        <v>1</v>
      </c>
      <c r="V593" t="s">
        <v>135</v>
      </c>
      <c r="W593">
        <v>0</v>
      </c>
      <c r="X593">
        <v>2011.61</v>
      </c>
      <c r="Y593">
        <v>222.26</v>
      </c>
      <c r="Z593">
        <v>13.53</v>
      </c>
      <c r="AA593">
        <v>2247.4</v>
      </c>
      <c r="AB593" t="s">
        <v>57</v>
      </c>
      <c r="AC593" t="s">
        <v>94</v>
      </c>
      <c r="AD593" t="s">
        <v>48</v>
      </c>
      <c r="AE593">
        <v>0</v>
      </c>
      <c r="AF593">
        <v>23.15</v>
      </c>
      <c r="AG593" t="s">
        <v>59</v>
      </c>
      <c r="AH593">
        <v>150511</v>
      </c>
      <c r="AI593" t="s">
        <v>60</v>
      </c>
      <c r="AJ593" t="s">
        <v>60</v>
      </c>
      <c r="AK593" t="s">
        <v>54</v>
      </c>
      <c r="AL593">
        <v>2024</v>
      </c>
      <c r="AM593" s="6" t="s">
        <v>746</v>
      </c>
      <c r="AN593" s="7">
        <v>2011.61</v>
      </c>
      <c r="AO593" s="8">
        <f t="shared" si="27"/>
        <v>3771.7687499999997</v>
      </c>
      <c r="AP593" s="8">
        <f t="shared" si="28"/>
        <v>4190.4350812499997</v>
      </c>
      <c r="AQ593" s="9">
        <f t="shared" si="29"/>
        <v>6109.8881981249988</v>
      </c>
    </row>
    <row r="594" spans="1:43" x14ac:dyDescent="0.25">
      <c r="A594">
        <v>10</v>
      </c>
      <c r="B594">
        <v>10</v>
      </c>
      <c r="C594">
        <v>2024</v>
      </c>
      <c r="D594" t="s">
        <v>43</v>
      </c>
      <c r="E594" t="s">
        <v>44</v>
      </c>
      <c r="F594" t="s">
        <v>45</v>
      </c>
      <c r="G594">
        <v>43</v>
      </c>
      <c r="H594">
        <v>1791882490001</v>
      </c>
      <c r="I594" t="s">
        <v>46</v>
      </c>
      <c r="J594" t="s">
        <v>48</v>
      </c>
      <c r="K594" t="s">
        <v>48</v>
      </c>
      <c r="L594" t="s">
        <v>49</v>
      </c>
      <c r="M594" t="s">
        <v>50</v>
      </c>
      <c r="N594" t="s">
        <v>51</v>
      </c>
      <c r="O594">
        <v>8482800000</v>
      </c>
      <c r="P594" t="s">
        <v>748</v>
      </c>
      <c r="Q594" t="s">
        <v>455</v>
      </c>
      <c r="R594" t="s">
        <v>54</v>
      </c>
      <c r="S594" t="s">
        <v>55</v>
      </c>
      <c r="T594">
        <v>7</v>
      </c>
      <c r="U594">
        <v>1</v>
      </c>
      <c r="V594" t="s">
        <v>135</v>
      </c>
      <c r="W594">
        <v>0</v>
      </c>
      <c r="X594">
        <v>2037.78</v>
      </c>
      <c r="Y594">
        <v>356.05</v>
      </c>
      <c r="Z594">
        <v>14.69</v>
      </c>
      <c r="AA594">
        <v>2408.52</v>
      </c>
      <c r="AB594" t="s">
        <v>57</v>
      </c>
      <c r="AC594" t="s">
        <v>58</v>
      </c>
      <c r="AD594" t="s">
        <v>48</v>
      </c>
      <c r="AE594">
        <v>0</v>
      </c>
      <c r="AF594">
        <v>32.78</v>
      </c>
      <c r="AG594" t="s">
        <v>59</v>
      </c>
      <c r="AH594">
        <v>179772</v>
      </c>
      <c r="AI594" t="s">
        <v>60</v>
      </c>
      <c r="AJ594" t="s">
        <v>60</v>
      </c>
      <c r="AK594" t="s">
        <v>54</v>
      </c>
      <c r="AL594">
        <v>2024</v>
      </c>
      <c r="AM594" s="6" t="s">
        <v>746</v>
      </c>
      <c r="AN594" s="7">
        <v>2037.78</v>
      </c>
      <c r="AO594" s="8">
        <f t="shared" si="27"/>
        <v>3820.8375000000001</v>
      </c>
      <c r="AP594" s="8">
        <f t="shared" si="28"/>
        <v>4244.9504625</v>
      </c>
      <c r="AQ594" s="9">
        <f t="shared" si="29"/>
        <v>6189.3746662499998</v>
      </c>
    </row>
    <row r="595" spans="1:43" x14ac:dyDescent="0.25">
      <c r="A595">
        <v>16</v>
      </c>
      <c r="B595">
        <v>12</v>
      </c>
      <c r="C595">
        <v>2024</v>
      </c>
      <c r="D595" t="s">
        <v>43</v>
      </c>
      <c r="E595" t="s">
        <v>128</v>
      </c>
      <c r="F595" t="s">
        <v>129</v>
      </c>
      <c r="G595">
        <v>43</v>
      </c>
      <c r="H595">
        <v>1791882490001</v>
      </c>
      <c r="I595" t="s">
        <v>46</v>
      </c>
      <c r="J595" t="s">
        <v>48</v>
      </c>
      <c r="K595" t="s">
        <v>48</v>
      </c>
      <c r="L595" t="s">
        <v>49</v>
      </c>
      <c r="M595" t="s">
        <v>50</v>
      </c>
      <c r="N595" t="s">
        <v>51</v>
      </c>
      <c r="O595">
        <v>8482800000</v>
      </c>
      <c r="P595" t="s">
        <v>748</v>
      </c>
      <c r="Q595" t="s">
        <v>455</v>
      </c>
      <c r="R595" t="s">
        <v>54</v>
      </c>
      <c r="S595" t="s">
        <v>55</v>
      </c>
      <c r="T595">
        <v>9</v>
      </c>
      <c r="U595">
        <v>1</v>
      </c>
      <c r="V595" t="s">
        <v>135</v>
      </c>
      <c r="W595">
        <v>0</v>
      </c>
      <c r="X595">
        <v>2036.88</v>
      </c>
      <c r="Y595">
        <v>266.76</v>
      </c>
      <c r="Z595">
        <v>13.97</v>
      </c>
      <c r="AA595">
        <v>2317.61</v>
      </c>
      <c r="AB595" t="s">
        <v>57</v>
      </c>
      <c r="AC595" t="s">
        <v>131</v>
      </c>
      <c r="AD595" t="s">
        <v>48</v>
      </c>
      <c r="AE595">
        <v>0</v>
      </c>
      <c r="AF595">
        <v>1.99</v>
      </c>
      <c r="AG595" t="s">
        <v>59</v>
      </c>
      <c r="AH595">
        <v>325395</v>
      </c>
      <c r="AI595" t="s">
        <v>60</v>
      </c>
      <c r="AJ595" t="s">
        <v>78</v>
      </c>
      <c r="AK595" t="s">
        <v>54</v>
      </c>
      <c r="AL595">
        <v>2024</v>
      </c>
      <c r="AM595" s="6" t="s">
        <v>746</v>
      </c>
      <c r="AN595" s="7">
        <v>2036.88</v>
      </c>
      <c r="AO595" s="8">
        <f t="shared" si="27"/>
        <v>3819.15</v>
      </c>
      <c r="AP595" s="8">
        <f t="shared" si="28"/>
        <v>4243.0756499999998</v>
      </c>
      <c r="AQ595" s="9">
        <f t="shared" si="29"/>
        <v>6186.6410850000002</v>
      </c>
    </row>
    <row r="596" spans="1:43" x14ac:dyDescent="0.25">
      <c r="A596">
        <v>17</v>
      </c>
      <c r="B596">
        <v>5</v>
      </c>
      <c r="C596">
        <v>2024</v>
      </c>
      <c r="D596" t="s">
        <v>43</v>
      </c>
      <c r="E596" t="s">
        <v>79</v>
      </c>
      <c r="F596" t="s">
        <v>80</v>
      </c>
      <c r="G596">
        <v>34</v>
      </c>
      <c r="H596">
        <v>1791882490001</v>
      </c>
      <c r="I596" t="s">
        <v>46</v>
      </c>
      <c r="J596" t="s">
        <v>133</v>
      </c>
      <c r="K596" t="s">
        <v>48</v>
      </c>
      <c r="L596" t="s">
        <v>49</v>
      </c>
      <c r="M596" t="s">
        <v>50</v>
      </c>
      <c r="N596" t="s">
        <v>51</v>
      </c>
      <c r="O596">
        <v>8481909090</v>
      </c>
      <c r="P596" t="s">
        <v>103</v>
      </c>
      <c r="Q596" t="s">
        <v>749</v>
      </c>
      <c r="R596" t="s">
        <v>54</v>
      </c>
      <c r="S596" t="s">
        <v>55</v>
      </c>
      <c r="T596">
        <v>6</v>
      </c>
      <c r="U596">
        <v>4</v>
      </c>
      <c r="V596" t="s">
        <v>135</v>
      </c>
      <c r="W596">
        <v>0</v>
      </c>
      <c r="X596">
        <v>543.25</v>
      </c>
      <c r="Y596">
        <v>52.45</v>
      </c>
      <c r="Z596">
        <v>3.62</v>
      </c>
      <c r="AA596">
        <v>599.30999999999995</v>
      </c>
      <c r="AB596" t="s">
        <v>57</v>
      </c>
      <c r="AC596" t="s">
        <v>81</v>
      </c>
      <c r="AD596" t="s">
        <v>48</v>
      </c>
      <c r="AE596">
        <v>0</v>
      </c>
      <c r="AF596">
        <v>4.33</v>
      </c>
      <c r="AG596" t="s">
        <v>82</v>
      </c>
      <c r="AH596">
        <v>471463</v>
      </c>
      <c r="AI596" t="s">
        <v>60</v>
      </c>
      <c r="AJ596" t="s">
        <v>60</v>
      </c>
      <c r="AK596" t="s">
        <v>54</v>
      </c>
      <c r="AL596">
        <v>2024</v>
      </c>
      <c r="AM596" s="6" t="s">
        <v>750</v>
      </c>
      <c r="AN596" s="7">
        <v>135.81</v>
      </c>
      <c r="AO596" s="8">
        <f t="shared" si="27"/>
        <v>254.64375000000001</v>
      </c>
      <c r="AP596" s="8">
        <f t="shared" si="28"/>
        <v>282.90920625000001</v>
      </c>
      <c r="AQ596" s="9">
        <f t="shared" si="29"/>
        <v>412.49741062499999</v>
      </c>
    </row>
    <row r="597" spans="1:43" x14ac:dyDescent="0.25">
      <c r="A597">
        <v>10</v>
      </c>
      <c r="B597">
        <v>10</v>
      </c>
      <c r="C597">
        <v>2024</v>
      </c>
      <c r="D597" t="s">
        <v>43</v>
      </c>
      <c r="E597" t="s">
        <v>44</v>
      </c>
      <c r="F597" t="s">
        <v>45</v>
      </c>
      <c r="G597">
        <v>44</v>
      </c>
      <c r="H597">
        <v>1791882490001</v>
      </c>
      <c r="I597" t="s">
        <v>46</v>
      </c>
      <c r="J597" t="s">
        <v>133</v>
      </c>
      <c r="K597" t="s">
        <v>48</v>
      </c>
      <c r="L597" t="s">
        <v>49</v>
      </c>
      <c r="M597" t="s">
        <v>50</v>
      </c>
      <c r="N597" t="s">
        <v>51</v>
      </c>
      <c r="O597">
        <v>8481909090</v>
      </c>
      <c r="P597" t="s">
        <v>284</v>
      </c>
      <c r="Q597" t="s">
        <v>751</v>
      </c>
      <c r="R597" t="s">
        <v>54</v>
      </c>
      <c r="S597" t="s">
        <v>55</v>
      </c>
      <c r="T597">
        <v>7</v>
      </c>
      <c r="U597">
        <v>5</v>
      </c>
      <c r="V597" t="s">
        <v>135</v>
      </c>
      <c r="W597">
        <v>0</v>
      </c>
      <c r="X597">
        <v>685.64</v>
      </c>
      <c r="Y597">
        <v>119.8</v>
      </c>
      <c r="Z597">
        <v>4.9400000000000004</v>
      </c>
      <c r="AA597">
        <v>810.38</v>
      </c>
      <c r="AB597" t="s">
        <v>57</v>
      </c>
      <c r="AC597" t="s">
        <v>58</v>
      </c>
      <c r="AD597" t="s">
        <v>48</v>
      </c>
      <c r="AE597">
        <v>0</v>
      </c>
      <c r="AF597">
        <v>7.4</v>
      </c>
      <c r="AG597" t="s">
        <v>59</v>
      </c>
      <c r="AH597">
        <v>179772</v>
      </c>
      <c r="AI597" t="s">
        <v>60</v>
      </c>
      <c r="AJ597" t="s">
        <v>60</v>
      </c>
      <c r="AK597" t="s">
        <v>54</v>
      </c>
      <c r="AL597">
        <v>2024</v>
      </c>
      <c r="AM597" s="6" t="s">
        <v>750</v>
      </c>
      <c r="AN597" s="7">
        <v>137.13</v>
      </c>
      <c r="AO597" s="8">
        <f t="shared" si="27"/>
        <v>257.11874999999998</v>
      </c>
      <c r="AP597" s="8">
        <f t="shared" si="28"/>
        <v>285.65893124999997</v>
      </c>
      <c r="AQ597" s="9">
        <f t="shared" si="29"/>
        <v>416.50666312499993</v>
      </c>
    </row>
    <row r="598" spans="1:43" x14ac:dyDescent="0.25">
      <c r="A598">
        <v>10</v>
      </c>
      <c r="B598">
        <v>10</v>
      </c>
      <c r="C598">
        <v>2024</v>
      </c>
      <c r="D598" t="s">
        <v>43</v>
      </c>
      <c r="E598" t="s">
        <v>44</v>
      </c>
      <c r="F598" t="s">
        <v>45</v>
      </c>
      <c r="G598">
        <v>45</v>
      </c>
      <c r="H598">
        <v>1791882490001</v>
      </c>
      <c r="I598" t="s">
        <v>46</v>
      </c>
      <c r="J598" t="s">
        <v>48</v>
      </c>
      <c r="K598" t="s">
        <v>48</v>
      </c>
      <c r="L598" t="s">
        <v>49</v>
      </c>
      <c r="M598" t="s">
        <v>50</v>
      </c>
      <c r="N598" t="s">
        <v>51</v>
      </c>
      <c r="O598">
        <v>8484900000</v>
      </c>
      <c r="P598" t="s">
        <v>221</v>
      </c>
      <c r="Q598" t="s">
        <v>752</v>
      </c>
      <c r="R598" t="s">
        <v>54</v>
      </c>
      <c r="S598" t="s">
        <v>55</v>
      </c>
      <c r="T598">
        <v>7</v>
      </c>
      <c r="U598">
        <v>2</v>
      </c>
      <c r="V598" t="s">
        <v>135</v>
      </c>
      <c r="W598">
        <v>0</v>
      </c>
      <c r="X598">
        <v>59.47</v>
      </c>
      <c r="Y598">
        <v>10.39</v>
      </c>
      <c r="Z598">
        <v>0.43</v>
      </c>
      <c r="AA598">
        <v>70.290000000000006</v>
      </c>
      <c r="AB598" t="s">
        <v>57</v>
      </c>
      <c r="AC598" t="s">
        <v>58</v>
      </c>
      <c r="AD598" t="s">
        <v>48</v>
      </c>
      <c r="AE598">
        <v>0</v>
      </c>
      <c r="AF598">
        <v>0.64</v>
      </c>
      <c r="AG598" t="s">
        <v>59</v>
      </c>
      <c r="AH598">
        <v>179772</v>
      </c>
      <c r="AI598" t="s">
        <v>60</v>
      </c>
      <c r="AJ598" t="s">
        <v>60</v>
      </c>
      <c r="AK598" t="s">
        <v>54</v>
      </c>
      <c r="AL598">
        <v>2024</v>
      </c>
      <c r="AM598" s="6" t="s">
        <v>753</v>
      </c>
      <c r="AN598" s="7">
        <v>29.74</v>
      </c>
      <c r="AO598" s="8">
        <f t="shared" si="27"/>
        <v>55.762499999999996</v>
      </c>
      <c r="AP598" s="8">
        <f t="shared" si="28"/>
        <v>61.952137499999992</v>
      </c>
      <c r="AQ598" s="9">
        <f t="shared" si="29"/>
        <v>90.329673749999984</v>
      </c>
    </row>
    <row r="599" spans="1:43" x14ac:dyDescent="0.25">
      <c r="A599">
        <v>8</v>
      </c>
      <c r="B599">
        <v>4</v>
      </c>
      <c r="C599">
        <v>2024</v>
      </c>
      <c r="D599" t="s">
        <v>43</v>
      </c>
      <c r="E599" t="s">
        <v>355</v>
      </c>
      <c r="F599" t="s">
        <v>356</v>
      </c>
      <c r="G599">
        <v>11</v>
      </c>
      <c r="H599">
        <v>1791882490001</v>
      </c>
      <c r="I599" t="s">
        <v>46</v>
      </c>
      <c r="J599" t="s">
        <v>48</v>
      </c>
      <c r="K599" t="s">
        <v>48</v>
      </c>
      <c r="L599" t="s">
        <v>119</v>
      </c>
      <c r="M599" t="s">
        <v>120</v>
      </c>
      <c r="N599" t="s">
        <v>121</v>
      </c>
      <c r="O599">
        <v>8421999000</v>
      </c>
      <c r="P599" t="s">
        <v>66</v>
      </c>
      <c r="Q599" t="s">
        <v>754</v>
      </c>
      <c r="R599" t="s">
        <v>54</v>
      </c>
      <c r="S599" t="s">
        <v>55</v>
      </c>
      <c r="T599">
        <v>10</v>
      </c>
      <c r="U599">
        <v>2</v>
      </c>
      <c r="V599" t="s">
        <v>135</v>
      </c>
      <c r="W599">
        <v>0</v>
      </c>
      <c r="X599">
        <v>411.17</v>
      </c>
      <c r="Y599">
        <v>20.56</v>
      </c>
      <c r="Z599">
        <v>2.63</v>
      </c>
      <c r="AA599">
        <v>434.36</v>
      </c>
      <c r="AB599" t="s">
        <v>359</v>
      </c>
      <c r="AC599" t="s">
        <v>125</v>
      </c>
      <c r="AD599" t="s">
        <v>48</v>
      </c>
      <c r="AE599">
        <v>1</v>
      </c>
      <c r="AF599">
        <v>27.25</v>
      </c>
      <c r="AG599" t="s">
        <v>59</v>
      </c>
      <c r="AH599">
        <v>882904</v>
      </c>
      <c r="AI599" t="s">
        <v>60</v>
      </c>
      <c r="AJ599" t="s">
        <v>60</v>
      </c>
      <c r="AK599" t="s">
        <v>54</v>
      </c>
      <c r="AL599">
        <v>2024</v>
      </c>
      <c r="AM599" s="6" t="s">
        <v>755</v>
      </c>
      <c r="AN599" s="7">
        <v>205.59</v>
      </c>
      <c r="AO599" s="8">
        <f t="shared" si="27"/>
        <v>385.48124999999999</v>
      </c>
      <c r="AP599" s="8">
        <f t="shared" si="28"/>
        <v>428.26966874999999</v>
      </c>
      <c r="AQ599" s="9">
        <f t="shared" si="29"/>
        <v>624.44107687499991</v>
      </c>
    </row>
    <row r="600" spans="1:43" x14ac:dyDescent="0.25">
      <c r="A600">
        <v>17</v>
      </c>
      <c r="B600">
        <v>5</v>
      </c>
      <c r="C600">
        <v>2024</v>
      </c>
      <c r="D600" t="s">
        <v>43</v>
      </c>
      <c r="E600" t="s">
        <v>79</v>
      </c>
      <c r="F600" t="s">
        <v>80</v>
      </c>
      <c r="G600">
        <v>35</v>
      </c>
      <c r="H600">
        <v>1791882490001</v>
      </c>
      <c r="I600" t="s">
        <v>46</v>
      </c>
      <c r="J600" t="s">
        <v>48</v>
      </c>
      <c r="K600" t="s">
        <v>48</v>
      </c>
      <c r="L600" t="s">
        <v>49</v>
      </c>
      <c r="M600" t="s">
        <v>50</v>
      </c>
      <c r="N600" t="s">
        <v>51</v>
      </c>
      <c r="O600">
        <v>8421999000</v>
      </c>
      <c r="P600" t="s">
        <v>66</v>
      </c>
      <c r="Q600" t="s">
        <v>756</v>
      </c>
      <c r="R600" t="s">
        <v>54</v>
      </c>
      <c r="S600" t="s">
        <v>55</v>
      </c>
      <c r="T600">
        <v>6</v>
      </c>
      <c r="U600">
        <v>1</v>
      </c>
      <c r="V600" t="s">
        <v>135</v>
      </c>
      <c r="W600">
        <v>0</v>
      </c>
      <c r="X600">
        <v>228.04</v>
      </c>
      <c r="Y600">
        <v>22.01</v>
      </c>
      <c r="Z600">
        <v>1.52</v>
      </c>
      <c r="AA600">
        <v>251.57</v>
      </c>
      <c r="AB600" t="s">
        <v>57</v>
      </c>
      <c r="AC600" t="s">
        <v>81</v>
      </c>
      <c r="AD600" t="s">
        <v>48</v>
      </c>
      <c r="AE600">
        <v>0</v>
      </c>
      <c r="AF600">
        <v>1.08</v>
      </c>
      <c r="AG600" t="s">
        <v>82</v>
      </c>
      <c r="AH600">
        <v>471463</v>
      </c>
      <c r="AI600" t="s">
        <v>60</v>
      </c>
      <c r="AJ600" t="s">
        <v>60</v>
      </c>
      <c r="AK600" t="s">
        <v>54</v>
      </c>
      <c r="AL600">
        <v>2024</v>
      </c>
      <c r="AM600" s="6" t="s">
        <v>755</v>
      </c>
      <c r="AN600" s="7">
        <v>228.04</v>
      </c>
      <c r="AO600" s="8">
        <f t="shared" si="27"/>
        <v>427.57499999999999</v>
      </c>
      <c r="AP600" s="8">
        <f t="shared" si="28"/>
        <v>475.03582499999999</v>
      </c>
      <c r="AQ600" s="9">
        <f t="shared" si="29"/>
        <v>692.62874249999993</v>
      </c>
    </row>
    <row r="601" spans="1:43" x14ac:dyDescent="0.25">
      <c r="A601">
        <v>17</v>
      </c>
      <c r="B601">
        <v>5</v>
      </c>
      <c r="C601">
        <v>2024</v>
      </c>
      <c r="D601" t="s">
        <v>43</v>
      </c>
      <c r="E601" t="s">
        <v>79</v>
      </c>
      <c r="F601" t="s">
        <v>80</v>
      </c>
      <c r="G601">
        <v>36</v>
      </c>
      <c r="H601">
        <v>1791882490001</v>
      </c>
      <c r="I601" t="s">
        <v>46</v>
      </c>
      <c r="J601" t="s">
        <v>48</v>
      </c>
      <c r="K601" t="s">
        <v>48</v>
      </c>
      <c r="L601" t="s">
        <v>49</v>
      </c>
      <c r="M601" t="s">
        <v>50</v>
      </c>
      <c r="N601" t="s">
        <v>51</v>
      </c>
      <c r="O601">
        <v>8421999000</v>
      </c>
      <c r="P601" t="s">
        <v>66</v>
      </c>
      <c r="Q601" t="s">
        <v>756</v>
      </c>
      <c r="R601" t="s">
        <v>54</v>
      </c>
      <c r="S601" t="s">
        <v>55</v>
      </c>
      <c r="T601">
        <v>6</v>
      </c>
      <c r="U601">
        <v>1</v>
      </c>
      <c r="V601" t="s">
        <v>135</v>
      </c>
      <c r="W601">
        <v>0</v>
      </c>
      <c r="X601">
        <v>228.04</v>
      </c>
      <c r="Y601">
        <v>22.01</v>
      </c>
      <c r="Z601">
        <v>1.52</v>
      </c>
      <c r="AA601">
        <v>251.57</v>
      </c>
      <c r="AB601" t="s">
        <v>57</v>
      </c>
      <c r="AC601" t="s">
        <v>81</v>
      </c>
      <c r="AD601" t="s">
        <v>48</v>
      </c>
      <c r="AE601">
        <v>0</v>
      </c>
      <c r="AF601">
        <v>1.08</v>
      </c>
      <c r="AG601" t="s">
        <v>82</v>
      </c>
      <c r="AH601">
        <v>471463</v>
      </c>
      <c r="AI601" t="s">
        <v>60</v>
      </c>
      <c r="AJ601" t="s">
        <v>60</v>
      </c>
      <c r="AK601" t="s">
        <v>54</v>
      </c>
      <c r="AL601">
        <v>2024</v>
      </c>
      <c r="AM601" s="6" t="s">
        <v>755</v>
      </c>
      <c r="AN601" s="7">
        <v>228.04</v>
      </c>
      <c r="AO601" s="8">
        <f t="shared" si="27"/>
        <v>427.57499999999999</v>
      </c>
      <c r="AP601" s="8">
        <f t="shared" si="28"/>
        <v>475.03582499999999</v>
      </c>
      <c r="AQ601" s="9">
        <f t="shared" si="29"/>
        <v>692.62874249999993</v>
      </c>
    </row>
    <row r="602" spans="1:43" x14ac:dyDescent="0.25">
      <c r="A602">
        <v>17</v>
      </c>
      <c r="B602">
        <v>5</v>
      </c>
      <c r="C602">
        <v>2024</v>
      </c>
      <c r="D602" t="s">
        <v>43</v>
      </c>
      <c r="E602" t="s">
        <v>79</v>
      </c>
      <c r="F602" t="s">
        <v>80</v>
      </c>
      <c r="G602">
        <v>37</v>
      </c>
      <c r="H602">
        <v>1791882490001</v>
      </c>
      <c r="I602" t="s">
        <v>46</v>
      </c>
      <c r="J602" t="s">
        <v>48</v>
      </c>
      <c r="K602" t="s">
        <v>48</v>
      </c>
      <c r="L602" t="s">
        <v>49</v>
      </c>
      <c r="M602" t="s">
        <v>50</v>
      </c>
      <c r="N602" t="s">
        <v>51</v>
      </c>
      <c r="O602">
        <v>8421999000</v>
      </c>
      <c r="P602" t="s">
        <v>66</v>
      </c>
      <c r="Q602" t="s">
        <v>756</v>
      </c>
      <c r="R602" t="s">
        <v>54</v>
      </c>
      <c r="S602" t="s">
        <v>55</v>
      </c>
      <c r="T602">
        <v>6</v>
      </c>
      <c r="U602">
        <v>1</v>
      </c>
      <c r="V602" t="s">
        <v>135</v>
      </c>
      <c r="W602">
        <v>0</v>
      </c>
      <c r="X602">
        <v>228.04</v>
      </c>
      <c r="Y602">
        <v>22.01</v>
      </c>
      <c r="Z602">
        <v>1.52</v>
      </c>
      <c r="AA602">
        <v>251.57</v>
      </c>
      <c r="AB602" t="s">
        <v>57</v>
      </c>
      <c r="AC602" t="s">
        <v>81</v>
      </c>
      <c r="AD602" t="s">
        <v>48</v>
      </c>
      <c r="AE602">
        <v>0</v>
      </c>
      <c r="AF602">
        <v>1.08</v>
      </c>
      <c r="AG602" t="s">
        <v>82</v>
      </c>
      <c r="AH602">
        <v>471463</v>
      </c>
      <c r="AI602" t="s">
        <v>60</v>
      </c>
      <c r="AJ602" t="s">
        <v>60</v>
      </c>
      <c r="AK602" t="s">
        <v>54</v>
      </c>
      <c r="AL602">
        <v>2024</v>
      </c>
      <c r="AM602" s="6" t="s">
        <v>755</v>
      </c>
      <c r="AN602" s="7">
        <v>228.04</v>
      </c>
      <c r="AO602" s="8">
        <f t="shared" ref="AO602:AO665" si="30">SUM(AN602)*1.875</f>
        <v>427.57499999999999</v>
      </c>
      <c r="AP602" s="8">
        <f t="shared" ref="AP602:AP665" si="31">SUM(AO602)*1.111</f>
        <v>475.03582499999999</v>
      </c>
      <c r="AQ602" s="9">
        <f t="shared" si="29"/>
        <v>692.62874249999993</v>
      </c>
    </row>
    <row r="603" spans="1:43" x14ac:dyDescent="0.25">
      <c r="A603">
        <v>13</v>
      </c>
      <c r="B603">
        <v>3</v>
      </c>
      <c r="C603">
        <v>2024</v>
      </c>
      <c r="D603" t="s">
        <v>43</v>
      </c>
      <c r="E603" t="s">
        <v>69</v>
      </c>
      <c r="F603" t="s">
        <v>70</v>
      </c>
      <c r="G603">
        <v>33</v>
      </c>
      <c r="H603">
        <v>1791882490001</v>
      </c>
      <c r="I603" t="s">
        <v>46</v>
      </c>
      <c r="J603" t="s">
        <v>48</v>
      </c>
      <c r="K603" t="s">
        <v>48</v>
      </c>
      <c r="L603" t="s">
        <v>49</v>
      </c>
      <c r="M603" t="s">
        <v>50</v>
      </c>
      <c r="N603" t="s">
        <v>51</v>
      </c>
      <c r="O603">
        <v>8481809990</v>
      </c>
      <c r="P603" t="s">
        <v>103</v>
      </c>
      <c r="Q603" t="s">
        <v>757</v>
      </c>
      <c r="R603" t="s">
        <v>54</v>
      </c>
      <c r="S603" t="s">
        <v>55</v>
      </c>
      <c r="T603">
        <v>11</v>
      </c>
      <c r="U603">
        <v>1</v>
      </c>
      <c r="V603" t="s">
        <v>135</v>
      </c>
      <c r="W603">
        <v>0</v>
      </c>
      <c r="X603">
        <v>792.66</v>
      </c>
      <c r="Y603">
        <v>103.8</v>
      </c>
      <c r="Z603">
        <v>5.33</v>
      </c>
      <c r="AA603">
        <v>901.79</v>
      </c>
      <c r="AB603" t="s">
        <v>54</v>
      </c>
      <c r="AC603" t="s">
        <v>71</v>
      </c>
      <c r="AD603" t="s">
        <v>48</v>
      </c>
      <c r="AE603">
        <v>0</v>
      </c>
      <c r="AF603">
        <v>2.04</v>
      </c>
      <c r="AG603" t="s">
        <v>59</v>
      </c>
      <c r="AH603">
        <v>895279</v>
      </c>
      <c r="AI603" t="s">
        <v>60</v>
      </c>
      <c r="AJ603" t="s">
        <v>60</v>
      </c>
      <c r="AK603" t="s">
        <v>54</v>
      </c>
      <c r="AL603">
        <v>2024</v>
      </c>
      <c r="AM603" s="6" t="s">
        <v>758</v>
      </c>
      <c r="AN603" s="7">
        <v>792.66</v>
      </c>
      <c r="AO603" s="8">
        <f t="shared" si="30"/>
        <v>1486.2375</v>
      </c>
      <c r="AP603" s="8">
        <f t="shared" si="31"/>
        <v>1651.2098624999999</v>
      </c>
      <c r="AQ603" s="9">
        <f t="shared" si="29"/>
        <v>2407.5561262499996</v>
      </c>
    </row>
    <row r="604" spans="1:43" x14ac:dyDescent="0.25">
      <c r="A604">
        <v>17</v>
      </c>
      <c r="B604">
        <v>5</v>
      </c>
      <c r="C604">
        <v>2024</v>
      </c>
      <c r="D604" t="s">
        <v>43</v>
      </c>
      <c r="E604" t="s">
        <v>79</v>
      </c>
      <c r="F604" t="s">
        <v>80</v>
      </c>
      <c r="G604">
        <v>38</v>
      </c>
      <c r="H604">
        <v>1791882490001</v>
      </c>
      <c r="I604" t="s">
        <v>46</v>
      </c>
      <c r="J604" t="s">
        <v>48</v>
      </c>
      <c r="K604" t="s">
        <v>48</v>
      </c>
      <c r="L604" t="s">
        <v>49</v>
      </c>
      <c r="M604" t="s">
        <v>50</v>
      </c>
      <c r="N604" t="s">
        <v>51</v>
      </c>
      <c r="O604">
        <v>8481909090</v>
      </c>
      <c r="P604" t="s">
        <v>103</v>
      </c>
      <c r="Q604" t="s">
        <v>739</v>
      </c>
      <c r="R604" t="s">
        <v>54</v>
      </c>
      <c r="S604" t="s">
        <v>55</v>
      </c>
      <c r="T604">
        <v>6</v>
      </c>
      <c r="U604">
        <v>5</v>
      </c>
      <c r="V604" t="s">
        <v>135</v>
      </c>
      <c r="W604">
        <v>0</v>
      </c>
      <c r="X604">
        <v>244.14</v>
      </c>
      <c r="Y604">
        <v>23.57</v>
      </c>
      <c r="Z604">
        <v>1.63</v>
      </c>
      <c r="AA604">
        <v>269.33999999999997</v>
      </c>
      <c r="AB604" t="s">
        <v>57</v>
      </c>
      <c r="AC604" t="s">
        <v>81</v>
      </c>
      <c r="AD604" t="s">
        <v>48</v>
      </c>
      <c r="AE604">
        <v>0</v>
      </c>
      <c r="AF604">
        <v>5.41</v>
      </c>
      <c r="AG604" t="s">
        <v>82</v>
      </c>
      <c r="AH604">
        <v>471463</v>
      </c>
      <c r="AI604" t="s">
        <v>60</v>
      </c>
      <c r="AJ604" t="s">
        <v>60</v>
      </c>
      <c r="AK604" t="s">
        <v>54</v>
      </c>
      <c r="AL604">
        <v>2024</v>
      </c>
      <c r="AM604" s="6" t="s">
        <v>759</v>
      </c>
      <c r="AN604" s="7">
        <v>48.83</v>
      </c>
      <c r="AO604" s="8">
        <f t="shared" si="30"/>
        <v>91.556249999999991</v>
      </c>
      <c r="AP604" s="8">
        <f t="shared" si="31"/>
        <v>101.71899375</v>
      </c>
      <c r="AQ604" s="9">
        <f t="shared" si="29"/>
        <v>148.31196937499999</v>
      </c>
    </row>
    <row r="605" spans="1:43" x14ac:dyDescent="0.25">
      <c r="A605">
        <v>20</v>
      </c>
      <c r="B605">
        <v>2</v>
      </c>
      <c r="C605">
        <v>2024</v>
      </c>
      <c r="D605" t="s">
        <v>43</v>
      </c>
      <c r="E605" t="s">
        <v>140</v>
      </c>
      <c r="F605" t="s">
        <v>141</v>
      </c>
      <c r="G605">
        <v>49</v>
      </c>
      <c r="H605">
        <v>1791882490001</v>
      </c>
      <c r="I605" t="s">
        <v>46</v>
      </c>
      <c r="J605" t="s">
        <v>48</v>
      </c>
      <c r="K605" t="s">
        <v>48</v>
      </c>
      <c r="L605" t="s">
        <v>49</v>
      </c>
      <c r="M605" t="s">
        <v>50</v>
      </c>
      <c r="N605" t="s">
        <v>51</v>
      </c>
      <c r="O605">
        <v>8481909090</v>
      </c>
      <c r="P605" t="s">
        <v>103</v>
      </c>
      <c r="Q605" t="s">
        <v>760</v>
      </c>
      <c r="R605" t="s">
        <v>54</v>
      </c>
      <c r="S605" t="s">
        <v>55</v>
      </c>
      <c r="T605">
        <v>6</v>
      </c>
      <c r="U605">
        <v>3</v>
      </c>
      <c r="V605" t="s">
        <v>135</v>
      </c>
      <c r="W605">
        <v>0</v>
      </c>
      <c r="X605">
        <v>135.9</v>
      </c>
      <c r="Y605">
        <v>12.19</v>
      </c>
      <c r="Z605">
        <v>0.91</v>
      </c>
      <c r="AA605">
        <v>149</v>
      </c>
      <c r="AB605" t="s">
        <v>54</v>
      </c>
      <c r="AC605" t="s">
        <v>143</v>
      </c>
      <c r="AD605" t="s">
        <v>48</v>
      </c>
      <c r="AE605">
        <v>0</v>
      </c>
      <c r="AF605">
        <v>5.61</v>
      </c>
      <c r="AG605" t="s">
        <v>59</v>
      </c>
      <c r="AH605">
        <v>876053</v>
      </c>
      <c r="AI605" t="s">
        <v>60</v>
      </c>
      <c r="AJ605" t="s">
        <v>60</v>
      </c>
      <c r="AK605" t="s">
        <v>54</v>
      </c>
      <c r="AL605">
        <v>2024</v>
      </c>
      <c r="AM605" s="6" t="s">
        <v>761</v>
      </c>
      <c r="AN605" s="7">
        <v>45.3</v>
      </c>
      <c r="AO605" s="8">
        <f t="shared" si="30"/>
        <v>84.9375</v>
      </c>
      <c r="AP605" s="8">
        <f t="shared" si="31"/>
        <v>94.365562499999996</v>
      </c>
      <c r="AQ605" s="9">
        <f t="shared" si="29"/>
        <v>137.59025624999998</v>
      </c>
    </row>
    <row r="606" spans="1:43" x14ac:dyDescent="0.25">
      <c r="A606">
        <v>15</v>
      </c>
      <c r="B606">
        <v>4</v>
      </c>
      <c r="C606">
        <v>2024</v>
      </c>
      <c r="D606" t="s">
        <v>43</v>
      </c>
      <c r="E606" t="s">
        <v>63</v>
      </c>
      <c r="F606" t="s">
        <v>64</v>
      </c>
      <c r="G606">
        <v>41</v>
      </c>
      <c r="H606">
        <v>1791882490001</v>
      </c>
      <c r="I606" t="s">
        <v>46</v>
      </c>
      <c r="J606" t="s">
        <v>48</v>
      </c>
      <c r="K606" t="s">
        <v>48</v>
      </c>
      <c r="L606" t="s">
        <v>49</v>
      </c>
      <c r="M606" t="s">
        <v>50</v>
      </c>
      <c r="N606" t="s">
        <v>51</v>
      </c>
      <c r="O606">
        <v>8481909090</v>
      </c>
      <c r="P606" t="s">
        <v>103</v>
      </c>
      <c r="Q606" t="s">
        <v>762</v>
      </c>
      <c r="R606" t="s">
        <v>54</v>
      </c>
      <c r="S606" t="s">
        <v>55</v>
      </c>
      <c r="T606">
        <v>6</v>
      </c>
      <c r="U606">
        <v>2</v>
      </c>
      <c r="V606" t="s">
        <v>135</v>
      </c>
      <c r="W606">
        <v>0</v>
      </c>
      <c r="X606">
        <v>96.8</v>
      </c>
      <c r="Y606">
        <v>10.19</v>
      </c>
      <c r="Z606">
        <v>0.65</v>
      </c>
      <c r="AA606">
        <v>107.64</v>
      </c>
      <c r="AB606" t="s">
        <v>57</v>
      </c>
      <c r="AC606" t="s">
        <v>58</v>
      </c>
      <c r="AD606" t="s">
        <v>48</v>
      </c>
      <c r="AE606">
        <v>0</v>
      </c>
      <c r="AF606">
        <v>0.93</v>
      </c>
      <c r="AG606" t="s">
        <v>59</v>
      </c>
      <c r="AH606">
        <v>443965</v>
      </c>
      <c r="AI606" t="s">
        <v>60</v>
      </c>
      <c r="AJ606" t="s">
        <v>60</v>
      </c>
      <c r="AK606" t="s">
        <v>54</v>
      </c>
      <c r="AL606">
        <v>2024</v>
      </c>
      <c r="AM606" s="6" t="s">
        <v>761</v>
      </c>
      <c r="AN606" s="7">
        <v>48.4</v>
      </c>
      <c r="AO606" s="8">
        <f t="shared" si="30"/>
        <v>90.75</v>
      </c>
      <c r="AP606" s="8">
        <f t="shared" si="31"/>
        <v>100.82325</v>
      </c>
      <c r="AQ606" s="9">
        <f t="shared" si="29"/>
        <v>147.00592499999999</v>
      </c>
    </row>
    <row r="607" spans="1:43" x14ac:dyDescent="0.25">
      <c r="A607">
        <v>26</v>
      </c>
      <c r="B607">
        <v>12</v>
      </c>
      <c r="C607">
        <v>2024</v>
      </c>
      <c r="D607" t="s">
        <v>43</v>
      </c>
      <c r="E607" t="s">
        <v>222</v>
      </c>
      <c r="F607" t="s">
        <v>223</v>
      </c>
      <c r="G607">
        <v>33</v>
      </c>
      <c r="H607">
        <v>1791882490001</v>
      </c>
      <c r="I607" t="s">
        <v>46</v>
      </c>
      <c r="J607" t="s">
        <v>48</v>
      </c>
      <c r="K607" t="s">
        <v>48</v>
      </c>
      <c r="L607" t="s">
        <v>49</v>
      </c>
      <c r="M607" t="s">
        <v>50</v>
      </c>
      <c r="N607" t="s">
        <v>224</v>
      </c>
      <c r="O607">
        <v>7411100000</v>
      </c>
      <c r="P607" t="s">
        <v>763</v>
      </c>
      <c r="Q607" t="s">
        <v>764</v>
      </c>
      <c r="R607" t="s">
        <v>54</v>
      </c>
      <c r="S607" t="s">
        <v>55</v>
      </c>
      <c r="T607">
        <v>8</v>
      </c>
      <c r="U607">
        <v>3</v>
      </c>
      <c r="V607" t="s">
        <v>56</v>
      </c>
      <c r="W607">
        <v>0</v>
      </c>
      <c r="X607">
        <v>148.41</v>
      </c>
      <c r="Y607">
        <v>30.74</v>
      </c>
      <c r="Z607">
        <v>1.48</v>
      </c>
      <c r="AA607">
        <v>180.63</v>
      </c>
      <c r="AB607" t="s">
        <v>57</v>
      </c>
      <c r="AC607" t="s">
        <v>225</v>
      </c>
      <c r="AD607" t="s">
        <v>48</v>
      </c>
      <c r="AE607">
        <v>0</v>
      </c>
      <c r="AF607">
        <v>6.18</v>
      </c>
      <c r="AG607" t="s">
        <v>59</v>
      </c>
      <c r="AH607">
        <v>341996</v>
      </c>
      <c r="AI607" t="s">
        <v>60</v>
      </c>
      <c r="AJ607" t="s">
        <v>60</v>
      </c>
      <c r="AK607" t="s">
        <v>54</v>
      </c>
      <c r="AL607">
        <v>2024</v>
      </c>
      <c r="AM607" s="6" t="s">
        <v>761</v>
      </c>
      <c r="AN607" s="7">
        <v>49.47</v>
      </c>
      <c r="AO607" s="8">
        <f t="shared" si="30"/>
        <v>92.756249999999994</v>
      </c>
      <c r="AP607" s="8">
        <f t="shared" si="31"/>
        <v>103.05219374999999</v>
      </c>
      <c r="AQ607" s="9">
        <f t="shared" si="29"/>
        <v>150.25584937499997</v>
      </c>
    </row>
    <row r="608" spans="1:43" x14ac:dyDescent="0.25">
      <c r="A608">
        <v>2</v>
      </c>
      <c r="B608">
        <v>1</v>
      </c>
      <c r="C608">
        <v>2024</v>
      </c>
      <c r="D608" t="s">
        <v>43</v>
      </c>
      <c r="E608" t="s">
        <v>181</v>
      </c>
      <c r="F608" t="s">
        <v>182</v>
      </c>
      <c r="G608">
        <v>26</v>
      </c>
      <c r="H608">
        <v>1791882490001</v>
      </c>
      <c r="I608" t="s">
        <v>46</v>
      </c>
      <c r="J608" t="s">
        <v>48</v>
      </c>
      <c r="K608" t="s">
        <v>48</v>
      </c>
      <c r="L608" t="s">
        <v>49</v>
      </c>
      <c r="M608" t="s">
        <v>50</v>
      </c>
      <c r="N608" t="s">
        <v>51</v>
      </c>
      <c r="O608">
        <v>7320209090</v>
      </c>
      <c r="P608" t="s">
        <v>52</v>
      </c>
      <c r="Q608" t="s">
        <v>596</v>
      </c>
      <c r="R608" t="s">
        <v>54</v>
      </c>
      <c r="S608" t="s">
        <v>55</v>
      </c>
      <c r="T608">
        <v>8</v>
      </c>
      <c r="U608">
        <v>10</v>
      </c>
      <c r="V608" t="s">
        <v>56</v>
      </c>
      <c r="W608">
        <v>0</v>
      </c>
      <c r="X608">
        <v>625.87</v>
      </c>
      <c r="Y608">
        <v>127.17</v>
      </c>
      <c r="Z608">
        <v>4.03</v>
      </c>
      <c r="AA608">
        <v>757.06</v>
      </c>
      <c r="AB608" t="s">
        <v>57</v>
      </c>
      <c r="AC608" t="s">
        <v>81</v>
      </c>
      <c r="AD608" t="s">
        <v>48</v>
      </c>
      <c r="AE608">
        <v>0</v>
      </c>
      <c r="AF608">
        <v>32.4</v>
      </c>
      <c r="AG608" t="s">
        <v>59</v>
      </c>
      <c r="AH608">
        <v>413505</v>
      </c>
      <c r="AI608" t="s">
        <v>60</v>
      </c>
      <c r="AJ608" t="s">
        <v>60</v>
      </c>
      <c r="AK608" t="s">
        <v>54</v>
      </c>
      <c r="AL608">
        <v>2023</v>
      </c>
      <c r="AM608" s="6" t="s">
        <v>765</v>
      </c>
      <c r="AN608" s="7">
        <v>62.59</v>
      </c>
      <c r="AO608" s="8">
        <f t="shared" si="30"/>
        <v>117.35625</v>
      </c>
      <c r="AP608" s="8">
        <f t="shared" si="31"/>
        <v>130.38279374999999</v>
      </c>
      <c r="AQ608" s="9">
        <f t="shared" si="29"/>
        <v>190.10538937499999</v>
      </c>
    </row>
    <row r="609" spans="1:43" x14ac:dyDescent="0.25">
      <c r="A609">
        <v>1</v>
      </c>
      <c r="B609">
        <v>2</v>
      </c>
      <c r="C609">
        <v>2024</v>
      </c>
      <c r="D609" t="s">
        <v>43</v>
      </c>
      <c r="E609" t="s">
        <v>174</v>
      </c>
      <c r="F609" t="s">
        <v>175</v>
      </c>
      <c r="G609">
        <v>24</v>
      </c>
      <c r="H609">
        <v>1791882490001</v>
      </c>
      <c r="I609" t="s">
        <v>46</v>
      </c>
      <c r="J609" t="s">
        <v>48</v>
      </c>
      <c r="K609" t="s">
        <v>48</v>
      </c>
      <c r="L609" t="s">
        <v>49</v>
      </c>
      <c r="M609" t="s">
        <v>50</v>
      </c>
      <c r="N609" t="s">
        <v>51</v>
      </c>
      <c r="O609">
        <v>7320209090</v>
      </c>
      <c r="P609" t="s">
        <v>66</v>
      </c>
      <c r="Q609" t="s">
        <v>596</v>
      </c>
      <c r="R609" t="s">
        <v>54</v>
      </c>
      <c r="S609" t="s">
        <v>55</v>
      </c>
      <c r="T609">
        <v>5</v>
      </c>
      <c r="U609">
        <v>8</v>
      </c>
      <c r="V609" t="s">
        <v>56</v>
      </c>
      <c r="W609">
        <v>0</v>
      </c>
      <c r="X609">
        <v>497.72</v>
      </c>
      <c r="Y609">
        <v>37</v>
      </c>
      <c r="Z609">
        <v>2.97</v>
      </c>
      <c r="AA609">
        <v>537.69000000000005</v>
      </c>
      <c r="AB609" t="s">
        <v>54</v>
      </c>
      <c r="AC609" t="s">
        <v>94</v>
      </c>
      <c r="AD609" t="s">
        <v>48</v>
      </c>
      <c r="AE609">
        <v>0</v>
      </c>
      <c r="AF609">
        <v>15.88</v>
      </c>
      <c r="AG609" t="s">
        <v>59</v>
      </c>
      <c r="AH609">
        <v>863266</v>
      </c>
      <c r="AI609" t="s">
        <v>60</v>
      </c>
      <c r="AJ609" t="s">
        <v>60</v>
      </c>
      <c r="AK609" t="s">
        <v>54</v>
      </c>
      <c r="AL609">
        <v>2023</v>
      </c>
      <c r="AM609" s="6" t="s">
        <v>765</v>
      </c>
      <c r="AN609" s="7">
        <v>62.21</v>
      </c>
      <c r="AO609" s="8">
        <f t="shared" si="30"/>
        <v>116.64375</v>
      </c>
      <c r="AP609" s="8">
        <f t="shared" si="31"/>
        <v>129.59120625</v>
      </c>
      <c r="AQ609" s="9">
        <f t="shared" si="29"/>
        <v>188.95121062499999</v>
      </c>
    </row>
    <row r="610" spans="1:43" x14ac:dyDescent="0.25">
      <c r="A610">
        <v>15</v>
      </c>
      <c r="B610">
        <v>4</v>
      </c>
      <c r="C610">
        <v>2024</v>
      </c>
      <c r="D610" t="s">
        <v>43</v>
      </c>
      <c r="E610" t="s">
        <v>63</v>
      </c>
      <c r="F610" t="s">
        <v>64</v>
      </c>
      <c r="G610">
        <v>42</v>
      </c>
      <c r="H610">
        <v>1791882490001</v>
      </c>
      <c r="I610" t="s">
        <v>46</v>
      </c>
      <c r="J610" t="s">
        <v>48</v>
      </c>
      <c r="K610" t="s">
        <v>48</v>
      </c>
      <c r="L610" t="s">
        <v>49</v>
      </c>
      <c r="M610" t="s">
        <v>50</v>
      </c>
      <c r="N610" t="s">
        <v>51</v>
      </c>
      <c r="O610">
        <v>7320209090</v>
      </c>
      <c r="P610" t="s">
        <v>66</v>
      </c>
      <c r="Q610" t="s">
        <v>766</v>
      </c>
      <c r="R610" t="s">
        <v>54</v>
      </c>
      <c r="S610" t="s">
        <v>55</v>
      </c>
      <c r="T610">
        <v>6</v>
      </c>
      <c r="U610">
        <v>10</v>
      </c>
      <c r="V610" t="s">
        <v>56</v>
      </c>
      <c r="W610">
        <v>0</v>
      </c>
      <c r="X610">
        <v>676.61</v>
      </c>
      <c r="Y610">
        <v>71.22</v>
      </c>
      <c r="Z610">
        <v>4.54</v>
      </c>
      <c r="AA610">
        <v>752.38</v>
      </c>
      <c r="AB610" t="s">
        <v>57</v>
      </c>
      <c r="AC610" t="s">
        <v>58</v>
      </c>
      <c r="AD610" t="s">
        <v>48</v>
      </c>
      <c r="AE610">
        <v>0</v>
      </c>
      <c r="AF610">
        <v>6.48</v>
      </c>
      <c r="AG610" t="s">
        <v>59</v>
      </c>
      <c r="AH610">
        <v>443965</v>
      </c>
      <c r="AI610" t="s">
        <v>60</v>
      </c>
      <c r="AJ610" t="s">
        <v>60</v>
      </c>
      <c r="AK610" t="s">
        <v>54</v>
      </c>
      <c r="AL610">
        <v>2024</v>
      </c>
      <c r="AM610" s="6" t="s">
        <v>765</v>
      </c>
      <c r="AN610" s="7">
        <v>67.66</v>
      </c>
      <c r="AO610" s="8">
        <f t="shared" si="30"/>
        <v>126.8625</v>
      </c>
      <c r="AP610" s="8">
        <f t="shared" si="31"/>
        <v>140.94423749999999</v>
      </c>
      <c r="AQ610" s="9">
        <f t="shared" si="29"/>
        <v>205.50456374999999</v>
      </c>
    </row>
    <row r="611" spans="1:43" x14ac:dyDescent="0.25">
      <c r="A611">
        <v>8</v>
      </c>
      <c r="B611">
        <v>7</v>
      </c>
      <c r="C611">
        <v>2024</v>
      </c>
      <c r="D611" t="s">
        <v>43</v>
      </c>
      <c r="E611" t="s">
        <v>75</v>
      </c>
      <c r="F611" t="s">
        <v>76</v>
      </c>
      <c r="G611">
        <v>42</v>
      </c>
      <c r="H611">
        <v>1791882490001</v>
      </c>
      <c r="I611" t="s">
        <v>46</v>
      </c>
      <c r="J611" t="s">
        <v>48</v>
      </c>
      <c r="K611" t="s">
        <v>48</v>
      </c>
      <c r="L611" t="s">
        <v>49</v>
      </c>
      <c r="M611" t="s">
        <v>50</v>
      </c>
      <c r="N611" t="s">
        <v>51</v>
      </c>
      <c r="O611">
        <v>7318290000</v>
      </c>
      <c r="P611" t="s">
        <v>286</v>
      </c>
      <c r="Q611" t="s">
        <v>767</v>
      </c>
      <c r="R611" t="s">
        <v>54</v>
      </c>
      <c r="S611" t="s">
        <v>55</v>
      </c>
      <c r="T611">
        <v>8</v>
      </c>
      <c r="U611">
        <v>9</v>
      </c>
      <c r="V611" t="s">
        <v>56</v>
      </c>
      <c r="W611">
        <v>0</v>
      </c>
      <c r="X611">
        <v>702.42</v>
      </c>
      <c r="Y611">
        <v>59.99</v>
      </c>
      <c r="Z611">
        <v>4.57</v>
      </c>
      <c r="AA611">
        <v>766.98</v>
      </c>
      <c r="AB611" t="s">
        <v>57</v>
      </c>
      <c r="AC611" t="s">
        <v>77</v>
      </c>
      <c r="AD611" t="s">
        <v>48</v>
      </c>
      <c r="AE611">
        <v>0</v>
      </c>
      <c r="AF611">
        <v>4.6500000000000004</v>
      </c>
      <c r="AG611" t="s">
        <v>59</v>
      </c>
      <c r="AH611">
        <v>107711</v>
      </c>
      <c r="AI611" t="s">
        <v>60</v>
      </c>
      <c r="AJ611" t="s">
        <v>78</v>
      </c>
      <c r="AK611" t="s">
        <v>54</v>
      </c>
      <c r="AL611">
        <v>2024</v>
      </c>
      <c r="AM611" s="6" t="s">
        <v>765</v>
      </c>
      <c r="AN611" s="7">
        <v>70.239999999999995</v>
      </c>
      <c r="AO611" s="8">
        <f t="shared" si="30"/>
        <v>131.69999999999999</v>
      </c>
      <c r="AP611" s="8">
        <f t="shared" si="31"/>
        <v>146.31869999999998</v>
      </c>
      <c r="AQ611" s="9">
        <f t="shared" si="29"/>
        <v>213.34082999999995</v>
      </c>
    </row>
    <row r="612" spans="1:43" x14ac:dyDescent="0.25">
      <c r="A612">
        <v>8</v>
      </c>
      <c r="B612">
        <v>7</v>
      </c>
      <c r="C612">
        <v>2024</v>
      </c>
      <c r="D612" t="s">
        <v>43</v>
      </c>
      <c r="E612" t="s">
        <v>75</v>
      </c>
      <c r="F612" t="s">
        <v>76</v>
      </c>
      <c r="G612">
        <v>42</v>
      </c>
      <c r="H612">
        <v>1791882490001</v>
      </c>
      <c r="I612" t="s">
        <v>46</v>
      </c>
      <c r="J612" t="s">
        <v>48</v>
      </c>
      <c r="K612" t="s">
        <v>48</v>
      </c>
      <c r="L612" t="s">
        <v>49</v>
      </c>
      <c r="M612" t="s">
        <v>50</v>
      </c>
      <c r="N612" t="s">
        <v>51</v>
      </c>
      <c r="O612">
        <v>7318290000</v>
      </c>
      <c r="P612" t="s">
        <v>286</v>
      </c>
      <c r="Q612" t="s">
        <v>767</v>
      </c>
      <c r="R612" t="s">
        <v>54</v>
      </c>
      <c r="S612" t="s">
        <v>55</v>
      </c>
      <c r="T612">
        <v>8</v>
      </c>
      <c r="U612">
        <v>9</v>
      </c>
      <c r="V612" t="s">
        <v>56</v>
      </c>
      <c r="W612">
        <v>0</v>
      </c>
      <c r="X612">
        <v>702.42</v>
      </c>
      <c r="Y612">
        <v>59.99</v>
      </c>
      <c r="Z612">
        <v>4.57</v>
      </c>
      <c r="AA612">
        <v>766.98</v>
      </c>
      <c r="AB612" t="s">
        <v>57</v>
      </c>
      <c r="AC612" t="s">
        <v>77</v>
      </c>
      <c r="AD612" t="s">
        <v>48</v>
      </c>
      <c r="AE612">
        <v>0</v>
      </c>
      <c r="AF612">
        <v>4.6500000000000004</v>
      </c>
      <c r="AG612" t="s">
        <v>59</v>
      </c>
      <c r="AH612">
        <v>107711</v>
      </c>
      <c r="AI612" t="s">
        <v>60</v>
      </c>
      <c r="AJ612" t="s">
        <v>78</v>
      </c>
      <c r="AK612" t="s">
        <v>54</v>
      </c>
      <c r="AL612">
        <v>2024</v>
      </c>
      <c r="AM612" s="6" t="s">
        <v>765</v>
      </c>
      <c r="AN612" s="7">
        <v>70.239999999999995</v>
      </c>
      <c r="AO612" s="8">
        <f t="shared" si="30"/>
        <v>131.69999999999999</v>
      </c>
      <c r="AP612" s="8">
        <f t="shared" si="31"/>
        <v>146.31869999999998</v>
      </c>
      <c r="AQ612" s="9">
        <f t="shared" si="29"/>
        <v>213.34082999999995</v>
      </c>
    </row>
    <row r="613" spans="1:43" x14ac:dyDescent="0.25">
      <c r="A613">
        <v>16</v>
      </c>
      <c r="B613">
        <v>12</v>
      </c>
      <c r="C613">
        <v>2024</v>
      </c>
      <c r="D613" t="s">
        <v>43</v>
      </c>
      <c r="E613" t="s">
        <v>128</v>
      </c>
      <c r="F613" t="s">
        <v>129</v>
      </c>
      <c r="G613">
        <v>44</v>
      </c>
      <c r="H613">
        <v>1791882490001</v>
      </c>
      <c r="I613" t="s">
        <v>46</v>
      </c>
      <c r="J613" t="s">
        <v>48</v>
      </c>
      <c r="K613" t="s">
        <v>48</v>
      </c>
      <c r="L613" t="s">
        <v>49</v>
      </c>
      <c r="M613" t="s">
        <v>50</v>
      </c>
      <c r="N613" t="s">
        <v>51</v>
      </c>
      <c r="O613">
        <v>8481909090</v>
      </c>
      <c r="P613" t="s">
        <v>284</v>
      </c>
      <c r="Q613" t="s">
        <v>768</v>
      </c>
      <c r="R613" t="s">
        <v>54</v>
      </c>
      <c r="S613" t="s">
        <v>55</v>
      </c>
      <c r="T613">
        <v>9</v>
      </c>
      <c r="U613">
        <v>2</v>
      </c>
      <c r="V613" t="s">
        <v>135</v>
      </c>
      <c r="W613">
        <v>0</v>
      </c>
      <c r="X613">
        <v>271.60000000000002</v>
      </c>
      <c r="Y613">
        <v>35.57</v>
      </c>
      <c r="Z613">
        <v>1.86</v>
      </c>
      <c r="AA613">
        <v>309.02999999999997</v>
      </c>
      <c r="AB613" t="s">
        <v>57</v>
      </c>
      <c r="AC613" t="s">
        <v>131</v>
      </c>
      <c r="AD613" t="s">
        <v>48</v>
      </c>
      <c r="AE613">
        <v>0</v>
      </c>
      <c r="AF613">
        <v>3.98</v>
      </c>
      <c r="AG613" t="s">
        <v>59</v>
      </c>
      <c r="AH613">
        <v>325395</v>
      </c>
      <c r="AI613" t="s">
        <v>60</v>
      </c>
      <c r="AJ613" t="s">
        <v>78</v>
      </c>
      <c r="AK613" t="s">
        <v>54</v>
      </c>
      <c r="AL613">
        <v>2024</v>
      </c>
      <c r="AM613" s="6" t="s">
        <v>769</v>
      </c>
      <c r="AN613" s="7">
        <v>135.80000000000001</v>
      </c>
      <c r="AO613" s="8">
        <f t="shared" si="30"/>
        <v>254.62500000000003</v>
      </c>
      <c r="AP613" s="8">
        <f t="shared" si="31"/>
        <v>282.88837500000005</v>
      </c>
      <c r="AQ613" s="9">
        <f t="shared" si="29"/>
        <v>412.4670375</v>
      </c>
    </row>
    <row r="614" spans="1:43" x14ac:dyDescent="0.25">
      <c r="A614">
        <v>17</v>
      </c>
      <c r="B614">
        <v>5</v>
      </c>
      <c r="C614">
        <v>2024</v>
      </c>
      <c r="D614" t="s">
        <v>43</v>
      </c>
      <c r="E614" t="s">
        <v>79</v>
      </c>
      <c r="F614" t="s">
        <v>80</v>
      </c>
      <c r="G614">
        <v>39</v>
      </c>
      <c r="H614">
        <v>1791882490001</v>
      </c>
      <c r="I614" t="s">
        <v>46</v>
      </c>
      <c r="J614" t="s">
        <v>48</v>
      </c>
      <c r="K614" t="s">
        <v>48</v>
      </c>
      <c r="L614" t="s">
        <v>49</v>
      </c>
      <c r="M614" t="s">
        <v>50</v>
      </c>
      <c r="N614" t="s">
        <v>51</v>
      </c>
      <c r="O614">
        <v>8481809990</v>
      </c>
      <c r="P614" t="s">
        <v>103</v>
      </c>
      <c r="Q614" t="s">
        <v>694</v>
      </c>
      <c r="R614" t="s">
        <v>54</v>
      </c>
      <c r="S614" t="s">
        <v>55</v>
      </c>
      <c r="T614">
        <v>6</v>
      </c>
      <c r="U614">
        <v>2</v>
      </c>
      <c r="V614" t="s">
        <v>135</v>
      </c>
      <c r="W614">
        <v>0</v>
      </c>
      <c r="X614">
        <v>440.6</v>
      </c>
      <c r="Y614">
        <v>42.54</v>
      </c>
      <c r="Z614">
        <v>2.93</v>
      </c>
      <c r="AA614">
        <v>486.07</v>
      </c>
      <c r="AB614" t="s">
        <v>57</v>
      </c>
      <c r="AC614" t="s">
        <v>81</v>
      </c>
      <c r="AD614" t="s">
        <v>48</v>
      </c>
      <c r="AE614">
        <v>0</v>
      </c>
      <c r="AF614">
        <v>2.16</v>
      </c>
      <c r="AG614" t="s">
        <v>82</v>
      </c>
      <c r="AH614">
        <v>471463</v>
      </c>
      <c r="AI614" t="s">
        <v>60</v>
      </c>
      <c r="AJ614" t="s">
        <v>60</v>
      </c>
      <c r="AK614" t="s">
        <v>54</v>
      </c>
      <c r="AL614">
        <v>2024</v>
      </c>
      <c r="AM614" s="6" t="s">
        <v>770</v>
      </c>
      <c r="AN614" s="7">
        <v>220.3</v>
      </c>
      <c r="AO614" s="8">
        <f t="shared" si="30"/>
        <v>413.0625</v>
      </c>
      <c r="AP614" s="8">
        <f t="shared" si="31"/>
        <v>458.91243750000001</v>
      </c>
      <c r="AQ614" s="9">
        <f t="shared" si="29"/>
        <v>669.11994374999995</v>
      </c>
    </row>
    <row r="615" spans="1:43" x14ac:dyDescent="0.25">
      <c r="A615">
        <v>20</v>
      </c>
      <c r="B615">
        <v>2</v>
      </c>
      <c r="C615">
        <v>2024</v>
      </c>
      <c r="D615" t="s">
        <v>43</v>
      </c>
      <c r="E615" t="s">
        <v>140</v>
      </c>
      <c r="F615" t="s">
        <v>141</v>
      </c>
      <c r="G615">
        <v>76</v>
      </c>
      <c r="H615">
        <v>1791882490001</v>
      </c>
      <c r="I615" t="s">
        <v>46</v>
      </c>
      <c r="J615" t="s">
        <v>133</v>
      </c>
      <c r="K615" t="s">
        <v>48</v>
      </c>
      <c r="L615" t="s">
        <v>49</v>
      </c>
      <c r="M615" t="s">
        <v>50</v>
      </c>
      <c r="N615" t="s">
        <v>51</v>
      </c>
      <c r="O615">
        <v>3802100000</v>
      </c>
      <c r="P615" t="s">
        <v>771</v>
      </c>
      <c r="Q615" t="s">
        <v>772</v>
      </c>
      <c r="R615" t="s">
        <v>54</v>
      </c>
      <c r="S615" t="s">
        <v>55</v>
      </c>
      <c r="T615">
        <v>6</v>
      </c>
      <c r="U615">
        <v>1</v>
      </c>
      <c r="V615" t="s">
        <v>56</v>
      </c>
      <c r="W615">
        <v>0</v>
      </c>
      <c r="X615">
        <v>567.88</v>
      </c>
      <c r="Y615">
        <v>50.96</v>
      </c>
      <c r="Z615">
        <v>3.82</v>
      </c>
      <c r="AA615">
        <v>622.66</v>
      </c>
      <c r="AB615" t="s">
        <v>54</v>
      </c>
      <c r="AC615" t="s">
        <v>143</v>
      </c>
      <c r="AD615" t="s">
        <v>48</v>
      </c>
      <c r="AE615">
        <v>0</v>
      </c>
      <c r="AF615">
        <v>1.87</v>
      </c>
      <c r="AG615" t="s">
        <v>59</v>
      </c>
      <c r="AH615">
        <v>876053</v>
      </c>
      <c r="AI615" t="s">
        <v>60</v>
      </c>
      <c r="AJ615" t="s">
        <v>60</v>
      </c>
      <c r="AK615" t="s">
        <v>54</v>
      </c>
      <c r="AL615">
        <v>2024</v>
      </c>
      <c r="AM615" s="6" t="s">
        <v>773</v>
      </c>
      <c r="AN615" s="7">
        <v>567.88</v>
      </c>
      <c r="AO615" s="8">
        <f t="shared" si="30"/>
        <v>1064.7750000000001</v>
      </c>
      <c r="AP615" s="8">
        <f t="shared" si="31"/>
        <v>1182.9650250000002</v>
      </c>
      <c r="AQ615" s="9">
        <f t="shared" si="29"/>
        <v>1724.8290225000001</v>
      </c>
    </row>
    <row r="616" spans="1:43" x14ac:dyDescent="0.25">
      <c r="A616">
        <v>13</v>
      </c>
      <c r="B616">
        <v>3</v>
      </c>
      <c r="C616">
        <v>2024</v>
      </c>
      <c r="D616" t="s">
        <v>43</v>
      </c>
      <c r="E616" t="s">
        <v>69</v>
      </c>
      <c r="F616" t="s">
        <v>70</v>
      </c>
      <c r="G616">
        <v>34</v>
      </c>
      <c r="H616">
        <v>1791882490001</v>
      </c>
      <c r="I616" t="s">
        <v>46</v>
      </c>
      <c r="J616" t="s">
        <v>48</v>
      </c>
      <c r="K616" t="s">
        <v>48</v>
      </c>
      <c r="L616" t="s">
        <v>49</v>
      </c>
      <c r="M616" t="s">
        <v>50</v>
      </c>
      <c r="N616" t="s">
        <v>51</v>
      </c>
      <c r="O616">
        <v>7411100000</v>
      </c>
      <c r="P616" t="s">
        <v>323</v>
      </c>
      <c r="Q616" t="s">
        <v>774</v>
      </c>
      <c r="R616" t="s">
        <v>54</v>
      </c>
      <c r="S616" t="s">
        <v>55</v>
      </c>
      <c r="T616">
        <v>11</v>
      </c>
      <c r="U616">
        <v>3</v>
      </c>
      <c r="V616" t="s">
        <v>56</v>
      </c>
      <c r="W616">
        <v>0</v>
      </c>
      <c r="X616">
        <v>175.43</v>
      </c>
      <c r="Y616">
        <v>22.97</v>
      </c>
      <c r="Z616">
        <v>1.18</v>
      </c>
      <c r="AA616">
        <v>199.58</v>
      </c>
      <c r="AB616" t="s">
        <v>54</v>
      </c>
      <c r="AC616" t="s">
        <v>71</v>
      </c>
      <c r="AD616" t="s">
        <v>48</v>
      </c>
      <c r="AE616">
        <v>0</v>
      </c>
      <c r="AF616">
        <v>6.12</v>
      </c>
      <c r="AG616" t="s">
        <v>59</v>
      </c>
      <c r="AH616">
        <v>895279</v>
      </c>
      <c r="AI616" t="s">
        <v>60</v>
      </c>
      <c r="AJ616" t="s">
        <v>60</v>
      </c>
      <c r="AK616" t="s">
        <v>54</v>
      </c>
      <c r="AL616">
        <v>2024</v>
      </c>
      <c r="AM616" s="6" t="s">
        <v>775</v>
      </c>
      <c r="AN616" s="7">
        <v>58.48</v>
      </c>
      <c r="AO616" s="8">
        <f t="shared" si="30"/>
        <v>109.64999999999999</v>
      </c>
      <c r="AP616" s="8">
        <f t="shared" si="31"/>
        <v>121.82114999999999</v>
      </c>
      <c r="AQ616" s="9">
        <f t="shared" si="29"/>
        <v>177.62203499999998</v>
      </c>
    </row>
    <row r="617" spans="1:43" x14ac:dyDescent="0.25">
      <c r="A617">
        <v>13</v>
      </c>
      <c r="B617">
        <v>3</v>
      </c>
      <c r="C617">
        <v>2024</v>
      </c>
      <c r="D617" t="s">
        <v>43</v>
      </c>
      <c r="E617" t="s">
        <v>69</v>
      </c>
      <c r="F617" t="s">
        <v>70</v>
      </c>
      <c r="G617">
        <v>35</v>
      </c>
      <c r="H617">
        <v>1791882490001</v>
      </c>
      <c r="I617" t="s">
        <v>46</v>
      </c>
      <c r="J617" t="s">
        <v>48</v>
      </c>
      <c r="K617" t="s">
        <v>48</v>
      </c>
      <c r="L617" t="s">
        <v>49</v>
      </c>
      <c r="M617" t="s">
        <v>50</v>
      </c>
      <c r="N617" t="s">
        <v>51</v>
      </c>
      <c r="O617">
        <v>8481909090</v>
      </c>
      <c r="P617" t="s">
        <v>103</v>
      </c>
      <c r="Q617" t="s">
        <v>776</v>
      </c>
      <c r="R617" t="s">
        <v>54</v>
      </c>
      <c r="S617" t="s">
        <v>55</v>
      </c>
      <c r="T617">
        <v>11</v>
      </c>
      <c r="U617">
        <v>15</v>
      </c>
      <c r="V617" t="s">
        <v>135</v>
      </c>
      <c r="W617">
        <v>0</v>
      </c>
      <c r="X617">
        <v>667.69</v>
      </c>
      <c r="Y617">
        <v>87.43</v>
      </c>
      <c r="Z617">
        <v>4.49</v>
      </c>
      <c r="AA617">
        <v>759.61</v>
      </c>
      <c r="AB617" t="s">
        <v>54</v>
      </c>
      <c r="AC617" t="s">
        <v>71</v>
      </c>
      <c r="AD617" t="s">
        <v>48</v>
      </c>
      <c r="AE617">
        <v>0</v>
      </c>
      <c r="AF617">
        <v>30.58</v>
      </c>
      <c r="AG617" t="s">
        <v>59</v>
      </c>
      <c r="AH617">
        <v>895279</v>
      </c>
      <c r="AI617" t="s">
        <v>60</v>
      </c>
      <c r="AJ617" t="s">
        <v>60</v>
      </c>
      <c r="AK617" t="s">
        <v>54</v>
      </c>
      <c r="AL617">
        <v>2024</v>
      </c>
      <c r="AM617" s="6" t="s">
        <v>777</v>
      </c>
      <c r="AN617" s="7">
        <v>44.51</v>
      </c>
      <c r="AO617" s="8">
        <f t="shared" si="30"/>
        <v>83.456249999999997</v>
      </c>
      <c r="AP617" s="8">
        <f t="shared" si="31"/>
        <v>92.719893749999997</v>
      </c>
      <c r="AQ617" s="9">
        <f t="shared" si="29"/>
        <v>135.19077937499998</v>
      </c>
    </row>
    <row r="618" spans="1:43" x14ac:dyDescent="0.25">
      <c r="A618">
        <v>15</v>
      </c>
      <c r="B618">
        <v>4</v>
      </c>
      <c r="C618">
        <v>2024</v>
      </c>
      <c r="D618" t="s">
        <v>43</v>
      </c>
      <c r="E618" t="s">
        <v>63</v>
      </c>
      <c r="F618" t="s">
        <v>64</v>
      </c>
      <c r="G618">
        <v>43</v>
      </c>
      <c r="H618">
        <v>1791882490001</v>
      </c>
      <c r="I618" t="s">
        <v>46</v>
      </c>
      <c r="J618" t="s">
        <v>48</v>
      </c>
      <c r="K618" t="s">
        <v>48</v>
      </c>
      <c r="L618" t="s">
        <v>49</v>
      </c>
      <c r="M618" t="s">
        <v>50</v>
      </c>
      <c r="N618" t="s">
        <v>51</v>
      </c>
      <c r="O618">
        <v>8481909090</v>
      </c>
      <c r="P618" t="s">
        <v>103</v>
      </c>
      <c r="Q618" t="s">
        <v>776</v>
      </c>
      <c r="R618" t="s">
        <v>54</v>
      </c>
      <c r="S618" t="s">
        <v>55</v>
      </c>
      <c r="T618">
        <v>6</v>
      </c>
      <c r="U618">
        <v>10</v>
      </c>
      <c r="V618" t="s">
        <v>135</v>
      </c>
      <c r="W618">
        <v>0</v>
      </c>
      <c r="X618">
        <v>440.22</v>
      </c>
      <c r="Y618">
        <v>46.34</v>
      </c>
      <c r="Z618">
        <v>2.96</v>
      </c>
      <c r="AA618">
        <v>489.52</v>
      </c>
      <c r="AB618" t="s">
        <v>57</v>
      </c>
      <c r="AC618" t="s">
        <v>58</v>
      </c>
      <c r="AD618" t="s">
        <v>48</v>
      </c>
      <c r="AE618">
        <v>0</v>
      </c>
      <c r="AF618">
        <v>4.22</v>
      </c>
      <c r="AG618" t="s">
        <v>59</v>
      </c>
      <c r="AH618">
        <v>443965</v>
      </c>
      <c r="AI618" t="s">
        <v>60</v>
      </c>
      <c r="AJ618" t="s">
        <v>60</v>
      </c>
      <c r="AK618" t="s">
        <v>54</v>
      </c>
      <c r="AL618">
        <v>2024</v>
      </c>
      <c r="AM618" s="6" t="s">
        <v>777</v>
      </c>
      <c r="AN618" s="7">
        <v>44.02</v>
      </c>
      <c r="AO618" s="8">
        <f t="shared" si="30"/>
        <v>82.537500000000009</v>
      </c>
      <c r="AP618" s="8">
        <f t="shared" si="31"/>
        <v>91.699162500000014</v>
      </c>
      <c r="AQ618" s="9">
        <f t="shared" si="29"/>
        <v>133.70249625</v>
      </c>
    </row>
    <row r="619" spans="1:43" x14ac:dyDescent="0.25">
      <c r="A619">
        <v>8</v>
      </c>
      <c r="B619">
        <v>7</v>
      </c>
      <c r="C619">
        <v>2024</v>
      </c>
      <c r="D619" t="s">
        <v>43</v>
      </c>
      <c r="E619" t="s">
        <v>75</v>
      </c>
      <c r="F619" t="s">
        <v>76</v>
      </c>
      <c r="G619">
        <v>43</v>
      </c>
      <c r="H619">
        <v>1791882490001</v>
      </c>
      <c r="I619" t="s">
        <v>46</v>
      </c>
      <c r="J619" t="s">
        <v>48</v>
      </c>
      <c r="K619" t="s">
        <v>48</v>
      </c>
      <c r="L619" t="s">
        <v>49</v>
      </c>
      <c r="M619" t="s">
        <v>50</v>
      </c>
      <c r="N619" t="s">
        <v>51</v>
      </c>
      <c r="O619">
        <v>8481909090</v>
      </c>
      <c r="P619" t="s">
        <v>103</v>
      </c>
      <c r="Q619" t="s">
        <v>778</v>
      </c>
      <c r="R619" t="s">
        <v>54</v>
      </c>
      <c r="S619" t="s">
        <v>55</v>
      </c>
      <c r="T619">
        <v>8</v>
      </c>
      <c r="U619">
        <v>1</v>
      </c>
      <c r="V619" t="s">
        <v>135</v>
      </c>
      <c r="W619">
        <v>0</v>
      </c>
      <c r="X619">
        <v>45.7</v>
      </c>
      <c r="Y619">
        <v>3.9</v>
      </c>
      <c r="Z619">
        <v>0.3</v>
      </c>
      <c r="AA619">
        <v>49.9</v>
      </c>
      <c r="AB619" t="s">
        <v>57</v>
      </c>
      <c r="AC619" t="s">
        <v>77</v>
      </c>
      <c r="AD619" t="s">
        <v>48</v>
      </c>
      <c r="AE619">
        <v>0</v>
      </c>
      <c r="AF619">
        <v>0.3</v>
      </c>
      <c r="AG619" t="s">
        <v>59</v>
      </c>
      <c r="AH619">
        <v>107711</v>
      </c>
      <c r="AI619" t="s">
        <v>60</v>
      </c>
      <c r="AJ619" t="s">
        <v>78</v>
      </c>
      <c r="AK619" t="s">
        <v>54</v>
      </c>
      <c r="AL619">
        <v>2024</v>
      </c>
      <c r="AM619" s="6" t="s">
        <v>777</v>
      </c>
      <c r="AN619" s="7">
        <v>45.7</v>
      </c>
      <c r="AO619" s="8">
        <f t="shared" si="30"/>
        <v>85.6875</v>
      </c>
      <c r="AP619" s="8">
        <f t="shared" si="31"/>
        <v>95.198812500000003</v>
      </c>
      <c r="AQ619" s="9">
        <f t="shared" si="29"/>
        <v>138.80518125</v>
      </c>
    </row>
    <row r="620" spans="1:43" x14ac:dyDescent="0.25">
      <c r="A620">
        <v>8</v>
      </c>
      <c r="B620">
        <v>7</v>
      </c>
      <c r="C620">
        <v>2024</v>
      </c>
      <c r="D620" t="s">
        <v>43</v>
      </c>
      <c r="E620" t="s">
        <v>75</v>
      </c>
      <c r="F620" t="s">
        <v>76</v>
      </c>
      <c r="G620">
        <v>43</v>
      </c>
      <c r="H620">
        <v>1791882490001</v>
      </c>
      <c r="I620" t="s">
        <v>46</v>
      </c>
      <c r="J620" t="s">
        <v>48</v>
      </c>
      <c r="K620" t="s">
        <v>48</v>
      </c>
      <c r="L620" t="s">
        <v>49</v>
      </c>
      <c r="M620" t="s">
        <v>50</v>
      </c>
      <c r="N620" t="s">
        <v>51</v>
      </c>
      <c r="O620">
        <v>8481909090</v>
      </c>
      <c r="P620" t="s">
        <v>103</v>
      </c>
      <c r="Q620" t="s">
        <v>778</v>
      </c>
      <c r="R620" t="s">
        <v>54</v>
      </c>
      <c r="S620" t="s">
        <v>55</v>
      </c>
      <c r="T620">
        <v>8</v>
      </c>
      <c r="U620">
        <v>1</v>
      </c>
      <c r="V620" t="s">
        <v>135</v>
      </c>
      <c r="W620">
        <v>0</v>
      </c>
      <c r="X620">
        <v>45.7</v>
      </c>
      <c r="Y620">
        <v>3.9</v>
      </c>
      <c r="Z620">
        <v>0.3</v>
      </c>
      <c r="AA620">
        <v>49.9</v>
      </c>
      <c r="AB620" t="s">
        <v>57</v>
      </c>
      <c r="AC620" t="s">
        <v>77</v>
      </c>
      <c r="AD620" t="s">
        <v>48</v>
      </c>
      <c r="AE620">
        <v>0</v>
      </c>
      <c r="AF620">
        <v>0.3</v>
      </c>
      <c r="AG620" t="s">
        <v>59</v>
      </c>
      <c r="AH620">
        <v>107711</v>
      </c>
      <c r="AI620" t="s">
        <v>60</v>
      </c>
      <c r="AJ620" t="s">
        <v>78</v>
      </c>
      <c r="AK620" t="s">
        <v>54</v>
      </c>
      <c r="AL620">
        <v>2024</v>
      </c>
      <c r="AM620" s="6" t="s">
        <v>777</v>
      </c>
      <c r="AN620" s="7">
        <v>45.7</v>
      </c>
      <c r="AO620" s="8">
        <f t="shared" si="30"/>
        <v>85.6875</v>
      </c>
      <c r="AP620" s="8">
        <f t="shared" si="31"/>
        <v>95.198812500000003</v>
      </c>
      <c r="AQ620" s="9">
        <f t="shared" si="29"/>
        <v>138.80518125</v>
      </c>
    </row>
    <row r="621" spans="1:43" x14ac:dyDescent="0.25">
      <c r="A621">
        <v>19</v>
      </c>
      <c r="B621">
        <v>8</v>
      </c>
      <c r="C621">
        <v>2024</v>
      </c>
      <c r="D621" t="s">
        <v>43</v>
      </c>
      <c r="E621" t="s">
        <v>84</v>
      </c>
      <c r="F621" t="s">
        <v>85</v>
      </c>
      <c r="G621">
        <v>34</v>
      </c>
      <c r="H621">
        <v>1791882490001</v>
      </c>
      <c r="I621" t="s">
        <v>46</v>
      </c>
      <c r="J621" t="s">
        <v>48</v>
      </c>
      <c r="K621" t="s">
        <v>48</v>
      </c>
      <c r="L621" t="s">
        <v>49</v>
      </c>
      <c r="M621" t="s">
        <v>50</v>
      </c>
      <c r="N621" t="s">
        <v>51</v>
      </c>
      <c r="O621">
        <v>8481909090</v>
      </c>
      <c r="P621" t="s">
        <v>103</v>
      </c>
      <c r="Q621" t="s">
        <v>776</v>
      </c>
      <c r="R621" t="s">
        <v>54</v>
      </c>
      <c r="S621" t="s">
        <v>55</v>
      </c>
      <c r="T621">
        <v>6</v>
      </c>
      <c r="U621">
        <v>10</v>
      </c>
      <c r="V621" t="s">
        <v>135</v>
      </c>
      <c r="W621">
        <v>0</v>
      </c>
      <c r="X621">
        <v>440.11</v>
      </c>
      <c r="Y621">
        <v>56.79</v>
      </c>
      <c r="Z621">
        <v>3.01</v>
      </c>
      <c r="AA621">
        <v>499.91</v>
      </c>
      <c r="AB621" t="s">
        <v>57</v>
      </c>
      <c r="AC621" t="s">
        <v>58</v>
      </c>
      <c r="AD621" t="s">
        <v>48</v>
      </c>
      <c r="AE621">
        <v>0</v>
      </c>
      <c r="AF621">
        <v>13.95</v>
      </c>
      <c r="AG621" t="s">
        <v>59</v>
      </c>
      <c r="AH621">
        <v>144527</v>
      </c>
      <c r="AI621" t="s">
        <v>60</v>
      </c>
      <c r="AJ621" t="s">
        <v>60</v>
      </c>
      <c r="AK621" t="s">
        <v>54</v>
      </c>
      <c r="AL621">
        <v>2024</v>
      </c>
      <c r="AM621" s="6" t="s">
        <v>777</v>
      </c>
      <c r="AN621" s="7">
        <v>44.01</v>
      </c>
      <c r="AO621" s="8">
        <f t="shared" si="30"/>
        <v>82.518749999999997</v>
      </c>
      <c r="AP621" s="8">
        <f t="shared" si="31"/>
        <v>91.678331249999999</v>
      </c>
      <c r="AQ621" s="9">
        <f t="shared" si="29"/>
        <v>133.67212312499998</v>
      </c>
    </row>
    <row r="622" spans="1:43" x14ac:dyDescent="0.25">
      <c r="A622">
        <v>16</v>
      </c>
      <c r="B622">
        <v>12</v>
      </c>
      <c r="C622">
        <v>2024</v>
      </c>
      <c r="D622" t="s">
        <v>43</v>
      </c>
      <c r="E622" t="s">
        <v>128</v>
      </c>
      <c r="F622" t="s">
        <v>129</v>
      </c>
      <c r="G622">
        <v>45</v>
      </c>
      <c r="H622">
        <v>1791882490001</v>
      </c>
      <c r="I622" t="s">
        <v>46</v>
      </c>
      <c r="J622" t="s">
        <v>48</v>
      </c>
      <c r="K622" t="s">
        <v>48</v>
      </c>
      <c r="L622" t="s">
        <v>49</v>
      </c>
      <c r="M622" t="s">
        <v>50</v>
      </c>
      <c r="N622" t="s">
        <v>51</v>
      </c>
      <c r="O622">
        <v>8481909090</v>
      </c>
      <c r="P622" t="s">
        <v>284</v>
      </c>
      <c r="Q622" t="s">
        <v>768</v>
      </c>
      <c r="R622" t="s">
        <v>54</v>
      </c>
      <c r="S622" t="s">
        <v>55</v>
      </c>
      <c r="T622">
        <v>9</v>
      </c>
      <c r="U622">
        <v>10</v>
      </c>
      <c r="V622" t="s">
        <v>135</v>
      </c>
      <c r="W622">
        <v>0</v>
      </c>
      <c r="X622">
        <v>444.65</v>
      </c>
      <c r="Y622">
        <v>58.23</v>
      </c>
      <c r="Z622">
        <v>3.05</v>
      </c>
      <c r="AA622">
        <v>505.94</v>
      </c>
      <c r="AB622" t="s">
        <v>57</v>
      </c>
      <c r="AC622" t="s">
        <v>131</v>
      </c>
      <c r="AD622" t="s">
        <v>48</v>
      </c>
      <c r="AE622">
        <v>0</v>
      </c>
      <c r="AF622">
        <v>19.89</v>
      </c>
      <c r="AG622" t="s">
        <v>59</v>
      </c>
      <c r="AH622">
        <v>325395</v>
      </c>
      <c r="AI622" t="s">
        <v>60</v>
      </c>
      <c r="AJ622" t="s">
        <v>78</v>
      </c>
      <c r="AK622" t="s">
        <v>54</v>
      </c>
      <c r="AL622">
        <v>2024</v>
      </c>
      <c r="AM622" s="6" t="s">
        <v>777</v>
      </c>
      <c r="AN622" s="7">
        <v>44.47</v>
      </c>
      <c r="AO622" s="8">
        <f t="shared" si="30"/>
        <v>83.381249999999994</v>
      </c>
      <c r="AP622" s="8">
        <f t="shared" si="31"/>
        <v>92.636568749999995</v>
      </c>
      <c r="AQ622" s="9">
        <f t="shared" si="29"/>
        <v>135.06928687499999</v>
      </c>
    </row>
    <row r="623" spans="1:43" x14ac:dyDescent="0.25">
      <c r="A623">
        <v>1</v>
      </c>
      <c r="B623">
        <v>2</v>
      </c>
      <c r="C623">
        <v>2024</v>
      </c>
      <c r="D623" t="s">
        <v>43</v>
      </c>
      <c r="E623" t="s">
        <v>174</v>
      </c>
      <c r="F623" t="s">
        <v>175</v>
      </c>
      <c r="G623">
        <v>25</v>
      </c>
      <c r="H623">
        <v>1791882490001</v>
      </c>
      <c r="I623" t="s">
        <v>46</v>
      </c>
      <c r="J623" t="s">
        <v>48</v>
      </c>
      <c r="K623" t="s">
        <v>48</v>
      </c>
      <c r="L623" t="s">
        <v>49</v>
      </c>
      <c r="M623" t="s">
        <v>50</v>
      </c>
      <c r="N623" t="s">
        <v>51</v>
      </c>
      <c r="O623">
        <v>8481909090</v>
      </c>
      <c r="P623" t="s">
        <v>103</v>
      </c>
      <c r="Q623" t="s">
        <v>702</v>
      </c>
      <c r="R623" t="s">
        <v>54</v>
      </c>
      <c r="S623" t="s">
        <v>55</v>
      </c>
      <c r="T623">
        <v>5</v>
      </c>
      <c r="U623">
        <v>5</v>
      </c>
      <c r="V623" t="s">
        <v>135</v>
      </c>
      <c r="W623">
        <v>0</v>
      </c>
      <c r="X623">
        <v>222.8</v>
      </c>
      <c r="Y623">
        <v>16.559999999999999</v>
      </c>
      <c r="Z623">
        <v>1.33</v>
      </c>
      <c r="AA623">
        <v>240.7</v>
      </c>
      <c r="AB623" t="s">
        <v>54</v>
      </c>
      <c r="AC623" t="s">
        <v>94</v>
      </c>
      <c r="AD623" t="s">
        <v>48</v>
      </c>
      <c r="AE623">
        <v>0</v>
      </c>
      <c r="AF623">
        <v>9.92</v>
      </c>
      <c r="AG623" t="s">
        <v>59</v>
      </c>
      <c r="AH623">
        <v>863266</v>
      </c>
      <c r="AI623" t="s">
        <v>60</v>
      </c>
      <c r="AJ623" t="s">
        <v>60</v>
      </c>
      <c r="AK623" t="s">
        <v>54</v>
      </c>
      <c r="AL623">
        <v>2023</v>
      </c>
      <c r="AM623" s="6" t="s">
        <v>779</v>
      </c>
      <c r="AN623" s="7">
        <v>44.56</v>
      </c>
      <c r="AO623" s="8">
        <f t="shared" si="30"/>
        <v>83.550000000000011</v>
      </c>
      <c r="AP623" s="8">
        <f t="shared" si="31"/>
        <v>92.824050000000014</v>
      </c>
      <c r="AQ623" s="9">
        <f t="shared" si="29"/>
        <v>135.342645</v>
      </c>
    </row>
    <row r="624" spans="1:43" x14ac:dyDescent="0.25">
      <c r="A624">
        <v>13</v>
      </c>
      <c r="B624">
        <v>3</v>
      </c>
      <c r="C624">
        <v>2024</v>
      </c>
      <c r="D624" t="s">
        <v>43</v>
      </c>
      <c r="E624" t="s">
        <v>69</v>
      </c>
      <c r="F624" t="s">
        <v>70</v>
      </c>
      <c r="G624">
        <v>36</v>
      </c>
      <c r="H624">
        <v>1791882490001</v>
      </c>
      <c r="I624" t="s">
        <v>46</v>
      </c>
      <c r="J624" t="s">
        <v>48</v>
      </c>
      <c r="K624" t="s">
        <v>48</v>
      </c>
      <c r="L624" t="s">
        <v>49</v>
      </c>
      <c r="M624" t="s">
        <v>50</v>
      </c>
      <c r="N624" t="s">
        <v>51</v>
      </c>
      <c r="O624">
        <v>8481909090</v>
      </c>
      <c r="P624" t="s">
        <v>103</v>
      </c>
      <c r="Q624" t="s">
        <v>776</v>
      </c>
      <c r="R624" t="s">
        <v>54</v>
      </c>
      <c r="S624" t="s">
        <v>55</v>
      </c>
      <c r="T624">
        <v>11</v>
      </c>
      <c r="U624">
        <v>10</v>
      </c>
      <c r="V624" t="s">
        <v>135</v>
      </c>
      <c r="W624">
        <v>0</v>
      </c>
      <c r="X624">
        <v>434.8</v>
      </c>
      <c r="Y624">
        <v>56.94</v>
      </c>
      <c r="Z624">
        <v>2.93</v>
      </c>
      <c r="AA624">
        <v>494.67</v>
      </c>
      <c r="AB624" t="s">
        <v>54</v>
      </c>
      <c r="AC624" t="s">
        <v>71</v>
      </c>
      <c r="AD624" t="s">
        <v>48</v>
      </c>
      <c r="AE624">
        <v>0</v>
      </c>
      <c r="AF624">
        <v>20.39</v>
      </c>
      <c r="AG624" t="s">
        <v>59</v>
      </c>
      <c r="AH624">
        <v>895279</v>
      </c>
      <c r="AI624" t="s">
        <v>60</v>
      </c>
      <c r="AJ624" t="s">
        <v>60</v>
      </c>
      <c r="AK624" t="s">
        <v>54</v>
      </c>
      <c r="AL624">
        <v>2024</v>
      </c>
      <c r="AM624" s="6" t="s">
        <v>779</v>
      </c>
      <c r="AN624" s="7">
        <v>43.48</v>
      </c>
      <c r="AO624" s="8">
        <f t="shared" si="30"/>
        <v>81.524999999999991</v>
      </c>
      <c r="AP624" s="8">
        <f t="shared" si="31"/>
        <v>90.574274999999986</v>
      </c>
      <c r="AQ624" s="9">
        <f t="shared" si="29"/>
        <v>132.06234749999999</v>
      </c>
    </row>
    <row r="625" spans="1:43" x14ac:dyDescent="0.25">
      <c r="A625">
        <v>3</v>
      </c>
      <c r="B625">
        <v>4</v>
      </c>
      <c r="C625">
        <v>2024</v>
      </c>
      <c r="D625" t="s">
        <v>43</v>
      </c>
      <c r="E625" t="s">
        <v>73</v>
      </c>
      <c r="F625" t="s">
        <v>74</v>
      </c>
      <c r="G625">
        <v>32</v>
      </c>
      <c r="H625">
        <v>1791882490001</v>
      </c>
      <c r="I625" t="s">
        <v>46</v>
      </c>
      <c r="J625" t="s">
        <v>48</v>
      </c>
      <c r="K625" t="s">
        <v>48</v>
      </c>
      <c r="L625" t="s">
        <v>49</v>
      </c>
      <c r="M625" t="s">
        <v>50</v>
      </c>
      <c r="N625" t="s">
        <v>51</v>
      </c>
      <c r="O625">
        <v>8481909090</v>
      </c>
      <c r="P625" t="s">
        <v>103</v>
      </c>
      <c r="Q625" t="s">
        <v>776</v>
      </c>
      <c r="R625" t="s">
        <v>54</v>
      </c>
      <c r="S625" t="s">
        <v>55</v>
      </c>
      <c r="T625">
        <v>6</v>
      </c>
      <c r="U625">
        <v>1</v>
      </c>
      <c r="V625" t="s">
        <v>135</v>
      </c>
      <c r="W625">
        <v>0</v>
      </c>
      <c r="X625">
        <v>44.29</v>
      </c>
      <c r="Y625">
        <v>5.17</v>
      </c>
      <c r="Z625">
        <v>0.28999999999999998</v>
      </c>
      <c r="AA625">
        <v>49.76</v>
      </c>
      <c r="AB625" t="s">
        <v>57</v>
      </c>
      <c r="AC625" t="s">
        <v>58</v>
      </c>
      <c r="AD625" t="s">
        <v>48</v>
      </c>
      <c r="AE625">
        <v>0</v>
      </c>
      <c r="AF625">
        <v>1.33</v>
      </c>
      <c r="AG625" t="s">
        <v>59</v>
      </c>
      <c r="AH625">
        <v>438183</v>
      </c>
      <c r="AI625" t="s">
        <v>60</v>
      </c>
      <c r="AJ625" t="s">
        <v>60</v>
      </c>
      <c r="AK625" t="s">
        <v>54</v>
      </c>
      <c r="AL625">
        <v>2024</v>
      </c>
      <c r="AM625" s="6" t="s">
        <v>779</v>
      </c>
      <c r="AN625" s="7">
        <v>44.29</v>
      </c>
      <c r="AO625" s="8">
        <f t="shared" si="30"/>
        <v>83.043750000000003</v>
      </c>
      <c r="AP625" s="8">
        <f t="shared" si="31"/>
        <v>92.26160625</v>
      </c>
      <c r="AQ625" s="9">
        <f t="shared" si="29"/>
        <v>134.52257062499999</v>
      </c>
    </row>
    <row r="626" spans="1:43" x14ac:dyDescent="0.25">
      <c r="A626">
        <v>10</v>
      </c>
      <c r="B626">
        <v>10</v>
      </c>
      <c r="C626">
        <v>2024</v>
      </c>
      <c r="D626" t="s">
        <v>43</v>
      </c>
      <c r="E626" t="s">
        <v>44</v>
      </c>
      <c r="F626" t="s">
        <v>45</v>
      </c>
      <c r="G626">
        <v>46</v>
      </c>
      <c r="H626">
        <v>1791882490001</v>
      </c>
      <c r="I626" t="s">
        <v>46</v>
      </c>
      <c r="J626" t="s">
        <v>48</v>
      </c>
      <c r="K626" t="s">
        <v>48</v>
      </c>
      <c r="L626" t="s">
        <v>49</v>
      </c>
      <c r="M626" t="s">
        <v>50</v>
      </c>
      <c r="N626" t="s">
        <v>51</v>
      </c>
      <c r="O626">
        <v>8481909090</v>
      </c>
      <c r="P626" t="s">
        <v>284</v>
      </c>
      <c r="Q626" t="s">
        <v>780</v>
      </c>
      <c r="R626" t="s">
        <v>54</v>
      </c>
      <c r="S626" t="s">
        <v>55</v>
      </c>
      <c r="T626">
        <v>7</v>
      </c>
      <c r="U626">
        <v>6</v>
      </c>
      <c r="V626" t="s">
        <v>135</v>
      </c>
      <c r="W626">
        <v>0</v>
      </c>
      <c r="X626">
        <v>260.72000000000003</v>
      </c>
      <c r="Y626">
        <v>45.55</v>
      </c>
      <c r="Z626">
        <v>1.88</v>
      </c>
      <c r="AA626">
        <v>308.16000000000003</v>
      </c>
      <c r="AB626" t="s">
        <v>57</v>
      </c>
      <c r="AC626" t="s">
        <v>58</v>
      </c>
      <c r="AD626" t="s">
        <v>48</v>
      </c>
      <c r="AE626">
        <v>0</v>
      </c>
      <c r="AF626">
        <v>2.81</v>
      </c>
      <c r="AG626" t="s">
        <v>59</v>
      </c>
      <c r="AH626">
        <v>179772</v>
      </c>
      <c r="AI626" t="s">
        <v>60</v>
      </c>
      <c r="AJ626" t="s">
        <v>60</v>
      </c>
      <c r="AK626" t="s">
        <v>54</v>
      </c>
      <c r="AL626">
        <v>2024</v>
      </c>
      <c r="AM626" s="6" t="s">
        <v>779</v>
      </c>
      <c r="AN626" s="7">
        <v>43.45</v>
      </c>
      <c r="AO626" s="8">
        <f t="shared" si="30"/>
        <v>81.46875</v>
      </c>
      <c r="AP626" s="8">
        <f t="shared" si="31"/>
        <v>90.511781249999999</v>
      </c>
      <c r="AQ626" s="9">
        <f t="shared" si="29"/>
        <v>131.97122812499998</v>
      </c>
    </row>
    <row r="627" spans="1:43" x14ac:dyDescent="0.25">
      <c r="A627">
        <v>13</v>
      </c>
      <c r="B627">
        <v>3</v>
      </c>
      <c r="C627">
        <v>2024</v>
      </c>
      <c r="D627" t="s">
        <v>43</v>
      </c>
      <c r="E627" t="s">
        <v>69</v>
      </c>
      <c r="F627" t="s">
        <v>70</v>
      </c>
      <c r="G627">
        <v>37</v>
      </c>
      <c r="H627">
        <v>1791882490001</v>
      </c>
      <c r="I627" t="s">
        <v>46</v>
      </c>
      <c r="J627" t="s">
        <v>48</v>
      </c>
      <c r="K627" t="s">
        <v>48</v>
      </c>
      <c r="L627" t="s">
        <v>49</v>
      </c>
      <c r="M627" t="s">
        <v>50</v>
      </c>
      <c r="N627" t="s">
        <v>51</v>
      </c>
      <c r="O627">
        <v>8481909090</v>
      </c>
      <c r="P627" t="s">
        <v>103</v>
      </c>
      <c r="Q627" t="s">
        <v>780</v>
      </c>
      <c r="R627" t="s">
        <v>54</v>
      </c>
      <c r="S627" t="s">
        <v>55</v>
      </c>
      <c r="T627">
        <v>11</v>
      </c>
      <c r="U627">
        <v>8</v>
      </c>
      <c r="V627" t="s">
        <v>135</v>
      </c>
      <c r="W627">
        <v>0</v>
      </c>
      <c r="X627">
        <v>380.54</v>
      </c>
      <c r="Y627">
        <v>49.83</v>
      </c>
      <c r="Z627">
        <v>2.56</v>
      </c>
      <c r="AA627">
        <v>432.93</v>
      </c>
      <c r="AB627" t="s">
        <v>54</v>
      </c>
      <c r="AC627" t="s">
        <v>71</v>
      </c>
      <c r="AD627" t="s">
        <v>48</v>
      </c>
      <c r="AE627">
        <v>0</v>
      </c>
      <c r="AF627">
        <v>16.309999999999999</v>
      </c>
      <c r="AG627" t="s">
        <v>59</v>
      </c>
      <c r="AH627">
        <v>895279</v>
      </c>
      <c r="AI627" t="s">
        <v>60</v>
      </c>
      <c r="AJ627" t="s">
        <v>60</v>
      </c>
      <c r="AK627" t="s">
        <v>54</v>
      </c>
      <c r="AL627">
        <v>2024</v>
      </c>
      <c r="AM627" s="6" t="s">
        <v>781</v>
      </c>
      <c r="AN627" s="7">
        <v>47.57</v>
      </c>
      <c r="AO627" s="8">
        <f t="shared" si="30"/>
        <v>89.193749999999994</v>
      </c>
      <c r="AP627" s="8">
        <f t="shared" si="31"/>
        <v>99.094256249999987</v>
      </c>
      <c r="AQ627" s="9">
        <f t="shared" si="29"/>
        <v>144.48495562499997</v>
      </c>
    </row>
    <row r="628" spans="1:43" x14ac:dyDescent="0.25">
      <c r="A628">
        <v>26</v>
      </c>
      <c r="B628">
        <v>12</v>
      </c>
      <c r="C628">
        <v>2024</v>
      </c>
      <c r="D628" t="s">
        <v>43</v>
      </c>
      <c r="E628" t="s">
        <v>222</v>
      </c>
      <c r="F628" t="s">
        <v>223</v>
      </c>
      <c r="G628">
        <v>34</v>
      </c>
      <c r="H628">
        <v>1791882490001</v>
      </c>
      <c r="I628" t="s">
        <v>46</v>
      </c>
      <c r="J628" t="s">
        <v>48</v>
      </c>
      <c r="K628" t="s">
        <v>48</v>
      </c>
      <c r="L628" t="s">
        <v>49</v>
      </c>
      <c r="M628" t="s">
        <v>50</v>
      </c>
      <c r="N628" t="s">
        <v>224</v>
      </c>
      <c r="O628">
        <v>8481909090</v>
      </c>
      <c r="P628" t="s">
        <v>284</v>
      </c>
      <c r="Q628" t="s">
        <v>776</v>
      </c>
      <c r="R628" t="s">
        <v>54</v>
      </c>
      <c r="S628" t="s">
        <v>55</v>
      </c>
      <c r="T628">
        <v>8</v>
      </c>
      <c r="U628">
        <v>8</v>
      </c>
      <c r="V628" t="s">
        <v>135</v>
      </c>
      <c r="W628">
        <v>0</v>
      </c>
      <c r="X628">
        <v>384.66</v>
      </c>
      <c r="Y628">
        <v>79.66</v>
      </c>
      <c r="Z628">
        <v>3.85</v>
      </c>
      <c r="AA628">
        <v>468.17</v>
      </c>
      <c r="AB628" t="s">
        <v>57</v>
      </c>
      <c r="AC628" t="s">
        <v>225</v>
      </c>
      <c r="AD628" t="s">
        <v>48</v>
      </c>
      <c r="AE628">
        <v>0</v>
      </c>
      <c r="AF628">
        <v>16.48</v>
      </c>
      <c r="AG628" t="s">
        <v>59</v>
      </c>
      <c r="AH628">
        <v>341996</v>
      </c>
      <c r="AI628" t="s">
        <v>60</v>
      </c>
      <c r="AJ628" t="s">
        <v>60</v>
      </c>
      <c r="AK628" t="s">
        <v>54</v>
      </c>
      <c r="AL628">
        <v>2024</v>
      </c>
      <c r="AM628" s="6" t="s">
        <v>781</v>
      </c>
      <c r="AN628" s="7">
        <v>48.08</v>
      </c>
      <c r="AO628" s="8">
        <f t="shared" si="30"/>
        <v>90.149999999999991</v>
      </c>
      <c r="AP628" s="8">
        <f t="shared" si="31"/>
        <v>100.15664999999998</v>
      </c>
      <c r="AQ628" s="9">
        <f t="shared" si="29"/>
        <v>146.03398499999997</v>
      </c>
    </row>
    <row r="629" spans="1:43" x14ac:dyDescent="0.25">
      <c r="A629">
        <v>13</v>
      </c>
      <c r="B629">
        <v>3</v>
      </c>
      <c r="C629">
        <v>2024</v>
      </c>
      <c r="D629" t="s">
        <v>43</v>
      </c>
      <c r="E629" t="s">
        <v>69</v>
      </c>
      <c r="F629" t="s">
        <v>70</v>
      </c>
      <c r="G629">
        <v>38</v>
      </c>
      <c r="H629">
        <v>1791882490001</v>
      </c>
      <c r="I629" t="s">
        <v>46</v>
      </c>
      <c r="J629" t="s">
        <v>48</v>
      </c>
      <c r="K629" t="s">
        <v>48</v>
      </c>
      <c r="L629" t="s">
        <v>49</v>
      </c>
      <c r="M629" t="s">
        <v>50</v>
      </c>
      <c r="N629" t="s">
        <v>51</v>
      </c>
      <c r="O629">
        <v>8481809990</v>
      </c>
      <c r="P629" t="s">
        <v>103</v>
      </c>
      <c r="Q629" t="s">
        <v>782</v>
      </c>
      <c r="R629" t="s">
        <v>54</v>
      </c>
      <c r="S629" t="s">
        <v>55</v>
      </c>
      <c r="T629">
        <v>11</v>
      </c>
      <c r="U629">
        <v>4</v>
      </c>
      <c r="V629" t="s">
        <v>135</v>
      </c>
      <c r="W629">
        <v>0</v>
      </c>
      <c r="X629">
        <v>707.21</v>
      </c>
      <c r="Y629">
        <v>92.61</v>
      </c>
      <c r="Z629">
        <v>4.76</v>
      </c>
      <c r="AA629">
        <v>804.57</v>
      </c>
      <c r="AB629" t="s">
        <v>54</v>
      </c>
      <c r="AC629" t="s">
        <v>71</v>
      </c>
      <c r="AD629" t="s">
        <v>48</v>
      </c>
      <c r="AE629">
        <v>0</v>
      </c>
      <c r="AF629">
        <v>8.16</v>
      </c>
      <c r="AG629" t="s">
        <v>59</v>
      </c>
      <c r="AH629">
        <v>895279</v>
      </c>
      <c r="AI629" t="s">
        <v>60</v>
      </c>
      <c r="AJ629" t="s">
        <v>60</v>
      </c>
      <c r="AK629" t="s">
        <v>54</v>
      </c>
      <c r="AL629">
        <v>2024</v>
      </c>
      <c r="AM629" s="6" t="s">
        <v>783</v>
      </c>
      <c r="AN629" s="7">
        <v>176.8</v>
      </c>
      <c r="AO629" s="8">
        <f t="shared" si="30"/>
        <v>331.5</v>
      </c>
      <c r="AP629" s="8">
        <f t="shared" si="31"/>
        <v>368.29649999999998</v>
      </c>
      <c r="AQ629" s="9">
        <f t="shared" si="29"/>
        <v>536.99684999999999</v>
      </c>
    </row>
    <row r="630" spans="1:43" x14ac:dyDescent="0.25">
      <c r="A630">
        <v>15</v>
      </c>
      <c r="B630">
        <v>4</v>
      </c>
      <c r="C630">
        <v>2024</v>
      </c>
      <c r="D630" t="s">
        <v>43</v>
      </c>
      <c r="E630" t="s">
        <v>63</v>
      </c>
      <c r="F630" t="s">
        <v>64</v>
      </c>
      <c r="G630">
        <v>44</v>
      </c>
      <c r="H630">
        <v>1791882490001</v>
      </c>
      <c r="I630" t="s">
        <v>46</v>
      </c>
      <c r="J630" t="s">
        <v>48</v>
      </c>
      <c r="K630" t="s">
        <v>48</v>
      </c>
      <c r="L630" t="s">
        <v>49</v>
      </c>
      <c r="M630" t="s">
        <v>50</v>
      </c>
      <c r="N630" t="s">
        <v>51</v>
      </c>
      <c r="O630">
        <v>8481809990</v>
      </c>
      <c r="P630" t="s">
        <v>103</v>
      </c>
      <c r="Q630" t="s">
        <v>784</v>
      </c>
      <c r="R630" t="s">
        <v>54</v>
      </c>
      <c r="S630" t="s">
        <v>55</v>
      </c>
      <c r="T630">
        <v>6</v>
      </c>
      <c r="U630">
        <v>4</v>
      </c>
      <c r="V630" t="s">
        <v>135</v>
      </c>
      <c r="W630">
        <v>0</v>
      </c>
      <c r="X630">
        <v>793.15</v>
      </c>
      <c r="Y630">
        <v>83.49</v>
      </c>
      <c r="Z630">
        <v>5.32</v>
      </c>
      <c r="AA630">
        <v>881.97</v>
      </c>
      <c r="AB630" t="s">
        <v>57</v>
      </c>
      <c r="AC630" t="s">
        <v>58</v>
      </c>
      <c r="AD630" t="s">
        <v>48</v>
      </c>
      <c r="AE630">
        <v>0</v>
      </c>
      <c r="AF630">
        <v>7.6</v>
      </c>
      <c r="AG630" t="s">
        <v>59</v>
      </c>
      <c r="AH630">
        <v>443965</v>
      </c>
      <c r="AI630" t="s">
        <v>60</v>
      </c>
      <c r="AJ630" t="s">
        <v>60</v>
      </c>
      <c r="AK630" t="s">
        <v>54</v>
      </c>
      <c r="AL630">
        <v>2024</v>
      </c>
      <c r="AM630" s="6" t="s">
        <v>783</v>
      </c>
      <c r="AN630" s="7">
        <v>198.29</v>
      </c>
      <c r="AO630" s="8">
        <f t="shared" si="30"/>
        <v>371.79374999999999</v>
      </c>
      <c r="AP630" s="8">
        <f t="shared" si="31"/>
        <v>413.06285624999998</v>
      </c>
      <c r="AQ630" s="9">
        <f t="shared" si="29"/>
        <v>602.26869562499996</v>
      </c>
    </row>
    <row r="631" spans="1:43" x14ac:dyDescent="0.25">
      <c r="A631">
        <v>12</v>
      </c>
      <c r="B631">
        <v>6</v>
      </c>
      <c r="C631">
        <v>2024</v>
      </c>
      <c r="D631" t="s">
        <v>43</v>
      </c>
      <c r="E631" t="s">
        <v>96</v>
      </c>
      <c r="F631" t="s">
        <v>97</v>
      </c>
      <c r="G631">
        <v>31</v>
      </c>
      <c r="H631">
        <v>1791882490001</v>
      </c>
      <c r="I631" t="s">
        <v>46</v>
      </c>
      <c r="J631" t="s">
        <v>48</v>
      </c>
      <c r="K631" t="s">
        <v>48</v>
      </c>
      <c r="L631" t="s">
        <v>49</v>
      </c>
      <c r="M631" t="s">
        <v>50</v>
      </c>
      <c r="N631" t="s">
        <v>51</v>
      </c>
      <c r="O631">
        <v>8481809990</v>
      </c>
      <c r="P631" t="s">
        <v>103</v>
      </c>
      <c r="Q631" t="s">
        <v>785</v>
      </c>
      <c r="R631" t="s">
        <v>54</v>
      </c>
      <c r="S631" t="s">
        <v>55</v>
      </c>
      <c r="T631">
        <v>7</v>
      </c>
      <c r="U631">
        <v>4</v>
      </c>
      <c r="V631" t="s">
        <v>135</v>
      </c>
      <c r="W631">
        <v>0</v>
      </c>
      <c r="X631">
        <v>799.89</v>
      </c>
      <c r="Y631">
        <v>69.37</v>
      </c>
      <c r="Z631">
        <v>5.38</v>
      </c>
      <c r="AA631">
        <v>874.65</v>
      </c>
      <c r="AB631" t="s">
        <v>57</v>
      </c>
      <c r="AC631" t="s">
        <v>94</v>
      </c>
      <c r="AD631" t="s">
        <v>48</v>
      </c>
      <c r="AE631">
        <v>0</v>
      </c>
      <c r="AF631">
        <v>7.2</v>
      </c>
      <c r="AG631" t="s">
        <v>59</v>
      </c>
      <c r="AH631" t="s">
        <v>98</v>
      </c>
      <c r="AI631" t="s">
        <v>60</v>
      </c>
      <c r="AJ631" t="s">
        <v>60</v>
      </c>
      <c r="AK631" t="s">
        <v>54</v>
      </c>
      <c r="AL631">
        <v>2024</v>
      </c>
      <c r="AM631" s="6" t="s">
        <v>783</v>
      </c>
      <c r="AN631" s="7">
        <v>199.97</v>
      </c>
      <c r="AO631" s="8">
        <f t="shared" si="30"/>
        <v>374.94375000000002</v>
      </c>
      <c r="AP631" s="8">
        <f t="shared" si="31"/>
        <v>416.56250625000001</v>
      </c>
      <c r="AQ631" s="9">
        <f t="shared" si="29"/>
        <v>607.37138062500003</v>
      </c>
    </row>
    <row r="632" spans="1:43" x14ac:dyDescent="0.25">
      <c r="A632">
        <v>8</v>
      </c>
      <c r="B632">
        <v>7</v>
      </c>
      <c r="C632">
        <v>2024</v>
      </c>
      <c r="D632" t="s">
        <v>43</v>
      </c>
      <c r="E632" t="s">
        <v>75</v>
      </c>
      <c r="F632" t="s">
        <v>76</v>
      </c>
      <c r="G632">
        <v>44</v>
      </c>
      <c r="H632">
        <v>1791882490001</v>
      </c>
      <c r="I632" t="s">
        <v>46</v>
      </c>
      <c r="J632" t="s">
        <v>48</v>
      </c>
      <c r="K632" t="s">
        <v>48</v>
      </c>
      <c r="L632" t="s">
        <v>49</v>
      </c>
      <c r="M632" t="s">
        <v>50</v>
      </c>
      <c r="N632" t="s">
        <v>51</v>
      </c>
      <c r="O632">
        <v>8481809990</v>
      </c>
      <c r="P632" t="s">
        <v>103</v>
      </c>
      <c r="Q632" t="s">
        <v>694</v>
      </c>
      <c r="R632" t="s">
        <v>54</v>
      </c>
      <c r="S632" t="s">
        <v>55</v>
      </c>
      <c r="T632">
        <v>8</v>
      </c>
      <c r="U632">
        <v>2</v>
      </c>
      <c r="V632" t="s">
        <v>135</v>
      </c>
      <c r="W632">
        <v>0</v>
      </c>
      <c r="X632">
        <v>411.7</v>
      </c>
      <c r="Y632">
        <v>35.17</v>
      </c>
      <c r="Z632">
        <v>2.68</v>
      </c>
      <c r="AA632">
        <v>449.55</v>
      </c>
      <c r="AB632" t="s">
        <v>57</v>
      </c>
      <c r="AC632" t="s">
        <v>77</v>
      </c>
      <c r="AD632" t="s">
        <v>48</v>
      </c>
      <c r="AE632">
        <v>0</v>
      </c>
      <c r="AF632">
        <v>2.72</v>
      </c>
      <c r="AG632" t="s">
        <v>59</v>
      </c>
      <c r="AH632">
        <v>107711</v>
      </c>
      <c r="AI632" t="s">
        <v>60</v>
      </c>
      <c r="AJ632" t="s">
        <v>78</v>
      </c>
      <c r="AK632" t="s">
        <v>54</v>
      </c>
      <c r="AL632">
        <v>2024</v>
      </c>
      <c r="AM632" s="6" t="s">
        <v>783</v>
      </c>
      <c r="AN632" s="7">
        <v>205.85</v>
      </c>
      <c r="AO632" s="8">
        <f t="shared" si="30"/>
        <v>385.96875</v>
      </c>
      <c r="AP632" s="8">
        <f t="shared" si="31"/>
        <v>428.81128124999998</v>
      </c>
      <c r="AQ632" s="9">
        <f t="shared" si="29"/>
        <v>625.23077812499992</v>
      </c>
    </row>
    <row r="633" spans="1:43" x14ac:dyDescent="0.25">
      <c r="A633">
        <v>8</v>
      </c>
      <c r="B633">
        <v>7</v>
      </c>
      <c r="C633">
        <v>2024</v>
      </c>
      <c r="D633" t="s">
        <v>43</v>
      </c>
      <c r="E633" t="s">
        <v>75</v>
      </c>
      <c r="F633" t="s">
        <v>76</v>
      </c>
      <c r="G633">
        <v>44</v>
      </c>
      <c r="H633">
        <v>1791882490001</v>
      </c>
      <c r="I633" t="s">
        <v>46</v>
      </c>
      <c r="J633" t="s">
        <v>48</v>
      </c>
      <c r="K633" t="s">
        <v>48</v>
      </c>
      <c r="L633" t="s">
        <v>49</v>
      </c>
      <c r="M633" t="s">
        <v>50</v>
      </c>
      <c r="N633" t="s">
        <v>51</v>
      </c>
      <c r="O633">
        <v>8481809990</v>
      </c>
      <c r="P633" t="s">
        <v>103</v>
      </c>
      <c r="Q633" t="s">
        <v>694</v>
      </c>
      <c r="R633" t="s">
        <v>54</v>
      </c>
      <c r="S633" t="s">
        <v>55</v>
      </c>
      <c r="T633">
        <v>8</v>
      </c>
      <c r="U633">
        <v>2</v>
      </c>
      <c r="V633" t="s">
        <v>135</v>
      </c>
      <c r="W633">
        <v>0</v>
      </c>
      <c r="X633">
        <v>411.7</v>
      </c>
      <c r="Y633">
        <v>35.17</v>
      </c>
      <c r="Z633">
        <v>2.68</v>
      </c>
      <c r="AA633">
        <v>449.55</v>
      </c>
      <c r="AB633" t="s">
        <v>57</v>
      </c>
      <c r="AC633" t="s">
        <v>77</v>
      </c>
      <c r="AD633" t="s">
        <v>48</v>
      </c>
      <c r="AE633">
        <v>0</v>
      </c>
      <c r="AF633">
        <v>2.72</v>
      </c>
      <c r="AG633" t="s">
        <v>59</v>
      </c>
      <c r="AH633">
        <v>107711</v>
      </c>
      <c r="AI633" t="s">
        <v>60</v>
      </c>
      <c r="AJ633" t="s">
        <v>78</v>
      </c>
      <c r="AK633" t="s">
        <v>54</v>
      </c>
      <c r="AL633">
        <v>2024</v>
      </c>
      <c r="AM633" s="6" t="s">
        <v>783</v>
      </c>
      <c r="AN633" s="7">
        <v>205.85</v>
      </c>
      <c r="AO633" s="8">
        <f t="shared" si="30"/>
        <v>385.96875</v>
      </c>
      <c r="AP633" s="8">
        <f t="shared" si="31"/>
        <v>428.81128124999998</v>
      </c>
      <c r="AQ633" s="9">
        <f t="shared" si="29"/>
        <v>625.23077812499992</v>
      </c>
    </row>
    <row r="634" spans="1:43" x14ac:dyDescent="0.25">
      <c r="A634">
        <v>11</v>
      </c>
      <c r="B634">
        <v>7</v>
      </c>
      <c r="C634">
        <v>2024</v>
      </c>
      <c r="D634" t="s">
        <v>43</v>
      </c>
      <c r="E634" t="s">
        <v>116</v>
      </c>
      <c r="F634" t="s">
        <v>117</v>
      </c>
      <c r="G634">
        <v>19</v>
      </c>
      <c r="H634">
        <v>1791882490001</v>
      </c>
      <c r="I634" t="s">
        <v>46</v>
      </c>
      <c r="J634" t="s">
        <v>48</v>
      </c>
      <c r="K634" t="s">
        <v>48</v>
      </c>
      <c r="L634" t="s">
        <v>119</v>
      </c>
      <c r="M634" t="s">
        <v>120</v>
      </c>
      <c r="N634" t="s">
        <v>121</v>
      </c>
      <c r="O634">
        <v>8481809990</v>
      </c>
      <c r="P634" t="s">
        <v>103</v>
      </c>
      <c r="Q634" t="s">
        <v>785</v>
      </c>
      <c r="R634" t="s">
        <v>54</v>
      </c>
      <c r="S634" t="s">
        <v>55</v>
      </c>
      <c r="T634">
        <v>9</v>
      </c>
      <c r="U634">
        <v>8</v>
      </c>
      <c r="V634" t="s">
        <v>135</v>
      </c>
      <c r="W634">
        <v>0</v>
      </c>
      <c r="X634">
        <v>1405.59</v>
      </c>
      <c r="Y634">
        <v>126.58</v>
      </c>
      <c r="Z634">
        <v>9.44</v>
      </c>
      <c r="AA634">
        <v>1541.61</v>
      </c>
      <c r="AB634" t="s">
        <v>124</v>
      </c>
      <c r="AC634" t="s">
        <v>125</v>
      </c>
      <c r="AD634" t="s">
        <v>48</v>
      </c>
      <c r="AE634">
        <v>0</v>
      </c>
      <c r="AF634">
        <v>16.14</v>
      </c>
      <c r="AG634" t="s">
        <v>59</v>
      </c>
      <c r="AH634">
        <v>486256</v>
      </c>
      <c r="AI634" t="s">
        <v>60</v>
      </c>
      <c r="AJ634" t="s">
        <v>78</v>
      </c>
      <c r="AK634" t="s">
        <v>54</v>
      </c>
      <c r="AL634">
        <v>2024</v>
      </c>
      <c r="AM634" s="6" t="s">
        <v>783</v>
      </c>
      <c r="AN634" s="7">
        <v>175.7</v>
      </c>
      <c r="AO634" s="8">
        <f t="shared" si="30"/>
        <v>329.4375</v>
      </c>
      <c r="AP634" s="8">
        <f t="shared" si="31"/>
        <v>366.00506250000001</v>
      </c>
      <c r="AQ634" s="9">
        <f t="shared" si="29"/>
        <v>533.65580624999996</v>
      </c>
    </row>
    <row r="635" spans="1:43" x14ac:dyDescent="0.25">
      <c r="A635">
        <v>12</v>
      </c>
      <c r="B635">
        <v>6</v>
      </c>
      <c r="C635">
        <v>2024</v>
      </c>
      <c r="D635" t="s">
        <v>43</v>
      </c>
      <c r="E635" t="s">
        <v>96</v>
      </c>
      <c r="F635" t="s">
        <v>97</v>
      </c>
      <c r="G635">
        <v>32</v>
      </c>
      <c r="H635">
        <v>1791882490001</v>
      </c>
      <c r="I635" t="s">
        <v>46</v>
      </c>
      <c r="J635" t="s">
        <v>65</v>
      </c>
      <c r="K635" t="s">
        <v>48</v>
      </c>
      <c r="L635" t="s">
        <v>49</v>
      </c>
      <c r="M635" t="s">
        <v>50</v>
      </c>
      <c r="N635" t="s">
        <v>51</v>
      </c>
      <c r="O635">
        <v>8421999000</v>
      </c>
      <c r="P635" t="s">
        <v>66</v>
      </c>
      <c r="Q635" t="s">
        <v>786</v>
      </c>
      <c r="R635" t="s">
        <v>54</v>
      </c>
      <c r="S635" t="s">
        <v>55</v>
      </c>
      <c r="T635">
        <v>7</v>
      </c>
      <c r="U635">
        <v>2</v>
      </c>
      <c r="V635" t="s">
        <v>135</v>
      </c>
      <c r="W635">
        <v>0</v>
      </c>
      <c r="X635">
        <v>634.27</v>
      </c>
      <c r="Y635">
        <v>55.01</v>
      </c>
      <c r="Z635">
        <v>4.2699999999999996</v>
      </c>
      <c r="AA635">
        <v>693.55</v>
      </c>
      <c r="AB635" t="s">
        <v>57</v>
      </c>
      <c r="AC635" t="s">
        <v>94</v>
      </c>
      <c r="AD635" t="s">
        <v>48</v>
      </c>
      <c r="AE635">
        <v>0</v>
      </c>
      <c r="AF635">
        <v>3.6</v>
      </c>
      <c r="AG635" t="s">
        <v>59</v>
      </c>
      <c r="AH635" t="s">
        <v>98</v>
      </c>
      <c r="AI635" t="s">
        <v>60</v>
      </c>
      <c r="AJ635" t="s">
        <v>60</v>
      </c>
      <c r="AK635" t="s">
        <v>54</v>
      </c>
      <c r="AL635">
        <v>2024</v>
      </c>
      <c r="AM635" s="6" t="s">
        <v>787</v>
      </c>
      <c r="AN635" s="7">
        <v>317.14</v>
      </c>
      <c r="AO635" s="8">
        <f t="shared" si="30"/>
        <v>594.63749999999993</v>
      </c>
      <c r="AP635" s="8">
        <f t="shared" si="31"/>
        <v>660.6422624999999</v>
      </c>
      <c r="AQ635" s="9">
        <f t="shared" si="29"/>
        <v>963.25328624999986</v>
      </c>
    </row>
    <row r="636" spans="1:43" x14ac:dyDescent="0.25">
      <c r="A636">
        <v>12</v>
      </c>
      <c r="B636">
        <v>6</v>
      </c>
      <c r="C636">
        <v>2024</v>
      </c>
      <c r="D636" t="s">
        <v>43</v>
      </c>
      <c r="E636" t="s">
        <v>96</v>
      </c>
      <c r="F636" t="s">
        <v>97</v>
      </c>
      <c r="G636">
        <v>33</v>
      </c>
      <c r="H636">
        <v>1791882490001</v>
      </c>
      <c r="I636" t="s">
        <v>46</v>
      </c>
      <c r="J636" t="s">
        <v>65</v>
      </c>
      <c r="K636" t="s">
        <v>48</v>
      </c>
      <c r="L636" t="s">
        <v>49</v>
      </c>
      <c r="M636" t="s">
        <v>50</v>
      </c>
      <c r="N636" t="s">
        <v>51</v>
      </c>
      <c r="O636">
        <v>8421999000</v>
      </c>
      <c r="P636" t="s">
        <v>66</v>
      </c>
      <c r="Q636" t="s">
        <v>786</v>
      </c>
      <c r="R636" t="s">
        <v>54</v>
      </c>
      <c r="S636" t="s">
        <v>55</v>
      </c>
      <c r="T636">
        <v>7</v>
      </c>
      <c r="U636">
        <v>2</v>
      </c>
      <c r="V636" t="s">
        <v>135</v>
      </c>
      <c r="W636">
        <v>0</v>
      </c>
      <c r="X636">
        <v>634.27</v>
      </c>
      <c r="Y636">
        <v>55.01</v>
      </c>
      <c r="Z636">
        <v>4.2699999999999996</v>
      </c>
      <c r="AA636">
        <v>693.55</v>
      </c>
      <c r="AB636" t="s">
        <v>57</v>
      </c>
      <c r="AC636" t="s">
        <v>94</v>
      </c>
      <c r="AD636" t="s">
        <v>48</v>
      </c>
      <c r="AE636">
        <v>0</v>
      </c>
      <c r="AF636">
        <v>3.6</v>
      </c>
      <c r="AG636" t="s">
        <v>59</v>
      </c>
      <c r="AH636" t="s">
        <v>98</v>
      </c>
      <c r="AI636" t="s">
        <v>60</v>
      </c>
      <c r="AJ636" t="s">
        <v>60</v>
      </c>
      <c r="AK636" t="s">
        <v>54</v>
      </c>
      <c r="AL636">
        <v>2024</v>
      </c>
      <c r="AM636" s="6" t="s">
        <v>787</v>
      </c>
      <c r="AN636" s="7">
        <v>317.14</v>
      </c>
      <c r="AO636" s="8">
        <f t="shared" si="30"/>
        <v>594.63749999999993</v>
      </c>
      <c r="AP636" s="8">
        <f t="shared" si="31"/>
        <v>660.6422624999999</v>
      </c>
      <c r="AQ636" s="9">
        <f t="shared" si="29"/>
        <v>963.25328624999986</v>
      </c>
    </row>
    <row r="637" spans="1:43" x14ac:dyDescent="0.25">
      <c r="A637">
        <v>12</v>
      </c>
      <c r="B637">
        <v>6</v>
      </c>
      <c r="C637">
        <v>2024</v>
      </c>
      <c r="D637" t="s">
        <v>43</v>
      </c>
      <c r="E637" t="s">
        <v>96</v>
      </c>
      <c r="F637" t="s">
        <v>97</v>
      </c>
      <c r="G637">
        <v>34</v>
      </c>
      <c r="H637">
        <v>1791882490001</v>
      </c>
      <c r="I637" t="s">
        <v>46</v>
      </c>
      <c r="J637" t="s">
        <v>65</v>
      </c>
      <c r="K637" t="s">
        <v>48</v>
      </c>
      <c r="L637" t="s">
        <v>49</v>
      </c>
      <c r="M637" t="s">
        <v>50</v>
      </c>
      <c r="N637" t="s">
        <v>51</v>
      </c>
      <c r="O637">
        <v>8421999000</v>
      </c>
      <c r="P637" t="s">
        <v>66</v>
      </c>
      <c r="Q637" t="s">
        <v>786</v>
      </c>
      <c r="R637" t="s">
        <v>54</v>
      </c>
      <c r="S637" t="s">
        <v>55</v>
      </c>
      <c r="T637">
        <v>7</v>
      </c>
      <c r="U637">
        <v>3</v>
      </c>
      <c r="V637" t="s">
        <v>135</v>
      </c>
      <c r="W637">
        <v>0</v>
      </c>
      <c r="X637">
        <v>951.41</v>
      </c>
      <c r="Y637">
        <v>82.51</v>
      </c>
      <c r="Z637">
        <v>6.4</v>
      </c>
      <c r="AA637">
        <v>1040.32</v>
      </c>
      <c r="AB637" t="s">
        <v>57</v>
      </c>
      <c r="AC637" t="s">
        <v>94</v>
      </c>
      <c r="AD637" t="s">
        <v>48</v>
      </c>
      <c r="AE637">
        <v>0</v>
      </c>
      <c r="AF637">
        <v>5.4</v>
      </c>
      <c r="AG637" t="s">
        <v>59</v>
      </c>
      <c r="AH637" t="s">
        <v>98</v>
      </c>
      <c r="AI637" t="s">
        <v>60</v>
      </c>
      <c r="AJ637" t="s">
        <v>60</v>
      </c>
      <c r="AK637" t="s">
        <v>54</v>
      </c>
      <c r="AL637">
        <v>2024</v>
      </c>
      <c r="AM637" s="6" t="s">
        <v>787</v>
      </c>
      <c r="AN637" s="7">
        <v>317.14</v>
      </c>
      <c r="AO637" s="8">
        <f t="shared" si="30"/>
        <v>594.63749999999993</v>
      </c>
      <c r="AP637" s="8">
        <f t="shared" si="31"/>
        <v>660.6422624999999</v>
      </c>
      <c r="AQ637" s="9">
        <f t="shared" si="29"/>
        <v>963.25328624999986</v>
      </c>
    </row>
    <row r="638" spans="1:43" x14ac:dyDescent="0.25">
      <c r="A638">
        <v>8</v>
      </c>
      <c r="B638">
        <v>7</v>
      </c>
      <c r="C638">
        <v>2024</v>
      </c>
      <c r="D638" t="s">
        <v>43</v>
      </c>
      <c r="E638" t="s">
        <v>75</v>
      </c>
      <c r="F638" t="s">
        <v>76</v>
      </c>
      <c r="G638">
        <v>45</v>
      </c>
      <c r="H638">
        <v>1791882490001</v>
      </c>
      <c r="I638" t="s">
        <v>46</v>
      </c>
      <c r="J638" t="s">
        <v>65</v>
      </c>
      <c r="K638" t="s">
        <v>48</v>
      </c>
      <c r="L638" t="s">
        <v>49</v>
      </c>
      <c r="M638" t="s">
        <v>50</v>
      </c>
      <c r="N638" t="s">
        <v>51</v>
      </c>
      <c r="O638">
        <v>8421999000</v>
      </c>
      <c r="P638" t="s">
        <v>66</v>
      </c>
      <c r="Q638" t="s">
        <v>786</v>
      </c>
      <c r="R638" t="s">
        <v>54</v>
      </c>
      <c r="S638" t="s">
        <v>55</v>
      </c>
      <c r="T638">
        <v>8</v>
      </c>
      <c r="U638">
        <v>1</v>
      </c>
      <c r="V638" t="s">
        <v>135</v>
      </c>
      <c r="W638">
        <v>0</v>
      </c>
      <c r="X638">
        <v>326.45999999999998</v>
      </c>
      <c r="Y638">
        <v>27.88</v>
      </c>
      <c r="Z638">
        <v>2.12</v>
      </c>
      <c r="AA638">
        <v>356.46</v>
      </c>
      <c r="AB638" t="s">
        <v>57</v>
      </c>
      <c r="AC638" t="s">
        <v>77</v>
      </c>
      <c r="AD638" t="s">
        <v>48</v>
      </c>
      <c r="AE638">
        <v>0</v>
      </c>
      <c r="AF638">
        <v>2.16</v>
      </c>
      <c r="AG638" t="s">
        <v>59</v>
      </c>
      <c r="AH638">
        <v>107711</v>
      </c>
      <c r="AI638" t="s">
        <v>60</v>
      </c>
      <c r="AJ638" t="s">
        <v>78</v>
      </c>
      <c r="AK638" t="s">
        <v>54</v>
      </c>
      <c r="AL638">
        <v>2024</v>
      </c>
      <c r="AM638" s="6" t="s">
        <v>787</v>
      </c>
      <c r="AN638" s="7">
        <v>326.45999999999998</v>
      </c>
      <c r="AO638" s="8">
        <f t="shared" si="30"/>
        <v>612.11249999999995</v>
      </c>
      <c r="AP638" s="8">
        <f t="shared" si="31"/>
        <v>680.05698749999999</v>
      </c>
      <c r="AQ638" s="9">
        <f t="shared" si="29"/>
        <v>991.56103874999985</v>
      </c>
    </row>
    <row r="639" spans="1:43" x14ac:dyDescent="0.25">
      <c r="A639">
        <v>8</v>
      </c>
      <c r="B639">
        <v>7</v>
      </c>
      <c r="C639">
        <v>2024</v>
      </c>
      <c r="D639" t="s">
        <v>43</v>
      </c>
      <c r="E639" t="s">
        <v>75</v>
      </c>
      <c r="F639" t="s">
        <v>76</v>
      </c>
      <c r="G639">
        <v>45</v>
      </c>
      <c r="H639">
        <v>1791882490001</v>
      </c>
      <c r="I639" t="s">
        <v>46</v>
      </c>
      <c r="J639" t="s">
        <v>65</v>
      </c>
      <c r="K639" t="s">
        <v>48</v>
      </c>
      <c r="L639" t="s">
        <v>49</v>
      </c>
      <c r="M639" t="s">
        <v>50</v>
      </c>
      <c r="N639" t="s">
        <v>51</v>
      </c>
      <c r="O639">
        <v>8421999000</v>
      </c>
      <c r="P639" t="s">
        <v>66</v>
      </c>
      <c r="Q639" t="s">
        <v>786</v>
      </c>
      <c r="R639" t="s">
        <v>54</v>
      </c>
      <c r="S639" t="s">
        <v>55</v>
      </c>
      <c r="T639">
        <v>8</v>
      </c>
      <c r="U639">
        <v>1</v>
      </c>
      <c r="V639" t="s">
        <v>135</v>
      </c>
      <c r="W639">
        <v>0</v>
      </c>
      <c r="X639">
        <v>326.45999999999998</v>
      </c>
      <c r="Y639">
        <v>27.88</v>
      </c>
      <c r="Z639">
        <v>2.12</v>
      </c>
      <c r="AA639">
        <v>356.46</v>
      </c>
      <c r="AB639" t="s">
        <v>57</v>
      </c>
      <c r="AC639" t="s">
        <v>77</v>
      </c>
      <c r="AD639" t="s">
        <v>48</v>
      </c>
      <c r="AE639">
        <v>0</v>
      </c>
      <c r="AF639">
        <v>2.16</v>
      </c>
      <c r="AG639" t="s">
        <v>59</v>
      </c>
      <c r="AH639">
        <v>107711</v>
      </c>
      <c r="AI639" t="s">
        <v>60</v>
      </c>
      <c r="AJ639" t="s">
        <v>78</v>
      </c>
      <c r="AK639" t="s">
        <v>54</v>
      </c>
      <c r="AL639">
        <v>2024</v>
      </c>
      <c r="AM639" s="6" t="s">
        <v>787</v>
      </c>
      <c r="AN639" s="7">
        <v>326.45999999999998</v>
      </c>
      <c r="AO639" s="8">
        <f t="shared" si="30"/>
        <v>612.11249999999995</v>
      </c>
      <c r="AP639" s="8">
        <f t="shared" si="31"/>
        <v>680.05698749999999</v>
      </c>
      <c r="AQ639" s="9">
        <f t="shared" si="29"/>
        <v>991.56103874999985</v>
      </c>
    </row>
    <row r="640" spans="1:43" x14ac:dyDescent="0.25">
      <c r="A640">
        <v>28</v>
      </c>
      <c r="B640">
        <v>8</v>
      </c>
      <c r="C640">
        <v>2024</v>
      </c>
      <c r="D640" t="s">
        <v>43</v>
      </c>
      <c r="E640" t="s">
        <v>91</v>
      </c>
      <c r="F640" t="s">
        <v>92</v>
      </c>
      <c r="G640">
        <v>31</v>
      </c>
      <c r="H640">
        <v>1791882490001</v>
      </c>
      <c r="I640" t="s">
        <v>46</v>
      </c>
      <c r="J640" t="s">
        <v>65</v>
      </c>
      <c r="K640" t="s">
        <v>48</v>
      </c>
      <c r="L640" t="s">
        <v>49</v>
      </c>
      <c r="M640" t="s">
        <v>50</v>
      </c>
      <c r="N640" t="s">
        <v>51</v>
      </c>
      <c r="O640">
        <v>8421999000</v>
      </c>
      <c r="P640" t="s">
        <v>66</v>
      </c>
      <c r="Q640" t="s">
        <v>261</v>
      </c>
      <c r="R640" t="s">
        <v>54</v>
      </c>
      <c r="S640" t="s">
        <v>55</v>
      </c>
      <c r="T640">
        <v>8</v>
      </c>
      <c r="U640">
        <v>1</v>
      </c>
      <c r="V640" t="s">
        <v>135</v>
      </c>
      <c r="W640">
        <v>0</v>
      </c>
      <c r="X640">
        <v>313.69</v>
      </c>
      <c r="Y640">
        <v>34.659999999999997</v>
      </c>
      <c r="Z640">
        <v>2.11</v>
      </c>
      <c r="AA640">
        <v>350.46</v>
      </c>
      <c r="AB640" t="s">
        <v>57</v>
      </c>
      <c r="AC640" t="s">
        <v>94</v>
      </c>
      <c r="AD640" t="s">
        <v>48</v>
      </c>
      <c r="AE640">
        <v>0</v>
      </c>
      <c r="AF640">
        <v>3.61</v>
      </c>
      <c r="AG640" t="s">
        <v>59</v>
      </c>
      <c r="AH640">
        <v>150511</v>
      </c>
      <c r="AI640" t="s">
        <v>60</v>
      </c>
      <c r="AJ640" t="s">
        <v>60</v>
      </c>
      <c r="AK640" t="s">
        <v>54</v>
      </c>
      <c r="AL640">
        <v>2024</v>
      </c>
      <c r="AM640" s="6" t="s">
        <v>787</v>
      </c>
      <c r="AN640" s="7">
        <v>313.69</v>
      </c>
      <c r="AO640" s="8">
        <f t="shared" si="30"/>
        <v>588.16875000000005</v>
      </c>
      <c r="AP640" s="8">
        <f t="shared" si="31"/>
        <v>653.45548125000005</v>
      </c>
      <c r="AQ640" s="9">
        <f t="shared" si="29"/>
        <v>952.774558125</v>
      </c>
    </row>
    <row r="641" spans="1:43" x14ac:dyDescent="0.25">
      <c r="A641">
        <v>28</v>
      </c>
      <c r="B641">
        <v>8</v>
      </c>
      <c r="C641">
        <v>2024</v>
      </c>
      <c r="D641" t="s">
        <v>43</v>
      </c>
      <c r="E641" t="s">
        <v>91</v>
      </c>
      <c r="F641" t="s">
        <v>92</v>
      </c>
      <c r="G641">
        <v>32</v>
      </c>
      <c r="H641">
        <v>1791882490001</v>
      </c>
      <c r="I641" t="s">
        <v>46</v>
      </c>
      <c r="J641" t="s">
        <v>65</v>
      </c>
      <c r="K641" t="s">
        <v>48</v>
      </c>
      <c r="L641" t="s">
        <v>49</v>
      </c>
      <c r="M641" t="s">
        <v>50</v>
      </c>
      <c r="N641" t="s">
        <v>51</v>
      </c>
      <c r="O641">
        <v>8421999000</v>
      </c>
      <c r="P641" t="s">
        <v>66</v>
      </c>
      <c r="Q641" t="s">
        <v>261</v>
      </c>
      <c r="R641" t="s">
        <v>54</v>
      </c>
      <c r="S641" t="s">
        <v>55</v>
      </c>
      <c r="T641">
        <v>8</v>
      </c>
      <c r="U641">
        <v>3</v>
      </c>
      <c r="V641" t="s">
        <v>135</v>
      </c>
      <c r="W641">
        <v>0</v>
      </c>
      <c r="X641">
        <v>941.07</v>
      </c>
      <c r="Y641">
        <v>103.98</v>
      </c>
      <c r="Z641">
        <v>6.33</v>
      </c>
      <c r="AA641">
        <v>1051.3699999999999</v>
      </c>
      <c r="AB641" t="s">
        <v>57</v>
      </c>
      <c r="AC641" t="s">
        <v>94</v>
      </c>
      <c r="AD641" t="s">
        <v>48</v>
      </c>
      <c r="AE641">
        <v>0</v>
      </c>
      <c r="AF641">
        <v>10.83</v>
      </c>
      <c r="AG641" t="s">
        <v>59</v>
      </c>
      <c r="AH641">
        <v>150511</v>
      </c>
      <c r="AI641" t="s">
        <v>60</v>
      </c>
      <c r="AJ641" t="s">
        <v>60</v>
      </c>
      <c r="AK641" t="s">
        <v>54</v>
      </c>
      <c r="AL641">
        <v>2024</v>
      </c>
      <c r="AM641" s="6" t="s">
        <v>787</v>
      </c>
      <c r="AN641" s="7">
        <v>313.69</v>
      </c>
      <c r="AO641" s="8">
        <f t="shared" si="30"/>
        <v>588.16875000000005</v>
      </c>
      <c r="AP641" s="8">
        <f t="shared" si="31"/>
        <v>653.45548125000005</v>
      </c>
      <c r="AQ641" s="9">
        <f t="shared" si="29"/>
        <v>952.774558125</v>
      </c>
    </row>
    <row r="642" spans="1:43" x14ac:dyDescent="0.25">
      <c r="A642">
        <v>28</v>
      </c>
      <c r="B642">
        <v>8</v>
      </c>
      <c r="C642">
        <v>2024</v>
      </c>
      <c r="D642" t="s">
        <v>43</v>
      </c>
      <c r="E642" t="s">
        <v>91</v>
      </c>
      <c r="F642" t="s">
        <v>92</v>
      </c>
      <c r="G642">
        <v>33</v>
      </c>
      <c r="H642">
        <v>1791882490001</v>
      </c>
      <c r="I642" t="s">
        <v>46</v>
      </c>
      <c r="J642" t="s">
        <v>65</v>
      </c>
      <c r="K642" t="s">
        <v>48</v>
      </c>
      <c r="L642" t="s">
        <v>49</v>
      </c>
      <c r="M642" t="s">
        <v>50</v>
      </c>
      <c r="N642" t="s">
        <v>51</v>
      </c>
      <c r="O642">
        <v>8421999000</v>
      </c>
      <c r="P642" t="s">
        <v>66</v>
      </c>
      <c r="Q642" t="s">
        <v>261</v>
      </c>
      <c r="R642" t="s">
        <v>54</v>
      </c>
      <c r="S642" t="s">
        <v>55</v>
      </c>
      <c r="T642">
        <v>8</v>
      </c>
      <c r="U642">
        <v>4</v>
      </c>
      <c r="V642" t="s">
        <v>135</v>
      </c>
      <c r="W642">
        <v>0</v>
      </c>
      <c r="X642">
        <v>1337.56</v>
      </c>
      <c r="Y642">
        <v>147.78</v>
      </c>
      <c r="Z642">
        <v>9</v>
      </c>
      <c r="AA642">
        <v>1494.34</v>
      </c>
      <c r="AB642" t="s">
        <v>57</v>
      </c>
      <c r="AC642" t="s">
        <v>94</v>
      </c>
      <c r="AD642" t="s">
        <v>48</v>
      </c>
      <c r="AE642">
        <v>0</v>
      </c>
      <c r="AF642">
        <v>15.39</v>
      </c>
      <c r="AG642" t="s">
        <v>59</v>
      </c>
      <c r="AH642">
        <v>150511</v>
      </c>
      <c r="AI642" t="s">
        <v>60</v>
      </c>
      <c r="AJ642" t="s">
        <v>60</v>
      </c>
      <c r="AK642" t="s">
        <v>54</v>
      </c>
      <c r="AL642">
        <v>2024</v>
      </c>
      <c r="AM642" s="6" t="s">
        <v>788</v>
      </c>
      <c r="AN642" s="7">
        <v>334.39</v>
      </c>
      <c r="AO642" s="8">
        <f t="shared" si="30"/>
        <v>626.98124999999993</v>
      </c>
      <c r="AP642" s="8">
        <f t="shared" si="31"/>
        <v>696.57616874999997</v>
      </c>
      <c r="AQ642" s="9">
        <f t="shared" si="29"/>
        <v>1015.6469268749998</v>
      </c>
    </row>
    <row r="643" spans="1:43" x14ac:dyDescent="0.25">
      <c r="A643">
        <v>28</v>
      </c>
      <c r="B643">
        <v>8</v>
      </c>
      <c r="C643">
        <v>2024</v>
      </c>
      <c r="D643" t="s">
        <v>43</v>
      </c>
      <c r="E643" t="s">
        <v>91</v>
      </c>
      <c r="F643" t="s">
        <v>92</v>
      </c>
      <c r="G643">
        <v>34</v>
      </c>
      <c r="H643">
        <v>1791882490001</v>
      </c>
      <c r="I643" t="s">
        <v>46</v>
      </c>
      <c r="J643" t="s">
        <v>48</v>
      </c>
      <c r="K643" t="s">
        <v>48</v>
      </c>
      <c r="L643" t="s">
        <v>49</v>
      </c>
      <c r="M643" t="s">
        <v>50</v>
      </c>
      <c r="N643" t="s">
        <v>51</v>
      </c>
      <c r="O643">
        <v>8484900000</v>
      </c>
      <c r="P643" t="s">
        <v>66</v>
      </c>
      <c r="Q643" t="s">
        <v>789</v>
      </c>
      <c r="R643" t="s">
        <v>54</v>
      </c>
      <c r="S643" t="s">
        <v>55</v>
      </c>
      <c r="T643">
        <v>8</v>
      </c>
      <c r="U643">
        <v>2</v>
      </c>
      <c r="V643" t="s">
        <v>135</v>
      </c>
      <c r="W643">
        <v>0</v>
      </c>
      <c r="X643">
        <v>77.28</v>
      </c>
      <c r="Y643">
        <v>8.5399999999999991</v>
      </c>
      <c r="Z643">
        <v>0.52</v>
      </c>
      <c r="AA643">
        <v>86.34</v>
      </c>
      <c r="AB643" t="s">
        <v>57</v>
      </c>
      <c r="AC643" t="s">
        <v>94</v>
      </c>
      <c r="AD643" t="s">
        <v>48</v>
      </c>
      <c r="AE643">
        <v>0</v>
      </c>
      <c r="AF643">
        <v>0.89</v>
      </c>
      <c r="AG643" t="s">
        <v>59</v>
      </c>
      <c r="AH643">
        <v>150511</v>
      </c>
      <c r="AI643" t="s">
        <v>60</v>
      </c>
      <c r="AJ643" t="s">
        <v>60</v>
      </c>
      <c r="AK643" t="s">
        <v>54</v>
      </c>
      <c r="AL643">
        <v>2024</v>
      </c>
      <c r="AM643" s="6" t="s">
        <v>790</v>
      </c>
      <c r="AN643" s="7">
        <v>38.64</v>
      </c>
      <c r="AO643" s="8">
        <f t="shared" si="30"/>
        <v>72.45</v>
      </c>
      <c r="AP643" s="8">
        <f t="shared" si="31"/>
        <v>80.491950000000003</v>
      </c>
      <c r="AQ643" s="9">
        <f t="shared" ref="AQ643:AQ706" si="32">SUM(AO643)*1.6199</f>
        <v>117.361755</v>
      </c>
    </row>
    <row r="644" spans="1:43" x14ac:dyDescent="0.25">
      <c r="A644">
        <v>16</v>
      </c>
      <c r="B644">
        <v>12</v>
      </c>
      <c r="C644">
        <v>2024</v>
      </c>
      <c r="D644" t="s">
        <v>43</v>
      </c>
      <c r="E644" t="s">
        <v>128</v>
      </c>
      <c r="F644" t="s">
        <v>129</v>
      </c>
      <c r="G644">
        <v>46</v>
      </c>
      <c r="H644">
        <v>1791882490001</v>
      </c>
      <c r="I644" t="s">
        <v>46</v>
      </c>
      <c r="J644" t="s">
        <v>48</v>
      </c>
      <c r="K644" t="s">
        <v>48</v>
      </c>
      <c r="L644" t="s">
        <v>49</v>
      </c>
      <c r="M644" t="s">
        <v>50</v>
      </c>
      <c r="N644" t="s">
        <v>51</v>
      </c>
      <c r="O644">
        <v>8484900000</v>
      </c>
      <c r="P644" t="s">
        <v>221</v>
      </c>
      <c r="Q644" t="s">
        <v>791</v>
      </c>
      <c r="R644" t="s">
        <v>54</v>
      </c>
      <c r="S644" t="s">
        <v>55</v>
      </c>
      <c r="T644">
        <v>9</v>
      </c>
      <c r="U644">
        <v>2</v>
      </c>
      <c r="V644" t="s">
        <v>135</v>
      </c>
      <c r="W644">
        <v>0</v>
      </c>
      <c r="X644">
        <v>78.25</v>
      </c>
      <c r="Y644">
        <v>10.25</v>
      </c>
      <c r="Z644">
        <v>0.54</v>
      </c>
      <c r="AA644">
        <v>89.04</v>
      </c>
      <c r="AB644" t="s">
        <v>57</v>
      </c>
      <c r="AC644" t="s">
        <v>131</v>
      </c>
      <c r="AD644" t="s">
        <v>48</v>
      </c>
      <c r="AE644">
        <v>0</v>
      </c>
      <c r="AF644">
        <v>3.98</v>
      </c>
      <c r="AG644" t="s">
        <v>59</v>
      </c>
      <c r="AH644">
        <v>325395</v>
      </c>
      <c r="AI644" t="s">
        <v>60</v>
      </c>
      <c r="AJ644" t="s">
        <v>78</v>
      </c>
      <c r="AK644" t="s">
        <v>54</v>
      </c>
      <c r="AL644">
        <v>2024</v>
      </c>
      <c r="AM644" s="6" t="s">
        <v>790</v>
      </c>
      <c r="AN644" s="7">
        <v>39.130000000000003</v>
      </c>
      <c r="AO644" s="8">
        <f t="shared" si="30"/>
        <v>73.368750000000006</v>
      </c>
      <c r="AP644" s="8">
        <f t="shared" si="31"/>
        <v>81.51268125</v>
      </c>
      <c r="AQ644" s="9">
        <f t="shared" si="32"/>
        <v>118.850038125</v>
      </c>
    </row>
    <row r="645" spans="1:43" x14ac:dyDescent="0.25">
      <c r="A645">
        <v>16</v>
      </c>
      <c r="B645">
        <v>12</v>
      </c>
      <c r="C645">
        <v>2024</v>
      </c>
      <c r="D645" t="s">
        <v>43</v>
      </c>
      <c r="E645" t="s">
        <v>128</v>
      </c>
      <c r="F645" t="s">
        <v>129</v>
      </c>
      <c r="G645">
        <v>47</v>
      </c>
      <c r="H645">
        <v>1791882490001</v>
      </c>
      <c r="I645" t="s">
        <v>46</v>
      </c>
      <c r="J645" t="s">
        <v>65</v>
      </c>
      <c r="K645" t="s">
        <v>48</v>
      </c>
      <c r="L645" t="s">
        <v>49</v>
      </c>
      <c r="M645" t="s">
        <v>50</v>
      </c>
      <c r="N645" t="s">
        <v>51</v>
      </c>
      <c r="O645">
        <v>8421999000</v>
      </c>
      <c r="P645" t="s">
        <v>52</v>
      </c>
      <c r="Q645" t="s">
        <v>792</v>
      </c>
      <c r="R645" t="s">
        <v>54</v>
      </c>
      <c r="S645" t="s">
        <v>55</v>
      </c>
      <c r="T645">
        <v>9</v>
      </c>
      <c r="U645">
        <v>3</v>
      </c>
      <c r="V645" t="s">
        <v>135</v>
      </c>
      <c r="W645">
        <v>0</v>
      </c>
      <c r="X645">
        <v>348.26</v>
      </c>
      <c r="Y645">
        <v>45.61</v>
      </c>
      <c r="Z645">
        <v>2.39</v>
      </c>
      <c r="AA645">
        <v>396.26</v>
      </c>
      <c r="AB645" t="s">
        <v>57</v>
      </c>
      <c r="AC645" t="s">
        <v>131</v>
      </c>
      <c r="AD645" t="s">
        <v>48</v>
      </c>
      <c r="AE645">
        <v>0</v>
      </c>
      <c r="AF645">
        <v>5.97</v>
      </c>
      <c r="AG645" t="s">
        <v>59</v>
      </c>
      <c r="AH645">
        <v>325395</v>
      </c>
      <c r="AI645" t="s">
        <v>60</v>
      </c>
      <c r="AJ645" t="s">
        <v>78</v>
      </c>
      <c r="AK645" t="s">
        <v>54</v>
      </c>
      <c r="AL645">
        <v>2024</v>
      </c>
      <c r="AM645" s="6" t="s">
        <v>793</v>
      </c>
      <c r="AN645" s="7">
        <v>116.09</v>
      </c>
      <c r="AO645" s="8">
        <f t="shared" si="30"/>
        <v>217.66875000000002</v>
      </c>
      <c r="AP645" s="8">
        <f t="shared" si="31"/>
        <v>241.82998125</v>
      </c>
      <c r="AQ645" s="9">
        <f t="shared" si="32"/>
        <v>352.60160812499998</v>
      </c>
    </row>
    <row r="646" spans="1:43" x14ac:dyDescent="0.25">
      <c r="A646">
        <v>15</v>
      </c>
      <c r="B646">
        <v>4</v>
      </c>
      <c r="C646">
        <v>2024</v>
      </c>
      <c r="D646" t="s">
        <v>43</v>
      </c>
      <c r="E646" t="s">
        <v>63</v>
      </c>
      <c r="F646" t="s">
        <v>64</v>
      </c>
      <c r="G646">
        <v>45</v>
      </c>
      <c r="H646">
        <v>1791882490001</v>
      </c>
      <c r="I646" t="s">
        <v>46</v>
      </c>
      <c r="J646" t="s">
        <v>48</v>
      </c>
      <c r="K646" t="s">
        <v>48</v>
      </c>
      <c r="L646" t="s">
        <v>49</v>
      </c>
      <c r="M646" t="s">
        <v>50</v>
      </c>
      <c r="N646" t="s">
        <v>51</v>
      </c>
      <c r="O646">
        <v>7318290000</v>
      </c>
      <c r="P646" t="s">
        <v>286</v>
      </c>
      <c r="Q646" t="s">
        <v>794</v>
      </c>
      <c r="R646" t="s">
        <v>54</v>
      </c>
      <c r="S646" t="s">
        <v>55</v>
      </c>
      <c r="T646">
        <v>6</v>
      </c>
      <c r="U646">
        <v>8</v>
      </c>
      <c r="V646" t="s">
        <v>56</v>
      </c>
      <c r="W646">
        <v>0</v>
      </c>
      <c r="X646">
        <v>204.22</v>
      </c>
      <c r="Y646">
        <v>21.5</v>
      </c>
      <c r="Z646">
        <v>1.37</v>
      </c>
      <c r="AA646">
        <v>227.09</v>
      </c>
      <c r="AB646" t="s">
        <v>57</v>
      </c>
      <c r="AC646" t="s">
        <v>58</v>
      </c>
      <c r="AD646" t="s">
        <v>48</v>
      </c>
      <c r="AE646">
        <v>0</v>
      </c>
      <c r="AF646">
        <v>1.96</v>
      </c>
      <c r="AG646" t="s">
        <v>59</v>
      </c>
      <c r="AH646">
        <v>443965</v>
      </c>
      <c r="AI646" t="s">
        <v>60</v>
      </c>
      <c r="AJ646" t="s">
        <v>60</v>
      </c>
      <c r="AK646" t="s">
        <v>54</v>
      </c>
      <c r="AL646">
        <v>2024</v>
      </c>
      <c r="AM646" s="6" t="s">
        <v>795</v>
      </c>
      <c r="AN646" s="7">
        <v>25.53</v>
      </c>
      <c r="AO646" s="8">
        <f t="shared" si="30"/>
        <v>47.868750000000006</v>
      </c>
      <c r="AP646" s="8">
        <f t="shared" si="31"/>
        <v>53.182181250000006</v>
      </c>
      <c r="AQ646" s="9">
        <f t="shared" si="32"/>
        <v>77.542588125000009</v>
      </c>
    </row>
    <row r="647" spans="1:43" x14ac:dyDescent="0.25">
      <c r="A647">
        <v>8</v>
      </c>
      <c r="B647">
        <v>7</v>
      </c>
      <c r="C647">
        <v>2024</v>
      </c>
      <c r="D647" t="s">
        <v>43</v>
      </c>
      <c r="E647" t="s">
        <v>75</v>
      </c>
      <c r="F647" t="s">
        <v>76</v>
      </c>
      <c r="G647">
        <v>46</v>
      </c>
      <c r="H647">
        <v>1791882490001</v>
      </c>
      <c r="I647" t="s">
        <v>46</v>
      </c>
      <c r="J647" t="s">
        <v>48</v>
      </c>
      <c r="K647" t="s">
        <v>48</v>
      </c>
      <c r="L647" t="s">
        <v>49</v>
      </c>
      <c r="M647" t="s">
        <v>50</v>
      </c>
      <c r="N647" t="s">
        <v>51</v>
      </c>
      <c r="O647">
        <v>7318290000</v>
      </c>
      <c r="P647" t="s">
        <v>286</v>
      </c>
      <c r="Q647" t="s">
        <v>796</v>
      </c>
      <c r="R647" t="s">
        <v>54</v>
      </c>
      <c r="S647" t="s">
        <v>55</v>
      </c>
      <c r="T647">
        <v>8</v>
      </c>
      <c r="U647">
        <v>1</v>
      </c>
      <c r="V647" t="s">
        <v>56</v>
      </c>
      <c r="W647">
        <v>0</v>
      </c>
      <c r="X647">
        <v>26.5</v>
      </c>
      <c r="Y647">
        <v>2.27</v>
      </c>
      <c r="Z647">
        <v>0.17</v>
      </c>
      <c r="AA647">
        <v>28.94</v>
      </c>
      <c r="AB647" t="s">
        <v>57</v>
      </c>
      <c r="AC647" t="s">
        <v>77</v>
      </c>
      <c r="AD647" t="s">
        <v>48</v>
      </c>
      <c r="AE647">
        <v>0</v>
      </c>
      <c r="AF647">
        <v>0.17</v>
      </c>
      <c r="AG647" t="s">
        <v>59</v>
      </c>
      <c r="AH647">
        <v>107711</v>
      </c>
      <c r="AI647" t="s">
        <v>60</v>
      </c>
      <c r="AJ647" t="s">
        <v>78</v>
      </c>
      <c r="AK647" t="s">
        <v>54</v>
      </c>
      <c r="AL647">
        <v>2024</v>
      </c>
      <c r="AM647" s="6" t="s">
        <v>795</v>
      </c>
      <c r="AN647" s="7">
        <v>26.5</v>
      </c>
      <c r="AO647" s="8">
        <f t="shared" si="30"/>
        <v>49.6875</v>
      </c>
      <c r="AP647" s="8">
        <f t="shared" si="31"/>
        <v>55.2028125</v>
      </c>
      <c r="AQ647" s="9">
        <f t="shared" si="32"/>
        <v>80.488781249999988</v>
      </c>
    </row>
    <row r="648" spans="1:43" x14ac:dyDescent="0.25">
      <c r="A648">
        <v>8</v>
      </c>
      <c r="B648">
        <v>7</v>
      </c>
      <c r="C648">
        <v>2024</v>
      </c>
      <c r="D648" t="s">
        <v>43</v>
      </c>
      <c r="E648" t="s">
        <v>75</v>
      </c>
      <c r="F648" t="s">
        <v>76</v>
      </c>
      <c r="G648">
        <v>46</v>
      </c>
      <c r="H648">
        <v>1791882490001</v>
      </c>
      <c r="I648" t="s">
        <v>46</v>
      </c>
      <c r="J648" t="s">
        <v>48</v>
      </c>
      <c r="K648" t="s">
        <v>48</v>
      </c>
      <c r="L648" t="s">
        <v>49</v>
      </c>
      <c r="M648" t="s">
        <v>50</v>
      </c>
      <c r="N648" t="s">
        <v>51</v>
      </c>
      <c r="O648">
        <v>7318290000</v>
      </c>
      <c r="P648" t="s">
        <v>286</v>
      </c>
      <c r="Q648" t="s">
        <v>796</v>
      </c>
      <c r="R648" t="s">
        <v>54</v>
      </c>
      <c r="S648" t="s">
        <v>55</v>
      </c>
      <c r="T648">
        <v>8</v>
      </c>
      <c r="U648">
        <v>1</v>
      </c>
      <c r="V648" t="s">
        <v>56</v>
      </c>
      <c r="W648">
        <v>0</v>
      </c>
      <c r="X648">
        <v>26.5</v>
      </c>
      <c r="Y648">
        <v>2.27</v>
      </c>
      <c r="Z648">
        <v>0.17</v>
      </c>
      <c r="AA648">
        <v>28.94</v>
      </c>
      <c r="AB648" t="s">
        <v>57</v>
      </c>
      <c r="AC648" t="s">
        <v>77</v>
      </c>
      <c r="AD648" t="s">
        <v>48</v>
      </c>
      <c r="AE648">
        <v>0</v>
      </c>
      <c r="AF648">
        <v>0.17</v>
      </c>
      <c r="AG648" t="s">
        <v>59</v>
      </c>
      <c r="AH648">
        <v>107711</v>
      </c>
      <c r="AI648" t="s">
        <v>60</v>
      </c>
      <c r="AJ648" t="s">
        <v>78</v>
      </c>
      <c r="AK648" t="s">
        <v>54</v>
      </c>
      <c r="AL648">
        <v>2024</v>
      </c>
      <c r="AM648" s="6" t="s">
        <v>795</v>
      </c>
      <c r="AN648" s="7">
        <v>26.5</v>
      </c>
      <c r="AO648" s="8">
        <f t="shared" si="30"/>
        <v>49.6875</v>
      </c>
      <c r="AP648" s="8">
        <f t="shared" si="31"/>
        <v>55.2028125</v>
      </c>
      <c r="AQ648" s="9">
        <f t="shared" si="32"/>
        <v>80.488781249999988</v>
      </c>
    </row>
    <row r="649" spans="1:43" x14ac:dyDescent="0.25">
      <c r="A649">
        <v>1</v>
      </c>
      <c r="B649">
        <v>2</v>
      </c>
      <c r="C649">
        <v>2024</v>
      </c>
      <c r="D649" t="s">
        <v>43</v>
      </c>
      <c r="E649" t="s">
        <v>174</v>
      </c>
      <c r="F649" t="s">
        <v>175</v>
      </c>
      <c r="G649">
        <v>26</v>
      </c>
      <c r="H649">
        <v>1791882490001</v>
      </c>
      <c r="I649" t="s">
        <v>46</v>
      </c>
      <c r="J649" t="s">
        <v>48</v>
      </c>
      <c r="K649" t="s">
        <v>48</v>
      </c>
      <c r="L649" t="s">
        <v>49</v>
      </c>
      <c r="M649" t="s">
        <v>50</v>
      </c>
      <c r="N649" t="s">
        <v>51</v>
      </c>
      <c r="O649">
        <v>8482500000</v>
      </c>
      <c r="P649" t="s">
        <v>454</v>
      </c>
      <c r="Q649" t="s">
        <v>455</v>
      </c>
      <c r="R649" t="s">
        <v>54</v>
      </c>
      <c r="S649" t="s">
        <v>55</v>
      </c>
      <c r="T649">
        <v>5</v>
      </c>
      <c r="U649">
        <v>1</v>
      </c>
      <c r="V649" t="s">
        <v>135</v>
      </c>
      <c r="W649">
        <v>0</v>
      </c>
      <c r="X649">
        <v>765.12</v>
      </c>
      <c r="Y649">
        <v>56.88</v>
      </c>
      <c r="Z649">
        <v>4.57</v>
      </c>
      <c r="AA649">
        <v>826.57</v>
      </c>
      <c r="AB649" t="s">
        <v>54</v>
      </c>
      <c r="AC649" t="s">
        <v>94</v>
      </c>
      <c r="AD649" t="s">
        <v>48</v>
      </c>
      <c r="AE649">
        <v>0</v>
      </c>
      <c r="AF649">
        <v>1.98</v>
      </c>
      <c r="AG649" t="s">
        <v>59</v>
      </c>
      <c r="AH649">
        <v>863266</v>
      </c>
      <c r="AI649" t="s">
        <v>60</v>
      </c>
      <c r="AJ649" t="s">
        <v>60</v>
      </c>
      <c r="AK649" t="s">
        <v>54</v>
      </c>
      <c r="AL649">
        <v>2023</v>
      </c>
      <c r="AM649" s="6" t="s">
        <v>797</v>
      </c>
      <c r="AN649" s="7">
        <v>765.12</v>
      </c>
      <c r="AO649" s="8">
        <f t="shared" si="30"/>
        <v>1434.6</v>
      </c>
      <c r="AP649" s="8">
        <f t="shared" si="31"/>
        <v>1593.8405999999998</v>
      </c>
      <c r="AQ649" s="9">
        <f t="shared" si="32"/>
        <v>2323.9085399999999</v>
      </c>
    </row>
    <row r="650" spans="1:43" x14ac:dyDescent="0.25">
      <c r="A650">
        <v>20</v>
      </c>
      <c r="B650">
        <v>2</v>
      </c>
      <c r="C650">
        <v>2024</v>
      </c>
      <c r="D650" t="s">
        <v>43</v>
      </c>
      <c r="E650" t="s">
        <v>140</v>
      </c>
      <c r="F650" t="s">
        <v>141</v>
      </c>
      <c r="G650">
        <v>50</v>
      </c>
      <c r="H650">
        <v>1791882490001</v>
      </c>
      <c r="I650" t="s">
        <v>46</v>
      </c>
      <c r="J650" t="s">
        <v>48</v>
      </c>
      <c r="K650" t="s">
        <v>48</v>
      </c>
      <c r="L650" t="s">
        <v>49</v>
      </c>
      <c r="M650" t="s">
        <v>50</v>
      </c>
      <c r="N650" t="s">
        <v>51</v>
      </c>
      <c r="O650">
        <v>8482500000</v>
      </c>
      <c r="P650" t="s">
        <v>454</v>
      </c>
      <c r="Q650" t="s">
        <v>723</v>
      </c>
      <c r="R650" t="s">
        <v>54</v>
      </c>
      <c r="S650" t="s">
        <v>55</v>
      </c>
      <c r="T650">
        <v>6</v>
      </c>
      <c r="U650">
        <v>1</v>
      </c>
      <c r="V650" t="s">
        <v>135</v>
      </c>
      <c r="W650">
        <v>0</v>
      </c>
      <c r="X650">
        <v>765.07</v>
      </c>
      <c r="Y650">
        <v>68.66</v>
      </c>
      <c r="Z650">
        <v>5.14</v>
      </c>
      <c r="AA650">
        <v>838.87</v>
      </c>
      <c r="AB650" t="s">
        <v>54</v>
      </c>
      <c r="AC650" t="s">
        <v>143</v>
      </c>
      <c r="AD650" t="s">
        <v>48</v>
      </c>
      <c r="AE650">
        <v>0</v>
      </c>
      <c r="AF650">
        <v>1.87</v>
      </c>
      <c r="AG650" t="s">
        <v>59</v>
      </c>
      <c r="AH650">
        <v>876053</v>
      </c>
      <c r="AI650" t="s">
        <v>60</v>
      </c>
      <c r="AJ650" t="s">
        <v>60</v>
      </c>
      <c r="AK650" t="s">
        <v>54</v>
      </c>
      <c r="AL650">
        <v>2024</v>
      </c>
      <c r="AM650" s="6" t="s">
        <v>797</v>
      </c>
      <c r="AN650" s="7">
        <v>765.07</v>
      </c>
      <c r="AO650" s="8">
        <f t="shared" si="30"/>
        <v>1434.5062500000001</v>
      </c>
      <c r="AP650" s="8">
        <f t="shared" si="31"/>
        <v>1593.73644375</v>
      </c>
      <c r="AQ650" s="9">
        <f t="shared" si="32"/>
        <v>2323.7566743749999</v>
      </c>
    </row>
    <row r="651" spans="1:43" x14ac:dyDescent="0.25">
      <c r="A651">
        <v>13</v>
      </c>
      <c r="B651">
        <v>3</v>
      </c>
      <c r="C651">
        <v>2024</v>
      </c>
      <c r="D651" t="s">
        <v>43</v>
      </c>
      <c r="E651" t="s">
        <v>69</v>
      </c>
      <c r="F651" t="s">
        <v>70</v>
      </c>
      <c r="G651">
        <v>39</v>
      </c>
      <c r="H651">
        <v>1791882490001</v>
      </c>
      <c r="I651" t="s">
        <v>46</v>
      </c>
      <c r="J651" t="s">
        <v>48</v>
      </c>
      <c r="K651" t="s">
        <v>48</v>
      </c>
      <c r="L651" t="s">
        <v>49</v>
      </c>
      <c r="M651" t="s">
        <v>50</v>
      </c>
      <c r="N651" t="s">
        <v>51</v>
      </c>
      <c r="O651">
        <v>8482500000</v>
      </c>
      <c r="P651" t="s">
        <v>454</v>
      </c>
      <c r="Q651" t="s">
        <v>723</v>
      </c>
      <c r="R651" t="s">
        <v>54</v>
      </c>
      <c r="S651" t="s">
        <v>55</v>
      </c>
      <c r="T651">
        <v>11</v>
      </c>
      <c r="U651">
        <v>1</v>
      </c>
      <c r="V651" t="s">
        <v>135</v>
      </c>
      <c r="W651">
        <v>0</v>
      </c>
      <c r="X651">
        <v>768.01</v>
      </c>
      <c r="Y651">
        <v>100.57</v>
      </c>
      <c r="Z651">
        <v>5.17</v>
      </c>
      <c r="AA651">
        <v>873.75</v>
      </c>
      <c r="AB651" t="s">
        <v>54</v>
      </c>
      <c r="AC651" t="s">
        <v>71</v>
      </c>
      <c r="AD651" t="s">
        <v>48</v>
      </c>
      <c r="AE651">
        <v>0</v>
      </c>
      <c r="AF651">
        <v>2.04</v>
      </c>
      <c r="AG651" t="s">
        <v>59</v>
      </c>
      <c r="AH651">
        <v>895279</v>
      </c>
      <c r="AI651" t="s">
        <v>60</v>
      </c>
      <c r="AJ651" t="s">
        <v>60</v>
      </c>
      <c r="AK651" t="s">
        <v>54</v>
      </c>
      <c r="AL651">
        <v>2024</v>
      </c>
      <c r="AM651" s="6" t="s">
        <v>797</v>
      </c>
      <c r="AN651" s="7">
        <v>768.01</v>
      </c>
      <c r="AO651" s="8">
        <f t="shared" si="30"/>
        <v>1440.01875</v>
      </c>
      <c r="AP651" s="8">
        <f t="shared" si="31"/>
        <v>1599.8608312499998</v>
      </c>
      <c r="AQ651" s="9">
        <f t="shared" si="32"/>
        <v>2332.6863731249996</v>
      </c>
    </row>
    <row r="652" spans="1:43" x14ac:dyDescent="0.25">
      <c r="A652">
        <v>8</v>
      </c>
      <c r="B652">
        <v>4</v>
      </c>
      <c r="C652">
        <v>2024</v>
      </c>
      <c r="D652" t="s">
        <v>43</v>
      </c>
      <c r="E652" t="s">
        <v>355</v>
      </c>
      <c r="F652" t="s">
        <v>356</v>
      </c>
      <c r="G652">
        <v>12</v>
      </c>
      <c r="H652">
        <v>1791882490001</v>
      </c>
      <c r="I652" t="s">
        <v>46</v>
      </c>
      <c r="J652" t="s">
        <v>48</v>
      </c>
      <c r="K652" t="s">
        <v>48</v>
      </c>
      <c r="L652" t="s">
        <v>119</v>
      </c>
      <c r="M652" t="s">
        <v>120</v>
      </c>
      <c r="N652" t="s">
        <v>121</v>
      </c>
      <c r="O652">
        <v>8482500000</v>
      </c>
      <c r="P652" t="s">
        <v>454</v>
      </c>
      <c r="Q652" t="s">
        <v>723</v>
      </c>
      <c r="R652" t="s">
        <v>54</v>
      </c>
      <c r="S652" t="s">
        <v>55</v>
      </c>
      <c r="T652">
        <v>10</v>
      </c>
      <c r="U652">
        <v>2</v>
      </c>
      <c r="V652" t="s">
        <v>135</v>
      </c>
      <c r="W652">
        <v>0</v>
      </c>
      <c r="X652">
        <v>1522.89</v>
      </c>
      <c r="Y652">
        <v>76.150000000000006</v>
      </c>
      <c r="Z652">
        <v>9.73</v>
      </c>
      <c r="AA652">
        <v>1608.77</v>
      </c>
      <c r="AB652" t="s">
        <v>359</v>
      </c>
      <c r="AC652" t="s">
        <v>125</v>
      </c>
      <c r="AD652" t="s">
        <v>48</v>
      </c>
      <c r="AE652">
        <v>1</v>
      </c>
      <c r="AF652">
        <v>27.25</v>
      </c>
      <c r="AG652" t="s">
        <v>59</v>
      </c>
      <c r="AH652">
        <v>882904</v>
      </c>
      <c r="AI652" t="s">
        <v>60</v>
      </c>
      <c r="AJ652" t="s">
        <v>60</v>
      </c>
      <c r="AK652" t="s">
        <v>54</v>
      </c>
      <c r="AL652">
        <v>2024</v>
      </c>
      <c r="AM652" s="6" t="s">
        <v>797</v>
      </c>
      <c r="AN652" s="7">
        <v>761.45</v>
      </c>
      <c r="AO652" s="8">
        <f t="shared" si="30"/>
        <v>1427.71875</v>
      </c>
      <c r="AP652" s="8">
        <f t="shared" si="31"/>
        <v>1586.1955312499999</v>
      </c>
      <c r="AQ652" s="9">
        <f t="shared" si="32"/>
        <v>2312.761603125</v>
      </c>
    </row>
    <row r="653" spans="1:43" x14ac:dyDescent="0.25">
      <c r="A653">
        <v>15</v>
      </c>
      <c r="B653">
        <v>4</v>
      </c>
      <c r="C653">
        <v>2024</v>
      </c>
      <c r="D653" t="s">
        <v>43</v>
      </c>
      <c r="E653" t="s">
        <v>63</v>
      </c>
      <c r="F653" t="s">
        <v>64</v>
      </c>
      <c r="G653">
        <v>46</v>
      </c>
      <c r="H653">
        <v>1791882490001</v>
      </c>
      <c r="I653" t="s">
        <v>46</v>
      </c>
      <c r="J653" t="s">
        <v>48</v>
      </c>
      <c r="K653" t="s">
        <v>48</v>
      </c>
      <c r="L653" t="s">
        <v>49</v>
      </c>
      <c r="M653" t="s">
        <v>50</v>
      </c>
      <c r="N653" t="s">
        <v>51</v>
      </c>
      <c r="O653">
        <v>8482500000</v>
      </c>
      <c r="P653" t="s">
        <v>454</v>
      </c>
      <c r="Q653" t="s">
        <v>455</v>
      </c>
      <c r="R653" t="s">
        <v>54</v>
      </c>
      <c r="S653" t="s">
        <v>55</v>
      </c>
      <c r="T653">
        <v>6</v>
      </c>
      <c r="U653">
        <v>2</v>
      </c>
      <c r="V653" t="s">
        <v>135</v>
      </c>
      <c r="W653">
        <v>0</v>
      </c>
      <c r="X653">
        <v>1519.11</v>
      </c>
      <c r="Y653">
        <v>159.9</v>
      </c>
      <c r="Z653">
        <v>10.199999999999999</v>
      </c>
      <c r="AA653">
        <v>1689.21</v>
      </c>
      <c r="AB653" t="s">
        <v>57</v>
      </c>
      <c r="AC653" t="s">
        <v>58</v>
      </c>
      <c r="AD653" t="s">
        <v>48</v>
      </c>
      <c r="AE653">
        <v>0</v>
      </c>
      <c r="AF653">
        <v>14.56</v>
      </c>
      <c r="AG653" t="s">
        <v>59</v>
      </c>
      <c r="AH653">
        <v>443965</v>
      </c>
      <c r="AI653" t="s">
        <v>60</v>
      </c>
      <c r="AJ653" t="s">
        <v>60</v>
      </c>
      <c r="AK653" t="s">
        <v>54</v>
      </c>
      <c r="AL653">
        <v>2024</v>
      </c>
      <c r="AM653" s="6" t="s">
        <v>797</v>
      </c>
      <c r="AN653" s="7">
        <v>759.55</v>
      </c>
      <c r="AO653" s="8">
        <f t="shared" si="30"/>
        <v>1424.15625</v>
      </c>
      <c r="AP653" s="8">
        <f t="shared" si="31"/>
        <v>1582.2375937500001</v>
      </c>
      <c r="AQ653" s="9">
        <f t="shared" si="32"/>
        <v>2306.9907093749998</v>
      </c>
    </row>
    <row r="654" spans="1:43" x14ac:dyDescent="0.25">
      <c r="A654">
        <v>17</v>
      </c>
      <c r="B654">
        <v>5</v>
      </c>
      <c r="C654">
        <v>2024</v>
      </c>
      <c r="D654" t="s">
        <v>43</v>
      </c>
      <c r="E654" t="s">
        <v>79</v>
      </c>
      <c r="F654" t="s">
        <v>80</v>
      </c>
      <c r="G654">
        <v>40</v>
      </c>
      <c r="H654">
        <v>1791882490001</v>
      </c>
      <c r="I654" t="s">
        <v>46</v>
      </c>
      <c r="J654" t="s">
        <v>48</v>
      </c>
      <c r="K654" t="s">
        <v>48</v>
      </c>
      <c r="L654" t="s">
        <v>49</v>
      </c>
      <c r="M654" t="s">
        <v>50</v>
      </c>
      <c r="N654" t="s">
        <v>51</v>
      </c>
      <c r="O654">
        <v>8482500000</v>
      </c>
      <c r="P654" t="s">
        <v>454</v>
      </c>
      <c r="Q654" t="s">
        <v>455</v>
      </c>
      <c r="R654" t="s">
        <v>54</v>
      </c>
      <c r="S654" t="s">
        <v>55</v>
      </c>
      <c r="T654">
        <v>6</v>
      </c>
      <c r="U654">
        <v>2</v>
      </c>
      <c r="V654" t="s">
        <v>135</v>
      </c>
      <c r="W654">
        <v>0</v>
      </c>
      <c r="X654">
        <v>1520.35</v>
      </c>
      <c r="Y654">
        <v>146.78</v>
      </c>
      <c r="Z654">
        <v>10.119999999999999</v>
      </c>
      <c r="AA654">
        <v>1677.26</v>
      </c>
      <c r="AB654" t="s">
        <v>57</v>
      </c>
      <c r="AC654" t="s">
        <v>81</v>
      </c>
      <c r="AD654" t="s">
        <v>48</v>
      </c>
      <c r="AE654">
        <v>0</v>
      </c>
      <c r="AF654">
        <v>2.16</v>
      </c>
      <c r="AG654" t="s">
        <v>82</v>
      </c>
      <c r="AH654">
        <v>471463</v>
      </c>
      <c r="AI654" t="s">
        <v>60</v>
      </c>
      <c r="AJ654" t="s">
        <v>60</v>
      </c>
      <c r="AK654" t="s">
        <v>54</v>
      </c>
      <c r="AL654">
        <v>2024</v>
      </c>
      <c r="AM654" s="6" t="s">
        <v>797</v>
      </c>
      <c r="AN654" s="7">
        <v>760.18</v>
      </c>
      <c r="AO654" s="8">
        <f t="shared" si="30"/>
        <v>1425.3374999999999</v>
      </c>
      <c r="AP654" s="8">
        <f t="shared" si="31"/>
        <v>1583.5499624999998</v>
      </c>
      <c r="AQ654" s="9">
        <f t="shared" si="32"/>
        <v>2308.9042162499995</v>
      </c>
    </row>
    <row r="655" spans="1:43" x14ac:dyDescent="0.25">
      <c r="A655">
        <v>12</v>
      </c>
      <c r="B655">
        <v>6</v>
      </c>
      <c r="C655">
        <v>2024</v>
      </c>
      <c r="D655" t="s">
        <v>43</v>
      </c>
      <c r="E655" t="s">
        <v>96</v>
      </c>
      <c r="F655" t="s">
        <v>97</v>
      </c>
      <c r="G655">
        <v>35</v>
      </c>
      <c r="H655">
        <v>1791882490001</v>
      </c>
      <c r="I655" t="s">
        <v>46</v>
      </c>
      <c r="J655" t="s">
        <v>48</v>
      </c>
      <c r="K655" t="s">
        <v>48</v>
      </c>
      <c r="L655" t="s">
        <v>49</v>
      </c>
      <c r="M655" t="s">
        <v>50</v>
      </c>
      <c r="N655" t="s">
        <v>51</v>
      </c>
      <c r="O655">
        <v>8482500000</v>
      </c>
      <c r="P655" t="s">
        <v>454</v>
      </c>
      <c r="Q655" t="s">
        <v>723</v>
      </c>
      <c r="R655" t="s">
        <v>54</v>
      </c>
      <c r="S655" t="s">
        <v>55</v>
      </c>
      <c r="T655">
        <v>7</v>
      </c>
      <c r="U655">
        <v>1</v>
      </c>
      <c r="V655" t="s">
        <v>135</v>
      </c>
      <c r="W655">
        <v>0</v>
      </c>
      <c r="X655">
        <v>791.62</v>
      </c>
      <c r="Y655">
        <v>68.650000000000006</v>
      </c>
      <c r="Z655">
        <v>5.33</v>
      </c>
      <c r="AA655">
        <v>865.6</v>
      </c>
      <c r="AB655" t="s">
        <v>57</v>
      </c>
      <c r="AC655" t="s">
        <v>94</v>
      </c>
      <c r="AD655" t="s">
        <v>48</v>
      </c>
      <c r="AE655">
        <v>0</v>
      </c>
      <c r="AF655">
        <v>1.8</v>
      </c>
      <c r="AG655" t="s">
        <v>59</v>
      </c>
      <c r="AH655" t="s">
        <v>98</v>
      </c>
      <c r="AI655" t="s">
        <v>60</v>
      </c>
      <c r="AJ655" t="s">
        <v>60</v>
      </c>
      <c r="AK655" t="s">
        <v>54</v>
      </c>
      <c r="AL655">
        <v>2024</v>
      </c>
      <c r="AM655" s="6" t="s">
        <v>797</v>
      </c>
      <c r="AN655" s="7">
        <v>791.62</v>
      </c>
      <c r="AO655" s="8">
        <f t="shared" si="30"/>
        <v>1484.2874999999999</v>
      </c>
      <c r="AP655" s="8">
        <f t="shared" si="31"/>
        <v>1649.0434124999999</v>
      </c>
      <c r="AQ655" s="9">
        <f t="shared" si="32"/>
        <v>2404.3973212499995</v>
      </c>
    </row>
    <row r="656" spans="1:43" x14ac:dyDescent="0.25">
      <c r="A656">
        <v>8</v>
      </c>
      <c r="B656">
        <v>7</v>
      </c>
      <c r="C656">
        <v>2024</v>
      </c>
      <c r="D656" t="s">
        <v>43</v>
      </c>
      <c r="E656" t="s">
        <v>75</v>
      </c>
      <c r="F656" t="s">
        <v>76</v>
      </c>
      <c r="G656">
        <v>47</v>
      </c>
      <c r="H656">
        <v>1791882490001</v>
      </c>
      <c r="I656" t="s">
        <v>46</v>
      </c>
      <c r="J656" t="s">
        <v>48</v>
      </c>
      <c r="K656" t="s">
        <v>48</v>
      </c>
      <c r="L656" t="s">
        <v>49</v>
      </c>
      <c r="M656" t="s">
        <v>50</v>
      </c>
      <c r="N656" t="s">
        <v>51</v>
      </c>
      <c r="O656">
        <v>8482500000</v>
      </c>
      <c r="P656" t="s">
        <v>454</v>
      </c>
      <c r="Q656" t="s">
        <v>798</v>
      </c>
      <c r="R656" t="s">
        <v>54</v>
      </c>
      <c r="S656" t="s">
        <v>55</v>
      </c>
      <c r="T656">
        <v>8</v>
      </c>
      <c r="U656">
        <v>2</v>
      </c>
      <c r="V656" t="s">
        <v>135</v>
      </c>
      <c r="W656">
        <v>0</v>
      </c>
      <c r="X656">
        <v>1629.78</v>
      </c>
      <c r="Y656">
        <v>139.19</v>
      </c>
      <c r="Z656">
        <v>10.6</v>
      </c>
      <c r="AA656">
        <v>1779.57</v>
      </c>
      <c r="AB656" t="s">
        <v>57</v>
      </c>
      <c r="AC656" t="s">
        <v>77</v>
      </c>
      <c r="AD656" t="s">
        <v>48</v>
      </c>
      <c r="AE656">
        <v>0</v>
      </c>
      <c r="AF656">
        <v>10.79</v>
      </c>
      <c r="AG656" t="s">
        <v>59</v>
      </c>
      <c r="AH656">
        <v>107711</v>
      </c>
      <c r="AI656" t="s">
        <v>60</v>
      </c>
      <c r="AJ656" t="s">
        <v>78</v>
      </c>
      <c r="AK656" t="s">
        <v>54</v>
      </c>
      <c r="AL656">
        <v>2024</v>
      </c>
      <c r="AM656" s="6" t="s">
        <v>797</v>
      </c>
      <c r="AN656" s="7">
        <v>814.89</v>
      </c>
      <c r="AO656" s="8">
        <f t="shared" si="30"/>
        <v>1527.91875</v>
      </c>
      <c r="AP656" s="8">
        <f t="shared" si="31"/>
        <v>1697.51773125</v>
      </c>
      <c r="AQ656" s="9">
        <f t="shared" si="32"/>
        <v>2475.0755831249999</v>
      </c>
    </row>
    <row r="657" spans="1:43" x14ac:dyDescent="0.25">
      <c r="A657">
        <v>8</v>
      </c>
      <c r="B657">
        <v>7</v>
      </c>
      <c r="C657">
        <v>2024</v>
      </c>
      <c r="D657" t="s">
        <v>43</v>
      </c>
      <c r="E657" t="s">
        <v>75</v>
      </c>
      <c r="F657" t="s">
        <v>76</v>
      </c>
      <c r="G657">
        <v>47</v>
      </c>
      <c r="H657">
        <v>1791882490001</v>
      </c>
      <c r="I657" t="s">
        <v>46</v>
      </c>
      <c r="J657" t="s">
        <v>48</v>
      </c>
      <c r="K657" t="s">
        <v>48</v>
      </c>
      <c r="L657" t="s">
        <v>49</v>
      </c>
      <c r="M657" t="s">
        <v>50</v>
      </c>
      <c r="N657" t="s">
        <v>51</v>
      </c>
      <c r="O657">
        <v>8482500000</v>
      </c>
      <c r="P657" t="s">
        <v>454</v>
      </c>
      <c r="Q657" t="s">
        <v>798</v>
      </c>
      <c r="R657" t="s">
        <v>54</v>
      </c>
      <c r="S657" t="s">
        <v>55</v>
      </c>
      <c r="T657">
        <v>8</v>
      </c>
      <c r="U657">
        <v>2</v>
      </c>
      <c r="V657" t="s">
        <v>135</v>
      </c>
      <c r="W657">
        <v>0</v>
      </c>
      <c r="X657">
        <v>1629.78</v>
      </c>
      <c r="Y657">
        <v>139.19</v>
      </c>
      <c r="Z657">
        <v>10.6</v>
      </c>
      <c r="AA657">
        <v>1779.57</v>
      </c>
      <c r="AB657" t="s">
        <v>57</v>
      </c>
      <c r="AC657" t="s">
        <v>77</v>
      </c>
      <c r="AD657" t="s">
        <v>48</v>
      </c>
      <c r="AE657">
        <v>0</v>
      </c>
      <c r="AF657">
        <v>10.79</v>
      </c>
      <c r="AG657" t="s">
        <v>59</v>
      </c>
      <c r="AH657">
        <v>107711</v>
      </c>
      <c r="AI657" t="s">
        <v>60</v>
      </c>
      <c r="AJ657" t="s">
        <v>78</v>
      </c>
      <c r="AK657" t="s">
        <v>54</v>
      </c>
      <c r="AL657">
        <v>2024</v>
      </c>
      <c r="AM657" s="6" t="s">
        <v>797</v>
      </c>
      <c r="AN657" s="7">
        <v>814.89</v>
      </c>
      <c r="AO657" s="8">
        <f t="shared" si="30"/>
        <v>1527.91875</v>
      </c>
      <c r="AP657" s="8">
        <f t="shared" si="31"/>
        <v>1697.51773125</v>
      </c>
      <c r="AQ657" s="9">
        <f t="shared" si="32"/>
        <v>2475.0755831249999</v>
      </c>
    </row>
    <row r="658" spans="1:43" x14ac:dyDescent="0.25">
      <c r="A658">
        <v>11</v>
      </c>
      <c r="B658">
        <v>7</v>
      </c>
      <c r="C658">
        <v>2024</v>
      </c>
      <c r="D658" t="s">
        <v>43</v>
      </c>
      <c r="E658" t="s">
        <v>116</v>
      </c>
      <c r="F658" t="s">
        <v>117</v>
      </c>
      <c r="G658">
        <v>20</v>
      </c>
      <c r="H658">
        <v>1791882490001</v>
      </c>
      <c r="I658" t="s">
        <v>46</v>
      </c>
      <c r="J658" t="s">
        <v>48</v>
      </c>
      <c r="K658" t="s">
        <v>48</v>
      </c>
      <c r="L658" t="s">
        <v>119</v>
      </c>
      <c r="M658" t="s">
        <v>120</v>
      </c>
      <c r="N658" t="s">
        <v>121</v>
      </c>
      <c r="O658">
        <v>8482500000</v>
      </c>
      <c r="P658" t="s">
        <v>454</v>
      </c>
      <c r="Q658" t="s">
        <v>455</v>
      </c>
      <c r="R658" t="s">
        <v>54</v>
      </c>
      <c r="S658" t="s">
        <v>55</v>
      </c>
      <c r="T658">
        <v>9</v>
      </c>
      <c r="U658">
        <v>2</v>
      </c>
      <c r="V658" t="s">
        <v>135</v>
      </c>
      <c r="W658">
        <v>0</v>
      </c>
      <c r="X658">
        <v>1526.45</v>
      </c>
      <c r="Y658">
        <v>137.46</v>
      </c>
      <c r="Z658">
        <v>10.25</v>
      </c>
      <c r="AA658">
        <v>1674.16</v>
      </c>
      <c r="AB658" t="s">
        <v>124</v>
      </c>
      <c r="AC658" t="s">
        <v>125</v>
      </c>
      <c r="AD658" t="s">
        <v>48</v>
      </c>
      <c r="AE658">
        <v>0</v>
      </c>
      <c r="AF658">
        <v>4.03</v>
      </c>
      <c r="AG658" t="s">
        <v>59</v>
      </c>
      <c r="AH658">
        <v>486256</v>
      </c>
      <c r="AI658" t="s">
        <v>60</v>
      </c>
      <c r="AJ658" t="s">
        <v>78</v>
      </c>
      <c r="AK658" t="s">
        <v>54</v>
      </c>
      <c r="AL658">
        <v>2024</v>
      </c>
      <c r="AM658" s="6" t="s">
        <v>797</v>
      </c>
      <c r="AN658" s="7">
        <v>763.22</v>
      </c>
      <c r="AO658" s="8">
        <f t="shared" si="30"/>
        <v>1431.0375000000001</v>
      </c>
      <c r="AP658" s="8">
        <f t="shared" si="31"/>
        <v>1589.8826625000002</v>
      </c>
      <c r="AQ658" s="9">
        <f t="shared" si="32"/>
        <v>2318.1376462500002</v>
      </c>
    </row>
    <row r="659" spans="1:43" x14ac:dyDescent="0.25">
      <c r="A659">
        <v>8</v>
      </c>
      <c r="B659">
        <v>4</v>
      </c>
      <c r="C659">
        <v>2024</v>
      </c>
      <c r="D659" t="s">
        <v>43</v>
      </c>
      <c r="E659" t="s">
        <v>536</v>
      </c>
      <c r="F659" t="s">
        <v>537</v>
      </c>
      <c r="G659">
        <v>10</v>
      </c>
      <c r="H659">
        <v>1791882490001</v>
      </c>
      <c r="I659" t="s">
        <v>46</v>
      </c>
      <c r="J659" t="s">
        <v>118</v>
      </c>
      <c r="K659" t="s">
        <v>48</v>
      </c>
      <c r="L659" t="s">
        <v>119</v>
      </c>
      <c r="M659" t="s">
        <v>120</v>
      </c>
      <c r="N659" t="s">
        <v>121</v>
      </c>
      <c r="O659">
        <v>3403190000</v>
      </c>
      <c r="P659" t="s">
        <v>103</v>
      </c>
      <c r="Q659" t="s">
        <v>534</v>
      </c>
      <c r="R659" t="s">
        <v>54</v>
      </c>
      <c r="S659" t="s">
        <v>55</v>
      </c>
      <c r="T659">
        <v>8</v>
      </c>
      <c r="U659">
        <v>1</v>
      </c>
      <c r="V659" t="s">
        <v>56</v>
      </c>
      <c r="W659">
        <v>0</v>
      </c>
      <c r="X659">
        <v>3771.32</v>
      </c>
      <c r="Y659">
        <v>232.32</v>
      </c>
      <c r="Z659">
        <v>24.34</v>
      </c>
      <c r="AA659">
        <v>4027.99</v>
      </c>
      <c r="AB659" t="s">
        <v>359</v>
      </c>
      <c r="AC659" t="s">
        <v>125</v>
      </c>
      <c r="AD659" t="s">
        <v>48</v>
      </c>
      <c r="AE659">
        <v>1</v>
      </c>
      <c r="AF659">
        <v>240.36</v>
      </c>
      <c r="AG659" t="s">
        <v>59</v>
      </c>
      <c r="AH659">
        <v>887430</v>
      </c>
      <c r="AI659" t="s">
        <v>534</v>
      </c>
      <c r="AJ659" t="s">
        <v>538</v>
      </c>
      <c r="AK659" t="s">
        <v>54</v>
      </c>
      <c r="AL659">
        <v>2024</v>
      </c>
      <c r="AM659" s="6" t="s">
        <v>799</v>
      </c>
      <c r="AN659" s="7">
        <v>3771.32</v>
      </c>
      <c r="AO659" s="8">
        <f t="shared" si="30"/>
        <v>7071.2250000000004</v>
      </c>
      <c r="AP659" s="8">
        <f t="shared" si="31"/>
        <v>7856.130975</v>
      </c>
      <c r="AQ659" s="9">
        <f t="shared" si="32"/>
        <v>11454.6773775</v>
      </c>
    </row>
    <row r="660" spans="1:43" x14ac:dyDescent="0.25">
      <c r="A660">
        <v>10</v>
      </c>
      <c r="B660">
        <v>9</v>
      </c>
      <c r="C660">
        <v>2024</v>
      </c>
      <c r="D660" t="s">
        <v>43</v>
      </c>
      <c r="E660" t="s">
        <v>539</v>
      </c>
      <c r="F660" t="s">
        <v>540</v>
      </c>
      <c r="G660">
        <v>8</v>
      </c>
      <c r="H660">
        <v>1791882490001</v>
      </c>
      <c r="I660" t="s">
        <v>46</v>
      </c>
      <c r="J660" t="s">
        <v>118</v>
      </c>
      <c r="K660" t="s">
        <v>48</v>
      </c>
      <c r="L660" t="s">
        <v>119</v>
      </c>
      <c r="M660" t="s">
        <v>120</v>
      </c>
      <c r="N660" t="s">
        <v>121</v>
      </c>
      <c r="O660">
        <v>3403990000</v>
      </c>
      <c r="P660" t="s">
        <v>103</v>
      </c>
      <c r="Q660" t="s">
        <v>534</v>
      </c>
      <c r="R660" t="s">
        <v>54</v>
      </c>
      <c r="S660" t="s">
        <v>55</v>
      </c>
      <c r="T660">
        <v>12</v>
      </c>
      <c r="U660">
        <v>1</v>
      </c>
      <c r="V660" t="s">
        <v>56</v>
      </c>
      <c r="W660">
        <v>0</v>
      </c>
      <c r="X660">
        <v>3810.5</v>
      </c>
      <c r="Y660">
        <v>351.03</v>
      </c>
      <c r="Z660">
        <v>24.99</v>
      </c>
      <c r="AA660">
        <v>4186.5200000000004</v>
      </c>
      <c r="AB660" t="s">
        <v>124</v>
      </c>
      <c r="AC660" t="s">
        <v>541</v>
      </c>
      <c r="AD660" t="s">
        <v>48</v>
      </c>
      <c r="AE660">
        <v>0</v>
      </c>
      <c r="AF660">
        <v>191</v>
      </c>
      <c r="AG660" t="s">
        <v>59</v>
      </c>
      <c r="AH660">
        <v>123588</v>
      </c>
      <c r="AI660" t="s">
        <v>534</v>
      </c>
      <c r="AJ660" t="s">
        <v>534</v>
      </c>
      <c r="AK660" t="s">
        <v>54</v>
      </c>
      <c r="AL660">
        <v>2024</v>
      </c>
      <c r="AM660" s="6" t="s">
        <v>799</v>
      </c>
      <c r="AN660" s="7">
        <v>3810.5</v>
      </c>
      <c r="AO660" s="8">
        <f t="shared" si="30"/>
        <v>7144.6875</v>
      </c>
      <c r="AP660" s="8">
        <f t="shared" si="31"/>
        <v>7937.7478124999998</v>
      </c>
      <c r="AQ660" s="9">
        <f t="shared" si="32"/>
        <v>11573.679281249999</v>
      </c>
    </row>
    <row r="661" spans="1:43" x14ac:dyDescent="0.25">
      <c r="A661">
        <v>10</v>
      </c>
      <c r="B661">
        <v>9</v>
      </c>
      <c r="C661">
        <v>2024</v>
      </c>
      <c r="D661" t="s">
        <v>43</v>
      </c>
      <c r="E661" t="s">
        <v>539</v>
      </c>
      <c r="F661" t="s">
        <v>540</v>
      </c>
      <c r="G661">
        <v>9</v>
      </c>
      <c r="H661">
        <v>1791882490001</v>
      </c>
      <c r="I661" t="s">
        <v>46</v>
      </c>
      <c r="J661" t="s">
        <v>118</v>
      </c>
      <c r="K661" t="s">
        <v>48</v>
      </c>
      <c r="L661" t="s">
        <v>119</v>
      </c>
      <c r="M661" t="s">
        <v>120</v>
      </c>
      <c r="N661" t="s">
        <v>121</v>
      </c>
      <c r="O661">
        <v>3403990000</v>
      </c>
      <c r="P661" t="s">
        <v>103</v>
      </c>
      <c r="Q661" t="s">
        <v>534</v>
      </c>
      <c r="R661" t="s">
        <v>54</v>
      </c>
      <c r="S661" t="s">
        <v>55</v>
      </c>
      <c r="T661">
        <v>12</v>
      </c>
      <c r="U661">
        <v>1</v>
      </c>
      <c r="V661" t="s">
        <v>56</v>
      </c>
      <c r="W661">
        <v>0</v>
      </c>
      <c r="X661">
        <v>3810.5</v>
      </c>
      <c r="Y661">
        <v>351.03</v>
      </c>
      <c r="Z661">
        <v>24.99</v>
      </c>
      <c r="AA661">
        <v>4186.5200000000004</v>
      </c>
      <c r="AB661" t="s">
        <v>124</v>
      </c>
      <c r="AC661" t="s">
        <v>541</v>
      </c>
      <c r="AD661" t="s">
        <v>48</v>
      </c>
      <c r="AE661">
        <v>0</v>
      </c>
      <c r="AF661">
        <v>191</v>
      </c>
      <c r="AG661" t="s">
        <v>59</v>
      </c>
      <c r="AH661">
        <v>123588</v>
      </c>
      <c r="AI661" t="s">
        <v>534</v>
      </c>
      <c r="AJ661" t="s">
        <v>534</v>
      </c>
      <c r="AK661" t="s">
        <v>54</v>
      </c>
      <c r="AL661">
        <v>2024</v>
      </c>
      <c r="AM661" s="6" t="s">
        <v>799</v>
      </c>
      <c r="AN661" s="7">
        <v>3810.5</v>
      </c>
      <c r="AO661" s="8">
        <f t="shared" si="30"/>
        <v>7144.6875</v>
      </c>
      <c r="AP661" s="8">
        <f t="shared" si="31"/>
        <v>7937.7478124999998</v>
      </c>
      <c r="AQ661" s="9">
        <f t="shared" si="32"/>
        <v>11573.679281249999</v>
      </c>
    </row>
    <row r="662" spans="1:43" x14ac:dyDescent="0.25">
      <c r="A662">
        <v>10</v>
      </c>
      <c r="B662">
        <v>9</v>
      </c>
      <c r="C662">
        <v>2024</v>
      </c>
      <c r="D662" t="s">
        <v>43</v>
      </c>
      <c r="E662" t="s">
        <v>539</v>
      </c>
      <c r="F662" t="s">
        <v>540</v>
      </c>
      <c r="G662">
        <v>10</v>
      </c>
      <c r="H662">
        <v>1791882490001</v>
      </c>
      <c r="I662" t="s">
        <v>46</v>
      </c>
      <c r="J662" t="s">
        <v>118</v>
      </c>
      <c r="K662" t="s">
        <v>48</v>
      </c>
      <c r="L662" t="s">
        <v>119</v>
      </c>
      <c r="M662" t="s">
        <v>120</v>
      </c>
      <c r="N662" t="s">
        <v>121</v>
      </c>
      <c r="O662">
        <v>3403990000</v>
      </c>
      <c r="P662" t="s">
        <v>103</v>
      </c>
      <c r="Q662" t="s">
        <v>534</v>
      </c>
      <c r="R662" t="s">
        <v>54</v>
      </c>
      <c r="S662" t="s">
        <v>55</v>
      </c>
      <c r="T662">
        <v>12</v>
      </c>
      <c r="U662">
        <v>1</v>
      </c>
      <c r="V662" t="s">
        <v>56</v>
      </c>
      <c r="W662">
        <v>0</v>
      </c>
      <c r="X662">
        <v>3810.5</v>
      </c>
      <c r="Y662">
        <v>351.03</v>
      </c>
      <c r="Z662">
        <v>24.99</v>
      </c>
      <c r="AA662">
        <v>4186.5200000000004</v>
      </c>
      <c r="AB662" t="s">
        <v>124</v>
      </c>
      <c r="AC662" t="s">
        <v>541</v>
      </c>
      <c r="AD662" t="s">
        <v>48</v>
      </c>
      <c r="AE662">
        <v>0</v>
      </c>
      <c r="AF662">
        <v>191</v>
      </c>
      <c r="AG662" t="s">
        <v>59</v>
      </c>
      <c r="AH662">
        <v>123588</v>
      </c>
      <c r="AI662" t="s">
        <v>534</v>
      </c>
      <c r="AJ662" t="s">
        <v>534</v>
      </c>
      <c r="AK662" t="s">
        <v>54</v>
      </c>
      <c r="AL662">
        <v>2024</v>
      </c>
      <c r="AM662" s="6" t="s">
        <v>799</v>
      </c>
      <c r="AN662" s="7">
        <v>3810.5</v>
      </c>
      <c r="AO662" s="8">
        <f t="shared" si="30"/>
        <v>7144.6875</v>
      </c>
      <c r="AP662" s="8">
        <f t="shared" si="31"/>
        <v>7937.7478124999998</v>
      </c>
      <c r="AQ662" s="9">
        <f t="shared" si="32"/>
        <v>11573.679281249999</v>
      </c>
    </row>
    <row r="663" spans="1:43" x14ac:dyDescent="0.25">
      <c r="A663">
        <v>1</v>
      </c>
      <c r="B663">
        <v>2</v>
      </c>
      <c r="C663">
        <v>2024</v>
      </c>
      <c r="D663" t="s">
        <v>43</v>
      </c>
      <c r="E663" t="s">
        <v>174</v>
      </c>
      <c r="F663" t="s">
        <v>175</v>
      </c>
      <c r="G663">
        <v>27</v>
      </c>
      <c r="H663">
        <v>1791882490001</v>
      </c>
      <c r="I663" t="s">
        <v>46</v>
      </c>
      <c r="J663" t="s">
        <v>48</v>
      </c>
      <c r="K663" t="s">
        <v>48</v>
      </c>
      <c r="L663" t="s">
        <v>49</v>
      </c>
      <c r="M663" t="s">
        <v>50</v>
      </c>
      <c r="N663" t="s">
        <v>51</v>
      </c>
      <c r="O663">
        <v>8421999000</v>
      </c>
      <c r="P663" t="s">
        <v>66</v>
      </c>
      <c r="Q663" t="s">
        <v>800</v>
      </c>
      <c r="R663" t="s">
        <v>54</v>
      </c>
      <c r="S663" t="s">
        <v>55</v>
      </c>
      <c r="T663">
        <v>5</v>
      </c>
      <c r="U663">
        <v>4</v>
      </c>
      <c r="V663" t="s">
        <v>135</v>
      </c>
      <c r="W663">
        <v>0</v>
      </c>
      <c r="X663">
        <v>790.41</v>
      </c>
      <c r="Y663">
        <v>58.76</v>
      </c>
      <c r="Z663">
        <v>4.72</v>
      </c>
      <c r="AA663">
        <v>853.9</v>
      </c>
      <c r="AB663" t="s">
        <v>54</v>
      </c>
      <c r="AC663" t="s">
        <v>94</v>
      </c>
      <c r="AD663" t="s">
        <v>48</v>
      </c>
      <c r="AE663">
        <v>0</v>
      </c>
      <c r="AF663">
        <v>7.94</v>
      </c>
      <c r="AG663" t="s">
        <v>59</v>
      </c>
      <c r="AH663">
        <v>863266</v>
      </c>
      <c r="AI663" t="s">
        <v>60</v>
      </c>
      <c r="AJ663" t="s">
        <v>60</v>
      </c>
      <c r="AK663" t="s">
        <v>54</v>
      </c>
      <c r="AL663">
        <v>2023</v>
      </c>
      <c r="AM663" s="6" t="s">
        <v>801</v>
      </c>
      <c r="AN663" s="7">
        <v>197.6</v>
      </c>
      <c r="AO663" s="8">
        <f t="shared" si="30"/>
        <v>370.5</v>
      </c>
      <c r="AP663" s="8">
        <f t="shared" si="31"/>
        <v>411.62549999999999</v>
      </c>
      <c r="AQ663" s="9">
        <f t="shared" si="32"/>
        <v>600.17295000000001</v>
      </c>
    </row>
    <row r="664" spans="1:43" x14ac:dyDescent="0.25">
      <c r="A664">
        <v>12</v>
      </c>
      <c r="B664">
        <v>6</v>
      </c>
      <c r="C664">
        <v>2024</v>
      </c>
      <c r="D664" t="s">
        <v>43</v>
      </c>
      <c r="E664" t="s">
        <v>96</v>
      </c>
      <c r="F664" t="s">
        <v>97</v>
      </c>
      <c r="G664">
        <v>36</v>
      </c>
      <c r="H664">
        <v>1791882490001</v>
      </c>
      <c r="I664" t="s">
        <v>46</v>
      </c>
      <c r="J664" t="s">
        <v>48</v>
      </c>
      <c r="K664" t="s">
        <v>48</v>
      </c>
      <c r="L664" t="s">
        <v>49</v>
      </c>
      <c r="M664" t="s">
        <v>50</v>
      </c>
      <c r="N664" t="s">
        <v>51</v>
      </c>
      <c r="O664">
        <v>8481909090</v>
      </c>
      <c r="P664" t="s">
        <v>103</v>
      </c>
      <c r="Q664" t="s">
        <v>776</v>
      </c>
      <c r="R664" t="s">
        <v>54</v>
      </c>
      <c r="S664" t="s">
        <v>55</v>
      </c>
      <c r="T664">
        <v>7</v>
      </c>
      <c r="U664">
        <v>2</v>
      </c>
      <c r="V664" t="s">
        <v>135</v>
      </c>
      <c r="W664">
        <v>0</v>
      </c>
      <c r="X664">
        <v>416.4</v>
      </c>
      <c r="Y664">
        <v>36.11</v>
      </c>
      <c r="Z664">
        <v>2.8</v>
      </c>
      <c r="AA664">
        <v>455.31</v>
      </c>
      <c r="AB664" t="s">
        <v>57</v>
      </c>
      <c r="AC664" t="s">
        <v>94</v>
      </c>
      <c r="AD664" t="s">
        <v>48</v>
      </c>
      <c r="AE664">
        <v>0</v>
      </c>
      <c r="AF664">
        <v>3.6</v>
      </c>
      <c r="AG664" t="s">
        <v>59</v>
      </c>
      <c r="AH664" t="s">
        <v>98</v>
      </c>
      <c r="AI664" t="s">
        <v>60</v>
      </c>
      <c r="AJ664" t="s">
        <v>60</v>
      </c>
      <c r="AK664" t="s">
        <v>54</v>
      </c>
      <c r="AL664">
        <v>2024</v>
      </c>
      <c r="AM664" s="6" t="s">
        <v>801</v>
      </c>
      <c r="AN664" s="7">
        <v>208.2</v>
      </c>
      <c r="AO664" s="8">
        <f t="shared" si="30"/>
        <v>390.375</v>
      </c>
      <c r="AP664" s="8">
        <f t="shared" si="31"/>
        <v>433.70662499999997</v>
      </c>
      <c r="AQ664" s="9">
        <f t="shared" si="32"/>
        <v>632.36846249999996</v>
      </c>
    </row>
    <row r="665" spans="1:43" x14ac:dyDescent="0.25">
      <c r="A665">
        <v>19</v>
      </c>
      <c r="B665">
        <v>8</v>
      </c>
      <c r="C665">
        <v>2024</v>
      </c>
      <c r="D665" t="s">
        <v>43</v>
      </c>
      <c r="E665" t="s">
        <v>84</v>
      </c>
      <c r="F665" t="s">
        <v>85</v>
      </c>
      <c r="G665">
        <v>35</v>
      </c>
      <c r="H665">
        <v>1791882490001</v>
      </c>
      <c r="I665" t="s">
        <v>46</v>
      </c>
      <c r="J665" t="s">
        <v>48</v>
      </c>
      <c r="K665" t="s">
        <v>48</v>
      </c>
      <c r="L665" t="s">
        <v>49</v>
      </c>
      <c r="M665" t="s">
        <v>50</v>
      </c>
      <c r="N665" t="s">
        <v>51</v>
      </c>
      <c r="O665">
        <v>8481909090</v>
      </c>
      <c r="P665" t="s">
        <v>103</v>
      </c>
      <c r="Q665" t="s">
        <v>776</v>
      </c>
      <c r="R665" t="s">
        <v>54</v>
      </c>
      <c r="S665" t="s">
        <v>55</v>
      </c>
      <c r="T665">
        <v>6</v>
      </c>
      <c r="U665">
        <v>3</v>
      </c>
      <c r="V665" t="s">
        <v>135</v>
      </c>
      <c r="W665">
        <v>0</v>
      </c>
      <c r="X665">
        <v>619.17999999999995</v>
      </c>
      <c r="Y665">
        <v>79.89</v>
      </c>
      <c r="Z665">
        <v>4.24</v>
      </c>
      <c r="AA665">
        <v>703.3</v>
      </c>
      <c r="AB665" t="s">
        <v>57</v>
      </c>
      <c r="AC665" t="s">
        <v>58</v>
      </c>
      <c r="AD665" t="s">
        <v>48</v>
      </c>
      <c r="AE665">
        <v>0</v>
      </c>
      <c r="AF665">
        <v>4.1900000000000004</v>
      </c>
      <c r="AG665" t="s">
        <v>59</v>
      </c>
      <c r="AH665">
        <v>144527</v>
      </c>
      <c r="AI665" t="s">
        <v>60</v>
      </c>
      <c r="AJ665" t="s">
        <v>60</v>
      </c>
      <c r="AK665" t="s">
        <v>54</v>
      </c>
      <c r="AL665">
        <v>2024</v>
      </c>
      <c r="AM665" s="6" t="s">
        <v>801</v>
      </c>
      <c r="AN665" s="7">
        <v>206.39</v>
      </c>
      <c r="AO665" s="8">
        <f t="shared" si="30"/>
        <v>386.98124999999999</v>
      </c>
      <c r="AP665" s="8">
        <f t="shared" si="31"/>
        <v>429.93616874999998</v>
      </c>
      <c r="AQ665" s="9">
        <f t="shared" si="32"/>
        <v>626.8709268749999</v>
      </c>
    </row>
    <row r="666" spans="1:43" x14ac:dyDescent="0.25">
      <c r="A666">
        <v>28</v>
      </c>
      <c r="B666">
        <v>8</v>
      </c>
      <c r="C666">
        <v>2024</v>
      </c>
      <c r="D666" t="s">
        <v>43</v>
      </c>
      <c r="E666" t="s">
        <v>91</v>
      </c>
      <c r="F666" t="s">
        <v>92</v>
      </c>
      <c r="G666">
        <v>35</v>
      </c>
      <c r="H666">
        <v>1791882490001</v>
      </c>
      <c r="I666" t="s">
        <v>46</v>
      </c>
      <c r="J666" t="s">
        <v>48</v>
      </c>
      <c r="K666" t="s">
        <v>48</v>
      </c>
      <c r="L666" t="s">
        <v>49</v>
      </c>
      <c r="M666" t="s">
        <v>50</v>
      </c>
      <c r="N666" t="s">
        <v>51</v>
      </c>
      <c r="O666">
        <v>8481909090</v>
      </c>
      <c r="P666" t="s">
        <v>103</v>
      </c>
      <c r="Q666" t="s">
        <v>776</v>
      </c>
      <c r="R666" t="s">
        <v>54</v>
      </c>
      <c r="S666" t="s">
        <v>55</v>
      </c>
      <c r="T666">
        <v>8</v>
      </c>
      <c r="U666">
        <v>3</v>
      </c>
      <c r="V666" t="s">
        <v>135</v>
      </c>
      <c r="W666">
        <v>0</v>
      </c>
      <c r="X666">
        <v>617.80999999999995</v>
      </c>
      <c r="Y666">
        <v>68.260000000000005</v>
      </c>
      <c r="Z666">
        <v>4.16</v>
      </c>
      <c r="AA666">
        <v>690.22</v>
      </c>
      <c r="AB666" t="s">
        <v>57</v>
      </c>
      <c r="AC666" t="s">
        <v>94</v>
      </c>
      <c r="AD666" t="s">
        <v>48</v>
      </c>
      <c r="AE666">
        <v>0</v>
      </c>
      <c r="AF666">
        <v>7.11</v>
      </c>
      <c r="AG666" t="s">
        <v>59</v>
      </c>
      <c r="AH666">
        <v>150511</v>
      </c>
      <c r="AI666" t="s">
        <v>60</v>
      </c>
      <c r="AJ666" t="s">
        <v>60</v>
      </c>
      <c r="AK666" t="s">
        <v>54</v>
      </c>
      <c r="AL666">
        <v>2024</v>
      </c>
      <c r="AM666" s="6" t="s">
        <v>801</v>
      </c>
      <c r="AN666" s="7">
        <v>205.94</v>
      </c>
      <c r="AO666" s="8">
        <f t="shared" ref="AO666:AO729" si="33">SUM(AN666)*1.875</f>
        <v>386.13749999999999</v>
      </c>
      <c r="AP666" s="8">
        <f t="shared" ref="AP666:AP729" si="34">SUM(AO666)*1.111</f>
        <v>428.9987625</v>
      </c>
      <c r="AQ666" s="9">
        <f t="shared" si="32"/>
        <v>625.50413624999999</v>
      </c>
    </row>
    <row r="667" spans="1:43" x14ac:dyDescent="0.25">
      <c r="A667">
        <v>15</v>
      </c>
      <c r="B667">
        <v>4</v>
      </c>
      <c r="C667">
        <v>2024</v>
      </c>
      <c r="D667" t="s">
        <v>43</v>
      </c>
      <c r="E667" t="s">
        <v>63</v>
      </c>
      <c r="F667" t="s">
        <v>64</v>
      </c>
      <c r="G667">
        <v>47</v>
      </c>
      <c r="H667">
        <v>1791882490001</v>
      </c>
      <c r="I667" t="s">
        <v>46</v>
      </c>
      <c r="J667" t="s">
        <v>48</v>
      </c>
      <c r="K667" t="s">
        <v>48</v>
      </c>
      <c r="L667" t="s">
        <v>49</v>
      </c>
      <c r="M667" t="s">
        <v>50</v>
      </c>
      <c r="N667" t="s">
        <v>51</v>
      </c>
      <c r="O667">
        <v>8482500000</v>
      </c>
      <c r="P667" t="s">
        <v>454</v>
      </c>
      <c r="Q667" t="s">
        <v>455</v>
      </c>
      <c r="R667" t="s">
        <v>54</v>
      </c>
      <c r="S667" t="s">
        <v>55</v>
      </c>
      <c r="T667">
        <v>6</v>
      </c>
      <c r="U667">
        <v>1</v>
      </c>
      <c r="V667" t="s">
        <v>135</v>
      </c>
      <c r="W667">
        <v>0</v>
      </c>
      <c r="X667">
        <v>682.03</v>
      </c>
      <c r="Y667">
        <v>71.790000000000006</v>
      </c>
      <c r="Z667">
        <v>4.58</v>
      </c>
      <c r="AA667">
        <v>758.4</v>
      </c>
      <c r="AB667" t="s">
        <v>57</v>
      </c>
      <c r="AC667" t="s">
        <v>58</v>
      </c>
      <c r="AD667" t="s">
        <v>48</v>
      </c>
      <c r="AE667">
        <v>0</v>
      </c>
      <c r="AF667">
        <v>6.54</v>
      </c>
      <c r="AG667" t="s">
        <v>59</v>
      </c>
      <c r="AH667">
        <v>443965</v>
      </c>
      <c r="AI667" t="s">
        <v>60</v>
      </c>
      <c r="AJ667" t="s">
        <v>60</v>
      </c>
      <c r="AK667" t="s">
        <v>54</v>
      </c>
      <c r="AL667">
        <v>2024</v>
      </c>
      <c r="AM667" s="6" t="s">
        <v>802</v>
      </c>
      <c r="AN667" s="7">
        <v>682.03</v>
      </c>
      <c r="AO667" s="8">
        <f t="shared" si="33"/>
        <v>1278.8062499999999</v>
      </c>
      <c r="AP667" s="8">
        <f t="shared" si="34"/>
        <v>1420.7537437499998</v>
      </c>
      <c r="AQ667" s="9">
        <f t="shared" si="32"/>
        <v>2071.5382443749995</v>
      </c>
    </row>
    <row r="668" spans="1:43" x14ac:dyDescent="0.25">
      <c r="A668">
        <v>12</v>
      </c>
      <c r="B668">
        <v>6</v>
      </c>
      <c r="C668">
        <v>2024</v>
      </c>
      <c r="D668" t="s">
        <v>43</v>
      </c>
      <c r="E668" t="s">
        <v>96</v>
      </c>
      <c r="F668" t="s">
        <v>97</v>
      </c>
      <c r="G668">
        <v>37</v>
      </c>
      <c r="H668">
        <v>1791882490001</v>
      </c>
      <c r="I668" t="s">
        <v>46</v>
      </c>
      <c r="J668" t="s">
        <v>48</v>
      </c>
      <c r="K668" t="s">
        <v>48</v>
      </c>
      <c r="L668" t="s">
        <v>49</v>
      </c>
      <c r="M668" t="s">
        <v>50</v>
      </c>
      <c r="N668" t="s">
        <v>51</v>
      </c>
      <c r="O668">
        <v>8482500000</v>
      </c>
      <c r="P668" t="s">
        <v>454</v>
      </c>
      <c r="Q668" t="s">
        <v>723</v>
      </c>
      <c r="R668" t="s">
        <v>54</v>
      </c>
      <c r="S668" t="s">
        <v>55</v>
      </c>
      <c r="T668">
        <v>7</v>
      </c>
      <c r="U668">
        <v>1</v>
      </c>
      <c r="V668" t="s">
        <v>135</v>
      </c>
      <c r="W668">
        <v>0</v>
      </c>
      <c r="X668">
        <v>687.83</v>
      </c>
      <c r="Y668">
        <v>59.65</v>
      </c>
      <c r="Z668">
        <v>4.63</v>
      </c>
      <c r="AA668">
        <v>752.11</v>
      </c>
      <c r="AB668" t="s">
        <v>57</v>
      </c>
      <c r="AC668" t="s">
        <v>94</v>
      </c>
      <c r="AD668" t="s">
        <v>48</v>
      </c>
      <c r="AE668">
        <v>0</v>
      </c>
      <c r="AF668">
        <v>1.8</v>
      </c>
      <c r="AG668" t="s">
        <v>59</v>
      </c>
      <c r="AH668" t="s">
        <v>98</v>
      </c>
      <c r="AI668" t="s">
        <v>60</v>
      </c>
      <c r="AJ668" t="s">
        <v>60</v>
      </c>
      <c r="AK668" t="s">
        <v>54</v>
      </c>
      <c r="AL668">
        <v>2024</v>
      </c>
      <c r="AM668" s="6" t="s">
        <v>802</v>
      </c>
      <c r="AN668" s="7">
        <v>687.83</v>
      </c>
      <c r="AO668" s="8">
        <f t="shared" si="33"/>
        <v>1289.6812500000001</v>
      </c>
      <c r="AP668" s="8">
        <f t="shared" si="34"/>
        <v>1432.8358687500001</v>
      </c>
      <c r="AQ668" s="9">
        <f t="shared" si="32"/>
        <v>2089.154656875</v>
      </c>
    </row>
    <row r="669" spans="1:43" x14ac:dyDescent="0.25">
      <c r="A669">
        <v>8</v>
      </c>
      <c r="B669">
        <v>7</v>
      </c>
      <c r="C669">
        <v>2024</v>
      </c>
      <c r="D669" t="s">
        <v>43</v>
      </c>
      <c r="E669" t="s">
        <v>75</v>
      </c>
      <c r="F669" t="s">
        <v>76</v>
      </c>
      <c r="G669">
        <v>48</v>
      </c>
      <c r="H669">
        <v>1791882490001</v>
      </c>
      <c r="I669" t="s">
        <v>46</v>
      </c>
      <c r="J669" t="s">
        <v>48</v>
      </c>
      <c r="K669" t="s">
        <v>48</v>
      </c>
      <c r="L669" t="s">
        <v>49</v>
      </c>
      <c r="M669" t="s">
        <v>50</v>
      </c>
      <c r="N669" t="s">
        <v>51</v>
      </c>
      <c r="O669">
        <v>8482500000</v>
      </c>
      <c r="P669" t="s">
        <v>454</v>
      </c>
      <c r="Q669" t="s">
        <v>803</v>
      </c>
      <c r="R669" t="s">
        <v>54</v>
      </c>
      <c r="S669" t="s">
        <v>55</v>
      </c>
      <c r="T669">
        <v>8</v>
      </c>
      <c r="U669">
        <v>2</v>
      </c>
      <c r="V669" t="s">
        <v>135</v>
      </c>
      <c r="W669">
        <v>0</v>
      </c>
      <c r="X669">
        <v>1416.09</v>
      </c>
      <c r="Y669">
        <v>120.95</v>
      </c>
      <c r="Z669">
        <v>9.2100000000000009</v>
      </c>
      <c r="AA669">
        <v>1546.25</v>
      </c>
      <c r="AB669" t="s">
        <v>57</v>
      </c>
      <c r="AC669" t="s">
        <v>77</v>
      </c>
      <c r="AD669" t="s">
        <v>48</v>
      </c>
      <c r="AE669">
        <v>0</v>
      </c>
      <c r="AF669">
        <v>9.3699999999999992</v>
      </c>
      <c r="AG669" t="s">
        <v>59</v>
      </c>
      <c r="AH669">
        <v>107711</v>
      </c>
      <c r="AI669" t="s">
        <v>60</v>
      </c>
      <c r="AJ669" t="s">
        <v>78</v>
      </c>
      <c r="AK669" t="s">
        <v>54</v>
      </c>
      <c r="AL669">
        <v>2024</v>
      </c>
      <c r="AM669" s="6" t="s">
        <v>802</v>
      </c>
      <c r="AN669" s="7">
        <v>708.05</v>
      </c>
      <c r="AO669" s="8">
        <f t="shared" si="33"/>
        <v>1327.59375</v>
      </c>
      <c r="AP669" s="8">
        <f t="shared" si="34"/>
        <v>1474.9566562499999</v>
      </c>
      <c r="AQ669" s="9">
        <f t="shared" si="32"/>
        <v>2150.569115625</v>
      </c>
    </row>
    <row r="670" spans="1:43" x14ac:dyDescent="0.25">
      <c r="A670">
        <v>8</v>
      </c>
      <c r="B670">
        <v>7</v>
      </c>
      <c r="C670">
        <v>2024</v>
      </c>
      <c r="D670" t="s">
        <v>43</v>
      </c>
      <c r="E670" t="s">
        <v>75</v>
      </c>
      <c r="F670" t="s">
        <v>76</v>
      </c>
      <c r="G670">
        <v>48</v>
      </c>
      <c r="H670">
        <v>1791882490001</v>
      </c>
      <c r="I670" t="s">
        <v>46</v>
      </c>
      <c r="J670" t="s">
        <v>48</v>
      </c>
      <c r="K670" t="s">
        <v>48</v>
      </c>
      <c r="L670" t="s">
        <v>49</v>
      </c>
      <c r="M670" t="s">
        <v>50</v>
      </c>
      <c r="N670" t="s">
        <v>51</v>
      </c>
      <c r="O670">
        <v>8482500000</v>
      </c>
      <c r="P670" t="s">
        <v>454</v>
      </c>
      <c r="Q670" t="s">
        <v>803</v>
      </c>
      <c r="R670" t="s">
        <v>54</v>
      </c>
      <c r="S670" t="s">
        <v>55</v>
      </c>
      <c r="T670">
        <v>8</v>
      </c>
      <c r="U670">
        <v>2</v>
      </c>
      <c r="V670" t="s">
        <v>135</v>
      </c>
      <c r="W670">
        <v>0</v>
      </c>
      <c r="X670">
        <v>1416.09</v>
      </c>
      <c r="Y670">
        <v>120.95</v>
      </c>
      <c r="Z670">
        <v>9.2100000000000009</v>
      </c>
      <c r="AA670">
        <v>1546.25</v>
      </c>
      <c r="AB670" t="s">
        <v>57</v>
      </c>
      <c r="AC670" t="s">
        <v>77</v>
      </c>
      <c r="AD670" t="s">
        <v>48</v>
      </c>
      <c r="AE670">
        <v>0</v>
      </c>
      <c r="AF670">
        <v>9.3699999999999992</v>
      </c>
      <c r="AG670" t="s">
        <v>59</v>
      </c>
      <c r="AH670">
        <v>107711</v>
      </c>
      <c r="AI670" t="s">
        <v>60</v>
      </c>
      <c r="AJ670" t="s">
        <v>78</v>
      </c>
      <c r="AK670" t="s">
        <v>54</v>
      </c>
      <c r="AL670">
        <v>2024</v>
      </c>
      <c r="AM670" s="6" t="s">
        <v>802</v>
      </c>
      <c r="AN670" s="7">
        <v>708.05</v>
      </c>
      <c r="AO670" s="8">
        <f t="shared" si="33"/>
        <v>1327.59375</v>
      </c>
      <c r="AP670" s="8">
        <f t="shared" si="34"/>
        <v>1474.9566562499999</v>
      </c>
      <c r="AQ670" s="9">
        <f t="shared" si="32"/>
        <v>2150.569115625</v>
      </c>
    </row>
    <row r="671" spans="1:43" x14ac:dyDescent="0.25">
      <c r="A671">
        <v>1</v>
      </c>
      <c r="B671">
        <v>2</v>
      </c>
      <c r="C671">
        <v>2024</v>
      </c>
      <c r="D671" t="s">
        <v>43</v>
      </c>
      <c r="E671" t="s">
        <v>174</v>
      </c>
      <c r="F671" t="s">
        <v>175</v>
      </c>
      <c r="G671">
        <v>28</v>
      </c>
      <c r="H671">
        <v>1791882490001</v>
      </c>
      <c r="I671" t="s">
        <v>46</v>
      </c>
      <c r="J671" t="s">
        <v>65</v>
      </c>
      <c r="K671" t="s">
        <v>48</v>
      </c>
      <c r="L671" t="s">
        <v>49</v>
      </c>
      <c r="M671" t="s">
        <v>50</v>
      </c>
      <c r="N671" t="s">
        <v>51</v>
      </c>
      <c r="O671">
        <v>8421999000</v>
      </c>
      <c r="P671" t="s">
        <v>66</v>
      </c>
      <c r="Q671" t="s">
        <v>477</v>
      </c>
      <c r="R671" t="s">
        <v>54</v>
      </c>
      <c r="S671" t="s">
        <v>55</v>
      </c>
      <c r="T671">
        <v>5</v>
      </c>
      <c r="U671">
        <v>3</v>
      </c>
      <c r="V671" t="s">
        <v>135</v>
      </c>
      <c r="W671">
        <v>0</v>
      </c>
      <c r="X671">
        <v>596.20000000000005</v>
      </c>
      <c r="Y671">
        <v>44.32</v>
      </c>
      <c r="Z671">
        <v>3.56</v>
      </c>
      <c r="AA671">
        <v>644.09</v>
      </c>
      <c r="AB671" t="s">
        <v>54</v>
      </c>
      <c r="AC671" t="s">
        <v>94</v>
      </c>
      <c r="AD671" t="s">
        <v>48</v>
      </c>
      <c r="AE671">
        <v>0</v>
      </c>
      <c r="AF671">
        <v>5.95</v>
      </c>
      <c r="AG671" t="s">
        <v>59</v>
      </c>
      <c r="AH671">
        <v>863266</v>
      </c>
      <c r="AI671" t="s">
        <v>60</v>
      </c>
      <c r="AJ671" t="s">
        <v>60</v>
      </c>
      <c r="AK671" t="s">
        <v>54</v>
      </c>
      <c r="AL671">
        <v>2023</v>
      </c>
      <c r="AM671" s="6" t="s">
        <v>804</v>
      </c>
      <c r="AN671" s="7">
        <v>198.73</v>
      </c>
      <c r="AO671" s="8">
        <f t="shared" si="33"/>
        <v>372.61874999999998</v>
      </c>
      <c r="AP671" s="8">
        <f t="shared" si="34"/>
        <v>413.97943124999995</v>
      </c>
      <c r="AQ671" s="9">
        <f t="shared" si="32"/>
        <v>603.60511312499989</v>
      </c>
    </row>
    <row r="672" spans="1:43" x14ac:dyDescent="0.25">
      <c r="A672">
        <v>19</v>
      </c>
      <c r="B672">
        <v>8</v>
      </c>
      <c r="C672">
        <v>2024</v>
      </c>
      <c r="D672" t="s">
        <v>43</v>
      </c>
      <c r="E672" t="s">
        <v>84</v>
      </c>
      <c r="F672" t="s">
        <v>85</v>
      </c>
      <c r="G672">
        <v>36</v>
      </c>
      <c r="H672">
        <v>1791882490001</v>
      </c>
      <c r="I672" t="s">
        <v>46</v>
      </c>
      <c r="J672" t="s">
        <v>65</v>
      </c>
      <c r="K672" t="s">
        <v>48</v>
      </c>
      <c r="L672" t="s">
        <v>49</v>
      </c>
      <c r="M672" t="s">
        <v>50</v>
      </c>
      <c r="N672" t="s">
        <v>51</v>
      </c>
      <c r="O672">
        <v>8421999000</v>
      </c>
      <c r="P672" t="s">
        <v>66</v>
      </c>
      <c r="Q672" t="s">
        <v>477</v>
      </c>
      <c r="R672" t="s">
        <v>54</v>
      </c>
      <c r="S672" t="s">
        <v>55</v>
      </c>
      <c r="T672">
        <v>6</v>
      </c>
      <c r="U672">
        <v>4</v>
      </c>
      <c r="V672" t="s">
        <v>135</v>
      </c>
      <c r="W672">
        <v>0</v>
      </c>
      <c r="X672">
        <v>895.86</v>
      </c>
      <c r="Y672">
        <v>115.59</v>
      </c>
      <c r="Z672">
        <v>6.13</v>
      </c>
      <c r="AA672">
        <v>1017.58</v>
      </c>
      <c r="AB672" t="s">
        <v>57</v>
      </c>
      <c r="AC672" t="s">
        <v>58</v>
      </c>
      <c r="AD672" t="s">
        <v>48</v>
      </c>
      <c r="AE672">
        <v>0</v>
      </c>
      <c r="AF672">
        <v>5.58</v>
      </c>
      <c r="AG672" t="s">
        <v>59</v>
      </c>
      <c r="AH672">
        <v>144527</v>
      </c>
      <c r="AI672" t="s">
        <v>60</v>
      </c>
      <c r="AJ672" t="s">
        <v>60</v>
      </c>
      <c r="AK672" t="s">
        <v>54</v>
      </c>
      <c r="AL672">
        <v>2024</v>
      </c>
      <c r="AM672" s="6" t="s">
        <v>804</v>
      </c>
      <c r="AN672" s="7">
        <v>223.96</v>
      </c>
      <c r="AO672" s="8">
        <f t="shared" si="33"/>
        <v>419.92500000000001</v>
      </c>
      <c r="AP672" s="8">
        <f t="shared" si="34"/>
        <v>466.536675</v>
      </c>
      <c r="AQ672" s="9">
        <f t="shared" si="32"/>
        <v>680.23650750000002</v>
      </c>
    </row>
    <row r="673" spans="1:43" x14ac:dyDescent="0.25">
      <c r="A673">
        <v>28</v>
      </c>
      <c r="B673">
        <v>8</v>
      </c>
      <c r="C673">
        <v>2024</v>
      </c>
      <c r="D673" t="s">
        <v>43</v>
      </c>
      <c r="E673" t="s">
        <v>91</v>
      </c>
      <c r="F673" t="s">
        <v>92</v>
      </c>
      <c r="G673">
        <v>36</v>
      </c>
      <c r="H673">
        <v>1791882490001</v>
      </c>
      <c r="I673" t="s">
        <v>46</v>
      </c>
      <c r="J673" t="s">
        <v>65</v>
      </c>
      <c r="K673" t="s">
        <v>48</v>
      </c>
      <c r="L673" t="s">
        <v>49</v>
      </c>
      <c r="M673" t="s">
        <v>50</v>
      </c>
      <c r="N673" t="s">
        <v>51</v>
      </c>
      <c r="O673">
        <v>8421999000</v>
      </c>
      <c r="P673" t="s">
        <v>66</v>
      </c>
      <c r="Q673" t="s">
        <v>477</v>
      </c>
      <c r="R673" t="s">
        <v>54</v>
      </c>
      <c r="S673" t="s">
        <v>55</v>
      </c>
      <c r="T673">
        <v>8</v>
      </c>
      <c r="U673">
        <v>4</v>
      </c>
      <c r="V673" t="s">
        <v>135</v>
      </c>
      <c r="W673">
        <v>0</v>
      </c>
      <c r="X673">
        <v>893.88</v>
      </c>
      <c r="Y673">
        <v>98.76</v>
      </c>
      <c r="Z673">
        <v>6.01</v>
      </c>
      <c r="AA673">
        <v>998.65</v>
      </c>
      <c r="AB673" t="s">
        <v>57</v>
      </c>
      <c r="AC673" t="s">
        <v>94</v>
      </c>
      <c r="AD673" t="s">
        <v>48</v>
      </c>
      <c r="AE673">
        <v>0</v>
      </c>
      <c r="AF673">
        <v>10.29</v>
      </c>
      <c r="AG673" t="s">
        <v>59</v>
      </c>
      <c r="AH673">
        <v>150511</v>
      </c>
      <c r="AI673" t="s">
        <v>60</v>
      </c>
      <c r="AJ673" t="s">
        <v>60</v>
      </c>
      <c r="AK673" t="s">
        <v>54</v>
      </c>
      <c r="AL673">
        <v>2024</v>
      </c>
      <c r="AM673" s="6" t="s">
        <v>804</v>
      </c>
      <c r="AN673" s="7">
        <v>223.47</v>
      </c>
      <c r="AO673" s="8">
        <f t="shared" si="33"/>
        <v>419.00625000000002</v>
      </c>
      <c r="AP673" s="8">
        <f t="shared" si="34"/>
        <v>465.51594375000002</v>
      </c>
      <c r="AQ673" s="9">
        <f t="shared" si="32"/>
        <v>678.74822437499995</v>
      </c>
    </row>
    <row r="674" spans="1:43" x14ac:dyDescent="0.25">
      <c r="A674">
        <v>10</v>
      </c>
      <c r="B674">
        <v>10</v>
      </c>
      <c r="C674">
        <v>2024</v>
      </c>
      <c r="D674" t="s">
        <v>43</v>
      </c>
      <c r="E674" t="s">
        <v>44</v>
      </c>
      <c r="F674" t="s">
        <v>45</v>
      </c>
      <c r="G674">
        <v>47</v>
      </c>
      <c r="H674">
        <v>1791882490001</v>
      </c>
      <c r="I674" t="s">
        <v>46</v>
      </c>
      <c r="J674" t="s">
        <v>65</v>
      </c>
      <c r="K674" t="s">
        <v>48</v>
      </c>
      <c r="L674" t="s">
        <v>49</v>
      </c>
      <c r="M674" t="s">
        <v>50</v>
      </c>
      <c r="N674" t="s">
        <v>51</v>
      </c>
      <c r="O674">
        <v>8421999000</v>
      </c>
      <c r="P674" t="s">
        <v>52</v>
      </c>
      <c r="Q674" t="s">
        <v>477</v>
      </c>
      <c r="R674" t="s">
        <v>54</v>
      </c>
      <c r="S674" t="s">
        <v>55</v>
      </c>
      <c r="T674">
        <v>7</v>
      </c>
      <c r="U674">
        <v>2</v>
      </c>
      <c r="V674" t="s">
        <v>135</v>
      </c>
      <c r="W674">
        <v>0</v>
      </c>
      <c r="X674">
        <v>452.75</v>
      </c>
      <c r="Y674">
        <v>79.11</v>
      </c>
      <c r="Z674">
        <v>3.26</v>
      </c>
      <c r="AA674">
        <v>535.12</v>
      </c>
      <c r="AB674" t="s">
        <v>57</v>
      </c>
      <c r="AC674" t="s">
        <v>58</v>
      </c>
      <c r="AD674" t="s">
        <v>48</v>
      </c>
      <c r="AE674">
        <v>0</v>
      </c>
      <c r="AF674">
        <v>4.8899999999999997</v>
      </c>
      <c r="AG674" t="s">
        <v>59</v>
      </c>
      <c r="AH674">
        <v>179772</v>
      </c>
      <c r="AI674" t="s">
        <v>60</v>
      </c>
      <c r="AJ674" t="s">
        <v>60</v>
      </c>
      <c r="AK674" t="s">
        <v>54</v>
      </c>
      <c r="AL674">
        <v>2024</v>
      </c>
      <c r="AM674" s="6" t="s">
        <v>804</v>
      </c>
      <c r="AN674" s="7">
        <v>226.38</v>
      </c>
      <c r="AO674" s="8">
        <f t="shared" si="33"/>
        <v>424.46249999999998</v>
      </c>
      <c r="AP674" s="8">
        <f t="shared" si="34"/>
        <v>471.57783749999999</v>
      </c>
      <c r="AQ674" s="9">
        <f t="shared" si="32"/>
        <v>687.58680374999994</v>
      </c>
    </row>
    <row r="675" spans="1:43" x14ac:dyDescent="0.25">
      <c r="A675">
        <v>15</v>
      </c>
      <c r="B675">
        <v>4</v>
      </c>
      <c r="C675">
        <v>2024</v>
      </c>
      <c r="D675" t="s">
        <v>43</v>
      </c>
      <c r="E675" t="s">
        <v>63</v>
      </c>
      <c r="F675" t="s">
        <v>64</v>
      </c>
      <c r="G675">
        <v>48</v>
      </c>
      <c r="H675">
        <v>1791882490001</v>
      </c>
      <c r="I675" t="s">
        <v>46</v>
      </c>
      <c r="J675" t="s">
        <v>65</v>
      </c>
      <c r="K675" t="s">
        <v>48</v>
      </c>
      <c r="L675" t="s">
        <v>49</v>
      </c>
      <c r="M675" t="s">
        <v>50</v>
      </c>
      <c r="N675" t="s">
        <v>51</v>
      </c>
      <c r="O675">
        <v>8421999000</v>
      </c>
      <c r="P675" t="s">
        <v>66</v>
      </c>
      <c r="Q675" t="s">
        <v>477</v>
      </c>
      <c r="R675" t="s">
        <v>54</v>
      </c>
      <c r="S675" t="s">
        <v>55</v>
      </c>
      <c r="T675">
        <v>6</v>
      </c>
      <c r="U675">
        <v>3</v>
      </c>
      <c r="V675" t="s">
        <v>135</v>
      </c>
      <c r="W675">
        <v>0</v>
      </c>
      <c r="X675">
        <v>448.13</v>
      </c>
      <c r="Y675">
        <v>47.17</v>
      </c>
      <c r="Z675">
        <v>3.01</v>
      </c>
      <c r="AA675">
        <v>498.31</v>
      </c>
      <c r="AB675" t="s">
        <v>57</v>
      </c>
      <c r="AC675" t="s">
        <v>58</v>
      </c>
      <c r="AD675" t="s">
        <v>48</v>
      </c>
      <c r="AE675">
        <v>0</v>
      </c>
      <c r="AF675">
        <v>4.29</v>
      </c>
      <c r="AG675" t="s">
        <v>59</v>
      </c>
      <c r="AH675">
        <v>443965</v>
      </c>
      <c r="AI675" t="s">
        <v>60</v>
      </c>
      <c r="AJ675" t="s">
        <v>60</v>
      </c>
      <c r="AK675" t="s">
        <v>54</v>
      </c>
      <c r="AL675">
        <v>2024</v>
      </c>
      <c r="AM675" s="6" t="s">
        <v>805</v>
      </c>
      <c r="AN675" s="7">
        <v>149.38</v>
      </c>
      <c r="AO675" s="8">
        <f t="shared" si="33"/>
        <v>280.08749999999998</v>
      </c>
      <c r="AP675" s="8">
        <f t="shared" si="34"/>
        <v>311.1772125</v>
      </c>
      <c r="AQ675" s="9">
        <f t="shared" si="32"/>
        <v>453.71374124999994</v>
      </c>
    </row>
    <row r="676" spans="1:43" x14ac:dyDescent="0.25">
      <c r="A676">
        <v>28</v>
      </c>
      <c r="B676">
        <v>8</v>
      </c>
      <c r="C676">
        <v>2024</v>
      </c>
      <c r="D676" t="s">
        <v>43</v>
      </c>
      <c r="E676" t="s">
        <v>91</v>
      </c>
      <c r="F676" t="s">
        <v>92</v>
      </c>
      <c r="G676">
        <v>37</v>
      </c>
      <c r="H676">
        <v>1791882490001</v>
      </c>
      <c r="I676" t="s">
        <v>46</v>
      </c>
      <c r="J676" t="s">
        <v>65</v>
      </c>
      <c r="K676" t="s">
        <v>48</v>
      </c>
      <c r="L676" t="s">
        <v>49</v>
      </c>
      <c r="M676" t="s">
        <v>50</v>
      </c>
      <c r="N676" t="s">
        <v>51</v>
      </c>
      <c r="O676">
        <v>8421999000</v>
      </c>
      <c r="P676" t="s">
        <v>66</v>
      </c>
      <c r="Q676" t="s">
        <v>477</v>
      </c>
      <c r="R676" t="s">
        <v>54</v>
      </c>
      <c r="S676" t="s">
        <v>55</v>
      </c>
      <c r="T676">
        <v>8</v>
      </c>
      <c r="U676">
        <v>3</v>
      </c>
      <c r="V676" t="s">
        <v>135</v>
      </c>
      <c r="W676">
        <v>0</v>
      </c>
      <c r="X676">
        <v>447.03</v>
      </c>
      <c r="Y676">
        <v>49.39</v>
      </c>
      <c r="Z676">
        <v>3.01</v>
      </c>
      <c r="AA676">
        <v>499.43</v>
      </c>
      <c r="AB676" t="s">
        <v>57</v>
      </c>
      <c r="AC676" t="s">
        <v>94</v>
      </c>
      <c r="AD676" t="s">
        <v>48</v>
      </c>
      <c r="AE676">
        <v>0</v>
      </c>
      <c r="AF676">
        <v>5.14</v>
      </c>
      <c r="AG676" t="s">
        <v>59</v>
      </c>
      <c r="AH676">
        <v>150511</v>
      </c>
      <c r="AI676" t="s">
        <v>60</v>
      </c>
      <c r="AJ676" t="s">
        <v>60</v>
      </c>
      <c r="AK676" t="s">
        <v>54</v>
      </c>
      <c r="AL676">
        <v>2024</v>
      </c>
      <c r="AM676" s="6" t="s">
        <v>805</v>
      </c>
      <c r="AN676" s="7">
        <v>149.01</v>
      </c>
      <c r="AO676" s="8">
        <f t="shared" si="33"/>
        <v>279.39374999999995</v>
      </c>
      <c r="AP676" s="8">
        <f t="shared" si="34"/>
        <v>310.40645624999996</v>
      </c>
      <c r="AQ676" s="9">
        <f t="shared" si="32"/>
        <v>452.5899356249999</v>
      </c>
    </row>
    <row r="677" spans="1:43" x14ac:dyDescent="0.25">
      <c r="A677">
        <v>16</v>
      </c>
      <c r="B677">
        <v>12</v>
      </c>
      <c r="C677">
        <v>2024</v>
      </c>
      <c r="D677" t="s">
        <v>43</v>
      </c>
      <c r="E677" t="s">
        <v>128</v>
      </c>
      <c r="F677" t="s">
        <v>129</v>
      </c>
      <c r="G677">
        <v>48</v>
      </c>
      <c r="H677">
        <v>1791882490001</v>
      </c>
      <c r="I677" t="s">
        <v>46</v>
      </c>
      <c r="J677" t="s">
        <v>65</v>
      </c>
      <c r="K677" t="s">
        <v>48</v>
      </c>
      <c r="L677" t="s">
        <v>49</v>
      </c>
      <c r="M677" t="s">
        <v>50</v>
      </c>
      <c r="N677" t="s">
        <v>51</v>
      </c>
      <c r="O677">
        <v>8421999000</v>
      </c>
      <c r="P677" t="s">
        <v>52</v>
      </c>
      <c r="Q677" t="s">
        <v>477</v>
      </c>
      <c r="R677" t="s">
        <v>54</v>
      </c>
      <c r="S677" t="s">
        <v>55</v>
      </c>
      <c r="T677">
        <v>9</v>
      </c>
      <c r="U677">
        <v>3</v>
      </c>
      <c r="V677" t="s">
        <v>135</v>
      </c>
      <c r="W677">
        <v>0</v>
      </c>
      <c r="X677">
        <v>452.64</v>
      </c>
      <c r="Y677">
        <v>59.28</v>
      </c>
      <c r="Z677">
        <v>3.1</v>
      </c>
      <c r="AA677">
        <v>515.03</v>
      </c>
      <c r="AB677" t="s">
        <v>57</v>
      </c>
      <c r="AC677" t="s">
        <v>131</v>
      </c>
      <c r="AD677" t="s">
        <v>48</v>
      </c>
      <c r="AE677">
        <v>0</v>
      </c>
      <c r="AF677">
        <v>5.97</v>
      </c>
      <c r="AG677" t="s">
        <v>59</v>
      </c>
      <c r="AH677">
        <v>325395</v>
      </c>
      <c r="AI677" t="s">
        <v>60</v>
      </c>
      <c r="AJ677" t="s">
        <v>78</v>
      </c>
      <c r="AK677" t="s">
        <v>54</v>
      </c>
      <c r="AL677">
        <v>2024</v>
      </c>
      <c r="AM677" s="6" t="s">
        <v>805</v>
      </c>
      <c r="AN677" s="7">
        <v>150.88</v>
      </c>
      <c r="AO677" s="8">
        <f t="shared" si="33"/>
        <v>282.89999999999998</v>
      </c>
      <c r="AP677" s="8">
        <f t="shared" si="34"/>
        <v>314.30189999999999</v>
      </c>
      <c r="AQ677" s="9">
        <f t="shared" si="32"/>
        <v>458.26970999999992</v>
      </c>
    </row>
    <row r="678" spans="1:43" x14ac:dyDescent="0.25">
      <c r="A678">
        <v>8</v>
      </c>
      <c r="B678">
        <v>7</v>
      </c>
      <c r="C678">
        <v>2024</v>
      </c>
      <c r="D678" t="s">
        <v>43</v>
      </c>
      <c r="E678" t="s">
        <v>75</v>
      </c>
      <c r="F678" t="s">
        <v>76</v>
      </c>
      <c r="G678">
        <v>49</v>
      </c>
      <c r="H678">
        <v>1791882490001</v>
      </c>
      <c r="I678" t="s">
        <v>46</v>
      </c>
      <c r="J678" t="s">
        <v>65</v>
      </c>
      <c r="K678" t="s">
        <v>48</v>
      </c>
      <c r="L678" t="s">
        <v>49</v>
      </c>
      <c r="M678" t="s">
        <v>50</v>
      </c>
      <c r="N678" t="s">
        <v>51</v>
      </c>
      <c r="O678">
        <v>8421999000</v>
      </c>
      <c r="P678" t="s">
        <v>66</v>
      </c>
      <c r="Q678" t="s">
        <v>477</v>
      </c>
      <c r="R678" t="s">
        <v>54</v>
      </c>
      <c r="S678" t="s">
        <v>55</v>
      </c>
      <c r="T678">
        <v>8</v>
      </c>
      <c r="U678">
        <v>1</v>
      </c>
      <c r="V678" t="s">
        <v>135</v>
      </c>
      <c r="W678">
        <v>0</v>
      </c>
      <c r="X678">
        <v>181.76</v>
      </c>
      <c r="Y678">
        <v>15.52</v>
      </c>
      <c r="Z678">
        <v>1.18</v>
      </c>
      <c r="AA678">
        <v>198.46</v>
      </c>
      <c r="AB678" t="s">
        <v>57</v>
      </c>
      <c r="AC678" t="s">
        <v>77</v>
      </c>
      <c r="AD678" t="s">
        <v>48</v>
      </c>
      <c r="AE678">
        <v>0</v>
      </c>
      <c r="AF678">
        <v>1.2</v>
      </c>
      <c r="AG678" t="s">
        <v>59</v>
      </c>
      <c r="AH678">
        <v>107711</v>
      </c>
      <c r="AI678" t="s">
        <v>60</v>
      </c>
      <c r="AJ678" t="s">
        <v>78</v>
      </c>
      <c r="AK678" t="s">
        <v>54</v>
      </c>
      <c r="AL678">
        <v>2024</v>
      </c>
      <c r="AM678" s="6" t="s">
        <v>806</v>
      </c>
      <c r="AN678" s="7">
        <v>181.76</v>
      </c>
      <c r="AO678" s="8">
        <f t="shared" si="33"/>
        <v>340.79999999999995</v>
      </c>
      <c r="AP678" s="8">
        <f t="shared" si="34"/>
        <v>378.62879999999996</v>
      </c>
      <c r="AQ678" s="9">
        <f t="shared" si="32"/>
        <v>552.06191999999987</v>
      </c>
    </row>
    <row r="679" spans="1:43" x14ac:dyDescent="0.25">
      <c r="A679">
        <v>8</v>
      </c>
      <c r="B679">
        <v>7</v>
      </c>
      <c r="C679">
        <v>2024</v>
      </c>
      <c r="D679" t="s">
        <v>43</v>
      </c>
      <c r="E679" t="s">
        <v>75</v>
      </c>
      <c r="F679" t="s">
        <v>76</v>
      </c>
      <c r="G679">
        <v>49</v>
      </c>
      <c r="H679">
        <v>1791882490001</v>
      </c>
      <c r="I679" t="s">
        <v>46</v>
      </c>
      <c r="J679" t="s">
        <v>65</v>
      </c>
      <c r="K679" t="s">
        <v>48</v>
      </c>
      <c r="L679" t="s">
        <v>49</v>
      </c>
      <c r="M679" t="s">
        <v>50</v>
      </c>
      <c r="N679" t="s">
        <v>51</v>
      </c>
      <c r="O679">
        <v>8421999000</v>
      </c>
      <c r="P679" t="s">
        <v>66</v>
      </c>
      <c r="Q679" t="s">
        <v>477</v>
      </c>
      <c r="R679" t="s">
        <v>54</v>
      </c>
      <c r="S679" t="s">
        <v>55</v>
      </c>
      <c r="T679">
        <v>8</v>
      </c>
      <c r="U679">
        <v>1</v>
      </c>
      <c r="V679" t="s">
        <v>135</v>
      </c>
      <c r="W679">
        <v>0</v>
      </c>
      <c r="X679">
        <v>181.76</v>
      </c>
      <c r="Y679">
        <v>15.52</v>
      </c>
      <c r="Z679">
        <v>1.18</v>
      </c>
      <c r="AA679">
        <v>198.46</v>
      </c>
      <c r="AB679" t="s">
        <v>57</v>
      </c>
      <c r="AC679" t="s">
        <v>77</v>
      </c>
      <c r="AD679" t="s">
        <v>48</v>
      </c>
      <c r="AE679">
        <v>0</v>
      </c>
      <c r="AF679">
        <v>1.2</v>
      </c>
      <c r="AG679" t="s">
        <v>59</v>
      </c>
      <c r="AH679">
        <v>107711</v>
      </c>
      <c r="AI679" t="s">
        <v>60</v>
      </c>
      <c r="AJ679" t="s">
        <v>78</v>
      </c>
      <c r="AK679" t="s">
        <v>54</v>
      </c>
      <c r="AL679">
        <v>2024</v>
      </c>
      <c r="AM679" s="6" t="s">
        <v>806</v>
      </c>
      <c r="AN679" s="7">
        <v>181.76</v>
      </c>
      <c r="AO679" s="8">
        <f t="shared" si="33"/>
        <v>340.79999999999995</v>
      </c>
      <c r="AP679" s="8">
        <f t="shared" si="34"/>
        <v>378.62879999999996</v>
      </c>
      <c r="AQ679" s="9">
        <f t="shared" si="32"/>
        <v>552.06191999999987</v>
      </c>
    </row>
    <row r="680" spans="1:43" x14ac:dyDescent="0.25">
      <c r="A680">
        <v>28</v>
      </c>
      <c r="B680">
        <v>8</v>
      </c>
      <c r="C680">
        <v>2024</v>
      </c>
      <c r="D680" t="s">
        <v>43</v>
      </c>
      <c r="E680" t="s">
        <v>91</v>
      </c>
      <c r="F680" t="s">
        <v>92</v>
      </c>
      <c r="G680">
        <v>38</v>
      </c>
      <c r="H680">
        <v>1791882490001</v>
      </c>
      <c r="I680" t="s">
        <v>46</v>
      </c>
      <c r="J680" t="s">
        <v>65</v>
      </c>
      <c r="K680" t="s">
        <v>48</v>
      </c>
      <c r="L680" t="s">
        <v>49</v>
      </c>
      <c r="M680" t="s">
        <v>50</v>
      </c>
      <c r="N680" t="s">
        <v>51</v>
      </c>
      <c r="O680">
        <v>8421999000</v>
      </c>
      <c r="P680" t="s">
        <v>66</v>
      </c>
      <c r="Q680" t="s">
        <v>477</v>
      </c>
      <c r="R680" t="s">
        <v>54</v>
      </c>
      <c r="S680" t="s">
        <v>55</v>
      </c>
      <c r="T680">
        <v>8</v>
      </c>
      <c r="U680">
        <v>5</v>
      </c>
      <c r="V680" t="s">
        <v>135</v>
      </c>
      <c r="W680">
        <v>0</v>
      </c>
      <c r="X680">
        <v>873.24</v>
      </c>
      <c r="Y680">
        <v>96.48</v>
      </c>
      <c r="Z680">
        <v>5.87</v>
      </c>
      <c r="AA680">
        <v>975.59</v>
      </c>
      <c r="AB680" t="s">
        <v>57</v>
      </c>
      <c r="AC680" t="s">
        <v>94</v>
      </c>
      <c r="AD680" t="s">
        <v>48</v>
      </c>
      <c r="AE680">
        <v>0</v>
      </c>
      <c r="AF680">
        <v>10.050000000000001</v>
      </c>
      <c r="AG680" t="s">
        <v>59</v>
      </c>
      <c r="AH680">
        <v>150511</v>
      </c>
      <c r="AI680" t="s">
        <v>60</v>
      </c>
      <c r="AJ680" t="s">
        <v>60</v>
      </c>
      <c r="AK680" t="s">
        <v>54</v>
      </c>
      <c r="AL680">
        <v>2024</v>
      </c>
      <c r="AM680" s="6" t="s">
        <v>806</v>
      </c>
      <c r="AN680" s="7">
        <v>174.65</v>
      </c>
      <c r="AO680" s="8">
        <f t="shared" si="33"/>
        <v>327.46875</v>
      </c>
      <c r="AP680" s="8">
        <f t="shared" si="34"/>
        <v>363.81778125</v>
      </c>
      <c r="AQ680" s="9">
        <f t="shared" si="32"/>
        <v>530.46662812499994</v>
      </c>
    </row>
    <row r="681" spans="1:43" x14ac:dyDescent="0.25">
      <c r="A681">
        <v>16</v>
      </c>
      <c r="B681">
        <v>12</v>
      </c>
      <c r="C681">
        <v>2024</v>
      </c>
      <c r="D681" t="s">
        <v>43</v>
      </c>
      <c r="E681" t="s">
        <v>128</v>
      </c>
      <c r="F681" t="s">
        <v>129</v>
      </c>
      <c r="G681">
        <v>49</v>
      </c>
      <c r="H681">
        <v>1791882490001</v>
      </c>
      <c r="I681" t="s">
        <v>46</v>
      </c>
      <c r="J681" t="s">
        <v>65</v>
      </c>
      <c r="K681" t="s">
        <v>48</v>
      </c>
      <c r="L681" t="s">
        <v>49</v>
      </c>
      <c r="M681" t="s">
        <v>50</v>
      </c>
      <c r="N681" t="s">
        <v>51</v>
      </c>
      <c r="O681">
        <v>8421999000</v>
      </c>
      <c r="P681" t="s">
        <v>52</v>
      </c>
      <c r="Q681" t="s">
        <v>477</v>
      </c>
      <c r="R681" t="s">
        <v>54</v>
      </c>
      <c r="S681" t="s">
        <v>55</v>
      </c>
      <c r="T681">
        <v>9</v>
      </c>
      <c r="U681">
        <v>3</v>
      </c>
      <c r="V681" t="s">
        <v>135</v>
      </c>
      <c r="W681">
        <v>0</v>
      </c>
      <c r="X681">
        <v>464.8</v>
      </c>
      <c r="Y681">
        <v>60.87</v>
      </c>
      <c r="Z681">
        <v>3.19</v>
      </c>
      <c r="AA681">
        <v>528.86</v>
      </c>
      <c r="AB681" t="s">
        <v>57</v>
      </c>
      <c r="AC681" t="s">
        <v>131</v>
      </c>
      <c r="AD681" t="s">
        <v>48</v>
      </c>
      <c r="AE681">
        <v>0</v>
      </c>
      <c r="AF681">
        <v>5.97</v>
      </c>
      <c r="AG681" t="s">
        <v>59</v>
      </c>
      <c r="AH681">
        <v>325395</v>
      </c>
      <c r="AI681" t="s">
        <v>60</v>
      </c>
      <c r="AJ681" t="s">
        <v>78</v>
      </c>
      <c r="AK681" t="s">
        <v>54</v>
      </c>
      <c r="AL681">
        <v>2024</v>
      </c>
      <c r="AM681" s="6" t="s">
        <v>806</v>
      </c>
      <c r="AN681" s="7">
        <v>154.93</v>
      </c>
      <c r="AO681" s="8">
        <f t="shared" si="33"/>
        <v>290.49375000000003</v>
      </c>
      <c r="AP681" s="8">
        <f t="shared" si="34"/>
        <v>322.73855625000004</v>
      </c>
      <c r="AQ681" s="9">
        <f t="shared" si="32"/>
        <v>470.570825625</v>
      </c>
    </row>
    <row r="682" spans="1:43" x14ac:dyDescent="0.25">
      <c r="A682">
        <v>15</v>
      </c>
      <c r="B682">
        <v>4</v>
      </c>
      <c r="C682">
        <v>2024</v>
      </c>
      <c r="D682" t="s">
        <v>43</v>
      </c>
      <c r="E682" t="s">
        <v>63</v>
      </c>
      <c r="F682" t="s">
        <v>64</v>
      </c>
      <c r="G682">
        <v>49</v>
      </c>
      <c r="H682">
        <v>1791882490001</v>
      </c>
      <c r="I682" t="s">
        <v>46</v>
      </c>
      <c r="J682" t="s">
        <v>48</v>
      </c>
      <c r="K682" t="s">
        <v>48</v>
      </c>
      <c r="L682" t="s">
        <v>49</v>
      </c>
      <c r="M682" t="s">
        <v>50</v>
      </c>
      <c r="N682" t="s">
        <v>51</v>
      </c>
      <c r="O682">
        <v>8503000000</v>
      </c>
      <c r="P682" t="s">
        <v>807</v>
      </c>
      <c r="Q682" t="s">
        <v>808</v>
      </c>
      <c r="R682" t="s">
        <v>54</v>
      </c>
      <c r="S682" t="s">
        <v>55</v>
      </c>
      <c r="T682">
        <v>6</v>
      </c>
      <c r="U682">
        <v>1</v>
      </c>
      <c r="V682" t="s">
        <v>135</v>
      </c>
      <c r="W682">
        <v>0</v>
      </c>
      <c r="X682">
        <v>695.75</v>
      </c>
      <c r="Y682">
        <v>73.239999999999995</v>
      </c>
      <c r="Z682">
        <v>4.67</v>
      </c>
      <c r="AA682">
        <v>773.66</v>
      </c>
      <c r="AB682" t="s">
        <v>57</v>
      </c>
      <c r="AC682" t="s">
        <v>58</v>
      </c>
      <c r="AD682" t="s">
        <v>48</v>
      </c>
      <c r="AE682">
        <v>0</v>
      </c>
      <c r="AF682">
        <v>6.67</v>
      </c>
      <c r="AG682" t="s">
        <v>59</v>
      </c>
      <c r="AH682">
        <v>443965</v>
      </c>
      <c r="AI682" t="s">
        <v>60</v>
      </c>
      <c r="AJ682" t="s">
        <v>60</v>
      </c>
      <c r="AK682" t="s">
        <v>54</v>
      </c>
      <c r="AL682">
        <v>2024</v>
      </c>
      <c r="AM682" s="6" t="s">
        <v>809</v>
      </c>
      <c r="AN682" s="7">
        <v>695.75</v>
      </c>
      <c r="AO682" s="8">
        <f t="shared" si="33"/>
        <v>1304.53125</v>
      </c>
      <c r="AP682" s="8">
        <f t="shared" si="34"/>
        <v>1449.33421875</v>
      </c>
      <c r="AQ682" s="9">
        <f t="shared" si="32"/>
        <v>2113.210171875</v>
      </c>
    </row>
    <row r="683" spans="1:43" x14ac:dyDescent="0.25">
      <c r="A683">
        <v>8</v>
      </c>
      <c r="B683">
        <v>7</v>
      </c>
      <c r="C683">
        <v>2024</v>
      </c>
      <c r="D683" t="s">
        <v>43</v>
      </c>
      <c r="E683" t="s">
        <v>75</v>
      </c>
      <c r="F683" t="s">
        <v>76</v>
      </c>
      <c r="G683">
        <v>50</v>
      </c>
      <c r="H683">
        <v>1791882490001</v>
      </c>
      <c r="I683" t="s">
        <v>46</v>
      </c>
      <c r="J683" t="s">
        <v>48</v>
      </c>
      <c r="K683" t="s">
        <v>48</v>
      </c>
      <c r="L683" t="s">
        <v>49</v>
      </c>
      <c r="M683" t="s">
        <v>50</v>
      </c>
      <c r="N683" t="s">
        <v>51</v>
      </c>
      <c r="O683">
        <v>8482500000</v>
      </c>
      <c r="P683" t="s">
        <v>454</v>
      </c>
      <c r="Q683" t="s">
        <v>803</v>
      </c>
      <c r="R683" t="s">
        <v>54</v>
      </c>
      <c r="S683" t="s">
        <v>55</v>
      </c>
      <c r="T683">
        <v>8</v>
      </c>
      <c r="U683">
        <v>1</v>
      </c>
      <c r="V683" t="s">
        <v>135</v>
      </c>
      <c r="W683">
        <v>0</v>
      </c>
      <c r="X683">
        <v>722.29</v>
      </c>
      <c r="Y683">
        <v>61.69</v>
      </c>
      <c r="Z683">
        <v>4.7</v>
      </c>
      <c r="AA683">
        <v>788.68</v>
      </c>
      <c r="AB683" t="s">
        <v>57</v>
      </c>
      <c r="AC683" t="s">
        <v>77</v>
      </c>
      <c r="AD683" t="s">
        <v>48</v>
      </c>
      <c r="AE683">
        <v>0</v>
      </c>
      <c r="AF683">
        <v>4.78</v>
      </c>
      <c r="AG683" t="s">
        <v>59</v>
      </c>
      <c r="AH683">
        <v>107711</v>
      </c>
      <c r="AI683" t="s">
        <v>60</v>
      </c>
      <c r="AJ683" t="s">
        <v>78</v>
      </c>
      <c r="AK683" t="s">
        <v>54</v>
      </c>
      <c r="AL683">
        <v>2024</v>
      </c>
      <c r="AM683" s="6" t="s">
        <v>809</v>
      </c>
      <c r="AN683" s="7">
        <v>722.29</v>
      </c>
      <c r="AO683" s="8">
        <f t="shared" si="33"/>
        <v>1354.2937499999998</v>
      </c>
      <c r="AP683" s="8">
        <f t="shared" si="34"/>
        <v>1504.6203562499998</v>
      </c>
      <c r="AQ683" s="9">
        <f t="shared" si="32"/>
        <v>2193.8204456249996</v>
      </c>
    </row>
    <row r="684" spans="1:43" x14ac:dyDescent="0.25">
      <c r="A684">
        <v>8</v>
      </c>
      <c r="B684">
        <v>7</v>
      </c>
      <c r="C684">
        <v>2024</v>
      </c>
      <c r="D684" t="s">
        <v>43</v>
      </c>
      <c r="E684" t="s">
        <v>75</v>
      </c>
      <c r="F684" t="s">
        <v>76</v>
      </c>
      <c r="G684">
        <v>50</v>
      </c>
      <c r="H684">
        <v>1791882490001</v>
      </c>
      <c r="I684" t="s">
        <v>46</v>
      </c>
      <c r="J684" t="s">
        <v>48</v>
      </c>
      <c r="K684" t="s">
        <v>48</v>
      </c>
      <c r="L684" t="s">
        <v>49</v>
      </c>
      <c r="M684" t="s">
        <v>50</v>
      </c>
      <c r="N684" t="s">
        <v>51</v>
      </c>
      <c r="O684">
        <v>8482500000</v>
      </c>
      <c r="P684" t="s">
        <v>454</v>
      </c>
      <c r="Q684" t="s">
        <v>803</v>
      </c>
      <c r="R684" t="s">
        <v>54</v>
      </c>
      <c r="S684" t="s">
        <v>55</v>
      </c>
      <c r="T684">
        <v>8</v>
      </c>
      <c r="U684">
        <v>1</v>
      </c>
      <c r="V684" t="s">
        <v>135</v>
      </c>
      <c r="W684">
        <v>0</v>
      </c>
      <c r="X684">
        <v>722.29</v>
      </c>
      <c r="Y684">
        <v>61.69</v>
      </c>
      <c r="Z684">
        <v>4.7</v>
      </c>
      <c r="AA684">
        <v>788.68</v>
      </c>
      <c r="AB684" t="s">
        <v>57</v>
      </c>
      <c r="AC684" t="s">
        <v>77</v>
      </c>
      <c r="AD684" t="s">
        <v>48</v>
      </c>
      <c r="AE684">
        <v>0</v>
      </c>
      <c r="AF684">
        <v>4.78</v>
      </c>
      <c r="AG684" t="s">
        <v>59</v>
      </c>
      <c r="AH684">
        <v>107711</v>
      </c>
      <c r="AI684" t="s">
        <v>60</v>
      </c>
      <c r="AJ684" t="s">
        <v>78</v>
      </c>
      <c r="AK684" t="s">
        <v>54</v>
      </c>
      <c r="AL684">
        <v>2024</v>
      </c>
      <c r="AM684" s="6" t="s">
        <v>809</v>
      </c>
      <c r="AN684" s="7">
        <v>722.29</v>
      </c>
      <c r="AO684" s="8">
        <f t="shared" si="33"/>
        <v>1354.2937499999998</v>
      </c>
      <c r="AP684" s="8">
        <f t="shared" si="34"/>
        <v>1504.6203562499998</v>
      </c>
      <c r="AQ684" s="9">
        <f t="shared" si="32"/>
        <v>2193.8204456249996</v>
      </c>
    </row>
    <row r="685" spans="1:43" x14ac:dyDescent="0.25">
      <c r="A685">
        <v>16</v>
      </c>
      <c r="B685">
        <v>12</v>
      </c>
      <c r="C685">
        <v>2024</v>
      </c>
      <c r="D685" t="s">
        <v>43</v>
      </c>
      <c r="E685" t="s">
        <v>128</v>
      </c>
      <c r="F685" t="s">
        <v>129</v>
      </c>
      <c r="G685">
        <v>50</v>
      </c>
      <c r="H685">
        <v>1791882490001</v>
      </c>
      <c r="I685" t="s">
        <v>46</v>
      </c>
      <c r="J685" t="s">
        <v>48</v>
      </c>
      <c r="K685" t="s">
        <v>48</v>
      </c>
      <c r="L685" t="s">
        <v>49</v>
      </c>
      <c r="M685" t="s">
        <v>50</v>
      </c>
      <c r="N685" t="s">
        <v>51</v>
      </c>
      <c r="O685">
        <v>8503000000</v>
      </c>
      <c r="P685" t="s">
        <v>810</v>
      </c>
      <c r="Q685" t="s">
        <v>811</v>
      </c>
      <c r="R685" t="s">
        <v>54</v>
      </c>
      <c r="S685" t="s">
        <v>55</v>
      </c>
      <c r="T685">
        <v>9</v>
      </c>
      <c r="U685">
        <v>1</v>
      </c>
      <c r="V685" t="s">
        <v>135</v>
      </c>
      <c r="W685">
        <v>0</v>
      </c>
      <c r="X685">
        <v>702.76</v>
      </c>
      <c r="Y685">
        <v>92.04</v>
      </c>
      <c r="Z685">
        <v>4.82</v>
      </c>
      <c r="AA685">
        <v>799.61</v>
      </c>
      <c r="AB685" t="s">
        <v>57</v>
      </c>
      <c r="AC685" t="s">
        <v>131</v>
      </c>
      <c r="AD685" t="s">
        <v>48</v>
      </c>
      <c r="AE685">
        <v>0</v>
      </c>
      <c r="AF685">
        <v>1.99</v>
      </c>
      <c r="AG685" t="s">
        <v>59</v>
      </c>
      <c r="AH685">
        <v>325395</v>
      </c>
      <c r="AI685" t="s">
        <v>60</v>
      </c>
      <c r="AJ685" t="s">
        <v>78</v>
      </c>
      <c r="AK685" t="s">
        <v>54</v>
      </c>
      <c r="AL685">
        <v>2024</v>
      </c>
      <c r="AM685" s="6" t="s">
        <v>809</v>
      </c>
      <c r="AN685" s="7">
        <v>702.76</v>
      </c>
      <c r="AO685" s="8">
        <f t="shared" si="33"/>
        <v>1317.675</v>
      </c>
      <c r="AP685" s="8">
        <f t="shared" si="34"/>
        <v>1463.936925</v>
      </c>
      <c r="AQ685" s="9">
        <f t="shared" si="32"/>
        <v>2134.5017324999999</v>
      </c>
    </row>
    <row r="686" spans="1:43" x14ac:dyDescent="0.25">
      <c r="A686">
        <v>20</v>
      </c>
      <c r="B686">
        <v>2</v>
      </c>
      <c r="C686">
        <v>2024</v>
      </c>
      <c r="D686" t="s">
        <v>43</v>
      </c>
      <c r="E686" t="s">
        <v>140</v>
      </c>
      <c r="F686" t="s">
        <v>141</v>
      </c>
      <c r="G686">
        <v>51</v>
      </c>
      <c r="H686">
        <v>1791882490001</v>
      </c>
      <c r="I686" t="s">
        <v>46</v>
      </c>
      <c r="J686" t="s">
        <v>247</v>
      </c>
      <c r="K686" t="s">
        <v>48</v>
      </c>
      <c r="L686" t="s">
        <v>49</v>
      </c>
      <c r="M686" t="s">
        <v>50</v>
      </c>
      <c r="N686" t="s">
        <v>51</v>
      </c>
      <c r="O686">
        <v>8482500000</v>
      </c>
      <c r="P686" t="s">
        <v>454</v>
      </c>
      <c r="Q686" t="s">
        <v>723</v>
      </c>
      <c r="R686" t="s">
        <v>54</v>
      </c>
      <c r="S686" t="s">
        <v>55</v>
      </c>
      <c r="T686">
        <v>6</v>
      </c>
      <c r="U686">
        <v>2</v>
      </c>
      <c r="V686" t="s">
        <v>135</v>
      </c>
      <c r="W686">
        <v>0</v>
      </c>
      <c r="X686">
        <v>871.15</v>
      </c>
      <c r="Y686">
        <v>78.180000000000007</v>
      </c>
      <c r="Z686">
        <v>5.85</v>
      </c>
      <c r="AA686">
        <v>955.18</v>
      </c>
      <c r="AB686" t="s">
        <v>54</v>
      </c>
      <c r="AC686" t="s">
        <v>143</v>
      </c>
      <c r="AD686" t="s">
        <v>48</v>
      </c>
      <c r="AE686">
        <v>0</v>
      </c>
      <c r="AF686">
        <v>3.74</v>
      </c>
      <c r="AG686" t="s">
        <v>59</v>
      </c>
      <c r="AH686">
        <v>876053</v>
      </c>
      <c r="AI686" t="s">
        <v>60</v>
      </c>
      <c r="AJ686" t="s">
        <v>60</v>
      </c>
      <c r="AK686" t="s">
        <v>54</v>
      </c>
      <c r="AL686">
        <v>2024</v>
      </c>
      <c r="AM686" s="6" t="s">
        <v>812</v>
      </c>
      <c r="AN686" s="7">
        <v>435.58</v>
      </c>
      <c r="AO686" s="8">
        <f t="shared" si="33"/>
        <v>816.71249999999998</v>
      </c>
      <c r="AP686" s="8">
        <f t="shared" si="34"/>
        <v>907.36758750000001</v>
      </c>
      <c r="AQ686" s="9">
        <f t="shared" si="32"/>
        <v>1322.9925787499999</v>
      </c>
    </row>
    <row r="687" spans="1:43" x14ac:dyDescent="0.25">
      <c r="A687">
        <v>3</v>
      </c>
      <c r="B687">
        <v>4</v>
      </c>
      <c r="C687">
        <v>2024</v>
      </c>
      <c r="D687" t="s">
        <v>43</v>
      </c>
      <c r="E687" t="s">
        <v>73</v>
      </c>
      <c r="F687" t="s">
        <v>74</v>
      </c>
      <c r="G687">
        <v>33</v>
      </c>
      <c r="H687">
        <v>1791882490001</v>
      </c>
      <c r="I687" t="s">
        <v>46</v>
      </c>
      <c r="J687" t="s">
        <v>48</v>
      </c>
      <c r="K687" t="s">
        <v>48</v>
      </c>
      <c r="L687" t="s">
        <v>49</v>
      </c>
      <c r="M687" t="s">
        <v>50</v>
      </c>
      <c r="N687" t="s">
        <v>51</v>
      </c>
      <c r="O687">
        <v>8483309000</v>
      </c>
      <c r="P687" t="s">
        <v>66</v>
      </c>
      <c r="Q687" t="s">
        <v>813</v>
      </c>
      <c r="R687" t="s">
        <v>54</v>
      </c>
      <c r="S687" t="s">
        <v>55</v>
      </c>
      <c r="T687">
        <v>6</v>
      </c>
      <c r="U687">
        <v>1</v>
      </c>
      <c r="V687" t="s">
        <v>135</v>
      </c>
      <c r="W687">
        <v>0</v>
      </c>
      <c r="X687">
        <v>86.66</v>
      </c>
      <c r="Y687">
        <v>10.119999999999999</v>
      </c>
      <c r="Z687">
        <v>0.56999999999999995</v>
      </c>
      <c r="AA687">
        <v>97.35</v>
      </c>
      <c r="AB687" t="s">
        <v>57</v>
      </c>
      <c r="AC687" t="s">
        <v>58</v>
      </c>
      <c r="AD687" t="s">
        <v>48</v>
      </c>
      <c r="AE687">
        <v>0</v>
      </c>
      <c r="AF687">
        <v>1.33</v>
      </c>
      <c r="AG687" t="s">
        <v>59</v>
      </c>
      <c r="AH687">
        <v>438183</v>
      </c>
      <c r="AI687" t="s">
        <v>60</v>
      </c>
      <c r="AJ687" t="s">
        <v>60</v>
      </c>
      <c r="AK687" t="s">
        <v>54</v>
      </c>
      <c r="AL687">
        <v>2024</v>
      </c>
      <c r="AM687" s="6" t="s">
        <v>814</v>
      </c>
      <c r="AN687" s="7">
        <v>86.66</v>
      </c>
      <c r="AO687" s="8">
        <f t="shared" si="33"/>
        <v>162.48749999999998</v>
      </c>
      <c r="AP687" s="8">
        <f t="shared" si="34"/>
        <v>180.52361249999998</v>
      </c>
      <c r="AQ687" s="9">
        <f t="shared" si="32"/>
        <v>263.21350124999998</v>
      </c>
    </row>
    <row r="688" spans="1:43" x14ac:dyDescent="0.25">
      <c r="A688">
        <v>2</v>
      </c>
      <c r="B688">
        <v>1</v>
      </c>
      <c r="C688">
        <v>2024</v>
      </c>
      <c r="D688" t="s">
        <v>43</v>
      </c>
      <c r="E688" t="s">
        <v>181</v>
      </c>
      <c r="F688" t="s">
        <v>182</v>
      </c>
      <c r="G688">
        <v>27</v>
      </c>
      <c r="H688">
        <v>1791882490001</v>
      </c>
      <c r="I688" t="s">
        <v>46</v>
      </c>
      <c r="J688" t="s">
        <v>48</v>
      </c>
      <c r="K688" t="s">
        <v>48</v>
      </c>
      <c r="L688" t="s">
        <v>49</v>
      </c>
      <c r="M688" t="s">
        <v>50</v>
      </c>
      <c r="N688" t="s">
        <v>51</v>
      </c>
      <c r="O688">
        <v>8484900000</v>
      </c>
      <c r="P688" t="s">
        <v>52</v>
      </c>
      <c r="Q688" t="s">
        <v>791</v>
      </c>
      <c r="R688" t="s">
        <v>54</v>
      </c>
      <c r="S688" t="s">
        <v>55</v>
      </c>
      <c r="T688">
        <v>8</v>
      </c>
      <c r="U688">
        <v>1</v>
      </c>
      <c r="V688" t="s">
        <v>135</v>
      </c>
      <c r="W688">
        <v>0</v>
      </c>
      <c r="X688">
        <v>43.04</v>
      </c>
      <c r="Y688">
        <v>8.74</v>
      </c>
      <c r="Z688">
        <v>0.28000000000000003</v>
      </c>
      <c r="AA688">
        <v>52.06</v>
      </c>
      <c r="AB688" t="s">
        <v>57</v>
      </c>
      <c r="AC688" t="s">
        <v>81</v>
      </c>
      <c r="AD688" t="s">
        <v>48</v>
      </c>
      <c r="AE688">
        <v>0</v>
      </c>
      <c r="AF688">
        <v>3.24</v>
      </c>
      <c r="AG688" t="s">
        <v>59</v>
      </c>
      <c r="AH688">
        <v>413505</v>
      </c>
      <c r="AI688" t="s">
        <v>60</v>
      </c>
      <c r="AJ688" t="s">
        <v>60</v>
      </c>
      <c r="AK688" t="s">
        <v>54</v>
      </c>
      <c r="AL688">
        <v>2023</v>
      </c>
      <c r="AM688" s="6" t="s">
        <v>815</v>
      </c>
      <c r="AN688" s="7">
        <v>43.04</v>
      </c>
      <c r="AO688" s="8">
        <f t="shared" si="33"/>
        <v>80.7</v>
      </c>
      <c r="AP688" s="8">
        <f t="shared" si="34"/>
        <v>89.657700000000006</v>
      </c>
      <c r="AQ688" s="9">
        <f t="shared" si="32"/>
        <v>130.72593000000001</v>
      </c>
    </row>
    <row r="689" spans="1:43" x14ac:dyDescent="0.25">
      <c r="A689">
        <v>3</v>
      </c>
      <c r="B689">
        <v>4</v>
      </c>
      <c r="C689">
        <v>2024</v>
      </c>
      <c r="D689" t="s">
        <v>43</v>
      </c>
      <c r="E689" t="s">
        <v>73</v>
      </c>
      <c r="F689" t="s">
        <v>74</v>
      </c>
      <c r="G689">
        <v>34</v>
      </c>
      <c r="H689">
        <v>1791882490001</v>
      </c>
      <c r="I689" t="s">
        <v>46</v>
      </c>
      <c r="J689" t="s">
        <v>48</v>
      </c>
      <c r="K689" t="s">
        <v>48</v>
      </c>
      <c r="L689" t="s">
        <v>49</v>
      </c>
      <c r="M689" t="s">
        <v>50</v>
      </c>
      <c r="N689" t="s">
        <v>51</v>
      </c>
      <c r="O689">
        <v>8484900000</v>
      </c>
      <c r="P689" t="s">
        <v>66</v>
      </c>
      <c r="Q689" t="s">
        <v>791</v>
      </c>
      <c r="R689" t="s">
        <v>54</v>
      </c>
      <c r="S689" t="s">
        <v>55</v>
      </c>
      <c r="T689">
        <v>6</v>
      </c>
      <c r="U689">
        <v>1</v>
      </c>
      <c r="V689" t="s">
        <v>135</v>
      </c>
      <c r="W689">
        <v>0</v>
      </c>
      <c r="X689">
        <v>47.93</v>
      </c>
      <c r="Y689">
        <v>5.6</v>
      </c>
      <c r="Z689">
        <v>0.31</v>
      </c>
      <c r="AA689">
        <v>53.84</v>
      </c>
      <c r="AB689" t="s">
        <v>57</v>
      </c>
      <c r="AC689" t="s">
        <v>58</v>
      </c>
      <c r="AD689" t="s">
        <v>48</v>
      </c>
      <c r="AE689">
        <v>0</v>
      </c>
      <c r="AF689">
        <v>1.33</v>
      </c>
      <c r="AG689" t="s">
        <v>59</v>
      </c>
      <c r="AH689">
        <v>438183</v>
      </c>
      <c r="AI689" t="s">
        <v>60</v>
      </c>
      <c r="AJ689" t="s">
        <v>60</v>
      </c>
      <c r="AK689" t="s">
        <v>54</v>
      </c>
      <c r="AL689">
        <v>2024</v>
      </c>
      <c r="AM689" s="6" t="s">
        <v>815</v>
      </c>
      <c r="AN689" s="7">
        <v>47.93</v>
      </c>
      <c r="AO689" s="8">
        <f t="shared" si="33"/>
        <v>89.868750000000006</v>
      </c>
      <c r="AP689" s="8">
        <f t="shared" si="34"/>
        <v>99.844181250000005</v>
      </c>
      <c r="AQ689" s="9">
        <f t="shared" si="32"/>
        <v>145.578388125</v>
      </c>
    </row>
    <row r="690" spans="1:43" x14ac:dyDescent="0.25">
      <c r="A690">
        <v>3</v>
      </c>
      <c r="B690">
        <v>4</v>
      </c>
      <c r="C690">
        <v>2024</v>
      </c>
      <c r="D690" t="s">
        <v>43</v>
      </c>
      <c r="E690" t="s">
        <v>73</v>
      </c>
      <c r="F690" t="s">
        <v>74</v>
      </c>
      <c r="G690">
        <v>35</v>
      </c>
      <c r="H690">
        <v>1791882490001</v>
      </c>
      <c r="I690" t="s">
        <v>46</v>
      </c>
      <c r="J690" t="s">
        <v>48</v>
      </c>
      <c r="K690" t="s">
        <v>48</v>
      </c>
      <c r="L690" t="s">
        <v>49</v>
      </c>
      <c r="M690" t="s">
        <v>50</v>
      </c>
      <c r="N690" t="s">
        <v>51</v>
      </c>
      <c r="O690">
        <v>8482500000</v>
      </c>
      <c r="P690" t="s">
        <v>454</v>
      </c>
      <c r="Q690" t="s">
        <v>455</v>
      </c>
      <c r="R690" t="s">
        <v>54</v>
      </c>
      <c r="S690" t="s">
        <v>55</v>
      </c>
      <c r="T690">
        <v>6</v>
      </c>
      <c r="U690">
        <v>1</v>
      </c>
      <c r="V690" t="s">
        <v>135</v>
      </c>
      <c r="W690">
        <v>0</v>
      </c>
      <c r="X690">
        <v>438.56</v>
      </c>
      <c r="Y690">
        <v>51.22</v>
      </c>
      <c r="Z690">
        <v>2.87</v>
      </c>
      <c r="AA690">
        <v>492.65</v>
      </c>
      <c r="AB690" t="s">
        <v>57</v>
      </c>
      <c r="AC690" t="s">
        <v>58</v>
      </c>
      <c r="AD690" t="s">
        <v>48</v>
      </c>
      <c r="AE690">
        <v>0</v>
      </c>
      <c r="AF690">
        <v>1.33</v>
      </c>
      <c r="AG690" t="s">
        <v>59</v>
      </c>
      <c r="AH690">
        <v>438183</v>
      </c>
      <c r="AI690" t="s">
        <v>60</v>
      </c>
      <c r="AJ690" t="s">
        <v>60</v>
      </c>
      <c r="AK690" t="s">
        <v>54</v>
      </c>
      <c r="AL690">
        <v>2024</v>
      </c>
      <c r="AM690" s="6" t="s">
        <v>816</v>
      </c>
      <c r="AN690" s="7">
        <v>438.56</v>
      </c>
      <c r="AO690" s="8">
        <f t="shared" si="33"/>
        <v>822.3</v>
      </c>
      <c r="AP690" s="8">
        <f t="shared" si="34"/>
        <v>913.57529999999997</v>
      </c>
      <c r="AQ690" s="9">
        <f t="shared" si="32"/>
        <v>1332.0437699999998</v>
      </c>
    </row>
    <row r="691" spans="1:43" x14ac:dyDescent="0.25">
      <c r="A691">
        <v>17</v>
      </c>
      <c r="B691">
        <v>5</v>
      </c>
      <c r="C691">
        <v>2024</v>
      </c>
      <c r="D691" t="s">
        <v>43</v>
      </c>
      <c r="E691" t="s">
        <v>79</v>
      </c>
      <c r="F691" t="s">
        <v>80</v>
      </c>
      <c r="G691">
        <v>41</v>
      </c>
      <c r="H691">
        <v>1791882490001</v>
      </c>
      <c r="I691" t="s">
        <v>46</v>
      </c>
      <c r="J691" t="s">
        <v>48</v>
      </c>
      <c r="K691" t="s">
        <v>48</v>
      </c>
      <c r="L691" t="s">
        <v>49</v>
      </c>
      <c r="M691" t="s">
        <v>50</v>
      </c>
      <c r="N691" t="s">
        <v>51</v>
      </c>
      <c r="O691">
        <v>8482500000</v>
      </c>
      <c r="P691" t="s">
        <v>454</v>
      </c>
      <c r="Q691" t="s">
        <v>455</v>
      </c>
      <c r="R691" t="s">
        <v>54</v>
      </c>
      <c r="S691" t="s">
        <v>55</v>
      </c>
      <c r="T691">
        <v>6</v>
      </c>
      <c r="U691">
        <v>2</v>
      </c>
      <c r="V691" t="s">
        <v>135</v>
      </c>
      <c r="W691">
        <v>0</v>
      </c>
      <c r="X691">
        <v>852.26</v>
      </c>
      <c r="Y691">
        <v>82.28</v>
      </c>
      <c r="Z691">
        <v>5.67</v>
      </c>
      <c r="AA691">
        <v>940.21</v>
      </c>
      <c r="AB691" t="s">
        <v>57</v>
      </c>
      <c r="AC691" t="s">
        <v>81</v>
      </c>
      <c r="AD691" t="s">
        <v>48</v>
      </c>
      <c r="AE691">
        <v>0</v>
      </c>
      <c r="AF691">
        <v>2.16</v>
      </c>
      <c r="AG691" t="s">
        <v>82</v>
      </c>
      <c r="AH691">
        <v>471463</v>
      </c>
      <c r="AI691" t="s">
        <v>60</v>
      </c>
      <c r="AJ691" t="s">
        <v>60</v>
      </c>
      <c r="AK691" t="s">
        <v>54</v>
      </c>
      <c r="AL691">
        <v>2024</v>
      </c>
      <c r="AM691" s="6" t="s">
        <v>816</v>
      </c>
      <c r="AN691" s="7">
        <v>426.13</v>
      </c>
      <c r="AO691" s="8">
        <f t="shared" si="33"/>
        <v>798.99374999999998</v>
      </c>
      <c r="AP691" s="8">
        <f t="shared" si="34"/>
        <v>887.68205624999996</v>
      </c>
      <c r="AQ691" s="9">
        <f t="shared" si="32"/>
        <v>1294.2899756249999</v>
      </c>
    </row>
    <row r="692" spans="1:43" x14ac:dyDescent="0.25">
      <c r="A692">
        <v>28</v>
      </c>
      <c r="B692">
        <v>8</v>
      </c>
      <c r="C692">
        <v>2024</v>
      </c>
      <c r="D692" t="s">
        <v>43</v>
      </c>
      <c r="E692" t="s">
        <v>91</v>
      </c>
      <c r="F692" t="s">
        <v>92</v>
      </c>
      <c r="G692">
        <v>39</v>
      </c>
      <c r="H692">
        <v>1791882490001</v>
      </c>
      <c r="I692" t="s">
        <v>46</v>
      </c>
      <c r="J692" t="s">
        <v>48</v>
      </c>
      <c r="K692" t="s">
        <v>48</v>
      </c>
      <c r="L692" t="s">
        <v>49</v>
      </c>
      <c r="M692" t="s">
        <v>50</v>
      </c>
      <c r="N692" t="s">
        <v>51</v>
      </c>
      <c r="O692">
        <v>8482500000</v>
      </c>
      <c r="P692" t="s">
        <v>454</v>
      </c>
      <c r="Q692" t="s">
        <v>455</v>
      </c>
      <c r="R692" t="s">
        <v>54</v>
      </c>
      <c r="S692" t="s">
        <v>55</v>
      </c>
      <c r="T692">
        <v>8</v>
      </c>
      <c r="U692">
        <v>2</v>
      </c>
      <c r="V692" t="s">
        <v>135</v>
      </c>
      <c r="W692">
        <v>0</v>
      </c>
      <c r="X692">
        <v>849.46</v>
      </c>
      <c r="Y692">
        <v>93.86</v>
      </c>
      <c r="Z692">
        <v>5.71</v>
      </c>
      <c r="AA692">
        <v>949.03</v>
      </c>
      <c r="AB692" t="s">
        <v>57</v>
      </c>
      <c r="AC692" t="s">
        <v>94</v>
      </c>
      <c r="AD692" t="s">
        <v>48</v>
      </c>
      <c r="AE692">
        <v>0</v>
      </c>
      <c r="AF692">
        <v>9.7799999999999994</v>
      </c>
      <c r="AG692" t="s">
        <v>59</v>
      </c>
      <c r="AH692">
        <v>150511</v>
      </c>
      <c r="AI692" t="s">
        <v>60</v>
      </c>
      <c r="AJ692" t="s">
        <v>60</v>
      </c>
      <c r="AK692" t="s">
        <v>54</v>
      </c>
      <c r="AL692">
        <v>2024</v>
      </c>
      <c r="AM692" s="6" t="s">
        <v>816</v>
      </c>
      <c r="AN692" s="7">
        <v>424.73</v>
      </c>
      <c r="AO692" s="8">
        <f t="shared" si="33"/>
        <v>796.36875000000009</v>
      </c>
      <c r="AP692" s="8">
        <f t="shared" si="34"/>
        <v>884.76568125000006</v>
      </c>
      <c r="AQ692" s="9">
        <f t="shared" si="32"/>
        <v>1290.037738125</v>
      </c>
    </row>
    <row r="693" spans="1:43" x14ac:dyDescent="0.25">
      <c r="A693">
        <v>26</v>
      </c>
      <c r="B693">
        <v>12</v>
      </c>
      <c r="C693">
        <v>2024</v>
      </c>
      <c r="D693" t="s">
        <v>43</v>
      </c>
      <c r="E693" t="s">
        <v>222</v>
      </c>
      <c r="F693" t="s">
        <v>223</v>
      </c>
      <c r="G693">
        <v>35</v>
      </c>
      <c r="H693">
        <v>1791882490001</v>
      </c>
      <c r="I693" t="s">
        <v>46</v>
      </c>
      <c r="J693" t="s">
        <v>48</v>
      </c>
      <c r="K693" t="s">
        <v>48</v>
      </c>
      <c r="L693" t="s">
        <v>49</v>
      </c>
      <c r="M693" t="s">
        <v>50</v>
      </c>
      <c r="N693" t="s">
        <v>224</v>
      </c>
      <c r="O693">
        <v>8482500000</v>
      </c>
      <c r="P693" t="s">
        <v>606</v>
      </c>
      <c r="Q693" t="s">
        <v>455</v>
      </c>
      <c r="R693" t="s">
        <v>54</v>
      </c>
      <c r="S693" t="s">
        <v>55</v>
      </c>
      <c r="T693">
        <v>8</v>
      </c>
      <c r="U693">
        <v>1</v>
      </c>
      <c r="V693" t="s">
        <v>135</v>
      </c>
      <c r="W693">
        <v>0</v>
      </c>
      <c r="X693">
        <v>435.18</v>
      </c>
      <c r="Y693">
        <v>90.12</v>
      </c>
      <c r="Z693">
        <v>4.3499999999999996</v>
      </c>
      <c r="AA693">
        <v>529.66</v>
      </c>
      <c r="AB693" t="s">
        <v>57</v>
      </c>
      <c r="AC693" t="s">
        <v>225</v>
      </c>
      <c r="AD693" t="s">
        <v>48</v>
      </c>
      <c r="AE693">
        <v>0</v>
      </c>
      <c r="AF693">
        <v>2.06</v>
      </c>
      <c r="AG693" t="s">
        <v>59</v>
      </c>
      <c r="AH693">
        <v>341996</v>
      </c>
      <c r="AI693" t="s">
        <v>60</v>
      </c>
      <c r="AJ693" t="s">
        <v>60</v>
      </c>
      <c r="AK693" t="s">
        <v>54</v>
      </c>
      <c r="AL693">
        <v>2024</v>
      </c>
      <c r="AM693" s="6" t="s">
        <v>816</v>
      </c>
      <c r="AN693" s="7">
        <v>435.18</v>
      </c>
      <c r="AO693" s="8">
        <f t="shared" si="33"/>
        <v>815.96249999999998</v>
      </c>
      <c r="AP693" s="8">
        <f t="shared" si="34"/>
        <v>906.53433749999999</v>
      </c>
      <c r="AQ693" s="9">
        <f t="shared" si="32"/>
        <v>1321.7776537499999</v>
      </c>
    </row>
    <row r="694" spans="1:43" x14ac:dyDescent="0.25">
      <c r="A694">
        <v>3</v>
      </c>
      <c r="B694">
        <v>4</v>
      </c>
      <c r="C694">
        <v>2024</v>
      </c>
      <c r="D694" t="s">
        <v>43</v>
      </c>
      <c r="E694" t="s">
        <v>73</v>
      </c>
      <c r="F694" t="s">
        <v>74</v>
      </c>
      <c r="G694">
        <v>36</v>
      </c>
      <c r="H694">
        <v>1791882490001</v>
      </c>
      <c r="I694" t="s">
        <v>46</v>
      </c>
      <c r="J694" t="s">
        <v>65</v>
      </c>
      <c r="K694" t="s">
        <v>48</v>
      </c>
      <c r="L694" t="s">
        <v>49</v>
      </c>
      <c r="M694" t="s">
        <v>50</v>
      </c>
      <c r="N694" t="s">
        <v>51</v>
      </c>
      <c r="O694">
        <v>8421999000</v>
      </c>
      <c r="P694" t="s">
        <v>66</v>
      </c>
      <c r="Q694" t="s">
        <v>817</v>
      </c>
      <c r="R694" t="s">
        <v>54</v>
      </c>
      <c r="S694" t="s">
        <v>55</v>
      </c>
      <c r="T694">
        <v>6</v>
      </c>
      <c r="U694">
        <v>3</v>
      </c>
      <c r="V694" t="s">
        <v>135</v>
      </c>
      <c r="W694">
        <v>0</v>
      </c>
      <c r="X694">
        <v>222.64</v>
      </c>
      <c r="Y694">
        <v>26</v>
      </c>
      <c r="Z694">
        <v>1.46</v>
      </c>
      <c r="AA694">
        <v>250.1</v>
      </c>
      <c r="AB694" t="s">
        <v>57</v>
      </c>
      <c r="AC694" t="s">
        <v>58</v>
      </c>
      <c r="AD694" t="s">
        <v>48</v>
      </c>
      <c r="AE694">
        <v>0</v>
      </c>
      <c r="AF694">
        <v>4</v>
      </c>
      <c r="AG694" t="s">
        <v>59</v>
      </c>
      <c r="AH694">
        <v>438183</v>
      </c>
      <c r="AI694" t="s">
        <v>60</v>
      </c>
      <c r="AJ694" t="s">
        <v>60</v>
      </c>
      <c r="AK694" t="s">
        <v>54</v>
      </c>
      <c r="AL694">
        <v>2024</v>
      </c>
      <c r="AM694" s="6" t="s">
        <v>818</v>
      </c>
      <c r="AN694" s="7">
        <v>74.209999999999994</v>
      </c>
      <c r="AO694" s="8">
        <f t="shared" si="33"/>
        <v>139.14374999999998</v>
      </c>
      <c r="AP694" s="8">
        <f t="shared" si="34"/>
        <v>154.58870624999997</v>
      </c>
      <c r="AQ694" s="9">
        <f t="shared" si="32"/>
        <v>225.39896062499994</v>
      </c>
    </row>
    <row r="695" spans="1:43" x14ac:dyDescent="0.25">
      <c r="A695">
        <v>15</v>
      </c>
      <c r="B695">
        <v>4</v>
      </c>
      <c r="C695">
        <v>2024</v>
      </c>
      <c r="D695" t="s">
        <v>43</v>
      </c>
      <c r="E695" t="s">
        <v>63</v>
      </c>
      <c r="F695" t="s">
        <v>64</v>
      </c>
      <c r="G695">
        <v>50</v>
      </c>
      <c r="H695">
        <v>1791882490001</v>
      </c>
      <c r="I695" t="s">
        <v>46</v>
      </c>
      <c r="J695" t="s">
        <v>65</v>
      </c>
      <c r="K695" t="s">
        <v>48</v>
      </c>
      <c r="L695" t="s">
        <v>49</v>
      </c>
      <c r="M695" t="s">
        <v>50</v>
      </c>
      <c r="N695" t="s">
        <v>51</v>
      </c>
      <c r="O695">
        <v>8421999000</v>
      </c>
      <c r="P695" t="s">
        <v>66</v>
      </c>
      <c r="Q695" t="s">
        <v>819</v>
      </c>
      <c r="R695" t="s">
        <v>54</v>
      </c>
      <c r="S695" t="s">
        <v>55</v>
      </c>
      <c r="T695">
        <v>6</v>
      </c>
      <c r="U695">
        <v>2</v>
      </c>
      <c r="V695" t="s">
        <v>135</v>
      </c>
      <c r="W695">
        <v>0</v>
      </c>
      <c r="X695">
        <v>144.1</v>
      </c>
      <c r="Y695">
        <v>15.17</v>
      </c>
      <c r="Z695">
        <v>0.97</v>
      </c>
      <c r="AA695">
        <v>160.24</v>
      </c>
      <c r="AB695" t="s">
        <v>57</v>
      </c>
      <c r="AC695" t="s">
        <v>58</v>
      </c>
      <c r="AD695" t="s">
        <v>48</v>
      </c>
      <c r="AE695">
        <v>0</v>
      </c>
      <c r="AF695">
        <v>1.38</v>
      </c>
      <c r="AG695" t="s">
        <v>59</v>
      </c>
      <c r="AH695">
        <v>443965</v>
      </c>
      <c r="AI695" t="s">
        <v>60</v>
      </c>
      <c r="AJ695" t="s">
        <v>60</v>
      </c>
      <c r="AK695" t="s">
        <v>54</v>
      </c>
      <c r="AL695">
        <v>2024</v>
      </c>
      <c r="AM695" s="6" t="s">
        <v>818</v>
      </c>
      <c r="AN695" s="7">
        <v>72.05</v>
      </c>
      <c r="AO695" s="8">
        <f t="shared" si="33"/>
        <v>135.09375</v>
      </c>
      <c r="AP695" s="8">
        <f t="shared" si="34"/>
        <v>150.08915625</v>
      </c>
      <c r="AQ695" s="9">
        <f t="shared" si="32"/>
        <v>218.83836562499999</v>
      </c>
    </row>
    <row r="696" spans="1:43" x14ac:dyDescent="0.25">
      <c r="A696">
        <v>2</v>
      </c>
      <c r="B696">
        <v>1</v>
      </c>
      <c r="C696">
        <v>2024</v>
      </c>
      <c r="D696" t="s">
        <v>43</v>
      </c>
      <c r="E696" t="s">
        <v>181</v>
      </c>
      <c r="F696" t="s">
        <v>182</v>
      </c>
      <c r="G696">
        <v>28</v>
      </c>
      <c r="H696">
        <v>1791882490001</v>
      </c>
      <c r="I696" t="s">
        <v>46</v>
      </c>
      <c r="J696" t="s">
        <v>65</v>
      </c>
      <c r="K696" t="s">
        <v>48</v>
      </c>
      <c r="L696" t="s">
        <v>49</v>
      </c>
      <c r="M696" t="s">
        <v>50</v>
      </c>
      <c r="N696" t="s">
        <v>51</v>
      </c>
      <c r="O696">
        <v>8421999000</v>
      </c>
      <c r="P696" t="s">
        <v>52</v>
      </c>
      <c r="Q696" t="s">
        <v>261</v>
      </c>
      <c r="R696" t="s">
        <v>54</v>
      </c>
      <c r="S696" t="s">
        <v>55</v>
      </c>
      <c r="T696">
        <v>8</v>
      </c>
      <c r="U696">
        <v>4</v>
      </c>
      <c r="V696" t="s">
        <v>135</v>
      </c>
      <c r="W696">
        <v>0</v>
      </c>
      <c r="X696">
        <v>726.22</v>
      </c>
      <c r="Y696">
        <v>147.56</v>
      </c>
      <c r="Z696">
        <v>4.67</v>
      </c>
      <c r="AA696">
        <v>878.45</v>
      </c>
      <c r="AB696" t="s">
        <v>57</v>
      </c>
      <c r="AC696" t="s">
        <v>81</v>
      </c>
      <c r="AD696" t="s">
        <v>48</v>
      </c>
      <c r="AE696">
        <v>0</v>
      </c>
      <c r="AF696">
        <v>12.96</v>
      </c>
      <c r="AG696" t="s">
        <v>59</v>
      </c>
      <c r="AH696">
        <v>413505</v>
      </c>
      <c r="AI696" t="s">
        <v>60</v>
      </c>
      <c r="AJ696" t="s">
        <v>60</v>
      </c>
      <c r="AK696" t="s">
        <v>54</v>
      </c>
      <c r="AL696">
        <v>2023</v>
      </c>
      <c r="AM696" s="6" t="s">
        <v>820</v>
      </c>
      <c r="AN696" s="7">
        <v>181.55</v>
      </c>
      <c r="AO696" s="8">
        <f t="shared" si="33"/>
        <v>340.40625</v>
      </c>
      <c r="AP696" s="8">
        <f t="shared" si="34"/>
        <v>378.19134374999999</v>
      </c>
      <c r="AQ696" s="9">
        <f t="shared" si="32"/>
        <v>551.42408437500001</v>
      </c>
    </row>
    <row r="697" spans="1:43" x14ac:dyDescent="0.25">
      <c r="A697">
        <v>3</v>
      </c>
      <c r="B697">
        <v>4</v>
      </c>
      <c r="C697">
        <v>2024</v>
      </c>
      <c r="D697" t="s">
        <v>43</v>
      </c>
      <c r="E697" t="s">
        <v>73</v>
      </c>
      <c r="F697" t="s">
        <v>74</v>
      </c>
      <c r="G697">
        <v>37</v>
      </c>
      <c r="H697">
        <v>1791882490001</v>
      </c>
      <c r="I697" t="s">
        <v>46</v>
      </c>
      <c r="J697" t="s">
        <v>65</v>
      </c>
      <c r="K697" t="s">
        <v>48</v>
      </c>
      <c r="L697" t="s">
        <v>49</v>
      </c>
      <c r="M697" t="s">
        <v>50</v>
      </c>
      <c r="N697" t="s">
        <v>51</v>
      </c>
      <c r="O697">
        <v>8421999000</v>
      </c>
      <c r="P697" t="s">
        <v>66</v>
      </c>
      <c r="Q697" t="s">
        <v>786</v>
      </c>
      <c r="R697" t="s">
        <v>54</v>
      </c>
      <c r="S697" t="s">
        <v>55</v>
      </c>
      <c r="T697">
        <v>6</v>
      </c>
      <c r="U697">
        <v>2</v>
      </c>
      <c r="V697" t="s">
        <v>135</v>
      </c>
      <c r="W697">
        <v>0</v>
      </c>
      <c r="X697">
        <v>418.85</v>
      </c>
      <c r="Y697">
        <v>48.92</v>
      </c>
      <c r="Z697">
        <v>2.74</v>
      </c>
      <c r="AA697">
        <v>470.51</v>
      </c>
      <c r="AB697" t="s">
        <v>57</v>
      </c>
      <c r="AC697" t="s">
        <v>58</v>
      </c>
      <c r="AD697" t="s">
        <v>48</v>
      </c>
      <c r="AE697">
        <v>0</v>
      </c>
      <c r="AF697">
        <v>2.67</v>
      </c>
      <c r="AG697" t="s">
        <v>59</v>
      </c>
      <c r="AH697">
        <v>438183</v>
      </c>
      <c r="AI697" t="s">
        <v>60</v>
      </c>
      <c r="AJ697" t="s">
        <v>60</v>
      </c>
      <c r="AK697" t="s">
        <v>54</v>
      </c>
      <c r="AL697">
        <v>2024</v>
      </c>
      <c r="AM697" s="6" t="s">
        <v>820</v>
      </c>
      <c r="AN697" s="7">
        <v>209.42</v>
      </c>
      <c r="AO697" s="8">
        <f t="shared" si="33"/>
        <v>392.66249999999997</v>
      </c>
      <c r="AP697" s="8">
        <f t="shared" si="34"/>
        <v>436.24803749999995</v>
      </c>
      <c r="AQ697" s="9">
        <f t="shared" si="32"/>
        <v>636.07398374999991</v>
      </c>
    </row>
    <row r="698" spans="1:43" x14ac:dyDescent="0.25">
      <c r="A698">
        <v>15</v>
      </c>
      <c r="B698">
        <v>4</v>
      </c>
      <c r="C698">
        <v>2024</v>
      </c>
      <c r="D698" t="s">
        <v>43</v>
      </c>
      <c r="E698" t="s">
        <v>63</v>
      </c>
      <c r="F698" t="s">
        <v>64</v>
      </c>
      <c r="G698">
        <v>51</v>
      </c>
      <c r="H698">
        <v>1791882490001</v>
      </c>
      <c r="I698" t="s">
        <v>46</v>
      </c>
      <c r="J698" t="s">
        <v>65</v>
      </c>
      <c r="K698" t="s">
        <v>48</v>
      </c>
      <c r="L698" t="s">
        <v>49</v>
      </c>
      <c r="M698" t="s">
        <v>50</v>
      </c>
      <c r="N698" t="s">
        <v>51</v>
      </c>
      <c r="O698">
        <v>8421999000</v>
      </c>
      <c r="P698" t="s">
        <v>66</v>
      </c>
      <c r="Q698" t="s">
        <v>261</v>
      </c>
      <c r="R698" t="s">
        <v>54</v>
      </c>
      <c r="S698" t="s">
        <v>55</v>
      </c>
      <c r="T698">
        <v>6</v>
      </c>
      <c r="U698">
        <v>5</v>
      </c>
      <c r="V698" t="s">
        <v>135</v>
      </c>
      <c r="W698">
        <v>0</v>
      </c>
      <c r="X698">
        <v>1016.6</v>
      </c>
      <c r="Y698">
        <v>107.01</v>
      </c>
      <c r="Z698">
        <v>6.82</v>
      </c>
      <c r="AA698">
        <v>1130.44</v>
      </c>
      <c r="AB698" t="s">
        <v>57</v>
      </c>
      <c r="AC698" t="s">
        <v>58</v>
      </c>
      <c r="AD698" t="s">
        <v>48</v>
      </c>
      <c r="AE698">
        <v>0</v>
      </c>
      <c r="AF698">
        <v>9.74</v>
      </c>
      <c r="AG698" t="s">
        <v>59</v>
      </c>
      <c r="AH698">
        <v>443965</v>
      </c>
      <c r="AI698" t="s">
        <v>60</v>
      </c>
      <c r="AJ698" t="s">
        <v>60</v>
      </c>
      <c r="AK698" t="s">
        <v>54</v>
      </c>
      <c r="AL698">
        <v>2024</v>
      </c>
      <c r="AM698" s="6" t="s">
        <v>820</v>
      </c>
      <c r="AN698" s="7">
        <v>203.32</v>
      </c>
      <c r="AO698" s="8">
        <f t="shared" si="33"/>
        <v>381.22499999999997</v>
      </c>
      <c r="AP698" s="8">
        <f t="shared" si="34"/>
        <v>423.54097499999995</v>
      </c>
      <c r="AQ698" s="9">
        <f t="shared" si="32"/>
        <v>617.54637749999995</v>
      </c>
    </row>
    <row r="699" spans="1:43" x14ac:dyDescent="0.25">
      <c r="A699">
        <v>10</v>
      </c>
      <c r="B699">
        <v>10</v>
      </c>
      <c r="C699">
        <v>2024</v>
      </c>
      <c r="D699" t="s">
        <v>43</v>
      </c>
      <c r="E699" t="s">
        <v>44</v>
      </c>
      <c r="F699" t="s">
        <v>45</v>
      </c>
      <c r="G699">
        <v>48</v>
      </c>
      <c r="H699">
        <v>1791882490001</v>
      </c>
      <c r="I699" t="s">
        <v>46</v>
      </c>
      <c r="J699" t="s">
        <v>65</v>
      </c>
      <c r="K699" t="s">
        <v>48</v>
      </c>
      <c r="L699" t="s">
        <v>49</v>
      </c>
      <c r="M699" t="s">
        <v>50</v>
      </c>
      <c r="N699" t="s">
        <v>51</v>
      </c>
      <c r="O699">
        <v>8421999000</v>
      </c>
      <c r="P699" t="s">
        <v>52</v>
      </c>
      <c r="Q699" t="s">
        <v>261</v>
      </c>
      <c r="R699" t="s">
        <v>54</v>
      </c>
      <c r="S699" t="s">
        <v>55</v>
      </c>
      <c r="T699">
        <v>7</v>
      </c>
      <c r="U699">
        <v>4</v>
      </c>
      <c r="V699" t="s">
        <v>135</v>
      </c>
      <c r="W699">
        <v>0</v>
      </c>
      <c r="X699">
        <v>821.84</v>
      </c>
      <c r="Y699">
        <v>143.59</v>
      </c>
      <c r="Z699">
        <v>5.93</v>
      </c>
      <c r="AA699">
        <v>971.36</v>
      </c>
      <c r="AB699" t="s">
        <v>57</v>
      </c>
      <c r="AC699" t="s">
        <v>58</v>
      </c>
      <c r="AD699" t="s">
        <v>48</v>
      </c>
      <c r="AE699">
        <v>0</v>
      </c>
      <c r="AF699">
        <v>8.8699999999999992</v>
      </c>
      <c r="AG699" t="s">
        <v>59</v>
      </c>
      <c r="AH699">
        <v>179772</v>
      </c>
      <c r="AI699" t="s">
        <v>60</v>
      </c>
      <c r="AJ699" t="s">
        <v>60</v>
      </c>
      <c r="AK699" t="s">
        <v>54</v>
      </c>
      <c r="AL699">
        <v>2024</v>
      </c>
      <c r="AM699" s="6" t="s">
        <v>820</v>
      </c>
      <c r="AN699" s="7">
        <v>205.46</v>
      </c>
      <c r="AO699" s="8">
        <f t="shared" si="33"/>
        <v>385.23750000000001</v>
      </c>
      <c r="AP699" s="8">
        <f t="shared" si="34"/>
        <v>427.99886250000003</v>
      </c>
      <c r="AQ699" s="9">
        <f t="shared" si="32"/>
        <v>624.04622625000002</v>
      </c>
    </row>
    <row r="700" spans="1:43" x14ac:dyDescent="0.25">
      <c r="A700">
        <v>16</v>
      </c>
      <c r="B700">
        <v>12</v>
      </c>
      <c r="C700">
        <v>2024</v>
      </c>
      <c r="D700" t="s">
        <v>43</v>
      </c>
      <c r="E700" t="s">
        <v>128</v>
      </c>
      <c r="F700" t="s">
        <v>129</v>
      </c>
      <c r="G700">
        <v>51</v>
      </c>
      <c r="H700">
        <v>1791882490001</v>
      </c>
      <c r="I700" t="s">
        <v>46</v>
      </c>
      <c r="J700" t="s">
        <v>65</v>
      </c>
      <c r="K700" t="s">
        <v>48</v>
      </c>
      <c r="L700" t="s">
        <v>49</v>
      </c>
      <c r="M700" t="s">
        <v>50</v>
      </c>
      <c r="N700" t="s">
        <v>51</v>
      </c>
      <c r="O700">
        <v>8421999000</v>
      </c>
      <c r="P700" t="s">
        <v>52</v>
      </c>
      <c r="Q700" t="s">
        <v>261</v>
      </c>
      <c r="R700" t="s">
        <v>54</v>
      </c>
      <c r="S700" t="s">
        <v>55</v>
      </c>
      <c r="T700">
        <v>9</v>
      </c>
      <c r="U700">
        <v>3</v>
      </c>
      <c r="V700" t="s">
        <v>135</v>
      </c>
      <c r="W700">
        <v>0</v>
      </c>
      <c r="X700">
        <v>616.1</v>
      </c>
      <c r="Y700">
        <v>80.69</v>
      </c>
      <c r="Z700">
        <v>4.22</v>
      </c>
      <c r="AA700">
        <v>701.02</v>
      </c>
      <c r="AB700" t="s">
        <v>57</v>
      </c>
      <c r="AC700" t="s">
        <v>131</v>
      </c>
      <c r="AD700" t="s">
        <v>48</v>
      </c>
      <c r="AE700">
        <v>0</v>
      </c>
      <c r="AF700">
        <v>5.97</v>
      </c>
      <c r="AG700" t="s">
        <v>59</v>
      </c>
      <c r="AH700">
        <v>325395</v>
      </c>
      <c r="AI700" t="s">
        <v>60</v>
      </c>
      <c r="AJ700" t="s">
        <v>78</v>
      </c>
      <c r="AK700" t="s">
        <v>54</v>
      </c>
      <c r="AL700">
        <v>2024</v>
      </c>
      <c r="AM700" s="6" t="s">
        <v>820</v>
      </c>
      <c r="AN700" s="7">
        <v>205.37</v>
      </c>
      <c r="AO700" s="8">
        <f t="shared" si="33"/>
        <v>385.06875000000002</v>
      </c>
      <c r="AP700" s="8">
        <f t="shared" si="34"/>
        <v>427.81138125000001</v>
      </c>
      <c r="AQ700" s="9">
        <f t="shared" si="32"/>
        <v>623.77286812499995</v>
      </c>
    </row>
    <row r="701" spans="1:43" x14ac:dyDescent="0.25">
      <c r="A701">
        <v>26</v>
      </c>
      <c r="B701">
        <v>12</v>
      </c>
      <c r="C701">
        <v>2024</v>
      </c>
      <c r="D701" t="s">
        <v>43</v>
      </c>
      <c r="E701" t="s">
        <v>222</v>
      </c>
      <c r="F701" t="s">
        <v>223</v>
      </c>
      <c r="G701">
        <v>36</v>
      </c>
      <c r="H701">
        <v>1791882490001</v>
      </c>
      <c r="I701" t="s">
        <v>46</v>
      </c>
      <c r="J701" t="s">
        <v>65</v>
      </c>
      <c r="K701" t="s">
        <v>48</v>
      </c>
      <c r="L701" t="s">
        <v>49</v>
      </c>
      <c r="M701" t="s">
        <v>50</v>
      </c>
      <c r="N701" t="s">
        <v>224</v>
      </c>
      <c r="O701">
        <v>8421999000</v>
      </c>
      <c r="P701" t="s">
        <v>52</v>
      </c>
      <c r="Q701" t="s">
        <v>261</v>
      </c>
      <c r="R701" t="s">
        <v>54</v>
      </c>
      <c r="S701" t="s">
        <v>55</v>
      </c>
      <c r="T701">
        <v>8</v>
      </c>
      <c r="U701">
        <v>8</v>
      </c>
      <c r="V701" t="s">
        <v>135</v>
      </c>
      <c r="W701">
        <v>0</v>
      </c>
      <c r="X701">
        <v>1662.48</v>
      </c>
      <c r="Y701">
        <v>344.29</v>
      </c>
      <c r="Z701">
        <v>16.63</v>
      </c>
      <c r="AA701">
        <v>2023.4</v>
      </c>
      <c r="AB701" t="s">
        <v>57</v>
      </c>
      <c r="AC701" t="s">
        <v>225</v>
      </c>
      <c r="AD701" t="s">
        <v>48</v>
      </c>
      <c r="AE701">
        <v>0</v>
      </c>
      <c r="AF701">
        <v>16.48</v>
      </c>
      <c r="AG701" t="s">
        <v>59</v>
      </c>
      <c r="AH701">
        <v>341996</v>
      </c>
      <c r="AI701" t="s">
        <v>60</v>
      </c>
      <c r="AJ701" t="s">
        <v>60</v>
      </c>
      <c r="AK701" t="s">
        <v>54</v>
      </c>
      <c r="AL701">
        <v>2024</v>
      </c>
      <c r="AM701" s="6" t="s">
        <v>820</v>
      </c>
      <c r="AN701" s="7">
        <v>207.81</v>
      </c>
      <c r="AO701" s="8">
        <f t="shared" si="33"/>
        <v>389.64375000000001</v>
      </c>
      <c r="AP701" s="8">
        <f t="shared" si="34"/>
        <v>432.89420625000002</v>
      </c>
      <c r="AQ701" s="9">
        <f t="shared" si="32"/>
        <v>631.18391062499995</v>
      </c>
    </row>
    <row r="702" spans="1:43" x14ac:dyDescent="0.25">
      <c r="A702">
        <v>8</v>
      </c>
      <c r="B702">
        <v>7</v>
      </c>
      <c r="C702">
        <v>2024</v>
      </c>
      <c r="D702" t="s">
        <v>43</v>
      </c>
      <c r="E702" t="s">
        <v>75</v>
      </c>
      <c r="F702" t="s">
        <v>76</v>
      </c>
      <c r="G702">
        <v>51</v>
      </c>
      <c r="H702">
        <v>1791882490001</v>
      </c>
      <c r="I702" t="s">
        <v>46</v>
      </c>
      <c r="J702" t="s">
        <v>48</v>
      </c>
      <c r="K702" t="s">
        <v>48</v>
      </c>
      <c r="L702" t="s">
        <v>49</v>
      </c>
      <c r="M702" t="s">
        <v>50</v>
      </c>
      <c r="N702" t="s">
        <v>51</v>
      </c>
      <c r="O702">
        <v>8421999000</v>
      </c>
      <c r="P702" t="s">
        <v>66</v>
      </c>
      <c r="Q702" t="s">
        <v>477</v>
      </c>
      <c r="R702" t="s">
        <v>54</v>
      </c>
      <c r="S702" t="s">
        <v>55</v>
      </c>
      <c r="T702">
        <v>8</v>
      </c>
      <c r="U702">
        <v>5</v>
      </c>
      <c r="V702" t="s">
        <v>135</v>
      </c>
      <c r="W702">
        <v>0</v>
      </c>
      <c r="X702">
        <v>490.87</v>
      </c>
      <c r="Y702">
        <v>41.93</v>
      </c>
      <c r="Z702">
        <v>3.19</v>
      </c>
      <c r="AA702">
        <v>535.99</v>
      </c>
      <c r="AB702" t="s">
        <v>57</v>
      </c>
      <c r="AC702" t="s">
        <v>77</v>
      </c>
      <c r="AD702" t="s">
        <v>48</v>
      </c>
      <c r="AE702">
        <v>0</v>
      </c>
      <c r="AF702">
        <v>3.25</v>
      </c>
      <c r="AG702" t="s">
        <v>59</v>
      </c>
      <c r="AH702">
        <v>107711</v>
      </c>
      <c r="AI702" t="s">
        <v>60</v>
      </c>
      <c r="AJ702" t="s">
        <v>78</v>
      </c>
      <c r="AK702" t="s">
        <v>54</v>
      </c>
      <c r="AL702">
        <v>2024</v>
      </c>
      <c r="AM702" s="6" t="s">
        <v>821</v>
      </c>
      <c r="AN702" s="7">
        <v>98.17</v>
      </c>
      <c r="AO702" s="8">
        <f t="shared" si="33"/>
        <v>184.06874999999999</v>
      </c>
      <c r="AP702" s="8">
        <f t="shared" si="34"/>
        <v>204.50038125</v>
      </c>
      <c r="AQ702" s="9">
        <f t="shared" si="32"/>
        <v>298.17296812499995</v>
      </c>
    </row>
    <row r="703" spans="1:43" x14ac:dyDescent="0.25">
      <c r="A703">
        <v>8</v>
      </c>
      <c r="B703">
        <v>7</v>
      </c>
      <c r="C703">
        <v>2024</v>
      </c>
      <c r="D703" t="s">
        <v>43</v>
      </c>
      <c r="E703" t="s">
        <v>75</v>
      </c>
      <c r="F703" t="s">
        <v>76</v>
      </c>
      <c r="G703">
        <v>51</v>
      </c>
      <c r="H703">
        <v>1791882490001</v>
      </c>
      <c r="I703" t="s">
        <v>46</v>
      </c>
      <c r="J703" t="s">
        <v>48</v>
      </c>
      <c r="K703" t="s">
        <v>48</v>
      </c>
      <c r="L703" t="s">
        <v>49</v>
      </c>
      <c r="M703" t="s">
        <v>50</v>
      </c>
      <c r="N703" t="s">
        <v>51</v>
      </c>
      <c r="O703">
        <v>8421999000</v>
      </c>
      <c r="P703" t="s">
        <v>66</v>
      </c>
      <c r="Q703" t="s">
        <v>477</v>
      </c>
      <c r="R703" t="s">
        <v>54</v>
      </c>
      <c r="S703" t="s">
        <v>55</v>
      </c>
      <c r="T703">
        <v>8</v>
      </c>
      <c r="U703">
        <v>5</v>
      </c>
      <c r="V703" t="s">
        <v>135</v>
      </c>
      <c r="W703">
        <v>0</v>
      </c>
      <c r="X703">
        <v>490.87</v>
      </c>
      <c r="Y703">
        <v>41.93</v>
      </c>
      <c r="Z703">
        <v>3.19</v>
      </c>
      <c r="AA703">
        <v>535.99</v>
      </c>
      <c r="AB703" t="s">
        <v>57</v>
      </c>
      <c r="AC703" t="s">
        <v>77</v>
      </c>
      <c r="AD703" t="s">
        <v>48</v>
      </c>
      <c r="AE703">
        <v>0</v>
      </c>
      <c r="AF703">
        <v>3.25</v>
      </c>
      <c r="AG703" t="s">
        <v>59</v>
      </c>
      <c r="AH703">
        <v>107711</v>
      </c>
      <c r="AI703" t="s">
        <v>60</v>
      </c>
      <c r="AJ703" t="s">
        <v>78</v>
      </c>
      <c r="AK703" t="s">
        <v>54</v>
      </c>
      <c r="AL703">
        <v>2024</v>
      </c>
      <c r="AM703" s="6" t="s">
        <v>821</v>
      </c>
      <c r="AN703" s="7">
        <v>98.17</v>
      </c>
      <c r="AO703" s="8">
        <f t="shared" si="33"/>
        <v>184.06874999999999</v>
      </c>
      <c r="AP703" s="8">
        <f t="shared" si="34"/>
        <v>204.50038125</v>
      </c>
      <c r="AQ703" s="9">
        <f t="shared" si="32"/>
        <v>298.17296812499995</v>
      </c>
    </row>
    <row r="704" spans="1:43" x14ac:dyDescent="0.25">
      <c r="A704">
        <v>3</v>
      </c>
      <c r="B704">
        <v>4</v>
      </c>
      <c r="C704">
        <v>2024</v>
      </c>
      <c r="D704" t="s">
        <v>43</v>
      </c>
      <c r="E704" t="s">
        <v>73</v>
      </c>
      <c r="F704" t="s">
        <v>74</v>
      </c>
      <c r="G704">
        <v>38</v>
      </c>
      <c r="H704">
        <v>1791882490001</v>
      </c>
      <c r="I704" t="s">
        <v>46</v>
      </c>
      <c r="J704" t="s">
        <v>65</v>
      </c>
      <c r="K704" t="s">
        <v>48</v>
      </c>
      <c r="L704" t="s">
        <v>49</v>
      </c>
      <c r="M704" t="s">
        <v>50</v>
      </c>
      <c r="N704" t="s">
        <v>51</v>
      </c>
      <c r="O704">
        <v>8421999000</v>
      </c>
      <c r="P704" t="s">
        <v>66</v>
      </c>
      <c r="Q704" t="s">
        <v>477</v>
      </c>
      <c r="R704" t="s">
        <v>54</v>
      </c>
      <c r="S704" t="s">
        <v>55</v>
      </c>
      <c r="T704">
        <v>6</v>
      </c>
      <c r="U704">
        <v>2</v>
      </c>
      <c r="V704" t="s">
        <v>135</v>
      </c>
      <c r="W704">
        <v>0</v>
      </c>
      <c r="X704">
        <v>282.32</v>
      </c>
      <c r="Y704">
        <v>32.979999999999997</v>
      </c>
      <c r="Z704">
        <v>1.85</v>
      </c>
      <c r="AA704">
        <v>317.14999999999998</v>
      </c>
      <c r="AB704" t="s">
        <v>57</v>
      </c>
      <c r="AC704" t="s">
        <v>58</v>
      </c>
      <c r="AD704" t="s">
        <v>48</v>
      </c>
      <c r="AE704">
        <v>0</v>
      </c>
      <c r="AF704">
        <v>2.67</v>
      </c>
      <c r="AG704" t="s">
        <v>59</v>
      </c>
      <c r="AH704">
        <v>438183</v>
      </c>
      <c r="AI704" t="s">
        <v>60</v>
      </c>
      <c r="AJ704" t="s">
        <v>60</v>
      </c>
      <c r="AK704" t="s">
        <v>54</v>
      </c>
      <c r="AL704">
        <v>2024</v>
      </c>
      <c r="AM704" s="6" t="s">
        <v>822</v>
      </c>
      <c r="AN704" s="7">
        <v>141.16</v>
      </c>
      <c r="AO704" s="8">
        <f t="shared" si="33"/>
        <v>264.67500000000001</v>
      </c>
      <c r="AP704" s="8">
        <f t="shared" si="34"/>
        <v>294.05392499999999</v>
      </c>
      <c r="AQ704" s="9">
        <f t="shared" si="32"/>
        <v>428.74703249999999</v>
      </c>
    </row>
    <row r="705" spans="1:43" x14ac:dyDescent="0.25">
      <c r="A705">
        <v>8</v>
      </c>
      <c r="B705">
        <v>7</v>
      </c>
      <c r="C705">
        <v>2024</v>
      </c>
      <c r="D705" t="s">
        <v>43</v>
      </c>
      <c r="E705" t="s">
        <v>75</v>
      </c>
      <c r="F705" t="s">
        <v>76</v>
      </c>
      <c r="G705">
        <v>52</v>
      </c>
      <c r="H705">
        <v>1791882490001</v>
      </c>
      <c r="I705" t="s">
        <v>46</v>
      </c>
      <c r="J705" t="s">
        <v>48</v>
      </c>
      <c r="K705" t="s">
        <v>48</v>
      </c>
      <c r="L705" t="s">
        <v>49</v>
      </c>
      <c r="M705" t="s">
        <v>50</v>
      </c>
      <c r="N705" t="s">
        <v>51</v>
      </c>
      <c r="O705">
        <v>8421999000</v>
      </c>
      <c r="P705" t="s">
        <v>66</v>
      </c>
      <c r="Q705" t="s">
        <v>477</v>
      </c>
      <c r="R705" t="s">
        <v>54</v>
      </c>
      <c r="S705" t="s">
        <v>55</v>
      </c>
      <c r="T705">
        <v>8</v>
      </c>
      <c r="U705">
        <v>3</v>
      </c>
      <c r="V705" t="s">
        <v>135</v>
      </c>
      <c r="W705">
        <v>0</v>
      </c>
      <c r="X705">
        <v>426.73</v>
      </c>
      <c r="Y705">
        <v>36.44</v>
      </c>
      <c r="Z705">
        <v>2.78</v>
      </c>
      <c r="AA705">
        <v>465.95</v>
      </c>
      <c r="AB705" t="s">
        <v>57</v>
      </c>
      <c r="AC705" t="s">
        <v>77</v>
      </c>
      <c r="AD705" t="s">
        <v>48</v>
      </c>
      <c r="AE705">
        <v>0</v>
      </c>
      <c r="AF705">
        <v>2.82</v>
      </c>
      <c r="AG705" t="s">
        <v>59</v>
      </c>
      <c r="AH705">
        <v>107711</v>
      </c>
      <c r="AI705" t="s">
        <v>60</v>
      </c>
      <c r="AJ705" t="s">
        <v>78</v>
      </c>
      <c r="AK705" t="s">
        <v>54</v>
      </c>
      <c r="AL705">
        <v>2024</v>
      </c>
      <c r="AM705" s="6" t="s">
        <v>822</v>
      </c>
      <c r="AN705" s="7">
        <v>142.24</v>
      </c>
      <c r="AO705" s="8">
        <f t="shared" si="33"/>
        <v>266.70000000000005</v>
      </c>
      <c r="AP705" s="8">
        <f t="shared" si="34"/>
        <v>296.30370000000005</v>
      </c>
      <c r="AQ705" s="9">
        <f t="shared" si="32"/>
        <v>432.02733000000006</v>
      </c>
    </row>
    <row r="706" spans="1:43" x14ac:dyDescent="0.25">
      <c r="A706">
        <v>8</v>
      </c>
      <c r="B706">
        <v>7</v>
      </c>
      <c r="C706">
        <v>2024</v>
      </c>
      <c r="D706" t="s">
        <v>43</v>
      </c>
      <c r="E706" t="s">
        <v>75</v>
      </c>
      <c r="F706" t="s">
        <v>76</v>
      </c>
      <c r="G706">
        <v>52</v>
      </c>
      <c r="H706">
        <v>1791882490001</v>
      </c>
      <c r="I706" t="s">
        <v>46</v>
      </c>
      <c r="J706" t="s">
        <v>48</v>
      </c>
      <c r="K706" t="s">
        <v>48</v>
      </c>
      <c r="L706" t="s">
        <v>49</v>
      </c>
      <c r="M706" t="s">
        <v>50</v>
      </c>
      <c r="N706" t="s">
        <v>51</v>
      </c>
      <c r="O706">
        <v>8421999000</v>
      </c>
      <c r="P706" t="s">
        <v>66</v>
      </c>
      <c r="Q706" t="s">
        <v>477</v>
      </c>
      <c r="R706" t="s">
        <v>54</v>
      </c>
      <c r="S706" t="s">
        <v>55</v>
      </c>
      <c r="T706">
        <v>8</v>
      </c>
      <c r="U706">
        <v>3</v>
      </c>
      <c r="V706" t="s">
        <v>135</v>
      </c>
      <c r="W706">
        <v>0</v>
      </c>
      <c r="X706">
        <v>426.73</v>
      </c>
      <c r="Y706">
        <v>36.44</v>
      </c>
      <c r="Z706">
        <v>2.78</v>
      </c>
      <c r="AA706">
        <v>465.95</v>
      </c>
      <c r="AB706" t="s">
        <v>57</v>
      </c>
      <c r="AC706" t="s">
        <v>77</v>
      </c>
      <c r="AD706" t="s">
        <v>48</v>
      </c>
      <c r="AE706">
        <v>0</v>
      </c>
      <c r="AF706">
        <v>2.82</v>
      </c>
      <c r="AG706" t="s">
        <v>59</v>
      </c>
      <c r="AH706">
        <v>107711</v>
      </c>
      <c r="AI706" t="s">
        <v>60</v>
      </c>
      <c r="AJ706" t="s">
        <v>78</v>
      </c>
      <c r="AK706" t="s">
        <v>54</v>
      </c>
      <c r="AL706">
        <v>2024</v>
      </c>
      <c r="AM706" s="6" t="s">
        <v>822</v>
      </c>
      <c r="AN706" s="7">
        <v>142.24</v>
      </c>
      <c r="AO706" s="8">
        <f t="shared" si="33"/>
        <v>266.70000000000005</v>
      </c>
      <c r="AP706" s="8">
        <f t="shared" si="34"/>
        <v>296.30370000000005</v>
      </c>
      <c r="AQ706" s="9">
        <f t="shared" si="32"/>
        <v>432.02733000000006</v>
      </c>
    </row>
    <row r="707" spans="1:43" x14ac:dyDescent="0.25">
      <c r="A707">
        <v>16</v>
      </c>
      <c r="B707">
        <v>12</v>
      </c>
      <c r="C707">
        <v>2024</v>
      </c>
      <c r="D707" t="s">
        <v>43</v>
      </c>
      <c r="E707" t="s">
        <v>128</v>
      </c>
      <c r="F707" t="s">
        <v>129</v>
      </c>
      <c r="G707">
        <v>52</v>
      </c>
      <c r="H707">
        <v>1791882490001</v>
      </c>
      <c r="I707" t="s">
        <v>46</v>
      </c>
      <c r="J707" t="s">
        <v>425</v>
      </c>
      <c r="K707" t="s">
        <v>48</v>
      </c>
      <c r="L707" t="s">
        <v>49</v>
      </c>
      <c r="M707" t="s">
        <v>50</v>
      </c>
      <c r="N707" t="s">
        <v>51</v>
      </c>
      <c r="O707">
        <v>8421999000</v>
      </c>
      <c r="P707" t="s">
        <v>52</v>
      </c>
      <c r="Q707" t="s">
        <v>823</v>
      </c>
      <c r="R707" t="s">
        <v>54</v>
      </c>
      <c r="S707" t="s">
        <v>55</v>
      </c>
      <c r="T707">
        <v>9</v>
      </c>
      <c r="U707">
        <v>3</v>
      </c>
      <c r="V707" t="s">
        <v>135</v>
      </c>
      <c r="W707">
        <v>0</v>
      </c>
      <c r="X707">
        <v>415.19</v>
      </c>
      <c r="Y707">
        <v>54.38</v>
      </c>
      <c r="Z707">
        <v>2.85</v>
      </c>
      <c r="AA707">
        <v>472.41</v>
      </c>
      <c r="AB707" t="s">
        <v>57</v>
      </c>
      <c r="AC707" t="s">
        <v>131</v>
      </c>
      <c r="AD707" t="s">
        <v>48</v>
      </c>
      <c r="AE707">
        <v>0</v>
      </c>
      <c r="AF707">
        <v>5.97</v>
      </c>
      <c r="AG707" t="s">
        <v>59</v>
      </c>
      <c r="AH707">
        <v>325395</v>
      </c>
      <c r="AI707" t="s">
        <v>60</v>
      </c>
      <c r="AJ707" t="s">
        <v>78</v>
      </c>
      <c r="AK707" t="s">
        <v>54</v>
      </c>
      <c r="AL707">
        <v>2024</v>
      </c>
      <c r="AM707" s="6" t="s">
        <v>822</v>
      </c>
      <c r="AN707" s="7">
        <v>138.4</v>
      </c>
      <c r="AO707" s="8">
        <f t="shared" si="33"/>
        <v>259.5</v>
      </c>
      <c r="AP707" s="8">
        <f t="shared" si="34"/>
        <v>288.30450000000002</v>
      </c>
      <c r="AQ707" s="9">
        <f t="shared" ref="AQ707:AQ770" si="35">SUM(AO707)*1.6199</f>
        <v>420.36404999999996</v>
      </c>
    </row>
    <row r="708" spans="1:43" x14ac:dyDescent="0.25">
      <c r="A708">
        <v>26</v>
      </c>
      <c r="B708">
        <v>12</v>
      </c>
      <c r="C708">
        <v>2024</v>
      </c>
      <c r="D708" t="s">
        <v>43</v>
      </c>
      <c r="E708" t="s">
        <v>222</v>
      </c>
      <c r="F708" t="s">
        <v>223</v>
      </c>
      <c r="G708">
        <v>37</v>
      </c>
      <c r="H708">
        <v>1791882490001</v>
      </c>
      <c r="I708" t="s">
        <v>46</v>
      </c>
      <c r="J708" t="s">
        <v>425</v>
      </c>
      <c r="K708" t="s">
        <v>48</v>
      </c>
      <c r="L708" t="s">
        <v>49</v>
      </c>
      <c r="M708" t="s">
        <v>50</v>
      </c>
      <c r="N708" t="s">
        <v>224</v>
      </c>
      <c r="O708">
        <v>8421999000</v>
      </c>
      <c r="P708" t="s">
        <v>52</v>
      </c>
      <c r="Q708" t="s">
        <v>824</v>
      </c>
      <c r="R708" t="s">
        <v>54</v>
      </c>
      <c r="S708" t="s">
        <v>55</v>
      </c>
      <c r="T708">
        <v>8</v>
      </c>
      <c r="U708">
        <v>2</v>
      </c>
      <c r="V708" t="s">
        <v>135</v>
      </c>
      <c r="W708">
        <v>0</v>
      </c>
      <c r="X708">
        <v>454.45</v>
      </c>
      <c r="Y708">
        <v>94.11</v>
      </c>
      <c r="Z708">
        <v>4.55</v>
      </c>
      <c r="AA708">
        <v>553.11</v>
      </c>
      <c r="AB708" t="s">
        <v>57</v>
      </c>
      <c r="AC708" t="s">
        <v>225</v>
      </c>
      <c r="AD708" t="s">
        <v>48</v>
      </c>
      <c r="AE708">
        <v>0</v>
      </c>
      <c r="AF708">
        <v>4.12</v>
      </c>
      <c r="AG708" t="s">
        <v>59</v>
      </c>
      <c r="AH708">
        <v>341996</v>
      </c>
      <c r="AI708" t="s">
        <v>60</v>
      </c>
      <c r="AJ708" t="s">
        <v>60</v>
      </c>
      <c r="AK708" t="s">
        <v>54</v>
      </c>
      <c r="AL708">
        <v>2024</v>
      </c>
      <c r="AM708" s="6" t="s">
        <v>825</v>
      </c>
      <c r="AN708" s="7">
        <v>227.23</v>
      </c>
      <c r="AO708" s="8">
        <f t="shared" si="33"/>
        <v>426.05624999999998</v>
      </c>
      <c r="AP708" s="8">
        <f t="shared" si="34"/>
        <v>473.34849374999999</v>
      </c>
      <c r="AQ708" s="9">
        <f t="shared" si="35"/>
        <v>690.16851937499996</v>
      </c>
    </row>
    <row r="709" spans="1:43" x14ac:dyDescent="0.25">
      <c r="A709">
        <v>1</v>
      </c>
      <c r="B709">
        <v>2</v>
      </c>
      <c r="C709">
        <v>2024</v>
      </c>
      <c r="D709" t="s">
        <v>43</v>
      </c>
      <c r="E709" t="s">
        <v>174</v>
      </c>
      <c r="F709" t="s">
        <v>175</v>
      </c>
      <c r="G709">
        <v>29</v>
      </c>
      <c r="H709">
        <v>1791882490001</v>
      </c>
      <c r="I709" t="s">
        <v>46</v>
      </c>
      <c r="J709" t="s">
        <v>48</v>
      </c>
      <c r="K709" t="s">
        <v>48</v>
      </c>
      <c r="L709" t="s">
        <v>49</v>
      </c>
      <c r="M709" t="s">
        <v>50</v>
      </c>
      <c r="N709" t="s">
        <v>51</v>
      </c>
      <c r="O709">
        <v>8481300000</v>
      </c>
      <c r="P709" t="s">
        <v>203</v>
      </c>
      <c r="Q709" t="s">
        <v>740</v>
      </c>
      <c r="R709" t="s">
        <v>54</v>
      </c>
      <c r="S709" t="s">
        <v>55</v>
      </c>
      <c r="T709">
        <v>5</v>
      </c>
      <c r="U709">
        <v>5</v>
      </c>
      <c r="V709" t="s">
        <v>135</v>
      </c>
      <c r="W709">
        <v>0</v>
      </c>
      <c r="X709">
        <v>203.99</v>
      </c>
      <c r="Y709">
        <v>15.16</v>
      </c>
      <c r="Z709">
        <v>1.22</v>
      </c>
      <c r="AA709">
        <v>220.37</v>
      </c>
      <c r="AB709" t="s">
        <v>54</v>
      </c>
      <c r="AC709" t="s">
        <v>94</v>
      </c>
      <c r="AD709" t="s">
        <v>48</v>
      </c>
      <c r="AE709">
        <v>0</v>
      </c>
      <c r="AF709">
        <v>9.92</v>
      </c>
      <c r="AG709" t="s">
        <v>59</v>
      </c>
      <c r="AH709">
        <v>863266</v>
      </c>
      <c r="AI709" t="s">
        <v>60</v>
      </c>
      <c r="AJ709" t="s">
        <v>60</v>
      </c>
      <c r="AK709" t="s">
        <v>54</v>
      </c>
      <c r="AL709">
        <v>2023</v>
      </c>
      <c r="AM709" s="6" t="s">
        <v>826</v>
      </c>
      <c r="AN709" s="7">
        <v>40.799999999999997</v>
      </c>
      <c r="AO709" s="8">
        <f t="shared" si="33"/>
        <v>76.5</v>
      </c>
      <c r="AP709" s="8">
        <f t="shared" si="34"/>
        <v>84.991500000000002</v>
      </c>
      <c r="AQ709" s="9">
        <f t="shared" si="35"/>
        <v>123.92234999999999</v>
      </c>
    </row>
    <row r="710" spans="1:43" x14ac:dyDescent="0.25">
      <c r="A710">
        <v>19</v>
      </c>
      <c r="B710">
        <v>8</v>
      </c>
      <c r="C710">
        <v>2024</v>
      </c>
      <c r="D710" t="s">
        <v>43</v>
      </c>
      <c r="E710" t="s">
        <v>84</v>
      </c>
      <c r="F710" t="s">
        <v>85</v>
      </c>
      <c r="G710">
        <v>37</v>
      </c>
      <c r="H710">
        <v>1791882490001</v>
      </c>
      <c r="I710" t="s">
        <v>46</v>
      </c>
      <c r="J710" t="s">
        <v>48</v>
      </c>
      <c r="K710" t="s">
        <v>48</v>
      </c>
      <c r="L710" t="s">
        <v>49</v>
      </c>
      <c r="M710" t="s">
        <v>50</v>
      </c>
      <c r="N710" t="s">
        <v>51</v>
      </c>
      <c r="O710">
        <v>8481300000</v>
      </c>
      <c r="P710" t="s">
        <v>203</v>
      </c>
      <c r="Q710" t="s">
        <v>827</v>
      </c>
      <c r="R710" t="s">
        <v>54</v>
      </c>
      <c r="S710" t="s">
        <v>55</v>
      </c>
      <c r="T710">
        <v>6</v>
      </c>
      <c r="U710">
        <v>5</v>
      </c>
      <c r="V710" t="s">
        <v>135</v>
      </c>
      <c r="W710">
        <v>0</v>
      </c>
      <c r="X710">
        <v>214.39</v>
      </c>
      <c r="Y710">
        <v>27.66</v>
      </c>
      <c r="Z710">
        <v>1.47</v>
      </c>
      <c r="AA710">
        <v>243.52</v>
      </c>
      <c r="AB710" t="s">
        <v>57</v>
      </c>
      <c r="AC710" t="s">
        <v>58</v>
      </c>
      <c r="AD710" t="s">
        <v>48</v>
      </c>
      <c r="AE710">
        <v>0</v>
      </c>
      <c r="AF710">
        <v>6.98</v>
      </c>
      <c r="AG710" t="s">
        <v>59</v>
      </c>
      <c r="AH710">
        <v>144527</v>
      </c>
      <c r="AI710" t="s">
        <v>60</v>
      </c>
      <c r="AJ710" t="s">
        <v>60</v>
      </c>
      <c r="AK710" t="s">
        <v>54</v>
      </c>
      <c r="AL710">
        <v>2024</v>
      </c>
      <c r="AM710" s="6" t="s">
        <v>826</v>
      </c>
      <c r="AN710" s="7">
        <v>42.88</v>
      </c>
      <c r="AO710" s="8">
        <f t="shared" si="33"/>
        <v>80.400000000000006</v>
      </c>
      <c r="AP710" s="8">
        <f t="shared" si="34"/>
        <v>89.324400000000011</v>
      </c>
      <c r="AQ710" s="9">
        <f t="shared" si="35"/>
        <v>130.23996</v>
      </c>
    </row>
    <row r="711" spans="1:43" x14ac:dyDescent="0.25">
      <c r="A711">
        <v>3</v>
      </c>
      <c r="B711">
        <v>4</v>
      </c>
      <c r="C711">
        <v>2024</v>
      </c>
      <c r="D711" t="s">
        <v>43</v>
      </c>
      <c r="E711" t="s">
        <v>73</v>
      </c>
      <c r="F711" t="s">
        <v>74</v>
      </c>
      <c r="G711">
        <v>39</v>
      </c>
      <c r="H711">
        <v>1791882490001</v>
      </c>
      <c r="I711" t="s">
        <v>46</v>
      </c>
      <c r="J711" t="s">
        <v>48</v>
      </c>
      <c r="K711" t="s">
        <v>48</v>
      </c>
      <c r="L711" t="s">
        <v>49</v>
      </c>
      <c r="M711" t="s">
        <v>50</v>
      </c>
      <c r="N711" t="s">
        <v>51</v>
      </c>
      <c r="O711">
        <v>8421392000</v>
      </c>
      <c r="P711" t="s">
        <v>253</v>
      </c>
      <c r="Q711" t="s">
        <v>828</v>
      </c>
      <c r="R711" t="s">
        <v>54</v>
      </c>
      <c r="S711" t="s">
        <v>55</v>
      </c>
      <c r="T711">
        <v>6</v>
      </c>
      <c r="U711">
        <v>4</v>
      </c>
      <c r="V711" t="s">
        <v>135</v>
      </c>
      <c r="W711">
        <v>0</v>
      </c>
      <c r="X711">
        <v>164.72</v>
      </c>
      <c r="Y711">
        <v>19.239999999999998</v>
      </c>
      <c r="Z711">
        <v>1.08</v>
      </c>
      <c r="AA711">
        <v>185.04</v>
      </c>
      <c r="AB711" t="s">
        <v>57</v>
      </c>
      <c r="AC711" t="s">
        <v>58</v>
      </c>
      <c r="AD711" t="s">
        <v>48</v>
      </c>
      <c r="AE711">
        <v>0</v>
      </c>
      <c r="AF711">
        <v>5.33</v>
      </c>
      <c r="AG711" t="s">
        <v>59</v>
      </c>
      <c r="AH711">
        <v>438183</v>
      </c>
      <c r="AI711" t="s">
        <v>60</v>
      </c>
      <c r="AJ711" t="s">
        <v>60</v>
      </c>
      <c r="AK711" t="s">
        <v>54</v>
      </c>
      <c r="AL711">
        <v>2024</v>
      </c>
      <c r="AM711" s="6" t="s">
        <v>829</v>
      </c>
      <c r="AN711" s="7">
        <v>41.18</v>
      </c>
      <c r="AO711" s="8">
        <f t="shared" si="33"/>
        <v>77.212500000000006</v>
      </c>
      <c r="AP711" s="8">
        <f t="shared" si="34"/>
        <v>85.783087500000008</v>
      </c>
      <c r="AQ711" s="9">
        <f t="shared" si="35"/>
        <v>125.07652874999999</v>
      </c>
    </row>
    <row r="712" spans="1:43" x14ac:dyDescent="0.25">
      <c r="A712">
        <v>15</v>
      </c>
      <c r="B712">
        <v>4</v>
      </c>
      <c r="C712">
        <v>2024</v>
      </c>
      <c r="D712" t="s">
        <v>43</v>
      </c>
      <c r="E712" t="s">
        <v>63</v>
      </c>
      <c r="F712" t="s">
        <v>64</v>
      </c>
      <c r="G712">
        <v>52</v>
      </c>
      <c r="H712">
        <v>1791882490001</v>
      </c>
      <c r="I712" t="s">
        <v>46</v>
      </c>
      <c r="J712" t="s">
        <v>48</v>
      </c>
      <c r="K712" t="s">
        <v>48</v>
      </c>
      <c r="L712" t="s">
        <v>49</v>
      </c>
      <c r="M712" t="s">
        <v>50</v>
      </c>
      <c r="N712" t="s">
        <v>51</v>
      </c>
      <c r="O712">
        <v>8421392000</v>
      </c>
      <c r="P712" t="s">
        <v>253</v>
      </c>
      <c r="Q712" t="s">
        <v>830</v>
      </c>
      <c r="R712" t="s">
        <v>54</v>
      </c>
      <c r="S712" t="s">
        <v>55</v>
      </c>
      <c r="T712">
        <v>6</v>
      </c>
      <c r="U712">
        <v>3</v>
      </c>
      <c r="V712" t="s">
        <v>135</v>
      </c>
      <c r="W712">
        <v>0</v>
      </c>
      <c r="X712">
        <v>119.94</v>
      </c>
      <c r="Y712">
        <v>12.63</v>
      </c>
      <c r="Z712">
        <v>0.81</v>
      </c>
      <c r="AA712">
        <v>133.37</v>
      </c>
      <c r="AB712" t="s">
        <v>57</v>
      </c>
      <c r="AC712" t="s">
        <v>58</v>
      </c>
      <c r="AD712" t="s">
        <v>48</v>
      </c>
      <c r="AE712">
        <v>0</v>
      </c>
      <c r="AF712">
        <v>1.1499999999999999</v>
      </c>
      <c r="AG712" t="s">
        <v>59</v>
      </c>
      <c r="AH712">
        <v>443965</v>
      </c>
      <c r="AI712" t="s">
        <v>60</v>
      </c>
      <c r="AJ712" t="s">
        <v>60</v>
      </c>
      <c r="AK712" t="s">
        <v>54</v>
      </c>
      <c r="AL712">
        <v>2024</v>
      </c>
      <c r="AM712" s="6" t="s">
        <v>829</v>
      </c>
      <c r="AN712" s="7">
        <v>39.979999999999997</v>
      </c>
      <c r="AO712" s="8">
        <f t="shared" si="33"/>
        <v>74.962499999999991</v>
      </c>
      <c r="AP712" s="8">
        <f t="shared" si="34"/>
        <v>83.283337499999988</v>
      </c>
      <c r="AQ712" s="9">
        <f t="shared" si="35"/>
        <v>121.43175374999998</v>
      </c>
    </row>
    <row r="713" spans="1:43" x14ac:dyDescent="0.25">
      <c r="A713">
        <v>3</v>
      </c>
      <c r="B713">
        <v>4</v>
      </c>
      <c r="C713">
        <v>2024</v>
      </c>
      <c r="D713" t="s">
        <v>43</v>
      </c>
      <c r="E713" t="s">
        <v>73</v>
      </c>
      <c r="F713" t="s">
        <v>74</v>
      </c>
      <c r="G713">
        <v>40</v>
      </c>
      <c r="H713">
        <v>1791882490001</v>
      </c>
      <c r="I713" t="s">
        <v>46</v>
      </c>
      <c r="J713" t="s">
        <v>48</v>
      </c>
      <c r="K713" t="s">
        <v>48</v>
      </c>
      <c r="L713" t="s">
        <v>49</v>
      </c>
      <c r="M713" t="s">
        <v>50</v>
      </c>
      <c r="N713" t="s">
        <v>51</v>
      </c>
      <c r="O713">
        <v>8482100000</v>
      </c>
      <c r="P713" t="s">
        <v>831</v>
      </c>
      <c r="Q713" t="s">
        <v>455</v>
      </c>
      <c r="R713" t="s">
        <v>54</v>
      </c>
      <c r="S713" t="s">
        <v>55</v>
      </c>
      <c r="T713">
        <v>6</v>
      </c>
      <c r="U713">
        <v>2</v>
      </c>
      <c r="V713" t="s">
        <v>135</v>
      </c>
      <c r="W713">
        <v>0</v>
      </c>
      <c r="X713">
        <v>149.9</v>
      </c>
      <c r="Y713">
        <v>17.510000000000002</v>
      </c>
      <c r="Z713">
        <v>0.98</v>
      </c>
      <c r="AA713">
        <v>168.39</v>
      </c>
      <c r="AB713" t="s">
        <v>57</v>
      </c>
      <c r="AC713" t="s">
        <v>58</v>
      </c>
      <c r="AD713" t="s">
        <v>48</v>
      </c>
      <c r="AE713">
        <v>0</v>
      </c>
      <c r="AF713">
        <v>2.67</v>
      </c>
      <c r="AG713" t="s">
        <v>59</v>
      </c>
      <c r="AH713">
        <v>438183</v>
      </c>
      <c r="AI713" t="s">
        <v>60</v>
      </c>
      <c r="AJ713" t="s">
        <v>60</v>
      </c>
      <c r="AK713" t="s">
        <v>54</v>
      </c>
      <c r="AL713">
        <v>2024</v>
      </c>
      <c r="AM713" s="6" t="s">
        <v>832</v>
      </c>
      <c r="AN713" s="7">
        <v>74.95</v>
      </c>
      <c r="AO713" s="8">
        <f t="shared" si="33"/>
        <v>140.53125</v>
      </c>
      <c r="AP713" s="8">
        <f t="shared" si="34"/>
        <v>156.13021875000001</v>
      </c>
      <c r="AQ713" s="9">
        <f t="shared" si="35"/>
        <v>227.64657187499998</v>
      </c>
    </row>
    <row r="714" spans="1:43" x14ac:dyDescent="0.25">
      <c r="A714">
        <v>2</v>
      </c>
      <c r="B714">
        <v>1</v>
      </c>
      <c r="C714">
        <v>2024</v>
      </c>
      <c r="D714" t="s">
        <v>43</v>
      </c>
      <c r="E714" t="s">
        <v>181</v>
      </c>
      <c r="F714" t="s">
        <v>182</v>
      </c>
      <c r="G714">
        <v>29</v>
      </c>
      <c r="H714">
        <v>1791882490001</v>
      </c>
      <c r="I714" t="s">
        <v>46</v>
      </c>
      <c r="J714" t="s">
        <v>48</v>
      </c>
      <c r="K714" t="s">
        <v>48</v>
      </c>
      <c r="L714" t="s">
        <v>49</v>
      </c>
      <c r="M714" t="s">
        <v>50</v>
      </c>
      <c r="N714" t="s">
        <v>51</v>
      </c>
      <c r="O714">
        <v>8421999000</v>
      </c>
      <c r="P714" t="s">
        <v>52</v>
      </c>
      <c r="Q714" t="s">
        <v>833</v>
      </c>
      <c r="R714" t="s">
        <v>54</v>
      </c>
      <c r="S714" t="s">
        <v>55</v>
      </c>
      <c r="T714">
        <v>8</v>
      </c>
      <c r="U714">
        <v>5</v>
      </c>
      <c r="V714" t="s">
        <v>135</v>
      </c>
      <c r="W714">
        <v>0</v>
      </c>
      <c r="X714">
        <v>1031.95</v>
      </c>
      <c r="Y714">
        <v>209.68</v>
      </c>
      <c r="Z714">
        <v>6.64</v>
      </c>
      <c r="AA714">
        <v>1248.26</v>
      </c>
      <c r="AB714" t="s">
        <v>57</v>
      </c>
      <c r="AC714" t="s">
        <v>81</v>
      </c>
      <c r="AD714" t="s">
        <v>48</v>
      </c>
      <c r="AE714">
        <v>0</v>
      </c>
      <c r="AF714">
        <v>16.2</v>
      </c>
      <c r="AG714" t="s">
        <v>59</v>
      </c>
      <c r="AH714">
        <v>413505</v>
      </c>
      <c r="AI714" t="s">
        <v>60</v>
      </c>
      <c r="AJ714" t="s">
        <v>60</v>
      </c>
      <c r="AK714" t="s">
        <v>54</v>
      </c>
      <c r="AL714">
        <v>2023</v>
      </c>
      <c r="AM714" s="6" t="s">
        <v>834</v>
      </c>
      <c r="AN714" s="7">
        <v>206.39</v>
      </c>
      <c r="AO714" s="8">
        <f t="shared" si="33"/>
        <v>386.98124999999999</v>
      </c>
      <c r="AP714" s="8">
        <f t="shared" si="34"/>
        <v>429.93616874999998</v>
      </c>
      <c r="AQ714" s="9">
        <f t="shared" si="35"/>
        <v>626.8709268749999</v>
      </c>
    </row>
    <row r="715" spans="1:43" x14ac:dyDescent="0.25">
      <c r="A715">
        <v>13</v>
      </c>
      <c r="B715">
        <v>3</v>
      </c>
      <c r="C715">
        <v>2024</v>
      </c>
      <c r="D715" t="s">
        <v>43</v>
      </c>
      <c r="E715" t="s">
        <v>69</v>
      </c>
      <c r="F715" t="s">
        <v>70</v>
      </c>
      <c r="G715">
        <v>40</v>
      </c>
      <c r="H715">
        <v>1791882490001</v>
      </c>
      <c r="I715" t="s">
        <v>46</v>
      </c>
      <c r="J715" t="s">
        <v>48</v>
      </c>
      <c r="K715" t="s">
        <v>48</v>
      </c>
      <c r="L715" t="s">
        <v>49</v>
      </c>
      <c r="M715" t="s">
        <v>50</v>
      </c>
      <c r="N715" t="s">
        <v>51</v>
      </c>
      <c r="O715">
        <v>8421999000</v>
      </c>
      <c r="P715" t="s">
        <v>66</v>
      </c>
      <c r="Q715" t="s">
        <v>833</v>
      </c>
      <c r="R715" t="s">
        <v>54</v>
      </c>
      <c r="S715" t="s">
        <v>55</v>
      </c>
      <c r="T715">
        <v>11</v>
      </c>
      <c r="U715">
        <v>4</v>
      </c>
      <c r="V715" t="s">
        <v>135</v>
      </c>
      <c r="W715">
        <v>0</v>
      </c>
      <c r="X715">
        <v>823.74</v>
      </c>
      <c r="Y715">
        <v>107.87</v>
      </c>
      <c r="Z715">
        <v>5.54</v>
      </c>
      <c r="AA715">
        <v>937.16</v>
      </c>
      <c r="AB715" t="s">
        <v>54</v>
      </c>
      <c r="AC715" t="s">
        <v>71</v>
      </c>
      <c r="AD715" t="s">
        <v>48</v>
      </c>
      <c r="AE715">
        <v>0</v>
      </c>
      <c r="AF715">
        <v>8.16</v>
      </c>
      <c r="AG715" t="s">
        <v>59</v>
      </c>
      <c r="AH715">
        <v>895279</v>
      </c>
      <c r="AI715" t="s">
        <v>60</v>
      </c>
      <c r="AJ715" t="s">
        <v>60</v>
      </c>
      <c r="AK715" t="s">
        <v>54</v>
      </c>
      <c r="AL715">
        <v>2024</v>
      </c>
      <c r="AM715" s="6" t="s">
        <v>834</v>
      </c>
      <c r="AN715" s="7">
        <v>205.94</v>
      </c>
      <c r="AO715" s="8">
        <f t="shared" si="33"/>
        <v>386.13749999999999</v>
      </c>
      <c r="AP715" s="8">
        <f t="shared" si="34"/>
        <v>428.9987625</v>
      </c>
      <c r="AQ715" s="9">
        <f t="shared" si="35"/>
        <v>625.50413624999999</v>
      </c>
    </row>
    <row r="716" spans="1:43" x14ac:dyDescent="0.25">
      <c r="A716">
        <v>3</v>
      </c>
      <c r="B716">
        <v>4</v>
      </c>
      <c r="C716">
        <v>2024</v>
      </c>
      <c r="D716" t="s">
        <v>43</v>
      </c>
      <c r="E716" t="s">
        <v>73</v>
      </c>
      <c r="F716" t="s">
        <v>74</v>
      </c>
      <c r="G716">
        <v>41</v>
      </c>
      <c r="H716">
        <v>1791882490001</v>
      </c>
      <c r="I716" t="s">
        <v>46</v>
      </c>
      <c r="J716" t="s">
        <v>48</v>
      </c>
      <c r="K716" t="s">
        <v>48</v>
      </c>
      <c r="L716" t="s">
        <v>49</v>
      </c>
      <c r="M716" t="s">
        <v>50</v>
      </c>
      <c r="N716" t="s">
        <v>51</v>
      </c>
      <c r="O716">
        <v>8421999000</v>
      </c>
      <c r="P716" t="s">
        <v>66</v>
      </c>
      <c r="Q716" t="s">
        <v>835</v>
      </c>
      <c r="R716" t="s">
        <v>54</v>
      </c>
      <c r="S716" t="s">
        <v>55</v>
      </c>
      <c r="T716">
        <v>6</v>
      </c>
      <c r="U716">
        <v>4</v>
      </c>
      <c r="V716" t="s">
        <v>135</v>
      </c>
      <c r="W716">
        <v>0</v>
      </c>
      <c r="X716">
        <v>839.13</v>
      </c>
      <c r="Y716">
        <v>98.01</v>
      </c>
      <c r="Z716">
        <v>5.49</v>
      </c>
      <c r="AA716">
        <v>942.63</v>
      </c>
      <c r="AB716" t="s">
        <v>57</v>
      </c>
      <c r="AC716" t="s">
        <v>58</v>
      </c>
      <c r="AD716" t="s">
        <v>48</v>
      </c>
      <c r="AE716">
        <v>0</v>
      </c>
      <c r="AF716">
        <v>5.33</v>
      </c>
      <c r="AG716" t="s">
        <v>59</v>
      </c>
      <c r="AH716">
        <v>438183</v>
      </c>
      <c r="AI716" t="s">
        <v>60</v>
      </c>
      <c r="AJ716" t="s">
        <v>60</v>
      </c>
      <c r="AK716" t="s">
        <v>54</v>
      </c>
      <c r="AL716">
        <v>2024</v>
      </c>
      <c r="AM716" s="6" t="s">
        <v>834</v>
      </c>
      <c r="AN716" s="7">
        <v>209.78</v>
      </c>
      <c r="AO716" s="8">
        <f t="shared" si="33"/>
        <v>393.33749999999998</v>
      </c>
      <c r="AP716" s="8">
        <f t="shared" si="34"/>
        <v>436.99796249999997</v>
      </c>
      <c r="AQ716" s="9">
        <f t="shared" si="35"/>
        <v>637.16741624999997</v>
      </c>
    </row>
    <row r="717" spans="1:43" x14ac:dyDescent="0.25">
      <c r="A717">
        <v>17</v>
      </c>
      <c r="B717">
        <v>5</v>
      </c>
      <c r="C717">
        <v>2024</v>
      </c>
      <c r="D717" t="s">
        <v>43</v>
      </c>
      <c r="E717" t="s">
        <v>79</v>
      </c>
      <c r="F717" t="s">
        <v>80</v>
      </c>
      <c r="G717">
        <v>42</v>
      </c>
      <c r="H717">
        <v>1791882490001</v>
      </c>
      <c r="I717" t="s">
        <v>46</v>
      </c>
      <c r="J717" t="s">
        <v>48</v>
      </c>
      <c r="K717" t="s">
        <v>48</v>
      </c>
      <c r="L717" t="s">
        <v>49</v>
      </c>
      <c r="M717" t="s">
        <v>50</v>
      </c>
      <c r="N717" t="s">
        <v>51</v>
      </c>
      <c r="O717">
        <v>8421999000</v>
      </c>
      <c r="P717" t="s">
        <v>66</v>
      </c>
      <c r="Q717" t="s">
        <v>836</v>
      </c>
      <c r="R717" t="s">
        <v>54</v>
      </c>
      <c r="S717" t="s">
        <v>55</v>
      </c>
      <c r="T717">
        <v>6</v>
      </c>
      <c r="U717">
        <v>5</v>
      </c>
      <c r="V717" t="s">
        <v>135</v>
      </c>
      <c r="W717">
        <v>0</v>
      </c>
      <c r="X717">
        <v>1019.17</v>
      </c>
      <c r="Y717">
        <v>98.39</v>
      </c>
      <c r="Z717">
        <v>6.79</v>
      </c>
      <c r="AA717">
        <v>1124.3499999999999</v>
      </c>
      <c r="AB717" t="s">
        <v>57</v>
      </c>
      <c r="AC717" t="s">
        <v>81</v>
      </c>
      <c r="AD717" t="s">
        <v>48</v>
      </c>
      <c r="AE717">
        <v>0</v>
      </c>
      <c r="AF717">
        <v>5.41</v>
      </c>
      <c r="AG717" t="s">
        <v>82</v>
      </c>
      <c r="AH717">
        <v>471463</v>
      </c>
      <c r="AI717" t="s">
        <v>60</v>
      </c>
      <c r="AJ717" t="s">
        <v>60</v>
      </c>
      <c r="AK717" t="s">
        <v>54</v>
      </c>
      <c r="AL717">
        <v>2024</v>
      </c>
      <c r="AM717" s="6" t="s">
        <v>834</v>
      </c>
      <c r="AN717" s="7">
        <v>203.84</v>
      </c>
      <c r="AO717" s="8">
        <f t="shared" si="33"/>
        <v>382.2</v>
      </c>
      <c r="AP717" s="8">
        <f t="shared" si="34"/>
        <v>424.62419999999997</v>
      </c>
      <c r="AQ717" s="9">
        <f t="shared" si="35"/>
        <v>619.12577999999996</v>
      </c>
    </row>
    <row r="718" spans="1:43" x14ac:dyDescent="0.25">
      <c r="A718">
        <v>12</v>
      </c>
      <c r="B718">
        <v>6</v>
      </c>
      <c r="C718">
        <v>2024</v>
      </c>
      <c r="D718" t="s">
        <v>43</v>
      </c>
      <c r="E718" t="s">
        <v>96</v>
      </c>
      <c r="F718" t="s">
        <v>97</v>
      </c>
      <c r="G718">
        <v>38</v>
      </c>
      <c r="H718">
        <v>1791882490001</v>
      </c>
      <c r="I718" t="s">
        <v>46</v>
      </c>
      <c r="J718" t="s">
        <v>48</v>
      </c>
      <c r="K718" t="s">
        <v>48</v>
      </c>
      <c r="L718" t="s">
        <v>49</v>
      </c>
      <c r="M718" t="s">
        <v>50</v>
      </c>
      <c r="N718" t="s">
        <v>51</v>
      </c>
      <c r="O718">
        <v>8421999000</v>
      </c>
      <c r="P718" t="s">
        <v>66</v>
      </c>
      <c r="Q718" t="s">
        <v>833</v>
      </c>
      <c r="R718" t="s">
        <v>54</v>
      </c>
      <c r="S718" t="s">
        <v>55</v>
      </c>
      <c r="T718">
        <v>7</v>
      </c>
      <c r="U718">
        <v>12</v>
      </c>
      <c r="V718" t="s">
        <v>135</v>
      </c>
      <c r="W718">
        <v>0</v>
      </c>
      <c r="X718">
        <v>2464.7800000000002</v>
      </c>
      <c r="Y718">
        <v>213.76</v>
      </c>
      <c r="Z718">
        <v>16.59</v>
      </c>
      <c r="AA718">
        <v>2695.13</v>
      </c>
      <c r="AB718" t="s">
        <v>57</v>
      </c>
      <c r="AC718" t="s">
        <v>94</v>
      </c>
      <c r="AD718" t="s">
        <v>48</v>
      </c>
      <c r="AE718">
        <v>0</v>
      </c>
      <c r="AF718">
        <v>21.6</v>
      </c>
      <c r="AG718" t="s">
        <v>59</v>
      </c>
      <c r="AH718" t="s">
        <v>98</v>
      </c>
      <c r="AI718" t="s">
        <v>60</v>
      </c>
      <c r="AJ718" t="s">
        <v>60</v>
      </c>
      <c r="AK718" t="s">
        <v>54</v>
      </c>
      <c r="AL718">
        <v>2024</v>
      </c>
      <c r="AM718" s="6" t="s">
        <v>834</v>
      </c>
      <c r="AN718" s="7">
        <v>205.4</v>
      </c>
      <c r="AO718" s="8">
        <f t="shared" si="33"/>
        <v>385.125</v>
      </c>
      <c r="AP718" s="8">
        <f t="shared" si="34"/>
        <v>427.873875</v>
      </c>
      <c r="AQ718" s="9">
        <f t="shared" si="35"/>
        <v>623.86398750000001</v>
      </c>
    </row>
    <row r="719" spans="1:43" x14ac:dyDescent="0.25">
      <c r="A719">
        <v>11</v>
      </c>
      <c r="B719">
        <v>7</v>
      </c>
      <c r="C719">
        <v>2024</v>
      </c>
      <c r="D719" t="s">
        <v>43</v>
      </c>
      <c r="E719" t="s">
        <v>116</v>
      </c>
      <c r="F719" t="s">
        <v>117</v>
      </c>
      <c r="G719">
        <v>21</v>
      </c>
      <c r="H719">
        <v>1791882490001</v>
      </c>
      <c r="I719" t="s">
        <v>46</v>
      </c>
      <c r="J719" t="s">
        <v>48</v>
      </c>
      <c r="K719" t="s">
        <v>48</v>
      </c>
      <c r="L719" t="s">
        <v>119</v>
      </c>
      <c r="M719" t="s">
        <v>120</v>
      </c>
      <c r="N719" t="s">
        <v>121</v>
      </c>
      <c r="O719">
        <v>8421999000</v>
      </c>
      <c r="P719" t="s">
        <v>66</v>
      </c>
      <c r="Q719" t="s">
        <v>833</v>
      </c>
      <c r="R719" t="s">
        <v>54</v>
      </c>
      <c r="S719" t="s">
        <v>55</v>
      </c>
      <c r="T719">
        <v>9</v>
      </c>
      <c r="U719">
        <v>4</v>
      </c>
      <c r="V719" t="s">
        <v>135</v>
      </c>
      <c r="W719">
        <v>0</v>
      </c>
      <c r="X719">
        <v>818.61</v>
      </c>
      <c r="Y719">
        <v>73.709999999999994</v>
      </c>
      <c r="Z719">
        <v>5.5</v>
      </c>
      <c r="AA719">
        <v>897.82</v>
      </c>
      <c r="AB719" t="s">
        <v>124</v>
      </c>
      <c r="AC719" t="s">
        <v>125</v>
      </c>
      <c r="AD719" t="s">
        <v>48</v>
      </c>
      <c r="AE719">
        <v>0</v>
      </c>
      <c r="AF719">
        <v>8.07</v>
      </c>
      <c r="AG719" t="s">
        <v>59</v>
      </c>
      <c r="AH719">
        <v>486256</v>
      </c>
      <c r="AI719" t="s">
        <v>60</v>
      </c>
      <c r="AJ719" t="s">
        <v>78</v>
      </c>
      <c r="AK719" t="s">
        <v>54</v>
      </c>
      <c r="AL719">
        <v>2024</v>
      </c>
      <c r="AM719" s="6" t="s">
        <v>834</v>
      </c>
      <c r="AN719" s="7">
        <v>204.65</v>
      </c>
      <c r="AO719" s="8">
        <f t="shared" si="33"/>
        <v>383.71875</v>
      </c>
      <c r="AP719" s="8">
        <f t="shared" si="34"/>
        <v>426.31153124999997</v>
      </c>
      <c r="AQ719" s="9">
        <f t="shared" si="35"/>
        <v>621.58600312499993</v>
      </c>
    </row>
    <row r="720" spans="1:43" x14ac:dyDescent="0.25">
      <c r="A720">
        <v>11</v>
      </c>
      <c r="B720">
        <v>7</v>
      </c>
      <c r="C720">
        <v>2024</v>
      </c>
      <c r="D720" t="s">
        <v>43</v>
      </c>
      <c r="E720" t="s">
        <v>116</v>
      </c>
      <c r="F720" t="s">
        <v>117</v>
      </c>
      <c r="G720">
        <v>22</v>
      </c>
      <c r="H720">
        <v>1791882490001</v>
      </c>
      <c r="I720" t="s">
        <v>46</v>
      </c>
      <c r="J720" t="s">
        <v>48</v>
      </c>
      <c r="K720" t="s">
        <v>48</v>
      </c>
      <c r="L720" t="s">
        <v>119</v>
      </c>
      <c r="M720" t="s">
        <v>120</v>
      </c>
      <c r="N720" t="s">
        <v>121</v>
      </c>
      <c r="O720">
        <v>8421999000</v>
      </c>
      <c r="P720" t="s">
        <v>66</v>
      </c>
      <c r="Q720" t="s">
        <v>833</v>
      </c>
      <c r="R720" t="s">
        <v>54</v>
      </c>
      <c r="S720" t="s">
        <v>55</v>
      </c>
      <c r="T720">
        <v>9</v>
      </c>
      <c r="U720">
        <v>6</v>
      </c>
      <c r="V720" t="s">
        <v>135</v>
      </c>
      <c r="W720">
        <v>0</v>
      </c>
      <c r="X720">
        <v>1227.9100000000001</v>
      </c>
      <c r="Y720">
        <v>110.59</v>
      </c>
      <c r="Z720">
        <v>8.24</v>
      </c>
      <c r="AA720">
        <v>1346.74</v>
      </c>
      <c r="AB720" t="s">
        <v>124</v>
      </c>
      <c r="AC720" t="s">
        <v>125</v>
      </c>
      <c r="AD720" t="s">
        <v>48</v>
      </c>
      <c r="AE720">
        <v>0</v>
      </c>
      <c r="AF720">
        <v>12.1</v>
      </c>
      <c r="AG720" t="s">
        <v>59</v>
      </c>
      <c r="AH720">
        <v>486256</v>
      </c>
      <c r="AI720" t="s">
        <v>60</v>
      </c>
      <c r="AJ720" t="s">
        <v>78</v>
      </c>
      <c r="AK720" t="s">
        <v>54</v>
      </c>
      <c r="AL720">
        <v>2024</v>
      </c>
      <c r="AM720" s="6" t="s">
        <v>834</v>
      </c>
      <c r="AN720" s="7">
        <v>204.65</v>
      </c>
      <c r="AO720" s="8">
        <f t="shared" si="33"/>
        <v>383.71875</v>
      </c>
      <c r="AP720" s="8">
        <f t="shared" si="34"/>
        <v>426.31153124999997</v>
      </c>
      <c r="AQ720" s="9">
        <f t="shared" si="35"/>
        <v>621.58600312499993</v>
      </c>
    </row>
    <row r="721" spans="1:43" x14ac:dyDescent="0.25">
      <c r="A721">
        <v>19</v>
      </c>
      <c r="B721">
        <v>8</v>
      </c>
      <c r="C721">
        <v>2024</v>
      </c>
      <c r="D721" t="s">
        <v>43</v>
      </c>
      <c r="E721" t="s">
        <v>84</v>
      </c>
      <c r="F721" t="s">
        <v>85</v>
      </c>
      <c r="G721">
        <v>38</v>
      </c>
      <c r="H721">
        <v>1791882490001</v>
      </c>
      <c r="I721" t="s">
        <v>46</v>
      </c>
      <c r="J721" t="s">
        <v>48</v>
      </c>
      <c r="K721" t="s">
        <v>48</v>
      </c>
      <c r="L721" t="s">
        <v>49</v>
      </c>
      <c r="M721" t="s">
        <v>50</v>
      </c>
      <c r="N721" t="s">
        <v>51</v>
      </c>
      <c r="O721">
        <v>8421999000</v>
      </c>
      <c r="P721" t="s">
        <v>66</v>
      </c>
      <c r="Q721" t="s">
        <v>833</v>
      </c>
      <c r="R721" t="s">
        <v>54</v>
      </c>
      <c r="S721" t="s">
        <v>55</v>
      </c>
      <c r="T721">
        <v>6</v>
      </c>
      <c r="U721">
        <v>6</v>
      </c>
      <c r="V721" t="s">
        <v>135</v>
      </c>
      <c r="W721">
        <v>0</v>
      </c>
      <c r="X721">
        <v>1221.7</v>
      </c>
      <c r="Y721">
        <v>157.63999999999999</v>
      </c>
      <c r="Z721">
        <v>8.35</v>
      </c>
      <c r="AA721">
        <v>1387.69</v>
      </c>
      <c r="AB721" t="s">
        <v>57</v>
      </c>
      <c r="AC721" t="s">
        <v>58</v>
      </c>
      <c r="AD721" t="s">
        <v>48</v>
      </c>
      <c r="AE721">
        <v>0</v>
      </c>
      <c r="AF721">
        <v>8.3699999999999992</v>
      </c>
      <c r="AG721" t="s">
        <v>59</v>
      </c>
      <c r="AH721">
        <v>144527</v>
      </c>
      <c r="AI721" t="s">
        <v>60</v>
      </c>
      <c r="AJ721" t="s">
        <v>60</v>
      </c>
      <c r="AK721" t="s">
        <v>54</v>
      </c>
      <c r="AL721">
        <v>2024</v>
      </c>
      <c r="AM721" s="6" t="s">
        <v>834</v>
      </c>
      <c r="AN721" s="7">
        <v>203.62</v>
      </c>
      <c r="AO721" s="8">
        <f t="shared" si="33"/>
        <v>381.78750000000002</v>
      </c>
      <c r="AP721" s="8">
        <f t="shared" si="34"/>
        <v>424.16591250000005</v>
      </c>
      <c r="AQ721" s="9">
        <f t="shared" si="35"/>
        <v>618.45757125</v>
      </c>
    </row>
    <row r="722" spans="1:43" x14ac:dyDescent="0.25">
      <c r="A722">
        <v>16</v>
      </c>
      <c r="B722">
        <v>12</v>
      </c>
      <c r="C722">
        <v>2024</v>
      </c>
      <c r="D722" t="s">
        <v>43</v>
      </c>
      <c r="E722" t="s">
        <v>128</v>
      </c>
      <c r="F722" t="s">
        <v>129</v>
      </c>
      <c r="G722">
        <v>53</v>
      </c>
      <c r="H722">
        <v>1791882490001</v>
      </c>
      <c r="I722" t="s">
        <v>46</v>
      </c>
      <c r="J722" t="s">
        <v>48</v>
      </c>
      <c r="K722" t="s">
        <v>48</v>
      </c>
      <c r="L722" t="s">
        <v>49</v>
      </c>
      <c r="M722" t="s">
        <v>50</v>
      </c>
      <c r="N722" t="s">
        <v>51</v>
      </c>
      <c r="O722">
        <v>8421999000</v>
      </c>
      <c r="P722" t="s">
        <v>52</v>
      </c>
      <c r="Q722" t="s">
        <v>833</v>
      </c>
      <c r="R722" t="s">
        <v>54</v>
      </c>
      <c r="S722" t="s">
        <v>55</v>
      </c>
      <c r="T722">
        <v>9</v>
      </c>
      <c r="U722">
        <v>12</v>
      </c>
      <c r="V722" t="s">
        <v>135</v>
      </c>
      <c r="W722">
        <v>0</v>
      </c>
      <c r="X722">
        <v>2468.63</v>
      </c>
      <c r="Y722">
        <v>323.3</v>
      </c>
      <c r="Z722">
        <v>16.93</v>
      </c>
      <c r="AA722">
        <v>2808.86</v>
      </c>
      <c r="AB722" t="s">
        <v>57</v>
      </c>
      <c r="AC722" t="s">
        <v>131</v>
      </c>
      <c r="AD722" t="s">
        <v>48</v>
      </c>
      <c r="AE722">
        <v>0</v>
      </c>
      <c r="AF722">
        <v>23.86</v>
      </c>
      <c r="AG722" t="s">
        <v>59</v>
      </c>
      <c r="AH722">
        <v>325395</v>
      </c>
      <c r="AI722" t="s">
        <v>60</v>
      </c>
      <c r="AJ722" t="s">
        <v>78</v>
      </c>
      <c r="AK722" t="s">
        <v>54</v>
      </c>
      <c r="AL722">
        <v>2024</v>
      </c>
      <c r="AM722" s="6" t="s">
        <v>834</v>
      </c>
      <c r="AN722" s="7">
        <v>205.72</v>
      </c>
      <c r="AO722" s="8">
        <f t="shared" si="33"/>
        <v>385.72500000000002</v>
      </c>
      <c r="AP722" s="8">
        <f t="shared" si="34"/>
        <v>428.54047500000001</v>
      </c>
      <c r="AQ722" s="9">
        <f t="shared" si="35"/>
        <v>624.83592750000003</v>
      </c>
    </row>
    <row r="723" spans="1:43" x14ac:dyDescent="0.25">
      <c r="A723">
        <v>11</v>
      </c>
      <c r="B723">
        <v>7</v>
      </c>
      <c r="C723">
        <v>2024</v>
      </c>
      <c r="D723" t="s">
        <v>43</v>
      </c>
      <c r="E723" t="s">
        <v>116</v>
      </c>
      <c r="F723" t="s">
        <v>117</v>
      </c>
      <c r="G723">
        <v>23</v>
      </c>
      <c r="H723">
        <v>1791882490001</v>
      </c>
      <c r="I723" t="s">
        <v>46</v>
      </c>
      <c r="J723" t="s">
        <v>48</v>
      </c>
      <c r="K723" t="s">
        <v>48</v>
      </c>
      <c r="L723" t="s">
        <v>119</v>
      </c>
      <c r="M723" t="s">
        <v>120</v>
      </c>
      <c r="N723" t="s">
        <v>121</v>
      </c>
      <c r="O723">
        <v>8421999000</v>
      </c>
      <c r="P723" t="s">
        <v>66</v>
      </c>
      <c r="Q723" t="s">
        <v>837</v>
      </c>
      <c r="R723" t="s">
        <v>54</v>
      </c>
      <c r="S723" t="s">
        <v>55</v>
      </c>
      <c r="T723">
        <v>9</v>
      </c>
      <c r="U723">
        <v>2</v>
      </c>
      <c r="V723" t="s">
        <v>135</v>
      </c>
      <c r="W723">
        <v>0</v>
      </c>
      <c r="X723">
        <v>850.34</v>
      </c>
      <c r="Y723">
        <v>76.58</v>
      </c>
      <c r="Z723">
        <v>5.71</v>
      </c>
      <c r="AA723">
        <v>932.63</v>
      </c>
      <c r="AB723" t="s">
        <v>124</v>
      </c>
      <c r="AC723" t="s">
        <v>125</v>
      </c>
      <c r="AD723" t="s">
        <v>48</v>
      </c>
      <c r="AE723">
        <v>0</v>
      </c>
      <c r="AF723">
        <v>4.03</v>
      </c>
      <c r="AG723" t="s">
        <v>59</v>
      </c>
      <c r="AH723">
        <v>486256</v>
      </c>
      <c r="AI723" t="s">
        <v>60</v>
      </c>
      <c r="AJ723" t="s">
        <v>78</v>
      </c>
      <c r="AK723" t="s">
        <v>54</v>
      </c>
      <c r="AL723">
        <v>2024</v>
      </c>
      <c r="AM723" s="6" t="s">
        <v>838</v>
      </c>
      <c r="AN723" s="7">
        <v>425.17</v>
      </c>
      <c r="AO723" s="8">
        <f t="shared" si="33"/>
        <v>797.19375000000002</v>
      </c>
      <c r="AP723" s="8">
        <f t="shared" si="34"/>
        <v>885.68225625000002</v>
      </c>
      <c r="AQ723" s="9">
        <f t="shared" si="35"/>
        <v>1291.374155625</v>
      </c>
    </row>
    <row r="724" spans="1:43" x14ac:dyDescent="0.25">
      <c r="A724">
        <v>1</v>
      </c>
      <c r="B724">
        <v>2</v>
      </c>
      <c r="C724">
        <v>2024</v>
      </c>
      <c r="D724" t="s">
        <v>43</v>
      </c>
      <c r="E724" t="s">
        <v>174</v>
      </c>
      <c r="F724" t="s">
        <v>175</v>
      </c>
      <c r="G724">
        <v>30</v>
      </c>
      <c r="H724">
        <v>1791882490001</v>
      </c>
      <c r="I724" t="s">
        <v>46</v>
      </c>
      <c r="J724" t="s">
        <v>48</v>
      </c>
      <c r="K724" t="s">
        <v>48</v>
      </c>
      <c r="L724" t="s">
        <v>49</v>
      </c>
      <c r="M724" t="s">
        <v>50</v>
      </c>
      <c r="N724" t="s">
        <v>51</v>
      </c>
      <c r="O724">
        <v>8481909090</v>
      </c>
      <c r="P724" t="s">
        <v>103</v>
      </c>
      <c r="Q724" t="s">
        <v>839</v>
      </c>
      <c r="R724" t="s">
        <v>54</v>
      </c>
      <c r="S724" t="s">
        <v>55</v>
      </c>
      <c r="T724">
        <v>5</v>
      </c>
      <c r="U724">
        <v>5</v>
      </c>
      <c r="V724" t="s">
        <v>135</v>
      </c>
      <c r="W724">
        <v>0</v>
      </c>
      <c r="X724">
        <v>773.49</v>
      </c>
      <c r="Y724">
        <v>57.5</v>
      </c>
      <c r="Z724">
        <v>4.62</v>
      </c>
      <c r="AA724">
        <v>835.61</v>
      </c>
      <c r="AB724" t="s">
        <v>54</v>
      </c>
      <c r="AC724" t="s">
        <v>94</v>
      </c>
      <c r="AD724" t="s">
        <v>48</v>
      </c>
      <c r="AE724">
        <v>0</v>
      </c>
      <c r="AF724">
        <v>9.92</v>
      </c>
      <c r="AG724" t="s">
        <v>59</v>
      </c>
      <c r="AH724">
        <v>863266</v>
      </c>
      <c r="AI724" t="s">
        <v>60</v>
      </c>
      <c r="AJ724" t="s">
        <v>60</v>
      </c>
      <c r="AK724" t="s">
        <v>54</v>
      </c>
      <c r="AL724">
        <v>2023</v>
      </c>
      <c r="AM724" s="6" t="s">
        <v>840</v>
      </c>
      <c r="AN724" s="7">
        <v>154.69999999999999</v>
      </c>
      <c r="AO724" s="8">
        <f t="shared" si="33"/>
        <v>290.0625</v>
      </c>
      <c r="AP724" s="8">
        <f t="shared" si="34"/>
        <v>322.25943749999999</v>
      </c>
      <c r="AQ724" s="9">
        <f t="shared" si="35"/>
        <v>469.87224375</v>
      </c>
    </row>
    <row r="725" spans="1:43" x14ac:dyDescent="0.25">
      <c r="A725">
        <v>16</v>
      </c>
      <c r="B725">
        <v>12</v>
      </c>
      <c r="C725">
        <v>2024</v>
      </c>
      <c r="D725" t="s">
        <v>43</v>
      </c>
      <c r="E725" t="s">
        <v>128</v>
      </c>
      <c r="F725" t="s">
        <v>129</v>
      </c>
      <c r="G725">
        <v>54</v>
      </c>
      <c r="H725">
        <v>1791882490001</v>
      </c>
      <c r="I725" t="s">
        <v>46</v>
      </c>
      <c r="J725" t="s">
        <v>48</v>
      </c>
      <c r="K725" t="s">
        <v>48</v>
      </c>
      <c r="L725" t="s">
        <v>49</v>
      </c>
      <c r="M725" t="s">
        <v>50</v>
      </c>
      <c r="N725" t="s">
        <v>51</v>
      </c>
      <c r="O725">
        <v>8481909090</v>
      </c>
      <c r="P725" t="s">
        <v>284</v>
      </c>
      <c r="Q725" t="s">
        <v>841</v>
      </c>
      <c r="R725" t="s">
        <v>54</v>
      </c>
      <c r="S725" t="s">
        <v>55</v>
      </c>
      <c r="T725">
        <v>9</v>
      </c>
      <c r="U725">
        <v>3</v>
      </c>
      <c r="V725" t="s">
        <v>135</v>
      </c>
      <c r="W725">
        <v>0</v>
      </c>
      <c r="X725">
        <v>483.17</v>
      </c>
      <c r="Y725">
        <v>63.28</v>
      </c>
      <c r="Z725">
        <v>3.31</v>
      </c>
      <c r="AA725">
        <v>549.77</v>
      </c>
      <c r="AB725" t="s">
        <v>57</v>
      </c>
      <c r="AC725" t="s">
        <v>131</v>
      </c>
      <c r="AD725" t="s">
        <v>48</v>
      </c>
      <c r="AE725">
        <v>0</v>
      </c>
      <c r="AF725">
        <v>5.97</v>
      </c>
      <c r="AG725" t="s">
        <v>59</v>
      </c>
      <c r="AH725">
        <v>325395</v>
      </c>
      <c r="AI725" t="s">
        <v>60</v>
      </c>
      <c r="AJ725" t="s">
        <v>78</v>
      </c>
      <c r="AK725" t="s">
        <v>54</v>
      </c>
      <c r="AL725">
        <v>2024</v>
      </c>
      <c r="AM725" s="6" t="s">
        <v>840</v>
      </c>
      <c r="AN725" s="7">
        <v>161.06</v>
      </c>
      <c r="AO725" s="8">
        <f t="shared" si="33"/>
        <v>301.98750000000001</v>
      </c>
      <c r="AP725" s="8">
        <f t="shared" si="34"/>
        <v>335.50811249999998</v>
      </c>
      <c r="AQ725" s="9">
        <f t="shared" si="35"/>
        <v>489.18955124999997</v>
      </c>
    </row>
    <row r="726" spans="1:43" x14ac:dyDescent="0.25">
      <c r="A726">
        <v>17</v>
      </c>
      <c r="B726">
        <v>5</v>
      </c>
      <c r="C726">
        <v>2024</v>
      </c>
      <c r="D726" t="s">
        <v>43</v>
      </c>
      <c r="E726" t="s">
        <v>79</v>
      </c>
      <c r="F726" t="s">
        <v>80</v>
      </c>
      <c r="G726">
        <v>43</v>
      </c>
      <c r="H726">
        <v>1791882490001</v>
      </c>
      <c r="I726" t="s">
        <v>46</v>
      </c>
      <c r="J726" t="s">
        <v>48</v>
      </c>
      <c r="K726" t="s">
        <v>48</v>
      </c>
      <c r="L726" t="s">
        <v>49</v>
      </c>
      <c r="M726" t="s">
        <v>50</v>
      </c>
      <c r="N726" t="s">
        <v>51</v>
      </c>
      <c r="O726">
        <v>8482100000</v>
      </c>
      <c r="P726" t="s">
        <v>831</v>
      </c>
      <c r="Q726" t="s">
        <v>455</v>
      </c>
      <c r="R726" t="s">
        <v>54</v>
      </c>
      <c r="S726" t="s">
        <v>55</v>
      </c>
      <c r="T726">
        <v>6</v>
      </c>
      <c r="U726">
        <v>3</v>
      </c>
      <c r="V726" t="s">
        <v>135</v>
      </c>
      <c r="W726">
        <v>0</v>
      </c>
      <c r="X726">
        <v>564.49</v>
      </c>
      <c r="Y726">
        <v>54.5</v>
      </c>
      <c r="Z726">
        <v>3.76</v>
      </c>
      <c r="AA726">
        <v>622.75</v>
      </c>
      <c r="AB726" t="s">
        <v>57</v>
      </c>
      <c r="AC726" t="s">
        <v>81</v>
      </c>
      <c r="AD726" t="s">
        <v>48</v>
      </c>
      <c r="AE726">
        <v>0</v>
      </c>
      <c r="AF726">
        <v>3.24</v>
      </c>
      <c r="AG726" t="s">
        <v>82</v>
      </c>
      <c r="AH726">
        <v>471463</v>
      </c>
      <c r="AI726" t="s">
        <v>60</v>
      </c>
      <c r="AJ726" t="s">
        <v>60</v>
      </c>
      <c r="AK726" t="s">
        <v>54</v>
      </c>
      <c r="AL726">
        <v>2024</v>
      </c>
      <c r="AM726" s="6" t="s">
        <v>842</v>
      </c>
      <c r="AN726" s="7">
        <v>188.16</v>
      </c>
      <c r="AO726" s="8">
        <f t="shared" si="33"/>
        <v>352.8</v>
      </c>
      <c r="AP726" s="8">
        <f t="shared" si="34"/>
        <v>391.96080000000001</v>
      </c>
      <c r="AQ726" s="9">
        <f t="shared" si="35"/>
        <v>571.50072</v>
      </c>
    </row>
    <row r="727" spans="1:43" x14ac:dyDescent="0.25">
      <c r="A727">
        <v>10</v>
      </c>
      <c r="B727">
        <v>10</v>
      </c>
      <c r="C727">
        <v>2024</v>
      </c>
      <c r="D727" t="s">
        <v>43</v>
      </c>
      <c r="E727" t="s">
        <v>44</v>
      </c>
      <c r="F727" t="s">
        <v>45</v>
      </c>
      <c r="G727">
        <v>49</v>
      </c>
      <c r="H727">
        <v>1791882490001</v>
      </c>
      <c r="I727" t="s">
        <v>46</v>
      </c>
      <c r="J727" t="s">
        <v>48</v>
      </c>
      <c r="K727" t="s">
        <v>48</v>
      </c>
      <c r="L727" t="s">
        <v>49</v>
      </c>
      <c r="M727" t="s">
        <v>50</v>
      </c>
      <c r="N727" t="s">
        <v>51</v>
      </c>
      <c r="O727">
        <v>8482100000</v>
      </c>
      <c r="P727" t="s">
        <v>843</v>
      </c>
      <c r="Q727" t="s">
        <v>455</v>
      </c>
      <c r="R727" t="s">
        <v>54</v>
      </c>
      <c r="S727" t="s">
        <v>55</v>
      </c>
      <c r="T727">
        <v>7</v>
      </c>
      <c r="U727">
        <v>2</v>
      </c>
      <c r="V727" t="s">
        <v>135</v>
      </c>
      <c r="W727">
        <v>0</v>
      </c>
      <c r="X727">
        <v>379.98</v>
      </c>
      <c r="Y727">
        <v>66.39</v>
      </c>
      <c r="Z727">
        <v>2.74</v>
      </c>
      <c r="AA727">
        <v>449.11</v>
      </c>
      <c r="AB727" t="s">
        <v>57</v>
      </c>
      <c r="AC727" t="s">
        <v>58</v>
      </c>
      <c r="AD727" t="s">
        <v>48</v>
      </c>
      <c r="AE727">
        <v>0</v>
      </c>
      <c r="AF727">
        <v>4.0999999999999996</v>
      </c>
      <c r="AG727" t="s">
        <v>59</v>
      </c>
      <c r="AH727">
        <v>179772</v>
      </c>
      <c r="AI727" t="s">
        <v>60</v>
      </c>
      <c r="AJ727" t="s">
        <v>60</v>
      </c>
      <c r="AK727" t="s">
        <v>54</v>
      </c>
      <c r="AL727">
        <v>2024</v>
      </c>
      <c r="AM727" s="6" t="s">
        <v>842</v>
      </c>
      <c r="AN727" s="7">
        <v>189.99</v>
      </c>
      <c r="AO727" s="8">
        <f t="shared" si="33"/>
        <v>356.23125000000005</v>
      </c>
      <c r="AP727" s="8">
        <f t="shared" si="34"/>
        <v>395.77291875000003</v>
      </c>
      <c r="AQ727" s="9">
        <f t="shared" si="35"/>
        <v>577.05900187500004</v>
      </c>
    </row>
    <row r="728" spans="1:43" x14ac:dyDescent="0.25">
      <c r="A728">
        <v>17</v>
      </c>
      <c r="B728">
        <v>5</v>
      </c>
      <c r="C728">
        <v>2024</v>
      </c>
      <c r="D728" t="s">
        <v>43</v>
      </c>
      <c r="E728" t="s">
        <v>79</v>
      </c>
      <c r="F728" t="s">
        <v>80</v>
      </c>
      <c r="G728">
        <v>44</v>
      </c>
      <c r="H728">
        <v>1791882490001</v>
      </c>
      <c r="I728" t="s">
        <v>46</v>
      </c>
      <c r="J728" t="s">
        <v>48</v>
      </c>
      <c r="K728" t="s">
        <v>48</v>
      </c>
      <c r="L728" t="s">
        <v>49</v>
      </c>
      <c r="M728" t="s">
        <v>50</v>
      </c>
      <c r="N728" t="s">
        <v>51</v>
      </c>
      <c r="O728">
        <v>7412200000</v>
      </c>
      <c r="P728" t="s">
        <v>169</v>
      </c>
      <c r="Q728" t="s">
        <v>844</v>
      </c>
      <c r="R728" t="s">
        <v>54</v>
      </c>
      <c r="S728" t="s">
        <v>55</v>
      </c>
      <c r="T728">
        <v>6</v>
      </c>
      <c r="U728">
        <v>3</v>
      </c>
      <c r="V728" t="s">
        <v>56</v>
      </c>
      <c r="W728">
        <v>0</v>
      </c>
      <c r="X728">
        <v>205.48</v>
      </c>
      <c r="Y728">
        <v>19.84</v>
      </c>
      <c r="Z728">
        <v>1.37</v>
      </c>
      <c r="AA728">
        <v>226.68</v>
      </c>
      <c r="AB728" t="s">
        <v>57</v>
      </c>
      <c r="AC728" t="s">
        <v>81</v>
      </c>
      <c r="AD728" t="s">
        <v>48</v>
      </c>
      <c r="AE728">
        <v>0</v>
      </c>
      <c r="AF728">
        <v>3.24</v>
      </c>
      <c r="AG728" t="s">
        <v>82</v>
      </c>
      <c r="AH728">
        <v>471463</v>
      </c>
      <c r="AI728" t="s">
        <v>60</v>
      </c>
      <c r="AJ728" t="s">
        <v>60</v>
      </c>
      <c r="AK728" t="s">
        <v>54</v>
      </c>
      <c r="AL728">
        <v>2024</v>
      </c>
      <c r="AM728" s="6" t="s">
        <v>845</v>
      </c>
      <c r="AN728" s="7">
        <v>68.489999999999995</v>
      </c>
      <c r="AO728" s="8">
        <f t="shared" si="33"/>
        <v>128.41874999999999</v>
      </c>
      <c r="AP728" s="8">
        <f t="shared" si="34"/>
        <v>142.67323124999999</v>
      </c>
      <c r="AQ728" s="9">
        <f t="shared" si="35"/>
        <v>208.02553312499998</v>
      </c>
    </row>
    <row r="729" spans="1:43" x14ac:dyDescent="0.25">
      <c r="A729">
        <v>16</v>
      </c>
      <c r="B729">
        <v>12</v>
      </c>
      <c r="C729">
        <v>2024</v>
      </c>
      <c r="D729" t="s">
        <v>43</v>
      </c>
      <c r="E729" t="s">
        <v>128</v>
      </c>
      <c r="F729" t="s">
        <v>129</v>
      </c>
      <c r="G729">
        <v>55</v>
      </c>
      <c r="H729">
        <v>1791882490001</v>
      </c>
      <c r="I729" t="s">
        <v>46</v>
      </c>
      <c r="J729" t="s">
        <v>48</v>
      </c>
      <c r="K729" t="s">
        <v>48</v>
      </c>
      <c r="L729" t="s">
        <v>49</v>
      </c>
      <c r="M729" t="s">
        <v>50</v>
      </c>
      <c r="N729" t="s">
        <v>51</v>
      </c>
      <c r="O729">
        <v>8481909090</v>
      </c>
      <c r="P729" t="s">
        <v>284</v>
      </c>
      <c r="Q729" t="s">
        <v>846</v>
      </c>
      <c r="R729" t="s">
        <v>54</v>
      </c>
      <c r="S729" t="s">
        <v>55</v>
      </c>
      <c r="T729">
        <v>9</v>
      </c>
      <c r="U729">
        <v>3</v>
      </c>
      <c r="V729" t="s">
        <v>135</v>
      </c>
      <c r="W729">
        <v>0</v>
      </c>
      <c r="X729">
        <v>491.92</v>
      </c>
      <c r="Y729">
        <v>64.430000000000007</v>
      </c>
      <c r="Z729">
        <v>3.37</v>
      </c>
      <c r="AA729">
        <v>559.72</v>
      </c>
      <c r="AB729" t="s">
        <v>57</v>
      </c>
      <c r="AC729" t="s">
        <v>131</v>
      </c>
      <c r="AD729" t="s">
        <v>48</v>
      </c>
      <c r="AE729">
        <v>0</v>
      </c>
      <c r="AF729">
        <v>5.97</v>
      </c>
      <c r="AG729" t="s">
        <v>59</v>
      </c>
      <c r="AH729">
        <v>325395</v>
      </c>
      <c r="AI729" t="s">
        <v>60</v>
      </c>
      <c r="AJ729" t="s">
        <v>78</v>
      </c>
      <c r="AK729" t="s">
        <v>54</v>
      </c>
      <c r="AL729">
        <v>2024</v>
      </c>
      <c r="AM729" s="6" t="s">
        <v>847</v>
      </c>
      <c r="AN729" s="7">
        <v>163.98</v>
      </c>
      <c r="AO729" s="8">
        <f t="shared" si="33"/>
        <v>307.46249999999998</v>
      </c>
      <c r="AP729" s="8">
        <f t="shared" si="34"/>
        <v>341.59083749999996</v>
      </c>
      <c r="AQ729" s="9">
        <f t="shared" si="35"/>
        <v>498.05850374999994</v>
      </c>
    </row>
    <row r="730" spans="1:43" x14ac:dyDescent="0.25">
      <c r="A730">
        <v>1</v>
      </c>
      <c r="B730">
        <v>2</v>
      </c>
      <c r="C730">
        <v>2024</v>
      </c>
      <c r="D730" t="s">
        <v>43</v>
      </c>
      <c r="E730" t="s">
        <v>174</v>
      </c>
      <c r="F730" t="s">
        <v>175</v>
      </c>
      <c r="G730">
        <v>31</v>
      </c>
      <c r="H730">
        <v>1791882490001</v>
      </c>
      <c r="I730" t="s">
        <v>46</v>
      </c>
      <c r="J730" t="s">
        <v>48</v>
      </c>
      <c r="K730" t="s">
        <v>48</v>
      </c>
      <c r="L730" t="s">
        <v>49</v>
      </c>
      <c r="M730" t="s">
        <v>50</v>
      </c>
      <c r="N730" t="s">
        <v>51</v>
      </c>
      <c r="O730">
        <v>8482500000</v>
      </c>
      <c r="P730" t="s">
        <v>454</v>
      </c>
      <c r="Q730" t="s">
        <v>455</v>
      </c>
      <c r="R730" t="s">
        <v>54</v>
      </c>
      <c r="S730" t="s">
        <v>55</v>
      </c>
      <c r="T730">
        <v>5</v>
      </c>
      <c r="U730">
        <v>2</v>
      </c>
      <c r="V730" t="s">
        <v>135</v>
      </c>
      <c r="W730">
        <v>0</v>
      </c>
      <c r="X730">
        <v>744.39</v>
      </c>
      <c r="Y730">
        <v>55.34</v>
      </c>
      <c r="Z730">
        <v>4.45</v>
      </c>
      <c r="AA730">
        <v>804.18</v>
      </c>
      <c r="AB730" t="s">
        <v>54</v>
      </c>
      <c r="AC730" t="s">
        <v>94</v>
      </c>
      <c r="AD730" t="s">
        <v>48</v>
      </c>
      <c r="AE730">
        <v>0</v>
      </c>
      <c r="AF730">
        <v>3.97</v>
      </c>
      <c r="AG730" t="s">
        <v>59</v>
      </c>
      <c r="AH730">
        <v>863266</v>
      </c>
      <c r="AI730" t="s">
        <v>60</v>
      </c>
      <c r="AJ730" t="s">
        <v>60</v>
      </c>
      <c r="AK730" t="s">
        <v>54</v>
      </c>
      <c r="AL730">
        <v>2023</v>
      </c>
      <c r="AM730" s="6" t="s">
        <v>848</v>
      </c>
      <c r="AN730" s="7">
        <v>372.2</v>
      </c>
      <c r="AO730" s="8">
        <f t="shared" ref="AO730:AO793" si="36">SUM(AN730)*1.875</f>
        <v>697.875</v>
      </c>
      <c r="AP730" s="8">
        <f t="shared" ref="AP730:AP793" si="37">SUM(AO730)*1.111</f>
        <v>775.33912499999997</v>
      </c>
      <c r="AQ730" s="9">
        <f t="shared" si="35"/>
        <v>1130.4877124999998</v>
      </c>
    </row>
    <row r="731" spans="1:43" x14ac:dyDescent="0.25">
      <c r="A731">
        <v>15</v>
      </c>
      <c r="B731">
        <v>4</v>
      </c>
      <c r="C731">
        <v>2024</v>
      </c>
      <c r="D731" t="s">
        <v>43</v>
      </c>
      <c r="E731" t="s">
        <v>63</v>
      </c>
      <c r="F731" t="s">
        <v>64</v>
      </c>
      <c r="G731">
        <v>53</v>
      </c>
      <c r="H731">
        <v>1791882490001</v>
      </c>
      <c r="I731" t="s">
        <v>46</v>
      </c>
      <c r="J731" t="s">
        <v>48</v>
      </c>
      <c r="K731" t="s">
        <v>48</v>
      </c>
      <c r="L731" t="s">
        <v>49</v>
      </c>
      <c r="M731" t="s">
        <v>50</v>
      </c>
      <c r="N731" t="s">
        <v>51</v>
      </c>
      <c r="O731">
        <v>8481909090</v>
      </c>
      <c r="P731" t="s">
        <v>103</v>
      </c>
      <c r="Q731" t="s">
        <v>849</v>
      </c>
      <c r="R731" t="s">
        <v>54</v>
      </c>
      <c r="S731" t="s">
        <v>55</v>
      </c>
      <c r="T731">
        <v>6</v>
      </c>
      <c r="U731">
        <v>2</v>
      </c>
      <c r="V731" t="s">
        <v>135</v>
      </c>
      <c r="W731">
        <v>0</v>
      </c>
      <c r="X731">
        <v>530.59</v>
      </c>
      <c r="Y731">
        <v>55.85</v>
      </c>
      <c r="Z731">
        <v>3.56</v>
      </c>
      <c r="AA731">
        <v>590.01</v>
      </c>
      <c r="AB731" t="s">
        <v>57</v>
      </c>
      <c r="AC731" t="s">
        <v>58</v>
      </c>
      <c r="AD731" t="s">
        <v>48</v>
      </c>
      <c r="AE731">
        <v>0</v>
      </c>
      <c r="AF731">
        <v>5.08</v>
      </c>
      <c r="AG731" t="s">
        <v>59</v>
      </c>
      <c r="AH731">
        <v>443965</v>
      </c>
      <c r="AI731" t="s">
        <v>60</v>
      </c>
      <c r="AJ731" t="s">
        <v>60</v>
      </c>
      <c r="AK731" t="s">
        <v>54</v>
      </c>
      <c r="AL731">
        <v>2024</v>
      </c>
      <c r="AM731" s="6" t="s">
        <v>850</v>
      </c>
      <c r="AN731" s="7">
        <v>265.3</v>
      </c>
      <c r="AO731" s="8">
        <f t="shared" si="36"/>
        <v>497.4375</v>
      </c>
      <c r="AP731" s="8">
        <f t="shared" si="37"/>
        <v>552.65306250000003</v>
      </c>
      <c r="AQ731" s="9">
        <f t="shared" si="35"/>
        <v>805.79900624999993</v>
      </c>
    </row>
    <row r="732" spans="1:43" x14ac:dyDescent="0.25">
      <c r="A732">
        <v>17</v>
      </c>
      <c r="B732">
        <v>5</v>
      </c>
      <c r="C732">
        <v>2024</v>
      </c>
      <c r="D732" t="s">
        <v>43</v>
      </c>
      <c r="E732" t="s">
        <v>79</v>
      </c>
      <c r="F732" t="s">
        <v>80</v>
      </c>
      <c r="G732">
        <v>45</v>
      </c>
      <c r="H732">
        <v>1791882490001</v>
      </c>
      <c r="I732" t="s">
        <v>46</v>
      </c>
      <c r="J732" t="s">
        <v>48</v>
      </c>
      <c r="K732" t="s">
        <v>48</v>
      </c>
      <c r="L732" t="s">
        <v>49</v>
      </c>
      <c r="M732" t="s">
        <v>50</v>
      </c>
      <c r="N732" t="s">
        <v>51</v>
      </c>
      <c r="O732">
        <v>8481909090</v>
      </c>
      <c r="P732" t="s">
        <v>103</v>
      </c>
      <c r="Q732" t="s">
        <v>851</v>
      </c>
      <c r="R732" t="s">
        <v>54</v>
      </c>
      <c r="S732" t="s">
        <v>55</v>
      </c>
      <c r="T732">
        <v>6</v>
      </c>
      <c r="U732">
        <v>3</v>
      </c>
      <c r="V732" t="s">
        <v>135</v>
      </c>
      <c r="W732">
        <v>0</v>
      </c>
      <c r="X732">
        <v>796.54</v>
      </c>
      <c r="Y732">
        <v>76.900000000000006</v>
      </c>
      <c r="Z732">
        <v>5.3</v>
      </c>
      <c r="AA732">
        <v>878.75</v>
      </c>
      <c r="AB732" t="s">
        <v>57</v>
      </c>
      <c r="AC732" t="s">
        <v>81</v>
      </c>
      <c r="AD732" t="s">
        <v>48</v>
      </c>
      <c r="AE732">
        <v>0</v>
      </c>
      <c r="AF732">
        <v>3.24</v>
      </c>
      <c r="AG732" t="s">
        <v>82</v>
      </c>
      <c r="AH732">
        <v>471463</v>
      </c>
      <c r="AI732" t="s">
        <v>60</v>
      </c>
      <c r="AJ732" t="s">
        <v>60</v>
      </c>
      <c r="AK732" t="s">
        <v>54</v>
      </c>
      <c r="AL732">
        <v>2024</v>
      </c>
      <c r="AM732" s="6" t="s">
        <v>850</v>
      </c>
      <c r="AN732" s="7">
        <v>265.51</v>
      </c>
      <c r="AO732" s="8">
        <f t="shared" si="36"/>
        <v>497.83124999999995</v>
      </c>
      <c r="AP732" s="8">
        <f t="shared" si="37"/>
        <v>553.09051874999989</v>
      </c>
      <c r="AQ732" s="9">
        <f t="shared" si="35"/>
        <v>806.43684187499991</v>
      </c>
    </row>
    <row r="733" spans="1:43" x14ac:dyDescent="0.25">
      <c r="A733">
        <v>12</v>
      </c>
      <c r="B733">
        <v>6</v>
      </c>
      <c r="C733">
        <v>2024</v>
      </c>
      <c r="D733" t="s">
        <v>43</v>
      </c>
      <c r="E733" t="s">
        <v>96</v>
      </c>
      <c r="F733" t="s">
        <v>97</v>
      </c>
      <c r="G733">
        <v>39</v>
      </c>
      <c r="H733">
        <v>1791882490001</v>
      </c>
      <c r="I733" t="s">
        <v>46</v>
      </c>
      <c r="J733" t="s">
        <v>48</v>
      </c>
      <c r="K733" t="s">
        <v>48</v>
      </c>
      <c r="L733" t="s">
        <v>49</v>
      </c>
      <c r="M733" t="s">
        <v>50</v>
      </c>
      <c r="N733" t="s">
        <v>51</v>
      </c>
      <c r="O733">
        <v>7318290000</v>
      </c>
      <c r="P733" t="s">
        <v>286</v>
      </c>
      <c r="Q733" t="s">
        <v>852</v>
      </c>
      <c r="R733" t="s">
        <v>54</v>
      </c>
      <c r="S733" t="s">
        <v>55</v>
      </c>
      <c r="T733">
        <v>7</v>
      </c>
      <c r="U733">
        <v>2</v>
      </c>
      <c r="V733" t="s">
        <v>56</v>
      </c>
      <c r="W733">
        <v>0</v>
      </c>
      <c r="X733">
        <v>97.17</v>
      </c>
      <c r="Y733">
        <v>8.43</v>
      </c>
      <c r="Z733">
        <v>0.65</v>
      </c>
      <c r="AA733">
        <v>106.25</v>
      </c>
      <c r="AB733" t="s">
        <v>57</v>
      </c>
      <c r="AC733" t="s">
        <v>94</v>
      </c>
      <c r="AD733" t="s">
        <v>48</v>
      </c>
      <c r="AE733">
        <v>0</v>
      </c>
      <c r="AF733">
        <v>3.6</v>
      </c>
      <c r="AG733" t="s">
        <v>59</v>
      </c>
      <c r="AH733" t="s">
        <v>98</v>
      </c>
      <c r="AI733" t="s">
        <v>60</v>
      </c>
      <c r="AJ733" t="s">
        <v>60</v>
      </c>
      <c r="AK733" t="s">
        <v>54</v>
      </c>
      <c r="AL733">
        <v>2024</v>
      </c>
      <c r="AM733" s="6" t="s">
        <v>853</v>
      </c>
      <c r="AN733" s="7">
        <v>48.59</v>
      </c>
      <c r="AO733" s="8">
        <f t="shared" si="36"/>
        <v>91.106250000000003</v>
      </c>
      <c r="AP733" s="8">
        <f t="shared" si="37"/>
        <v>101.21904375</v>
      </c>
      <c r="AQ733" s="9">
        <f t="shared" si="35"/>
        <v>147.583014375</v>
      </c>
    </row>
    <row r="734" spans="1:43" x14ac:dyDescent="0.25">
      <c r="A734">
        <v>19</v>
      </c>
      <c r="B734">
        <v>8</v>
      </c>
      <c r="C734">
        <v>2024</v>
      </c>
      <c r="D734" t="s">
        <v>43</v>
      </c>
      <c r="E734" t="s">
        <v>84</v>
      </c>
      <c r="F734" t="s">
        <v>85</v>
      </c>
      <c r="G734">
        <v>39</v>
      </c>
      <c r="H734">
        <v>1791882490001</v>
      </c>
      <c r="I734" t="s">
        <v>46</v>
      </c>
      <c r="J734" t="s">
        <v>48</v>
      </c>
      <c r="K734" t="s">
        <v>48</v>
      </c>
      <c r="L734" t="s">
        <v>49</v>
      </c>
      <c r="M734" t="s">
        <v>50</v>
      </c>
      <c r="N734" t="s">
        <v>51</v>
      </c>
      <c r="O734">
        <v>7318290000</v>
      </c>
      <c r="P734" t="s">
        <v>286</v>
      </c>
      <c r="Q734" t="s">
        <v>854</v>
      </c>
      <c r="R734" t="s">
        <v>54</v>
      </c>
      <c r="S734" t="s">
        <v>55</v>
      </c>
      <c r="T734">
        <v>6</v>
      </c>
      <c r="U734">
        <v>2</v>
      </c>
      <c r="V734" t="s">
        <v>56</v>
      </c>
      <c r="W734">
        <v>8.2100000000000009</v>
      </c>
      <c r="X734">
        <v>96.33</v>
      </c>
      <c r="Y734">
        <v>12.43</v>
      </c>
      <c r="Z734">
        <v>0.66</v>
      </c>
      <c r="AA734">
        <v>109.42</v>
      </c>
      <c r="AB734" t="s">
        <v>57</v>
      </c>
      <c r="AC734" t="s">
        <v>58</v>
      </c>
      <c r="AD734" t="s">
        <v>48</v>
      </c>
      <c r="AE734">
        <v>0</v>
      </c>
      <c r="AF734">
        <v>2.79</v>
      </c>
      <c r="AG734" t="s">
        <v>59</v>
      </c>
      <c r="AH734">
        <v>144527</v>
      </c>
      <c r="AI734" t="s">
        <v>60</v>
      </c>
      <c r="AJ734" t="s">
        <v>60</v>
      </c>
      <c r="AK734" t="s">
        <v>54</v>
      </c>
      <c r="AL734">
        <v>2024</v>
      </c>
      <c r="AM734" s="6" t="s">
        <v>853</v>
      </c>
      <c r="AN734" s="7">
        <v>48.16</v>
      </c>
      <c r="AO734" s="8">
        <f t="shared" si="36"/>
        <v>90.3</v>
      </c>
      <c r="AP734" s="8">
        <f t="shared" si="37"/>
        <v>100.32329999999999</v>
      </c>
      <c r="AQ734" s="9">
        <f t="shared" si="35"/>
        <v>146.27696999999998</v>
      </c>
    </row>
    <row r="735" spans="1:43" x14ac:dyDescent="0.25">
      <c r="A735">
        <v>2</v>
      </c>
      <c r="B735">
        <v>1</v>
      </c>
      <c r="C735">
        <v>2024</v>
      </c>
      <c r="D735" t="s">
        <v>43</v>
      </c>
      <c r="E735" t="s">
        <v>181</v>
      </c>
      <c r="F735" t="s">
        <v>182</v>
      </c>
      <c r="G735">
        <v>30</v>
      </c>
      <c r="H735">
        <v>1791882490001</v>
      </c>
      <c r="I735" t="s">
        <v>46</v>
      </c>
      <c r="J735" t="s">
        <v>48</v>
      </c>
      <c r="K735" t="s">
        <v>48</v>
      </c>
      <c r="L735" t="s">
        <v>49</v>
      </c>
      <c r="M735" t="s">
        <v>50</v>
      </c>
      <c r="N735" t="s">
        <v>51</v>
      </c>
      <c r="O735">
        <v>8482200000</v>
      </c>
      <c r="P735" t="s">
        <v>855</v>
      </c>
      <c r="Q735" t="s">
        <v>455</v>
      </c>
      <c r="R735" t="s">
        <v>54</v>
      </c>
      <c r="S735" t="s">
        <v>55</v>
      </c>
      <c r="T735">
        <v>8</v>
      </c>
      <c r="U735">
        <v>1</v>
      </c>
      <c r="V735" t="s">
        <v>135</v>
      </c>
      <c r="W735">
        <v>0</v>
      </c>
      <c r="X735">
        <v>511.19</v>
      </c>
      <c r="Y735">
        <v>103.87</v>
      </c>
      <c r="Z735">
        <v>3.29</v>
      </c>
      <c r="AA735">
        <v>618.35</v>
      </c>
      <c r="AB735" t="s">
        <v>57</v>
      </c>
      <c r="AC735" t="s">
        <v>81</v>
      </c>
      <c r="AD735" t="s">
        <v>48</v>
      </c>
      <c r="AE735">
        <v>0</v>
      </c>
      <c r="AF735">
        <v>3.24</v>
      </c>
      <c r="AG735" t="s">
        <v>59</v>
      </c>
      <c r="AH735">
        <v>413505</v>
      </c>
      <c r="AI735" t="s">
        <v>60</v>
      </c>
      <c r="AJ735" t="s">
        <v>60</v>
      </c>
      <c r="AK735" t="s">
        <v>54</v>
      </c>
      <c r="AL735">
        <v>2023</v>
      </c>
      <c r="AM735" s="6" t="s">
        <v>856</v>
      </c>
      <c r="AN735" s="7">
        <v>511.19</v>
      </c>
      <c r="AO735" s="8">
        <f t="shared" si="36"/>
        <v>958.48125000000005</v>
      </c>
      <c r="AP735" s="8">
        <f t="shared" si="37"/>
        <v>1064.87266875</v>
      </c>
      <c r="AQ735" s="9">
        <f t="shared" si="35"/>
        <v>1552.643776875</v>
      </c>
    </row>
    <row r="736" spans="1:43" x14ac:dyDescent="0.25">
      <c r="A736">
        <v>16</v>
      </c>
      <c r="B736">
        <v>1</v>
      </c>
      <c r="C736">
        <v>2024</v>
      </c>
      <c r="D736" t="s">
        <v>43</v>
      </c>
      <c r="E736" t="s">
        <v>191</v>
      </c>
      <c r="F736" t="s">
        <v>192</v>
      </c>
      <c r="G736">
        <v>17</v>
      </c>
      <c r="H736">
        <v>1791882490001</v>
      </c>
      <c r="I736" t="s">
        <v>46</v>
      </c>
      <c r="J736" t="s">
        <v>48</v>
      </c>
      <c r="K736" t="s">
        <v>48</v>
      </c>
      <c r="L736" t="s">
        <v>49</v>
      </c>
      <c r="M736" t="s">
        <v>50</v>
      </c>
      <c r="N736" t="s">
        <v>51</v>
      </c>
      <c r="O736">
        <v>8482100000</v>
      </c>
      <c r="P736" t="s">
        <v>843</v>
      </c>
      <c r="Q736" t="s">
        <v>455</v>
      </c>
      <c r="R736" t="s">
        <v>54</v>
      </c>
      <c r="S736" t="s">
        <v>55</v>
      </c>
      <c r="T736">
        <v>11</v>
      </c>
      <c r="U736">
        <v>2</v>
      </c>
      <c r="V736" t="s">
        <v>135</v>
      </c>
      <c r="W736">
        <v>0</v>
      </c>
      <c r="X736">
        <v>1012.14</v>
      </c>
      <c r="Y736">
        <v>66.41</v>
      </c>
      <c r="Z736">
        <v>6.53</v>
      </c>
      <c r="AA736">
        <v>1085.08</v>
      </c>
      <c r="AB736" t="s">
        <v>57</v>
      </c>
      <c r="AC736" t="s">
        <v>81</v>
      </c>
      <c r="AD736" t="s">
        <v>48</v>
      </c>
      <c r="AE736">
        <v>0</v>
      </c>
      <c r="AF736">
        <v>5.71</v>
      </c>
      <c r="AG736" t="s">
        <v>59</v>
      </c>
      <c r="AH736">
        <v>850332</v>
      </c>
      <c r="AI736" t="s">
        <v>60</v>
      </c>
      <c r="AJ736" t="s">
        <v>60</v>
      </c>
      <c r="AK736" t="s">
        <v>54</v>
      </c>
      <c r="AL736">
        <v>2023</v>
      </c>
      <c r="AM736" s="6" t="s">
        <v>856</v>
      </c>
      <c r="AN736" s="7">
        <v>506.07</v>
      </c>
      <c r="AO736" s="8">
        <f t="shared" si="36"/>
        <v>948.88125000000002</v>
      </c>
      <c r="AP736" s="8">
        <f t="shared" si="37"/>
        <v>1054.20706875</v>
      </c>
      <c r="AQ736" s="9">
        <f t="shared" si="35"/>
        <v>1537.0927368749999</v>
      </c>
    </row>
    <row r="737" spans="1:43" x14ac:dyDescent="0.25">
      <c r="A737">
        <v>13</v>
      </c>
      <c r="B737">
        <v>3</v>
      </c>
      <c r="C737">
        <v>2024</v>
      </c>
      <c r="D737" t="s">
        <v>43</v>
      </c>
      <c r="E737" t="s">
        <v>69</v>
      </c>
      <c r="F737" t="s">
        <v>70</v>
      </c>
      <c r="G737">
        <v>41</v>
      </c>
      <c r="H737">
        <v>1791882490001</v>
      </c>
      <c r="I737" t="s">
        <v>46</v>
      </c>
      <c r="J737" t="s">
        <v>48</v>
      </c>
      <c r="K737" t="s">
        <v>48</v>
      </c>
      <c r="L737" t="s">
        <v>49</v>
      </c>
      <c r="M737" t="s">
        <v>50</v>
      </c>
      <c r="N737" t="s">
        <v>51</v>
      </c>
      <c r="O737">
        <v>8482100000</v>
      </c>
      <c r="P737" t="s">
        <v>831</v>
      </c>
      <c r="Q737" t="s">
        <v>723</v>
      </c>
      <c r="R737" t="s">
        <v>54</v>
      </c>
      <c r="S737" t="s">
        <v>55</v>
      </c>
      <c r="T737">
        <v>11</v>
      </c>
      <c r="U737">
        <v>1</v>
      </c>
      <c r="V737" t="s">
        <v>135</v>
      </c>
      <c r="W737">
        <v>0</v>
      </c>
      <c r="X737">
        <v>510.07</v>
      </c>
      <c r="Y737">
        <v>66.790000000000006</v>
      </c>
      <c r="Z737">
        <v>3.43</v>
      </c>
      <c r="AA737">
        <v>580.29999999999995</v>
      </c>
      <c r="AB737" t="s">
        <v>54</v>
      </c>
      <c r="AC737" t="s">
        <v>71</v>
      </c>
      <c r="AD737" t="s">
        <v>48</v>
      </c>
      <c r="AE737">
        <v>0</v>
      </c>
      <c r="AF737">
        <v>2.04</v>
      </c>
      <c r="AG737" t="s">
        <v>59</v>
      </c>
      <c r="AH737">
        <v>895279</v>
      </c>
      <c r="AI737" t="s">
        <v>60</v>
      </c>
      <c r="AJ737" t="s">
        <v>60</v>
      </c>
      <c r="AK737" t="s">
        <v>54</v>
      </c>
      <c r="AL737">
        <v>2024</v>
      </c>
      <c r="AM737" s="6" t="s">
        <v>856</v>
      </c>
      <c r="AN737" s="7">
        <v>510.07</v>
      </c>
      <c r="AO737" s="8">
        <f t="shared" si="36"/>
        <v>956.38125000000002</v>
      </c>
      <c r="AP737" s="8">
        <f t="shared" si="37"/>
        <v>1062.5395687499999</v>
      </c>
      <c r="AQ737" s="9">
        <f t="shared" si="35"/>
        <v>1549.2419868749998</v>
      </c>
    </row>
    <row r="738" spans="1:43" x14ac:dyDescent="0.25">
      <c r="A738">
        <v>12</v>
      </c>
      <c r="B738">
        <v>6</v>
      </c>
      <c r="C738">
        <v>2024</v>
      </c>
      <c r="D738" t="s">
        <v>43</v>
      </c>
      <c r="E738" t="s">
        <v>96</v>
      </c>
      <c r="F738" t="s">
        <v>97</v>
      </c>
      <c r="G738">
        <v>40</v>
      </c>
      <c r="H738">
        <v>1791882490001</v>
      </c>
      <c r="I738" t="s">
        <v>46</v>
      </c>
      <c r="J738" t="s">
        <v>48</v>
      </c>
      <c r="K738" t="s">
        <v>48</v>
      </c>
      <c r="L738" t="s">
        <v>49</v>
      </c>
      <c r="M738" t="s">
        <v>50</v>
      </c>
      <c r="N738" t="s">
        <v>51</v>
      </c>
      <c r="O738">
        <v>8482100000</v>
      </c>
      <c r="P738" t="s">
        <v>831</v>
      </c>
      <c r="Q738" t="s">
        <v>723</v>
      </c>
      <c r="R738" t="s">
        <v>54</v>
      </c>
      <c r="S738" t="s">
        <v>55</v>
      </c>
      <c r="T738">
        <v>7</v>
      </c>
      <c r="U738">
        <v>3</v>
      </c>
      <c r="V738" t="s">
        <v>135</v>
      </c>
      <c r="W738">
        <v>0</v>
      </c>
      <c r="X738">
        <v>1628.9</v>
      </c>
      <c r="Y738">
        <v>141.27000000000001</v>
      </c>
      <c r="Z738">
        <v>10.97</v>
      </c>
      <c r="AA738">
        <v>1781.13</v>
      </c>
      <c r="AB738" t="s">
        <v>57</v>
      </c>
      <c r="AC738" t="s">
        <v>94</v>
      </c>
      <c r="AD738" t="s">
        <v>48</v>
      </c>
      <c r="AE738">
        <v>0</v>
      </c>
      <c r="AF738">
        <v>5.4</v>
      </c>
      <c r="AG738" t="s">
        <v>59</v>
      </c>
      <c r="AH738" t="s">
        <v>98</v>
      </c>
      <c r="AI738" t="s">
        <v>60</v>
      </c>
      <c r="AJ738" t="s">
        <v>60</v>
      </c>
      <c r="AK738" t="s">
        <v>54</v>
      </c>
      <c r="AL738">
        <v>2024</v>
      </c>
      <c r="AM738" s="6" t="s">
        <v>856</v>
      </c>
      <c r="AN738" s="7">
        <v>542.97</v>
      </c>
      <c r="AO738" s="8">
        <f t="shared" si="36"/>
        <v>1018.06875</v>
      </c>
      <c r="AP738" s="8">
        <f t="shared" si="37"/>
        <v>1131.07438125</v>
      </c>
      <c r="AQ738" s="9">
        <f t="shared" si="35"/>
        <v>1649.1695681249998</v>
      </c>
    </row>
    <row r="739" spans="1:43" x14ac:dyDescent="0.25">
      <c r="A739">
        <v>28</v>
      </c>
      <c r="B739">
        <v>8</v>
      </c>
      <c r="C739">
        <v>2024</v>
      </c>
      <c r="D739" t="s">
        <v>43</v>
      </c>
      <c r="E739" t="s">
        <v>91</v>
      </c>
      <c r="F739" t="s">
        <v>92</v>
      </c>
      <c r="G739">
        <v>40</v>
      </c>
      <c r="H739">
        <v>1791882490001</v>
      </c>
      <c r="I739" t="s">
        <v>46</v>
      </c>
      <c r="J739" t="s">
        <v>48</v>
      </c>
      <c r="K739" t="s">
        <v>48</v>
      </c>
      <c r="L739" t="s">
        <v>49</v>
      </c>
      <c r="M739" t="s">
        <v>50</v>
      </c>
      <c r="N739" t="s">
        <v>51</v>
      </c>
      <c r="O739">
        <v>8482100000</v>
      </c>
      <c r="P739" t="s">
        <v>831</v>
      </c>
      <c r="Q739" t="s">
        <v>455</v>
      </c>
      <c r="R739" t="s">
        <v>54</v>
      </c>
      <c r="S739" t="s">
        <v>55</v>
      </c>
      <c r="T739">
        <v>8</v>
      </c>
      <c r="U739">
        <v>1</v>
      </c>
      <c r="V739" t="s">
        <v>135</v>
      </c>
      <c r="W739">
        <v>0</v>
      </c>
      <c r="X739">
        <v>452.27</v>
      </c>
      <c r="Y739">
        <v>49.97</v>
      </c>
      <c r="Z739">
        <v>3.04</v>
      </c>
      <c r="AA739">
        <v>505.29</v>
      </c>
      <c r="AB739" t="s">
        <v>57</v>
      </c>
      <c r="AC739" t="s">
        <v>94</v>
      </c>
      <c r="AD739" t="s">
        <v>48</v>
      </c>
      <c r="AE739">
        <v>0</v>
      </c>
      <c r="AF739">
        <v>5.2</v>
      </c>
      <c r="AG739" t="s">
        <v>59</v>
      </c>
      <c r="AH739">
        <v>150511</v>
      </c>
      <c r="AI739" t="s">
        <v>60</v>
      </c>
      <c r="AJ739" t="s">
        <v>60</v>
      </c>
      <c r="AK739" t="s">
        <v>54</v>
      </c>
      <c r="AL739">
        <v>2024</v>
      </c>
      <c r="AM739" s="6" t="s">
        <v>856</v>
      </c>
      <c r="AN739" s="7">
        <v>452.27</v>
      </c>
      <c r="AO739" s="8">
        <f t="shared" si="36"/>
        <v>848.00624999999991</v>
      </c>
      <c r="AP739" s="8">
        <f t="shared" si="37"/>
        <v>942.13494374999993</v>
      </c>
      <c r="AQ739" s="9">
        <f t="shared" si="35"/>
        <v>1373.6853243749997</v>
      </c>
    </row>
    <row r="740" spans="1:43" x14ac:dyDescent="0.25">
      <c r="A740">
        <v>10</v>
      </c>
      <c r="B740">
        <v>10</v>
      </c>
      <c r="C740">
        <v>2024</v>
      </c>
      <c r="D740" t="s">
        <v>43</v>
      </c>
      <c r="E740" t="s">
        <v>44</v>
      </c>
      <c r="F740" t="s">
        <v>45</v>
      </c>
      <c r="G740">
        <v>50</v>
      </c>
      <c r="H740">
        <v>1791882490001</v>
      </c>
      <c r="I740" t="s">
        <v>46</v>
      </c>
      <c r="J740" t="s">
        <v>48</v>
      </c>
      <c r="K740" t="s">
        <v>48</v>
      </c>
      <c r="L740" t="s">
        <v>49</v>
      </c>
      <c r="M740" t="s">
        <v>50</v>
      </c>
      <c r="N740" t="s">
        <v>51</v>
      </c>
      <c r="O740">
        <v>8482100000</v>
      </c>
      <c r="P740" t="s">
        <v>843</v>
      </c>
      <c r="Q740" t="s">
        <v>455</v>
      </c>
      <c r="R740" t="s">
        <v>54</v>
      </c>
      <c r="S740" t="s">
        <v>55</v>
      </c>
      <c r="T740">
        <v>7</v>
      </c>
      <c r="U740">
        <v>2</v>
      </c>
      <c r="V740" t="s">
        <v>135</v>
      </c>
      <c r="W740">
        <v>0</v>
      </c>
      <c r="X740">
        <v>1088.1099999999999</v>
      </c>
      <c r="Y740">
        <v>190.12</v>
      </c>
      <c r="Z740">
        <v>7.84</v>
      </c>
      <c r="AA740">
        <v>1286.07</v>
      </c>
      <c r="AB740" t="s">
        <v>57</v>
      </c>
      <c r="AC740" t="s">
        <v>58</v>
      </c>
      <c r="AD740" t="s">
        <v>48</v>
      </c>
      <c r="AE740">
        <v>0</v>
      </c>
      <c r="AF740">
        <v>11.74</v>
      </c>
      <c r="AG740" t="s">
        <v>59</v>
      </c>
      <c r="AH740">
        <v>179772</v>
      </c>
      <c r="AI740" t="s">
        <v>60</v>
      </c>
      <c r="AJ740" t="s">
        <v>60</v>
      </c>
      <c r="AK740" t="s">
        <v>54</v>
      </c>
      <c r="AL740">
        <v>2024</v>
      </c>
      <c r="AM740" s="6" t="s">
        <v>856</v>
      </c>
      <c r="AN740" s="7">
        <v>544.04999999999995</v>
      </c>
      <c r="AO740" s="8">
        <f t="shared" si="36"/>
        <v>1020.0937499999999</v>
      </c>
      <c r="AP740" s="8">
        <f t="shared" si="37"/>
        <v>1133.3241562499998</v>
      </c>
      <c r="AQ740" s="9">
        <f t="shared" si="35"/>
        <v>1652.4498656249998</v>
      </c>
    </row>
    <row r="741" spans="1:43" x14ac:dyDescent="0.25">
      <c r="A741">
        <v>16</v>
      </c>
      <c r="B741">
        <v>1</v>
      </c>
      <c r="C741">
        <v>2024</v>
      </c>
      <c r="D741" t="s">
        <v>43</v>
      </c>
      <c r="E741" t="s">
        <v>191</v>
      </c>
      <c r="F741" t="s">
        <v>192</v>
      </c>
      <c r="G741">
        <v>18</v>
      </c>
      <c r="H741">
        <v>1791882490001</v>
      </c>
      <c r="I741" t="s">
        <v>46</v>
      </c>
      <c r="J741" t="s">
        <v>48</v>
      </c>
      <c r="K741" t="s">
        <v>48</v>
      </c>
      <c r="L741" t="s">
        <v>49</v>
      </c>
      <c r="M741" t="s">
        <v>50</v>
      </c>
      <c r="N741" t="s">
        <v>51</v>
      </c>
      <c r="O741">
        <v>8482500000</v>
      </c>
      <c r="P741" t="s">
        <v>606</v>
      </c>
      <c r="Q741" t="s">
        <v>455</v>
      </c>
      <c r="R741" t="s">
        <v>54</v>
      </c>
      <c r="S741" t="s">
        <v>55</v>
      </c>
      <c r="T741">
        <v>11</v>
      </c>
      <c r="U741">
        <v>2</v>
      </c>
      <c r="V741" t="s">
        <v>135</v>
      </c>
      <c r="W741">
        <v>0</v>
      </c>
      <c r="X741">
        <v>942.3</v>
      </c>
      <c r="Y741">
        <v>61.83</v>
      </c>
      <c r="Z741">
        <v>6.08</v>
      </c>
      <c r="AA741">
        <v>1010.21</v>
      </c>
      <c r="AB741" t="s">
        <v>57</v>
      </c>
      <c r="AC741" t="s">
        <v>81</v>
      </c>
      <c r="AD741" t="s">
        <v>48</v>
      </c>
      <c r="AE741">
        <v>0</v>
      </c>
      <c r="AF741">
        <v>5.71</v>
      </c>
      <c r="AG741" t="s">
        <v>59</v>
      </c>
      <c r="AH741">
        <v>850332</v>
      </c>
      <c r="AI741" t="s">
        <v>60</v>
      </c>
      <c r="AJ741" t="s">
        <v>60</v>
      </c>
      <c r="AK741" t="s">
        <v>54</v>
      </c>
      <c r="AL741">
        <v>2023</v>
      </c>
      <c r="AM741" s="6" t="s">
        <v>857</v>
      </c>
      <c r="AN741" s="7">
        <v>471.15</v>
      </c>
      <c r="AO741" s="8">
        <f t="shared" si="36"/>
        <v>883.40625</v>
      </c>
      <c r="AP741" s="8">
        <f t="shared" si="37"/>
        <v>981.46434375000001</v>
      </c>
      <c r="AQ741" s="9">
        <f t="shared" si="35"/>
        <v>1431.029784375</v>
      </c>
    </row>
    <row r="742" spans="1:43" x14ac:dyDescent="0.25">
      <c r="A742">
        <v>1</v>
      </c>
      <c r="B742">
        <v>2</v>
      </c>
      <c r="C742">
        <v>2024</v>
      </c>
      <c r="D742" t="s">
        <v>43</v>
      </c>
      <c r="E742" t="s">
        <v>174</v>
      </c>
      <c r="F742" t="s">
        <v>175</v>
      </c>
      <c r="G742">
        <v>32</v>
      </c>
      <c r="H742">
        <v>1791882490001</v>
      </c>
      <c r="I742" t="s">
        <v>46</v>
      </c>
      <c r="J742" t="s">
        <v>48</v>
      </c>
      <c r="K742" t="s">
        <v>48</v>
      </c>
      <c r="L742" t="s">
        <v>49</v>
      </c>
      <c r="M742" t="s">
        <v>50</v>
      </c>
      <c r="N742" t="s">
        <v>51</v>
      </c>
      <c r="O742">
        <v>8482500000</v>
      </c>
      <c r="P742" t="s">
        <v>454</v>
      </c>
      <c r="Q742" t="s">
        <v>455</v>
      </c>
      <c r="R742" t="s">
        <v>54</v>
      </c>
      <c r="S742" t="s">
        <v>55</v>
      </c>
      <c r="T742">
        <v>5</v>
      </c>
      <c r="U742">
        <v>2</v>
      </c>
      <c r="V742" t="s">
        <v>135</v>
      </c>
      <c r="W742">
        <v>0</v>
      </c>
      <c r="X742">
        <v>946.18</v>
      </c>
      <c r="Y742">
        <v>70.34</v>
      </c>
      <c r="Z742">
        <v>5.65</v>
      </c>
      <c r="AA742">
        <v>1022.17</v>
      </c>
      <c r="AB742" t="s">
        <v>54</v>
      </c>
      <c r="AC742" t="s">
        <v>94</v>
      </c>
      <c r="AD742" t="s">
        <v>48</v>
      </c>
      <c r="AE742">
        <v>0</v>
      </c>
      <c r="AF742">
        <v>3.97</v>
      </c>
      <c r="AG742" t="s">
        <v>59</v>
      </c>
      <c r="AH742">
        <v>863266</v>
      </c>
      <c r="AI742" t="s">
        <v>60</v>
      </c>
      <c r="AJ742" t="s">
        <v>60</v>
      </c>
      <c r="AK742" t="s">
        <v>54</v>
      </c>
      <c r="AL742">
        <v>2023</v>
      </c>
      <c r="AM742" s="6" t="s">
        <v>857</v>
      </c>
      <c r="AN742" s="7">
        <v>473.09</v>
      </c>
      <c r="AO742" s="8">
        <f t="shared" si="36"/>
        <v>887.04374999999993</v>
      </c>
      <c r="AP742" s="8">
        <f t="shared" si="37"/>
        <v>985.50560624999991</v>
      </c>
      <c r="AQ742" s="9">
        <f t="shared" si="35"/>
        <v>1436.9221706249998</v>
      </c>
    </row>
    <row r="743" spans="1:43" x14ac:dyDescent="0.25">
      <c r="A743">
        <v>2</v>
      </c>
      <c r="B743">
        <v>1</v>
      </c>
      <c r="C743">
        <v>2024</v>
      </c>
      <c r="D743" t="s">
        <v>43</v>
      </c>
      <c r="E743" t="s">
        <v>181</v>
      </c>
      <c r="F743" t="s">
        <v>182</v>
      </c>
      <c r="G743">
        <v>31</v>
      </c>
      <c r="H743">
        <v>1791882490001</v>
      </c>
      <c r="I743" t="s">
        <v>46</v>
      </c>
      <c r="J743" t="s">
        <v>48</v>
      </c>
      <c r="K743" t="s">
        <v>48</v>
      </c>
      <c r="L743" t="s">
        <v>49</v>
      </c>
      <c r="M743" t="s">
        <v>50</v>
      </c>
      <c r="N743" t="s">
        <v>51</v>
      </c>
      <c r="O743">
        <v>8481909090</v>
      </c>
      <c r="P743" t="s">
        <v>232</v>
      </c>
      <c r="Q743" t="s">
        <v>598</v>
      </c>
      <c r="R743" t="s">
        <v>54</v>
      </c>
      <c r="S743" t="s">
        <v>55</v>
      </c>
      <c r="T743">
        <v>8</v>
      </c>
      <c r="U743">
        <v>4</v>
      </c>
      <c r="V743" t="s">
        <v>135</v>
      </c>
      <c r="W743">
        <v>0</v>
      </c>
      <c r="X743">
        <v>1086.5</v>
      </c>
      <c r="Y743">
        <v>220.76</v>
      </c>
      <c r="Z743">
        <v>6.99</v>
      </c>
      <c r="AA743">
        <v>1314.25</v>
      </c>
      <c r="AB743" t="s">
        <v>57</v>
      </c>
      <c r="AC743" t="s">
        <v>81</v>
      </c>
      <c r="AD743" t="s">
        <v>48</v>
      </c>
      <c r="AE743">
        <v>0</v>
      </c>
      <c r="AF743">
        <v>12.96</v>
      </c>
      <c r="AG743" t="s">
        <v>59</v>
      </c>
      <c r="AH743">
        <v>413505</v>
      </c>
      <c r="AI743" t="s">
        <v>60</v>
      </c>
      <c r="AJ743" t="s">
        <v>60</v>
      </c>
      <c r="AK743" t="s">
        <v>54</v>
      </c>
      <c r="AL743">
        <v>2023</v>
      </c>
      <c r="AM743" s="6" t="s">
        <v>858</v>
      </c>
      <c r="AN743" s="7">
        <v>271.62</v>
      </c>
      <c r="AO743" s="8">
        <f t="shared" si="36"/>
        <v>509.28750000000002</v>
      </c>
      <c r="AP743" s="8">
        <f t="shared" si="37"/>
        <v>565.81841250000002</v>
      </c>
      <c r="AQ743" s="9">
        <f t="shared" si="35"/>
        <v>824.99482124999997</v>
      </c>
    </row>
    <row r="744" spans="1:43" x14ac:dyDescent="0.25">
      <c r="A744">
        <v>15</v>
      </c>
      <c r="B744">
        <v>4</v>
      </c>
      <c r="C744">
        <v>2024</v>
      </c>
      <c r="D744" t="s">
        <v>43</v>
      </c>
      <c r="E744" t="s">
        <v>63</v>
      </c>
      <c r="F744" t="s">
        <v>64</v>
      </c>
      <c r="G744">
        <v>54</v>
      </c>
      <c r="H744">
        <v>1791882490001</v>
      </c>
      <c r="I744" t="s">
        <v>46</v>
      </c>
      <c r="J744" t="s">
        <v>48</v>
      </c>
      <c r="K744" t="s">
        <v>48</v>
      </c>
      <c r="L744" t="s">
        <v>49</v>
      </c>
      <c r="M744" t="s">
        <v>50</v>
      </c>
      <c r="N744" t="s">
        <v>51</v>
      </c>
      <c r="O744">
        <v>8481909090</v>
      </c>
      <c r="P744" t="s">
        <v>103</v>
      </c>
      <c r="Q744" t="s">
        <v>849</v>
      </c>
      <c r="R744" t="s">
        <v>54</v>
      </c>
      <c r="S744" t="s">
        <v>55</v>
      </c>
      <c r="T744">
        <v>6</v>
      </c>
      <c r="U744">
        <v>3</v>
      </c>
      <c r="V744" t="s">
        <v>135</v>
      </c>
      <c r="W744">
        <v>0</v>
      </c>
      <c r="X744">
        <v>864.42</v>
      </c>
      <c r="Y744">
        <v>90.99</v>
      </c>
      <c r="Z744">
        <v>5.8</v>
      </c>
      <c r="AA744">
        <v>961.21</v>
      </c>
      <c r="AB744" t="s">
        <v>57</v>
      </c>
      <c r="AC744" t="s">
        <v>58</v>
      </c>
      <c r="AD744" t="s">
        <v>48</v>
      </c>
      <c r="AE744">
        <v>0</v>
      </c>
      <c r="AF744">
        <v>8.2799999999999994</v>
      </c>
      <c r="AG744" t="s">
        <v>59</v>
      </c>
      <c r="AH744">
        <v>443965</v>
      </c>
      <c r="AI744" t="s">
        <v>60</v>
      </c>
      <c r="AJ744" t="s">
        <v>60</v>
      </c>
      <c r="AK744" t="s">
        <v>54</v>
      </c>
      <c r="AL744">
        <v>2024</v>
      </c>
      <c r="AM744" s="6" t="s">
        <v>858</v>
      </c>
      <c r="AN744" s="7">
        <v>288.14</v>
      </c>
      <c r="AO744" s="8">
        <f t="shared" si="36"/>
        <v>540.26249999999993</v>
      </c>
      <c r="AP744" s="8">
        <f t="shared" si="37"/>
        <v>600.23163749999992</v>
      </c>
      <c r="AQ744" s="9">
        <f t="shared" si="35"/>
        <v>875.17122374999985</v>
      </c>
    </row>
    <row r="745" spans="1:43" x14ac:dyDescent="0.25">
      <c r="A745">
        <v>12</v>
      </c>
      <c r="B745">
        <v>6</v>
      </c>
      <c r="C745">
        <v>2024</v>
      </c>
      <c r="D745" t="s">
        <v>43</v>
      </c>
      <c r="E745" t="s">
        <v>96</v>
      </c>
      <c r="F745" t="s">
        <v>97</v>
      </c>
      <c r="G745">
        <v>41</v>
      </c>
      <c r="H745">
        <v>1791882490001</v>
      </c>
      <c r="I745" t="s">
        <v>46</v>
      </c>
      <c r="J745" t="s">
        <v>48</v>
      </c>
      <c r="K745" t="s">
        <v>48</v>
      </c>
      <c r="L745" t="s">
        <v>49</v>
      </c>
      <c r="M745" t="s">
        <v>50</v>
      </c>
      <c r="N745" t="s">
        <v>51</v>
      </c>
      <c r="O745">
        <v>8481909090</v>
      </c>
      <c r="P745" t="s">
        <v>103</v>
      </c>
      <c r="Q745" t="s">
        <v>859</v>
      </c>
      <c r="R745" t="s">
        <v>54</v>
      </c>
      <c r="S745" t="s">
        <v>55</v>
      </c>
      <c r="T745">
        <v>7</v>
      </c>
      <c r="U745">
        <v>3</v>
      </c>
      <c r="V745" t="s">
        <v>135</v>
      </c>
      <c r="W745">
        <v>0</v>
      </c>
      <c r="X745">
        <v>871.76</v>
      </c>
      <c r="Y745">
        <v>75.61</v>
      </c>
      <c r="Z745">
        <v>5.87</v>
      </c>
      <c r="AA745">
        <v>953.24</v>
      </c>
      <c r="AB745" t="s">
        <v>57</v>
      </c>
      <c r="AC745" t="s">
        <v>94</v>
      </c>
      <c r="AD745" t="s">
        <v>48</v>
      </c>
      <c r="AE745">
        <v>0</v>
      </c>
      <c r="AF745">
        <v>5.4</v>
      </c>
      <c r="AG745" t="s">
        <v>59</v>
      </c>
      <c r="AH745" t="s">
        <v>98</v>
      </c>
      <c r="AI745" t="s">
        <v>60</v>
      </c>
      <c r="AJ745" t="s">
        <v>60</v>
      </c>
      <c r="AK745" t="s">
        <v>54</v>
      </c>
      <c r="AL745">
        <v>2024</v>
      </c>
      <c r="AM745" s="6" t="s">
        <v>858</v>
      </c>
      <c r="AN745" s="7">
        <v>290.58999999999997</v>
      </c>
      <c r="AO745" s="8">
        <f t="shared" si="36"/>
        <v>544.85624999999993</v>
      </c>
      <c r="AP745" s="8">
        <f t="shared" si="37"/>
        <v>605.33529374999989</v>
      </c>
      <c r="AQ745" s="9">
        <f t="shared" si="35"/>
        <v>882.61263937499984</v>
      </c>
    </row>
    <row r="746" spans="1:43" x14ac:dyDescent="0.25">
      <c r="A746">
        <v>8</v>
      </c>
      <c r="B746">
        <v>7</v>
      </c>
      <c r="C746">
        <v>2024</v>
      </c>
      <c r="D746" t="s">
        <v>43</v>
      </c>
      <c r="E746" t="s">
        <v>75</v>
      </c>
      <c r="F746" t="s">
        <v>76</v>
      </c>
      <c r="G746">
        <v>53</v>
      </c>
      <c r="H746">
        <v>1791882490001</v>
      </c>
      <c r="I746" t="s">
        <v>46</v>
      </c>
      <c r="J746" t="s">
        <v>48</v>
      </c>
      <c r="K746" t="s">
        <v>48</v>
      </c>
      <c r="L746" t="s">
        <v>49</v>
      </c>
      <c r="M746" t="s">
        <v>50</v>
      </c>
      <c r="N746" t="s">
        <v>51</v>
      </c>
      <c r="O746">
        <v>8481909090</v>
      </c>
      <c r="P746" t="s">
        <v>103</v>
      </c>
      <c r="Q746" t="s">
        <v>860</v>
      </c>
      <c r="R746" t="s">
        <v>54</v>
      </c>
      <c r="S746" t="s">
        <v>55</v>
      </c>
      <c r="T746">
        <v>8</v>
      </c>
      <c r="U746">
        <v>3</v>
      </c>
      <c r="V746" t="s">
        <v>135</v>
      </c>
      <c r="W746">
        <v>0</v>
      </c>
      <c r="X746">
        <v>897.39</v>
      </c>
      <c r="Y746">
        <v>76.64</v>
      </c>
      <c r="Z746">
        <v>5.84</v>
      </c>
      <c r="AA746">
        <v>979.87</v>
      </c>
      <c r="AB746" t="s">
        <v>57</v>
      </c>
      <c r="AC746" t="s">
        <v>77</v>
      </c>
      <c r="AD746" t="s">
        <v>48</v>
      </c>
      <c r="AE746">
        <v>0</v>
      </c>
      <c r="AF746">
        <v>5.94</v>
      </c>
      <c r="AG746" t="s">
        <v>59</v>
      </c>
      <c r="AH746">
        <v>107711</v>
      </c>
      <c r="AI746" t="s">
        <v>60</v>
      </c>
      <c r="AJ746" t="s">
        <v>78</v>
      </c>
      <c r="AK746" t="s">
        <v>54</v>
      </c>
      <c r="AL746">
        <v>2024</v>
      </c>
      <c r="AM746" s="6" t="s">
        <v>858</v>
      </c>
      <c r="AN746" s="7">
        <v>299.13</v>
      </c>
      <c r="AO746" s="8">
        <f t="shared" si="36"/>
        <v>560.86874999999998</v>
      </c>
      <c r="AP746" s="8">
        <f t="shared" si="37"/>
        <v>623.12518124999997</v>
      </c>
      <c r="AQ746" s="9">
        <f t="shared" si="35"/>
        <v>908.55128812499993</v>
      </c>
    </row>
    <row r="747" spans="1:43" x14ac:dyDescent="0.25">
      <c r="A747">
        <v>8</v>
      </c>
      <c r="B747">
        <v>7</v>
      </c>
      <c r="C747">
        <v>2024</v>
      </c>
      <c r="D747" t="s">
        <v>43</v>
      </c>
      <c r="E747" t="s">
        <v>75</v>
      </c>
      <c r="F747" t="s">
        <v>76</v>
      </c>
      <c r="G747">
        <v>53</v>
      </c>
      <c r="H747">
        <v>1791882490001</v>
      </c>
      <c r="I747" t="s">
        <v>46</v>
      </c>
      <c r="J747" t="s">
        <v>48</v>
      </c>
      <c r="K747" t="s">
        <v>48</v>
      </c>
      <c r="L747" t="s">
        <v>49</v>
      </c>
      <c r="M747" t="s">
        <v>50</v>
      </c>
      <c r="N747" t="s">
        <v>51</v>
      </c>
      <c r="O747">
        <v>8481909090</v>
      </c>
      <c r="P747" t="s">
        <v>103</v>
      </c>
      <c r="Q747" t="s">
        <v>860</v>
      </c>
      <c r="R747" t="s">
        <v>54</v>
      </c>
      <c r="S747" t="s">
        <v>55</v>
      </c>
      <c r="T747">
        <v>8</v>
      </c>
      <c r="U747">
        <v>3</v>
      </c>
      <c r="V747" t="s">
        <v>135</v>
      </c>
      <c r="W747">
        <v>0</v>
      </c>
      <c r="X747">
        <v>897.39</v>
      </c>
      <c r="Y747">
        <v>76.64</v>
      </c>
      <c r="Z747">
        <v>5.84</v>
      </c>
      <c r="AA747">
        <v>979.87</v>
      </c>
      <c r="AB747" t="s">
        <v>57</v>
      </c>
      <c r="AC747" t="s">
        <v>77</v>
      </c>
      <c r="AD747" t="s">
        <v>48</v>
      </c>
      <c r="AE747">
        <v>0</v>
      </c>
      <c r="AF747">
        <v>5.94</v>
      </c>
      <c r="AG747" t="s">
        <v>59</v>
      </c>
      <c r="AH747">
        <v>107711</v>
      </c>
      <c r="AI747" t="s">
        <v>60</v>
      </c>
      <c r="AJ747" t="s">
        <v>78</v>
      </c>
      <c r="AK747" t="s">
        <v>54</v>
      </c>
      <c r="AL747">
        <v>2024</v>
      </c>
      <c r="AM747" s="6" t="s">
        <v>858</v>
      </c>
      <c r="AN747" s="7">
        <v>299.13</v>
      </c>
      <c r="AO747" s="8">
        <f t="shared" si="36"/>
        <v>560.86874999999998</v>
      </c>
      <c r="AP747" s="8">
        <f t="shared" si="37"/>
        <v>623.12518124999997</v>
      </c>
      <c r="AQ747" s="9">
        <f t="shared" si="35"/>
        <v>908.55128812499993</v>
      </c>
    </row>
    <row r="748" spans="1:43" x14ac:dyDescent="0.25">
      <c r="A748">
        <v>19</v>
      </c>
      <c r="B748">
        <v>8</v>
      </c>
      <c r="C748">
        <v>2024</v>
      </c>
      <c r="D748" t="s">
        <v>43</v>
      </c>
      <c r="E748" t="s">
        <v>84</v>
      </c>
      <c r="F748" t="s">
        <v>85</v>
      </c>
      <c r="G748">
        <v>40</v>
      </c>
      <c r="H748">
        <v>1791882490001</v>
      </c>
      <c r="I748" t="s">
        <v>46</v>
      </c>
      <c r="J748" t="s">
        <v>48</v>
      </c>
      <c r="K748" t="s">
        <v>48</v>
      </c>
      <c r="L748" t="s">
        <v>49</v>
      </c>
      <c r="M748" t="s">
        <v>50</v>
      </c>
      <c r="N748" t="s">
        <v>51</v>
      </c>
      <c r="O748">
        <v>8481909090</v>
      </c>
      <c r="P748" t="s">
        <v>103</v>
      </c>
      <c r="Q748" t="s">
        <v>861</v>
      </c>
      <c r="R748" t="s">
        <v>54</v>
      </c>
      <c r="S748" t="s">
        <v>55</v>
      </c>
      <c r="T748">
        <v>6</v>
      </c>
      <c r="U748">
        <v>2</v>
      </c>
      <c r="V748" t="s">
        <v>135</v>
      </c>
      <c r="W748">
        <v>0</v>
      </c>
      <c r="X748">
        <v>576.14</v>
      </c>
      <c r="Y748">
        <v>74.34</v>
      </c>
      <c r="Z748">
        <v>3.94</v>
      </c>
      <c r="AA748">
        <v>654.41</v>
      </c>
      <c r="AB748" t="s">
        <v>57</v>
      </c>
      <c r="AC748" t="s">
        <v>58</v>
      </c>
      <c r="AD748" t="s">
        <v>48</v>
      </c>
      <c r="AE748">
        <v>0</v>
      </c>
      <c r="AF748">
        <v>2.79</v>
      </c>
      <c r="AG748" t="s">
        <v>59</v>
      </c>
      <c r="AH748">
        <v>144527</v>
      </c>
      <c r="AI748" t="s">
        <v>60</v>
      </c>
      <c r="AJ748" t="s">
        <v>60</v>
      </c>
      <c r="AK748" t="s">
        <v>54</v>
      </c>
      <c r="AL748">
        <v>2024</v>
      </c>
      <c r="AM748" s="6" t="s">
        <v>858</v>
      </c>
      <c r="AN748" s="7">
        <v>288.07</v>
      </c>
      <c r="AO748" s="8">
        <f t="shared" si="36"/>
        <v>540.13125000000002</v>
      </c>
      <c r="AP748" s="8">
        <f t="shared" si="37"/>
        <v>600.08581875000004</v>
      </c>
      <c r="AQ748" s="9">
        <f t="shared" si="35"/>
        <v>874.95861187499997</v>
      </c>
    </row>
    <row r="749" spans="1:43" x14ac:dyDescent="0.25">
      <c r="A749">
        <v>17</v>
      </c>
      <c r="B749">
        <v>5</v>
      </c>
      <c r="C749">
        <v>2024</v>
      </c>
      <c r="D749" t="s">
        <v>43</v>
      </c>
      <c r="E749" t="s">
        <v>79</v>
      </c>
      <c r="F749" t="s">
        <v>80</v>
      </c>
      <c r="G749">
        <v>46</v>
      </c>
      <c r="H749">
        <v>1791882490001</v>
      </c>
      <c r="I749" t="s">
        <v>46</v>
      </c>
      <c r="J749" t="s">
        <v>48</v>
      </c>
      <c r="K749" t="s">
        <v>48</v>
      </c>
      <c r="L749" t="s">
        <v>49</v>
      </c>
      <c r="M749" t="s">
        <v>50</v>
      </c>
      <c r="N749" t="s">
        <v>51</v>
      </c>
      <c r="O749">
        <v>8482500000</v>
      </c>
      <c r="P749" t="s">
        <v>454</v>
      </c>
      <c r="Q749" t="s">
        <v>455</v>
      </c>
      <c r="R749" t="s">
        <v>54</v>
      </c>
      <c r="S749" t="s">
        <v>55</v>
      </c>
      <c r="T749">
        <v>6</v>
      </c>
      <c r="U749">
        <v>2</v>
      </c>
      <c r="V749" t="s">
        <v>135</v>
      </c>
      <c r="W749">
        <v>0</v>
      </c>
      <c r="X749">
        <v>1163.93</v>
      </c>
      <c r="Y749">
        <v>112.37</v>
      </c>
      <c r="Z749">
        <v>7.75</v>
      </c>
      <c r="AA749">
        <v>1284.04</v>
      </c>
      <c r="AB749" t="s">
        <v>57</v>
      </c>
      <c r="AC749" t="s">
        <v>81</v>
      </c>
      <c r="AD749" t="s">
        <v>48</v>
      </c>
      <c r="AE749">
        <v>0</v>
      </c>
      <c r="AF749">
        <v>2.16</v>
      </c>
      <c r="AG749" t="s">
        <v>82</v>
      </c>
      <c r="AH749">
        <v>471463</v>
      </c>
      <c r="AI749" t="s">
        <v>60</v>
      </c>
      <c r="AJ749" t="s">
        <v>60</v>
      </c>
      <c r="AK749" t="s">
        <v>54</v>
      </c>
      <c r="AL749">
        <v>2024</v>
      </c>
      <c r="AM749" s="6" t="s">
        <v>862</v>
      </c>
      <c r="AN749" s="7">
        <v>581.96</v>
      </c>
      <c r="AO749" s="8">
        <f t="shared" si="36"/>
        <v>1091.1750000000002</v>
      </c>
      <c r="AP749" s="8">
        <f t="shared" si="37"/>
        <v>1212.2954250000003</v>
      </c>
      <c r="AQ749" s="9">
        <f t="shared" si="35"/>
        <v>1767.5943825000002</v>
      </c>
    </row>
    <row r="750" spans="1:43" x14ac:dyDescent="0.25">
      <c r="A750">
        <v>8</v>
      </c>
      <c r="B750">
        <v>7</v>
      </c>
      <c r="C750">
        <v>2024</v>
      </c>
      <c r="D750" t="s">
        <v>43</v>
      </c>
      <c r="E750" t="s">
        <v>75</v>
      </c>
      <c r="F750" t="s">
        <v>76</v>
      </c>
      <c r="G750">
        <v>54</v>
      </c>
      <c r="H750">
        <v>1791882490001</v>
      </c>
      <c r="I750" t="s">
        <v>46</v>
      </c>
      <c r="J750" t="s">
        <v>48</v>
      </c>
      <c r="K750" t="s">
        <v>48</v>
      </c>
      <c r="L750" t="s">
        <v>49</v>
      </c>
      <c r="M750" t="s">
        <v>50</v>
      </c>
      <c r="N750" t="s">
        <v>51</v>
      </c>
      <c r="O750">
        <v>8482500000</v>
      </c>
      <c r="P750" t="s">
        <v>454</v>
      </c>
      <c r="Q750" t="s">
        <v>863</v>
      </c>
      <c r="R750" t="s">
        <v>54</v>
      </c>
      <c r="S750" t="s">
        <v>55</v>
      </c>
      <c r="T750">
        <v>8</v>
      </c>
      <c r="U750">
        <v>1</v>
      </c>
      <c r="V750" t="s">
        <v>135</v>
      </c>
      <c r="W750">
        <v>0</v>
      </c>
      <c r="X750">
        <v>335.54</v>
      </c>
      <c r="Y750">
        <v>28.66</v>
      </c>
      <c r="Z750">
        <v>2.1800000000000002</v>
      </c>
      <c r="AA750">
        <v>366.38</v>
      </c>
      <c r="AB750" t="s">
        <v>57</v>
      </c>
      <c r="AC750" t="s">
        <v>77</v>
      </c>
      <c r="AD750" t="s">
        <v>48</v>
      </c>
      <c r="AE750">
        <v>0</v>
      </c>
      <c r="AF750">
        <v>2.2200000000000002</v>
      </c>
      <c r="AG750" t="s">
        <v>59</v>
      </c>
      <c r="AH750">
        <v>107711</v>
      </c>
      <c r="AI750" t="s">
        <v>60</v>
      </c>
      <c r="AJ750" t="s">
        <v>78</v>
      </c>
      <c r="AK750" t="s">
        <v>54</v>
      </c>
      <c r="AL750">
        <v>2024</v>
      </c>
      <c r="AM750" s="6" t="s">
        <v>864</v>
      </c>
      <c r="AN750" s="7">
        <v>335.54</v>
      </c>
      <c r="AO750" s="8">
        <f t="shared" si="36"/>
        <v>629.13750000000005</v>
      </c>
      <c r="AP750" s="8">
        <f t="shared" si="37"/>
        <v>698.97176250000007</v>
      </c>
      <c r="AQ750" s="9">
        <f t="shared" si="35"/>
        <v>1019.13983625</v>
      </c>
    </row>
    <row r="751" spans="1:43" x14ac:dyDescent="0.25">
      <c r="A751">
        <v>8</v>
      </c>
      <c r="B751">
        <v>7</v>
      </c>
      <c r="C751">
        <v>2024</v>
      </c>
      <c r="D751" t="s">
        <v>43</v>
      </c>
      <c r="E751" t="s">
        <v>75</v>
      </c>
      <c r="F751" t="s">
        <v>76</v>
      </c>
      <c r="G751">
        <v>54</v>
      </c>
      <c r="H751">
        <v>1791882490001</v>
      </c>
      <c r="I751" t="s">
        <v>46</v>
      </c>
      <c r="J751" t="s">
        <v>48</v>
      </c>
      <c r="K751" t="s">
        <v>48</v>
      </c>
      <c r="L751" t="s">
        <v>49</v>
      </c>
      <c r="M751" t="s">
        <v>50</v>
      </c>
      <c r="N751" t="s">
        <v>51</v>
      </c>
      <c r="O751">
        <v>8482500000</v>
      </c>
      <c r="P751" t="s">
        <v>454</v>
      </c>
      <c r="Q751" t="s">
        <v>863</v>
      </c>
      <c r="R751" t="s">
        <v>54</v>
      </c>
      <c r="S751" t="s">
        <v>55</v>
      </c>
      <c r="T751">
        <v>8</v>
      </c>
      <c r="U751">
        <v>1</v>
      </c>
      <c r="V751" t="s">
        <v>135</v>
      </c>
      <c r="W751">
        <v>0</v>
      </c>
      <c r="X751">
        <v>335.54</v>
      </c>
      <c r="Y751">
        <v>28.66</v>
      </c>
      <c r="Z751">
        <v>2.1800000000000002</v>
      </c>
      <c r="AA751">
        <v>366.38</v>
      </c>
      <c r="AB751" t="s">
        <v>57</v>
      </c>
      <c r="AC751" t="s">
        <v>77</v>
      </c>
      <c r="AD751" t="s">
        <v>48</v>
      </c>
      <c r="AE751">
        <v>0</v>
      </c>
      <c r="AF751">
        <v>2.2200000000000002</v>
      </c>
      <c r="AG751" t="s">
        <v>59</v>
      </c>
      <c r="AH751">
        <v>107711</v>
      </c>
      <c r="AI751" t="s">
        <v>60</v>
      </c>
      <c r="AJ751" t="s">
        <v>78</v>
      </c>
      <c r="AK751" t="s">
        <v>54</v>
      </c>
      <c r="AL751">
        <v>2024</v>
      </c>
      <c r="AM751" s="6" t="s">
        <v>864</v>
      </c>
      <c r="AN751" s="7">
        <v>335.54</v>
      </c>
      <c r="AO751" s="8">
        <f t="shared" si="36"/>
        <v>629.13750000000005</v>
      </c>
      <c r="AP751" s="8">
        <f t="shared" si="37"/>
        <v>698.97176250000007</v>
      </c>
      <c r="AQ751" s="9">
        <f t="shared" si="35"/>
        <v>1019.13983625</v>
      </c>
    </row>
    <row r="752" spans="1:43" x14ac:dyDescent="0.25">
      <c r="A752">
        <v>8</v>
      </c>
      <c r="B752">
        <v>7</v>
      </c>
      <c r="C752">
        <v>2024</v>
      </c>
      <c r="D752" t="s">
        <v>43</v>
      </c>
      <c r="E752" t="s">
        <v>75</v>
      </c>
      <c r="F752" t="s">
        <v>76</v>
      </c>
      <c r="G752">
        <v>55</v>
      </c>
      <c r="H752">
        <v>1791882490001</v>
      </c>
      <c r="I752" t="s">
        <v>46</v>
      </c>
      <c r="J752" t="s">
        <v>48</v>
      </c>
      <c r="K752" t="s">
        <v>48</v>
      </c>
      <c r="L752" t="s">
        <v>49</v>
      </c>
      <c r="M752" t="s">
        <v>50</v>
      </c>
      <c r="N752" t="s">
        <v>51</v>
      </c>
      <c r="O752">
        <v>8483309000</v>
      </c>
      <c r="P752" t="s">
        <v>66</v>
      </c>
      <c r="Q752" t="s">
        <v>865</v>
      </c>
      <c r="R752" t="s">
        <v>54</v>
      </c>
      <c r="S752" t="s">
        <v>55</v>
      </c>
      <c r="T752">
        <v>8</v>
      </c>
      <c r="U752">
        <v>1</v>
      </c>
      <c r="V752" t="s">
        <v>135</v>
      </c>
      <c r="W752">
        <v>0</v>
      </c>
      <c r="X752">
        <v>687.5</v>
      </c>
      <c r="Y752">
        <v>58.72</v>
      </c>
      <c r="Z752">
        <v>4.47</v>
      </c>
      <c r="AA752">
        <v>750.69</v>
      </c>
      <c r="AB752" t="s">
        <v>57</v>
      </c>
      <c r="AC752" t="s">
        <v>77</v>
      </c>
      <c r="AD752" t="s">
        <v>48</v>
      </c>
      <c r="AE752">
        <v>0</v>
      </c>
      <c r="AF752">
        <v>4.55</v>
      </c>
      <c r="AG752" t="s">
        <v>59</v>
      </c>
      <c r="AH752">
        <v>107711</v>
      </c>
      <c r="AI752" t="s">
        <v>60</v>
      </c>
      <c r="AJ752" t="s">
        <v>78</v>
      </c>
      <c r="AK752" t="s">
        <v>54</v>
      </c>
      <c r="AL752">
        <v>2024</v>
      </c>
      <c r="AM752" s="6" t="s">
        <v>866</v>
      </c>
      <c r="AN752" s="7">
        <v>687.5</v>
      </c>
      <c r="AO752" s="8">
        <f t="shared" si="36"/>
        <v>1289.0625</v>
      </c>
      <c r="AP752" s="8">
        <f t="shared" si="37"/>
        <v>1432.1484375</v>
      </c>
      <c r="AQ752" s="9">
        <f t="shared" si="35"/>
        <v>2088.15234375</v>
      </c>
    </row>
    <row r="753" spans="1:43" x14ac:dyDescent="0.25">
      <c r="A753">
        <v>8</v>
      </c>
      <c r="B753">
        <v>7</v>
      </c>
      <c r="C753">
        <v>2024</v>
      </c>
      <c r="D753" t="s">
        <v>43</v>
      </c>
      <c r="E753" t="s">
        <v>75</v>
      </c>
      <c r="F753" t="s">
        <v>76</v>
      </c>
      <c r="G753">
        <v>55</v>
      </c>
      <c r="H753">
        <v>1791882490001</v>
      </c>
      <c r="I753" t="s">
        <v>46</v>
      </c>
      <c r="J753" t="s">
        <v>48</v>
      </c>
      <c r="K753" t="s">
        <v>48</v>
      </c>
      <c r="L753" t="s">
        <v>49</v>
      </c>
      <c r="M753" t="s">
        <v>50</v>
      </c>
      <c r="N753" t="s">
        <v>51</v>
      </c>
      <c r="O753">
        <v>8483309000</v>
      </c>
      <c r="P753" t="s">
        <v>66</v>
      </c>
      <c r="Q753" t="s">
        <v>865</v>
      </c>
      <c r="R753" t="s">
        <v>54</v>
      </c>
      <c r="S753" t="s">
        <v>55</v>
      </c>
      <c r="T753">
        <v>8</v>
      </c>
      <c r="U753">
        <v>1</v>
      </c>
      <c r="V753" t="s">
        <v>135</v>
      </c>
      <c r="W753">
        <v>0</v>
      </c>
      <c r="X753">
        <v>687.5</v>
      </c>
      <c r="Y753">
        <v>58.72</v>
      </c>
      <c r="Z753">
        <v>4.47</v>
      </c>
      <c r="AA753">
        <v>750.69</v>
      </c>
      <c r="AB753" t="s">
        <v>57</v>
      </c>
      <c r="AC753" t="s">
        <v>77</v>
      </c>
      <c r="AD753" t="s">
        <v>48</v>
      </c>
      <c r="AE753">
        <v>0</v>
      </c>
      <c r="AF753">
        <v>4.55</v>
      </c>
      <c r="AG753" t="s">
        <v>59</v>
      </c>
      <c r="AH753">
        <v>107711</v>
      </c>
      <c r="AI753" t="s">
        <v>60</v>
      </c>
      <c r="AJ753" t="s">
        <v>78</v>
      </c>
      <c r="AK753" t="s">
        <v>54</v>
      </c>
      <c r="AL753">
        <v>2024</v>
      </c>
      <c r="AM753" s="6" t="s">
        <v>866</v>
      </c>
      <c r="AN753" s="7">
        <v>687.5</v>
      </c>
      <c r="AO753" s="8">
        <f t="shared" si="36"/>
        <v>1289.0625</v>
      </c>
      <c r="AP753" s="8">
        <f t="shared" si="37"/>
        <v>1432.1484375</v>
      </c>
      <c r="AQ753" s="9">
        <f t="shared" si="35"/>
        <v>2088.15234375</v>
      </c>
    </row>
    <row r="754" spans="1:43" x14ac:dyDescent="0.25">
      <c r="A754">
        <v>10</v>
      </c>
      <c r="B754">
        <v>10</v>
      </c>
      <c r="C754">
        <v>2024</v>
      </c>
      <c r="D754" t="s">
        <v>43</v>
      </c>
      <c r="E754" t="s">
        <v>44</v>
      </c>
      <c r="F754" t="s">
        <v>45</v>
      </c>
      <c r="G754">
        <v>51</v>
      </c>
      <c r="H754">
        <v>1791882490001</v>
      </c>
      <c r="I754" t="s">
        <v>46</v>
      </c>
      <c r="J754" t="s">
        <v>48</v>
      </c>
      <c r="K754" t="s">
        <v>48</v>
      </c>
      <c r="L754" t="s">
        <v>49</v>
      </c>
      <c r="M754" t="s">
        <v>50</v>
      </c>
      <c r="N754" t="s">
        <v>51</v>
      </c>
      <c r="O754">
        <v>8482500000</v>
      </c>
      <c r="P754" t="s">
        <v>606</v>
      </c>
      <c r="Q754" t="s">
        <v>455</v>
      </c>
      <c r="R754" t="s">
        <v>54</v>
      </c>
      <c r="S754" t="s">
        <v>55</v>
      </c>
      <c r="T754">
        <v>7</v>
      </c>
      <c r="U754">
        <v>1</v>
      </c>
      <c r="V754" t="s">
        <v>135</v>
      </c>
      <c r="W754">
        <v>0</v>
      </c>
      <c r="X754">
        <v>669.21</v>
      </c>
      <c r="Y754">
        <v>116.93</v>
      </c>
      <c r="Z754">
        <v>4.82</v>
      </c>
      <c r="AA754">
        <v>790.96</v>
      </c>
      <c r="AB754" t="s">
        <v>57</v>
      </c>
      <c r="AC754" t="s">
        <v>58</v>
      </c>
      <c r="AD754" t="s">
        <v>48</v>
      </c>
      <c r="AE754">
        <v>0</v>
      </c>
      <c r="AF754">
        <v>7.22</v>
      </c>
      <c r="AG754" t="s">
        <v>59</v>
      </c>
      <c r="AH754">
        <v>179772</v>
      </c>
      <c r="AI754" t="s">
        <v>60</v>
      </c>
      <c r="AJ754" t="s">
        <v>60</v>
      </c>
      <c r="AK754" t="s">
        <v>54</v>
      </c>
      <c r="AL754">
        <v>2024</v>
      </c>
      <c r="AM754" s="6" t="s">
        <v>866</v>
      </c>
      <c r="AN754" s="7">
        <v>669.21</v>
      </c>
      <c r="AO754" s="8">
        <f t="shared" si="36"/>
        <v>1254.7687500000002</v>
      </c>
      <c r="AP754" s="8">
        <f t="shared" si="37"/>
        <v>1394.0480812500002</v>
      </c>
      <c r="AQ754" s="9">
        <f t="shared" si="35"/>
        <v>2032.5998981250002</v>
      </c>
    </row>
    <row r="755" spans="1:43" x14ac:dyDescent="0.25">
      <c r="A755">
        <v>20</v>
      </c>
      <c r="B755">
        <v>2</v>
      </c>
      <c r="C755">
        <v>2024</v>
      </c>
      <c r="D755" t="s">
        <v>43</v>
      </c>
      <c r="E755" t="s">
        <v>140</v>
      </c>
      <c r="F755" t="s">
        <v>141</v>
      </c>
      <c r="G755">
        <v>52</v>
      </c>
      <c r="H755">
        <v>1791882490001</v>
      </c>
      <c r="I755" t="s">
        <v>46</v>
      </c>
      <c r="J755" t="s">
        <v>48</v>
      </c>
      <c r="K755" t="s">
        <v>48</v>
      </c>
      <c r="L755" t="s">
        <v>49</v>
      </c>
      <c r="M755" t="s">
        <v>50</v>
      </c>
      <c r="N755" t="s">
        <v>51</v>
      </c>
      <c r="O755">
        <v>8483309000</v>
      </c>
      <c r="P755" t="s">
        <v>66</v>
      </c>
      <c r="Q755" t="s">
        <v>867</v>
      </c>
      <c r="R755" t="s">
        <v>54</v>
      </c>
      <c r="S755" t="s">
        <v>55</v>
      </c>
      <c r="T755">
        <v>6</v>
      </c>
      <c r="U755">
        <v>1</v>
      </c>
      <c r="V755" t="s">
        <v>135</v>
      </c>
      <c r="W755">
        <v>0</v>
      </c>
      <c r="X755">
        <v>653.84</v>
      </c>
      <c r="Y755">
        <v>58.67</v>
      </c>
      <c r="Z755">
        <v>4.3899999999999997</v>
      </c>
      <c r="AA755">
        <v>716.91</v>
      </c>
      <c r="AB755" t="s">
        <v>54</v>
      </c>
      <c r="AC755" t="s">
        <v>143</v>
      </c>
      <c r="AD755" t="s">
        <v>48</v>
      </c>
      <c r="AE755">
        <v>0</v>
      </c>
      <c r="AF755">
        <v>1.87</v>
      </c>
      <c r="AG755" t="s">
        <v>59</v>
      </c>
      <c r="AH755">
        <v>876053</v>
      </c>
      <c r="AI755" t="s">
        <v>60</v>
      </c>
      <c r="AJ755" t="s">
        <v>60</v>
      </c>
      <c r="AK755" t="s">
        <v>54</v>
      </c>
      <c r="AL755">
        <v>2024</v>
      </c>
      <c r="AM755" s="6" t="s">
        <v>868</v>
      </c>
      <c r="AN755" s="7">
        <v>653.84</v>
      </c>
      <c r="AO755" s="8">
        <f t="shared" si="36"/>
        <v>1225.95</v>
      </c>
      <c r="AP755" s="8">
        <f t="shared" si="37"/>
        <v>1362.03045</v>
      </c>
      <c r="AQ755" s="9">
        <f t="shared" si="35"/>
        <v>1985.9164049999999</v>
      </c>
    </row>
    <row r="756" spans="1:43" x14ac:dyDescent="0.25">
      <c r="A756">
        <v>8</v>
      </c>
      <c r="B756">
        <v>7</v>
      </c>
      <c r="C756">
        <v>2024</v>
      </c>
      <c r="D756" t="s">
        <v>43</v>
      </c>
      <c r="E756" t="s">
        <v>75</v>
      </c>
      <c r="F756" t="s">
        <v>76</v>
      </c>
      <c r="G756">
        <v>56</v>
      </c>
      <c r="H756">
        <v>1791882490001</v>
      </c>
      <c r="I756" t="s">
        <v>46</v>
      </c>
      <c r="J756" t="s">
        <v>48</v>
      </c>
      <c r="K756" t="s">
        <v>48</v>
      </c>
      <c r="L756" t="s">
        <v>49</v>
      </c>
      <c r="M756" t="s">
        <v>50</v>
      </c>
      <c r="N756" t="s">
        <v>51</v>
      </c>
      <c r="O756">
        <v>8483309000</v>
      </c>
      <c r="P756" t="s">
        <v>66</v>
      </c>
      <c r="Q756" t="s">
        <v>865</v>
      </c>
      <c r="R756" t="s">
        <v>54</v>
      </c>
      <c r="S756" t="s">
        <v>55</v>
      </c>
      <c r="T756">
        <v>8</v>
      </c>
      <c r="U756">
        <v>1</v>
      </c>
      <c r="V756" t="s">
        <v>135</v>
      </c>
      <c r="W756">
        <v>0</v>
      </c>
      <c r="X756">
        <v>692.47</v>
      </c>
      <c r="Y756">
        <v>59.15</v>
      </c>
      <c r="Z756">
        <v>4.5</v>
      </c>
      <c r="AA756">
        <v>756.12</v>
      </c>
      <c r="AB756" t="s">
        <v>57</v>
      </c>
      <c r="AC756" t="s">
        <v>77</v>
      </c>
      <c r="AD756" t="s">
        <v>48</v>
      </c>
      <c r="AE756">
        <v>0</v>
      </c>
      <c r="AF756">
        <v>4.58</v>
      </c>
      <c r="AG756" t="s">
        <v>59</v>
      </c>
      <c r="AH756">
        <v>107711</v>
      </c>
      <c r="AI756" t="s">
        <v>60</v>
      </c>
      <c r="AJ756" t="s">
        <v>78</v>
      </c>
      <c r="AK756" t="s">
        <v>54</v>
      </c>
      <c r="AL756">
        <v>2024</v>
      </c>
      <c r="AM756" s="6" t="s">
        <v>868</v>
      </c>
      <c r="AN756" s="7">
        <v>692.47</v>
      </c>
      <c r="AO756" s="8">
        <f t="shared" si="36"/>
        <v>1298.3812500000001</v>
      </c>
      <c r="AP756" s="8">
        <f t="shared" si="37"/>
        <v>1442.5015687500002</v>
      </c>
      <c r="AQ756" s="9">
        <f t="shared" si="35"/>
        <v>2103.2477868750002</v>
      </c>
    </row>
    <row r="757" spans="1:43" x14ac:dyDescent="0.25">
      <c r="A757">
        <v>8</v>
      </c>
      <c r="B757">
        <v>7</v>
      </c>
      <c r="C757">
        <v>2024</v>
      </c>
      <c r="D757" t="s">
        <v>43</v>
      </c>
      <c r="E757" t="s">
        <v>75</v>
      </c>
      <c r="F757" t="s">
        <v>76</v>
      </c>
      <c r="G757">
        <v>56</v>
      </c>
      <c r="H757">
        <v>1791882490001</v>
      </c>
      <c r="I757" t="s">
        <v>46</v>
      </c>
      <c r="J757" t="s">
        <v>48</v>
      </c>
      <c r="K757" t="s">
        <v>48</v>
      </c>
      <c r="L757" t="s">
        <v>49</v>
      </c>
      <c r="M757" t="s">
        <v>50</v>
      </c>
      <c r="N757" t="s">
        <v>51</v>
      </c>
      <c r="O757">
        <v>8483309000</v>
      </c>
      <c r="P757" t="s">
        <v>66</v>
      </c>
      <c r="Q757" t="s">
        <v>865</v>
      </c>
      <c r="R757" t="s">
        <v>54</v>
      </c>
      <c r="S757" t="s">
        <v>55</v>
      </c>
      <c r="T757">
        <v>8</v>
      </c>
      <c r="U757">
        <v>1</v>
      </c>
      <c r="V757" t="s">
        <v>135</v>
      </c>
      <c r="W757">
        <v>0</v>
      </c>
      <c r="X757">
        <v>692.47</v>
      </c>
      <c r="Y757">
        <v>59.15</v>
      </c>
      <c r="Z757">
        <v>4.5</v>
      </c>
      <c r="AA757">
        <v>756.12</v>
      </c>
      <c r="AB757" t="s">
        <v>57</v>
      </c>
      <c r="AC757" t="s">
        <v>77</v>
      </c>
      <c r="AD757" t="s">
        <v>48</v>
      </c>
      <c r="AE757">
        <v>0</v>
      </c>
      <c r="AF757">
        <v>4.58</v>
      </c>
      <c r="AG757" t="s">
        <v>59</v>
      </c>
      <c r="AH757">
        <v>107711</v>
      </c>
      <c r="AI757" t="s">
        <v>60</v>
      </c>
      <c r="AJ757" t="s">
        <v>78</v>
      </c>
      <c r="AK757" t="s">
        <v>54</v>
      </c>
      <c r="AL757">
        <v>2024</v>
      </c>
      <c r="AM757" s="6" t="s">
        <v>868</v>
      </c>
      <c r="AN757" s="7">
        <v>692.47</v>
      </c>
      <c r="AO757" s="8">
        <f t="shared" si="36"/>
        <v>1298.3812500000001</v>
      </c>
      <c r="AP757" s="8">
        <f t="shared" si="37"/>
        <v>1442.5015687500002</v>
      </c>
      <c r="AQ757" s="9">
        <f t="shared" si="35"/>
        <v>2103.2477868750002</v>
      </c>
    </row>
    <row r="758" spans="1:43" x14ac:dyDescent="0.25">
      <c r="A758">
        <v>19</v>
      </c>
      <c r="B758">
        <v>8</v>
      </c>
      <c r="C758">
        <v>2024</v>
      </c>
      <c r="D758" t="s">
        <v>43</v>
      </c>
      <c r="E758" t="s">
        <v>84</v>
      </c>
      <c r="F758" t="s">
        <v>85</v>
      </c>
      <c r="G758">
        <v>41</v>
      </c>
      <c r="H758">
        <v>1791882490001</v>
      </c>
      <c r="I758" t="s">
        <v>46</v>
      </c>
      <c r="J758" t="s">
        <v>48</v>
      </c>
      <c r="K758" t="s">
        <v>48</v>
      </c>
      <c r="L758" t="s">
        <v>49</v>
      </c>
      <c r="M758" t="s">
        <v>50</v>
      </c>
      <c r="N758" t="s">
        <v>51</v>
      </c>
      <c r="O758">
        <v>8483309000</v>
      </c>
      <c r="P758" t="s">
        <v>66</v>
      </c>
      <c r="Q758" t="s">
        <v>867</v>
      </c>
      <c r="R758" t="s">
        <v>54</v>
      </c>
      <c r="S758" t="s">
        <v>55</v>
      </c>
      <c r="T758">
        <v>6</v>
      </c>
      <c r="U758">
        <v>1</v>
      </c>
      <c r="V758" t="s">
        <v>135</v>
      </c>
      <c r="W758">
        <v>0</v>
      </c>
      <c r="X758">
        <v>666.86</v>
      </c>
      <c r="Y758">
        <v>86.05</v>
      </c>
      <c r="Z758">
        <v>4.5599999999999996</v>
      </c>
      <c r="AA758">
        <v>757.47</v>
      </c>
      <c r="AB758" t="s">
        <v>57</v>
      </c>
      <c r="AC758" t="s">
        <v>58</v>
      </c>
      <c r="AD758" t="s">
        <v>48</v>
      </c>
      <c r="AE758">
        <v>0</v>
      </c>
      <c r="AF758">
        <v>1.39</v>
      </c>
      <c r="AG758" t="s">
        <v>59</v>
      </c>
      <c r="AH758">
        <v>144527</v>
      </c>
      <c r="AI758" t="s">
        <v>60</v>
      </c>
      <c r="AJ758" t="s">
        <v>60</v>
      </c>
      <c r="AK758" t="s">
        <v>54</v>
      </c>
      <c r="AL758">
        <v>2024</v>
      </c>
      <c r="AM758" s="6" t="s">
        <v>868</v>
      </c>
      <c r="AN758" s="7">
        <v>666.86</v>
      </c>
      <c r="AO758" s="8">
        <f t="shared" si="36"/>
        <v>1250.3625</v>
      </c>
      <c r="AP758" s="8">
        <f t="shared" si="37"/>
        <v>1389.1527374999998</v>
      </c>
      <c r="AQ758" s="9">
        <f t="shared" si="35"/>
        <v>2025.4622137499998</v>
      </c>
    </row>
    <row r="759" spans="1:43" x14ac:dyDescent="0.25">
      <c r="A759">
        <v>17</v>
      </c>
      <c r="B759">
        <v>5</v>
      </c>
      <c r="C759">
        <v>2024</v>
      </c>
      <c r="D759" t="s">
        <v>43</v>
      </c>
      <c r="E759" t="s">
        <v>79</v>
      </c>
      <c r="F759" t="s">
        <v>80</v>
      </c>
      <c r="G759">
        <v>47</v>
      </c>
      <c r="H759">
        <v>1791882490001</v>
      </c>
      <c r="I759" t="s">
        <v>46</v>
      </c>
      <c r="J759" t="s">
        <v>48</v>
      </c>
      <c r="K759" t="s">
        <v>48</v>
      </c>
      <c r="L759" t="s">
        <v>49</v>
      </c>
      <c r="M759" t="s">
        <v>50</v>
      </c>
      <c r="N759" t="s">
        <v>51</v>
      </c>
      <c r="O759">
        <v>4016930000</v>
      </c>
      <c r="P759" t="s">
        <v>188</v>
      </c>
      <c r="Q759" t="s">
        <v>869</v>
      </c>
      <c r="R759" t="s">
        <v>54</v>
      </c>
      <c r="S759" t="s">
        <v>55</v>
      </c>
      <c r="T759">
        <v>6</v>
      </c>
      <c r="U759">
        <v>3</v>
      </c>
      <c r="V759" t="s">
        <v>135</v>
      </c>
      <c r="W759">
        <v>0</v>
      </c>
      <c r="X759">
        <v>209.1</v>
      </c>
      <c r="Y759">
        <v>20.190000000000001</v>
      </c>
      <c r="Z759">
        <v>1.39</v>
      </c>
      <c r="AA759">
        <v>230.67</v>
      </c>
      <c r="AB759" t="s">
        <v>57</v>
      </c>
      <c r="AC759" t="s">
        <v>81</v>
      </c>
      <c r="AD759" t="s">
        <v>48</v>
      </c>
      <c r="AE759">
        <v>0</v>
      </c>
      <c r="AF759">
        <v>3.24</v>
      </c>
      <c r="AG759" t="s">
        <v>82</v>
      </c>
      <c r="AH759">
        <v>471463</v>
      </c>
      <c r="AI759" t="s">
        <v>60</v>
      </c>
      <c r="AJ759" t="s">
        <v>60</v>
      </c>
      <c r="AK759" t="s">
        <v>54</v>
      </c>
      <c r="AL759">
        <v>2024</v>
      </c>
      <c r="AM759" s="6" t="s">
        <v>870</v>
      </c>
      <c r="AN759" s="7">
        <v>69.7</v>
      </c>
      <c r="AO759" s="8">
        <f t="shared" si="36"/>
        <v>130.6875</v>
      </c>
      <c r="AP759" s="8">
        <f t="shared" si="37"/>
        <v>145.19381250000001</v>
      </c>
      <c r="AQ759" s="9">
        <f t="shared" si="35"/>
        <v>211.70068124999997</v>
      </c>
    </row>
    <row r="760" spans="1:43" x14ac:dyDescent="0.25">
      <c r="A760">
        <v>8</v>
      </c>
      <c r="B760">
        <v>7</v>
      </c>
      <c r="C760">
        <v>2024</v>
      </c>
      <c r="D760" t="s">
        <v>43</v>
      </c>
      <c r="E760" t="s">
        <v>75</v>
      </c>
      <c r="F760" t="s">
        <v>76</v>
      </c>
      <c r="G760">
        <v>57</v>
      </c>
      <c r="H760">
        <v>1791882490001</v>
      </c>
      <c r="I760" t="s">
        <v>46</v>
      </c>
      <c r="J760" t="s">
        <v>48</v>
      </c>
      <c r="K760" t="s">
        <v>48</v>
      </c>
      <c r="L760" t="s">
        <v>49</v>
      </c>
      <c r="M760" t="s">
        <v>50</v>
      </c>
      <c r="N760" t="s">
        <v>51</v>
      </c>
      <c r="O760">
        <v>7318290000</v>
      </c>
      <c r="P760" t="s">
        <v>286</v>
      </c>
      <c r="Q760" t="s">
        <v>871</v>
      </c>
      <c r="R760" t="s">
        <v>54</v>
      </c>
      <c r="S760" t="s">
        <v>55</v>
      </c>
      <c r="T760">
        <v>8</v>
      </c>
      <c r="U760">
        <v>2</v>
      </c>
      <c r="V760" t="s">
        <v>56</v>
      </c>
      <c r="W760">
        <v>0</v>
      </c>
      <c r="X760">
        <v>138.13</v>
      </c>
      <c r="Y760">
        <v>11.8</v>
      </c>
      <c r="Z760">
        <v>0.9</v>
      </c>
      <c r="AA760">
        <v>150.83000000000001</v>
      </c>
      <c r="AB760" t="s">
        <v>57</v>
      </c>
      <c r="AC760" t="s">
        <v>77</v>
      </c>
      <c r="AD760" t="s">
        <v>48</v>
      </c>
      <c r="AE760">
        <v>0</v>
      </c>
      <c r="AF760">
        <v>0.91</v>
      </c>
      <c r="AG760" t="s">
        <v>59</v>
      </c>
      <c r="AH760">
        <v>107711</v>
      </c>
      <c r="AI760" t="s">
        <v>60</v>
      </c>
      <c r="AJ760" t="s">
        <v>78</v>
      </c>
      <c r="AK760" t="s">
        <v>54</v>
      </c>
      <c r="AL760">
        <v>2024</v>
      </c>
      <c r="AM760" s="6" t="s">
        <v>872</v>
      </c>
      <c r="AN760" s="7">
        <v>69.069999999999993</v>
      </c>
      <c r="AO760" s="8">
        <f t="shared" si="36"/>
        <v>129.50624999999999</v>
      </c>
      <c r="AP760" s="8">
        <f t="shared" si="37"/>
        <v>143.88144374999999</v>
      </c>
      <c r="AQ760" s="9">
        <f t="shared" si="35"/>
        <v>209.78717437499998</v>
      </c>
    </row>
    <row r="761" spans="1:43" x14ac:dyDescent="0.25">
      <c r="A761">
        <v>8</v>
      </c>
      <c r="B761">
        <v>7</v>
      </c>
      <c r="C761">
        <v>2024</v>
      </c>
      <c r="D761" t="s">
        <v>43</v>
      </c>
      <c r="E761" t="s">
        <v>75</v>
      </c>
      <c r="F761" t="s">
        <v>76</v>
      </c>
      <c r="G761">
        <v>57</v>
      </c>
      <c r="H761">
        <v>1791882490001</v>
      </c>
      <c r="I761" t="s">
        <v>46</v>
      </c>
      <c r="J761" t="s">
        <v>48</v>
      </c>
      <c r="K761" t="s">
        <v>48</v>
      </c>
      <c r="L761" t="s">
        <v>49</v>
      </c>
      <c r="M761" t="s">
        <v>50</v>
      </c>
      <c r="N761" t="s">
        <v>51</v>
      </c>
      <c r="O761">
        <v>7318290000</v>
      </c>
      <c r="P761" t="s">
        <v>286</v>
      </c>
      <c r="Q761" t="s">
        <v>871</v>
      </c>
      <c r="R761" t="s">
        <v>54</v>
      </c>
      <c r="S761" t="s">
        <v>55</v>
      </c>
      <c r="T761">
        <v>8</v>
      </c>
      <c r="U761">
        <v>2</v>
      </c>
      <c r="V761" t="s">
        <v>56</v>
      </c>
      <c r="W761">
        <v>0</v>
      </c>
      <c r="X761">
        <v>138.13</v>
      </c>
      <c r="Y761">
        <v>11.8</v>
      </c>
      <c r="Z761">
        <v>0.9</v>
      </c>
      <c r="AA761">
        <v>150.83000000000001</v>
      </c>
      <c r="AB761" t="s">
        <v>57</v>
      </c>
      <c r="AC761" t="s">
        <v>77</v>
      </c>
      <c r="AD761" t="s">
        <v>48</v>
      </c>
      <c r="AE761">
        <v>0</v>
      </c>
      <c r="AF761">
        <v>0.91</v>
      </c>
      <c r="AG761" t="s">
        <v>59</v>
      </c>
      <c r="AH761">
        <v>107711</v>
      </c>
      <c r="AI761" t="s">
        <v>60</v>
      </c>
      <c r="AJ761" t="s">
        <v>78</v>
      </c>
      <c r="AK761" t="s">
        <v>54</v>
      </c>
      <c r="AL761">
        <v>2024</v>
      </c>
      <c r="AM761" s="6" t="s">
        <v>872</v>
      </c>
      <c r="AN761" s="7">
        <v>69.069999999999993</v>
      </c>
      <c r="AO761" s="8">
        <f t="shared" si="36"/>
        <v>129.50624999999999</v>
      </c>
      <c r="AP761" s="8">
        <f t="shared" si="37"/>
        <v>143.88144374999999</v>
      </c>
      <c r="AQ761" s="9">
        <f t="shared" si="35"/>
        <v>209.78717437499998</v>
      </c>
    </row>
    <row r="762" spans="1:43" x14ac:dyDescent="0.25">
      <c r="A762">
        <v>8</v>
      </c>
      <c r="B762">
        <v>7</v>
      </c>
      <c r="C762">
        <v>2024</v>
      </c>
      <c r="D762" t="s">
        <v>43</v>
      </c>
      <c r="E762" t="s">
        <v>75</v>
      </c>
      <c r="F762" t="s">
        <v>76</v>
      </c>
      <c r="G762">
        <v>58</v>
      </c>
      <c r="H762">
        <v>1791882490001</v>
      </c>
      <c r="I762" t="s">
        <v>46</v>
      </c>
      <c r="J762" t="s">
        <v>48</v>
      </c>
      <c r="K762" t="s">
        <v>48</v>
      </c>
      <c r="L762" t="s">
        <v>49</v>
      </c>
      <c r="M762" t="s">
        <v>50</v>
      </c>
      <c r="N762" t="s">
        <v>51</v>
      </c>
      <c r="O762">
        <v>8481909090</v>
      </c>
      <c r="P762" t="s">
        <v>103</v>
      </c>
      <c r="Q762" t="s">
        <v>873</v>
      </c>
      <c r="R762" t="s">
        <v>54</v>
      </c>
      <c r="S762" t="s">
        <v>55</v>
      </c>
      <c r="T762">
        <v>8</v>
      </c>
      <c r="U762">
        <v>2</v>
      </c>
      <c r="V762" t="s">
        <v>135</v>
      </c>
      <c r="W762">
        <v>0</v>
      </c>
      <c r="X762">
        <v>136.66999999999999</v>
      </c>
      <c r="Y762">
        <v>11.67</v>
      </c>
      <c r="Z762">
        <v>0.89</v>
      </c>
      <c r="AA762">
        <v>149.22999999999999</v>
      </c>
      <c r="AB762" t="s">
        <v>57</v>
      </c>
      <c r="AC762" t="s">
        <v>77</v>
      </c>
      <c r="AD762" t="s">
        <v>48</v>
      </c>
      <c r="AE762">
        <v>0</v>
      </c>
      <c r="AF762">
        <v>0.9</v>
      </c>
      <c r="AG762" t="s">
        <v>59</v>
      </c>
      <c r="AH762">
        <v>107711</v>
      </c>
      <c r="AI762" t="s">
        <v>60</v>
      </c>
      <c r="AJ762" t="s">
        <v>78</v>
      </c>
      <c r="AK762" t="s">
        <v>54</v>
      </c>
      <c r="AL762">
        <v>2024</v>
      </c>
      <c r="AM762" s="6" t="s">
        <v>874</v>
      </c>
      <c r="AN762" s="7">
        <v>68.33</v>
      </c>
      <c r="AO762" s="8">
        <f t="shared" si="36"/>
        <v>128.11875000000001</v>
      </c>
      <c r="AP762" s="8">
        <f t="shared" si="37"/>
        <v>142.33993125000001</v>
      </c>
      <c r="AQ762" s="9">
        <f t="shared" si="35"/>
        <v>207.539563125</v>
      </c>
    </row>
    <row r="763" spans="1:43" x14ac:dyDescent="0.25">
      <c r="A763">
        <v>8</v>
      </c>
      <c r="B763">
        <v>7</v>
      </c>
      <c r="C763">
        <v>2024</v>
      </c>
      <c r="D763" t="s">
        <v>43</v>
      </c>
      <c r="E763" t="s">
        <v>75</v>
      </c>
      <c r="F763" t="s">
        <v>76</v>
      </c>
      <c r="G763">
        <v>58</v>
      </c>
      <c r="H763">
        <v>1791882490001</v>
      </c>
      <c r="I763" t="s">
        <v>46</v>
      </c>
      <c r="J763" t="s">
        <v>48</v>
      </c>
      <c r="K763" t="s">
        <v>48</v>
      </c>
      <c r="L763" t="s">
        <v>49</v>
      </c>
      <c r="M763" t="s">
        <v>50</v>
      </c>
      <c r="N763" t="s">
        <v>51</v>
      </c>
      <c r="O763">
        <v>8481909090</v>
      </c>
      <c r="P763" t="s">
        <v>103</v>
      </c>
      <c r="Q763" t="s">
        <v>873</v>
      </c>
      <c r="R763" t="s">
        <v>54</v>
      </c>
      <c r="S763" t="s">
        <v>55</v>
      </c>
      <c r="T763">
        <v>8</v>
      </c>
      <c r="U763">
        <v>2</v>
      </c>
      <c r="V763" t="s">
        <v>135</v>
      </c>
      <c r="W763">
        <v>0</v>
      </c>
      <c r="X763">
        <v>136.66999999999999</v>
      </c>
      <c r="Y763">
        <v>11.67</v>
      </c>
      <c r="Z763">
        <v>0.89</v>
      </c>
      <c r="AA763">
        <v>149.22999999999999</v>
      </c>
      <c r="AB763" t="s">
        <v>57</v>
      </c>
      <c r="AC763" t="s">
        <v>77</v>
      </c>
      <c r="AD763" t="s">
        <v>48</v>
      </c>
      <c r="AE763">
        <v>0</v>
      </c>
      <c r="AF763">
        <v>0.9</v>
      </c>
      <c r="AG763" t="s">
        <v>59</v>
      </c>
      <c r="AH763">
        <v>107711</v>
      </c>
      <c r="AI763" t="s">
        <v>60</v>
      </c>
      <c r="AJ763" t="s">
        <v>78</v>
      </c>
      <c r="AK763" t="s">
        <v>54</v>
      </c>
      <c r="AL763">
        <v>2024</v>
      </c>
      <c r="AM763" s="6" t="s">
        <v>874</v>
      </c>
      <c r="AN763" s="7">
        <v>68.33</v>
      </c>
      <c r="AO763" s="8">
        <f t="shared" si="36"/>
        <v>128.11875000000001</v>
      </c>
      <c r="AP763" s="8">
        <f t="shared" si="37"/>
        <v>142.33993125000001</v>
      </c>
      <c r="AQ763" s="9">
        <f t="shared" si="35"/>
        <v>207.539563125</v>
      </c>
    </row>
    <row r="764" spans="1:43" x14ac:dyDescent="0.25">
      <c r="A764">
        <v>2</v>
      </c>
      <c r="B764">
        <v>1</v>
      </c>
      <c r="C764">
        <v>2024</v>
      </c>
      <c r="D764" t="s">
        <v>43</v>
      </c>
      <c r="E764" t="s">
        <v>181</v>
      </c>
      <c r="F764" t="s">
        <v>182</v>
      </c>
      <c r="G764">
        <v>32</v>
      </c>
      <c r="H764">
        <v>1791882490001</v>
      </c>
      <c r="I764" t="s">
        <v>46</v>
      </c>
      <c r="J764" t="s">
        <v>65</v>
      </c>
      <c r="K764" t="s">
        <v>48</v>
      </c>
      <c r="L764" t="s">
        <v>49</v>
      </c>
      <c r="M764" t="s">
        <v>50</v>
      </c>
      <c r="N764" t="s">
        <v>51</v>
      </c>
      <c r="O764">
        <v>8421999000</v>
      </c>
      <c r="P764" t="s">
        <v>52</v>
      </c>
      <c r="Q764" t="s">
        <v>819</v>
      </c>
      <c r="R764" t="s">
        <v>54</v>
      </c>
      <c r="S764" t="s">
        <v>55</v>
      </c>
      <c r="T764">
        <v>8</v>
      </c>
      <c r="U764">
        <v>4</v>
      </c>
      <c r="V764" t="s">
        <v>135</v>
      </c>
      <c r="W764">
        <v>0</v>
      </c>
      <c r="X764">
        <v>463.75</v>
      </c>
      <c r="Y764">
        <v>94.23</v>
      </c>
      <c r="Z764">
        <v>2.98</v>
      </c>
      <c r="AA764">
        <v>560.96</v>
      </c>
      <c r="AB764" t="s">
        <v>57</v>
      </c>
      <c r="AC764" t="s">
        <v>81</v>
      </c>
      <c r="AD764" t="s">
        <v>48</v>
      </c>
      <c r="AE764">
        <v>0</v>
      </c>
      <c r="AF764">
        <v>12.96</v>
      </c>
      <c r="AG764" t="s">
        <v>59</v>
      </c>
      <c r="AH764">
        <v>413505</v>
      </c>
      <c r="AI764" t="s">
        <v>60</v>
      </c>
      <c r="AJ764" t="s">
        <v>60</v>
      </c>
      <c r="AK764" t="s">
        <v>54</v>
      </c>
      <c r="AL764">
        <v>2023</v>
      </c>
      <c r="AM764" s="6" t="s">
        <v>875</v>
      </c>
      <c r="AN764" s="7">
        <v>115.94</v>
      </c>
      <c r="AO764" s="8">
        <f t="shared" si="36"/>
        <v>217.38749999999999</v>
      </c>
      <c r="AP764" s="8">
        <f t="shared" si="37"/>
        <v>241.51751249999998</v>
      </c>
      <c r="AQ764" s="9">
        <f t="shared" si="35"/>
        <v>352.14601124999996</v>
      </c>
    </row>
    <row r="765" spans="1:43" x14ac:dyDescent="0.25">
      <c r="A765">
        <v>19</v>
      </c>
      <c r="B765">
        <v>8</v>
      </c>
      <c r="C765">
        <v>2024</v>
      </c>
      <c r="D765" t="s">
        <v>43</v>
      </c>
      <c r="E765" t="s">
        <v>84</v>
      </c>
      <c r="F765" t="s">
        <v>85</v>
      </c>
      <c r="G765">
        <v>42</v>
      </c>
      <c r="H765">
        <v>1791882490001</v>
      </c>
      <c r="I765" t="s">
        <v>46</v>
      </c>
      <c r="J765" t="s">
        <v>65</v>
      </c>
      <c r="K765" t="s">
        <v>48</v>
      </c>
      <c r="L765" t="s">
        <v>49</v>
      </c>
      <c r="M765" t="s">
        <v>50</v>
      </c>
      <c r="N765" t="s">
        <v>51</v>
      </c>
      <c r="O765">
        <v>8421999000</v>
      </c>
      <c r="P765" t="s">
        <v>66</v>
      </c>
      <c r="Q765" t="s">
        <v>819</v>
      </c>
      <c r="R765" t="s">
        <v>54</v>
      </c>
      <c r="S765" t="s">
        <v>55</v>
      </c>
      <c r="T765">
        <v>6</v>
      </c>
      <c r="U765">
        <v>5</v>
      </c>
      <c r="V765" t="s">
        <v>135</v>
      </c>
      <c r="W765">
        <v>0</v>
      </c>
      <c r="X765">
        <v>603.94000000000005</v>
      </c>
      <c r="Y765">
        <v>77.930000000000007</v>
      </c>
      <c r="Z765">
        <v>4.13</v>
      </c>
      <c r="AA765">
        <v>686</v>
      </c>
      <c r="AB765" t="s">
        <v>57</v>
      </c>
      <c r="AC765" t="s">
        <v>58</v>
      </c>
      <c r="AD765" t="s">
        <v>48</v>
      </c>
      <c r="AE765">
        <v>0</v>
      </c>
      <c r="AF765">
        <v>6.98</v>
      </c>
      <c r="AG765" t="s">
        <v>59</v>
      </c>
      <c r="AH765">
        <v>144527</v>
      </c>
      <c r="AI765" t="s">
        <v>60</v>
      </c>
      <c r="AJ765" t="s">
        <v>60</v>
      </c>
      <c r="AK765" t="s">
        <v>54</v>
      </c>
      <c r="AL765">
        <v>2024</v>
      </c>
      <c r="AM765" s="6" t="s">
        <v>875</v>
      </c>
      <c r="AN765" s="7">
        <v>120.79</v>
      </c>
      <c r="AO765" s="8">
        <f t="shared" si="36"/>
        <v>226.48125000000002</v>
      </c>
      <c r="AP765" s="8">
        <f t="shared" si="37"/>
        <v>251.62066875000002</v>
      </c>
      <c r="AQ765" s="9">
        <f t="shared" si="35"/>
        <v>366.87697687500003</v>
      </c>
    </row>
    <row r="766" spans="1:43" x14ac:dyDescent="0.25">
      <c r="A766">
        <v>11</v>
      </c>
      <c r="B766">
        <v>7</v>
      </c>
      <c r="C766">
        <v>2024</v>
      </c>
      <c r="D766" t="s">
        <v>43</v>
      </c>
      <c r="E766" t="s">
        <v>116</v>
      </c>
      <c r="F766" t="s">
        <v>117</v>
      </c>
      <c r="G766">
        <v>24</v>
      </c>
      <c r="H766">
        <v>1791882490001</v>
      </c>
      <c r="I766" t="s">
        <v>46</v>
      </c>
      <c r="J766" t="s">
        <v>65</v>
      </c>
      <c r="K766" t="s">
        <v>48</v>
      </c>
      <c r="L766" t="s">
        <v>119</v>
      </c>
      <c r="M766" t="s">
        <v>120</v>
      </c>
      <c r="N766" t="s">
        <v>121</v>
      </c>
      <c r="O766">
        <v>8421999000</v>
      </c>
      <c r="P766" t="s">
        <v>66</v>
      </c>
      <c r="Q766" t="s">
        <v>837</v>
      </c>
      <c r="R766" t="s">
        <v>54</v>
      </c>
      <c r="S766" t="s">
        <v>55</v>
      </c>
      <c r="T766">
        <v>9</v>
      </c>
      <c r="U766">
        <v>6</v>
      </c>
      <c r="V766" t="s">
        <v>135</v>
      </c>
      <c r="W766">
        <v>0</v>
      </c>
      <c r="X766">
        <v>958.26</v>
      </c>
      <c r="Y766">
        <v>86.3</v>
      </c>
      <c r="Z766">
        <v>6.43</v>
      </c>
      <c r="AA766">
        <v>1050.99</v>
      </c>
      <c r="AB766" t="s">
        <v>124</v>
      </c>
      <c r="AC766" t="s">
        <v>125</v>
      </c>
      <c r="AD766" t="s">
        <v>48</v>
      </c>
      <c r="AE766">
        <v>0</v>
      </c>
      <c r="AF766">
        <v>12.1</v>
      </c>
      <c r="AG766" t="s">
        <v>59</v>
      </c>
      <c r="AH766">
        <v>486256</v>
      </c>
      <c r="AI766" t="s">
        <v>60</v>
      </c>
      <c r="AJ766" t="s">
        <v>78</v>
      </c>
      <c r="AK766" t="s">
        <v>54</v>
      </c>
      <c r="AL766">
        <v>2024</v>
      </c>
      <c r="AM766" s="6" t="s">
        <v>876</v>
      </c>
      <c r="AN766" s="7">
        <v>159.71</v>
      </c>
      <c r="AO766" s="8">
        <f t="shared" si="36"/>
        <v>299.45625000000001</v>
      </c>
      <c r="AP766" s="8">
        <f t="shared" si="37"/>
        <v>332.69589374999998</v>
      </c>
      <c r="AQ766" s="9">
        <f t="shared" si="35"/>
        <v>485.08917937500001</v>
      </c>
    </row>
    <row r="767" spans="1:43" x14ac:dyDescent="0.25">
      <c r="A767">
        <v>2</v>
      </c>
      <c r="B767">
        <v>1</v>
      </c>
      <c r="C767">
        <v>2024</v>
      </c>
      <c r="D767" t="s">
        <v>43</v>
      </c>
      <c r="E767" t="s">
        <v>181</v>
      </c>
      <c r="F767" t="s">
        <v>182</v>
      </c>
      <c r="G767">
        <v>33</v>
      </c>
      <c r="H767">
        <v>1791882490001</v>
      </c>
      <c r="I767" t="s">
        <v>46</v>
      </c>
      <c r="J767" t="s">
        <v>65</v>
      </c>
      <c r="K767" t="s">
        <v>48</v>
      </c>
      <c r="L767" t="s">
        <v>49</v>
      </c>
      <c r="M767" t="s">
        <v>50</v>
      </c>
      <c r="N767" t="s">
        <v>51</v>
      </c>
      <c r="O767">
        <v>8421999000</v>
      </c>
      <c r="P767" t="s">
        <v>52</v>
      </c>
      <c r="Q767" t="s">
        <v>819</v>
      </c>
      <c r="R767" t="s">
        <v>54</v>
      </c>
      <c r="S767" t="s">
        <v>55</v>
      </c>
      <c r="T767">
        <v>8</v>
      </c>
      <c r="U767">
        <v>2</v>
      </c>
      <c r="V767" t="s">
        <v>135</v>
      </c>
      <c r="W767">
        <v>0</v>
      </c>
      <c r="X767">
        <v>388.47</v>
      </c>
      <c r="Y767">
        <v>78.930000000000007</v>
      </c>
      <c r="Z767">
        <v>2.5</v>
      </c>
      <c r="AA767">
        <v>469.9</v>
      </c>
      <c r="AB767" t="s">
        <v>57</v>
      </c>
      <c r="AC767" t="s">
        <v>81</v>
      </c>
      <c r="AD767" t="s">
        <v>48</v>
      </c>
      <c r="AE767">
        <v>0</v>
      </c>
      <c r="AF767">
        <v>6.48</v>
      </c>
      <c r="AG767" t="s">
        <v>59</v>
      </c>
      <c r="AH767">
        <v>413505</v>
      </c>
      <c r="AI767" t="s">
        <v>60</v>
      </c>
      <c r="AJ767" t="s">
        <v>60</v>
      </c>
      <c r="AK767" t="s">
        <v>54</v>
      </c>
      <c r="AL767">
        <v>2023</v>
      </c>
      <c r="AM767" s="6" t="s">
        <v>877</v>
      </c>
      <c r="AN767" s="7">
        <v>194.24</v>
      </c>
      <c r="AO767" s="8">
        <f t="shared" si="36"/>
        <v>364.20000000000005</v>
      </c>
      <c r="AP767" s="8">
        <f t="shared" si="37"/>
        <v>404.62620000000004</v>
      </c>
      <c r="AQ767" s="9">
        <f t="shared" si="35"/>
        <v>589.96758</v>
      </c>
    </row>
    <row r="768" spans="1:43" x14ac:dyDescent="0.25">
      <c r="A768">
        <v>19</v>
      </c>
      <c r="B768">
        <v>8</v>
      </c>
      <c r="C768">
        <v>2024</v>
      </c>
      <c r="D768" t="s">
        <v>43</v>
      </c>
      <c r="E768" t="s">
        <v>84</v>
      </c>
      <c r="F768" t="s">
        <v>85</v>
      </c>
      <c r="G768">
        <v>43</v>
      </c>
      <c r="H768">
        <v>1791882490001</v>
      </c>
      <c r="I768" t="s">
        <v>46</v>
      </c>
      <c r="J768" t="s">
        <v>65</v>
      </c>
      <c r="K768" t="s">
        <v>48</v>
      </c>
      <c r="L768" t="s">
        <v>49</v>
      </c>
      <c r="M768" t="s">
        <v>50</v>
      </c>
      <c r="N768" t="s">
        <v>51</v>
      </c>
      <c r="O768">
        <v>8421999000</v>
      </c>
      <c r="P768" t="s">
        <v>66</v>
      </c>
      <c r="Q768" t="s">
        <v>699</v>
      </c>
      <c r="R768" t="s">
        <v>54</v>
      </c>
      <c r="S768" t="s">
        <v>55</v>
      </c>
      <c r="T768">
        <v>6</v>
      </c>
      <c r="U768">
        <v>5</v>
      </c>
      <c r="V768" t="s">
        <v>135</v>
      </c>
      <c r="W768">
        <v>0</v>
      </c>
      <c r="X768">
        <v>1551.16</v>
      </c>
      <c r="Y768">
        <v>200.15</v>
      </c>
      <c r="Z768">
        <v>10.61</v>
      </c>
      <c r="AA768">
        <v>1761.91</v>
      </c>
      <c r="AB768" t="s">
        <v>57</v>
      </c>
      <c r="AC768" t="s">
        <v>58</v>
      </c>
      <c r="AD768" t="s">
        <v>48</v>
      </c>
      <c r="AE768">
        <v>0</v>
      </c>
      <c r="AF768">
        <v>6.98</v>
      </c>
      <c r="AG768" t="s">
        <v>59</v>
      </c>
      <c r="AH768">
        <v>144527</v>
      </c>
      <c r="AI768" t="s">
        <v>60</v>
      </c>
      <c r="AJ768" t="s">
        <v>60</v>
      </c>
      <c r="AK768" t="s">
        <v>54</v>
      </c>
      <c r="AL768">
        <v>2024</v>
      </c>
      <c r="AM768" s="6" t="s">
        <v>878</v>
      </c>
      <c r="AN768" s="7">
        <v>310.23</v>
      </c>
      <c r="AO768" s="8">
        <f t="shared" si="36"/>
        <v>581.68125000000009</v>
      </c>
      <c r="AP768" s="8">
        <f t="shared" si="37"/>
        <v>646.24786875000007</v>
      </c>
      <c r="AQ768" s="9">
        <f t="shared" si="35"/>
        <v>942.26545687500004</v>
      </c>
    </row>
    <row r="769" spans="1:43" x14ac:dyDescent="0.25">
      <c r="A769">
        <v>10</v>
      </c>
      <c r="B769">
        <v>10</v>
      </c>
      <c r="C769">
        <v>2024</v>
      </c>
      <c r="D769" t="s">
        <v>43</v>
      </c>
      <c r="E769" t="s">
        <v>44</v>
      </c>
      <c r="F769" t="s">
        <v>45</v>
      </c>
      <c r="G769">
        <v>52</v>
      </c>
      <c r="H769">
        <v>1791882490001</v>
      </c>
      <c r="I769" t="s">
        <v>46</v>
      </c>
      <c r="J769" t="s">
        <v>65</v>
      </c>
      <c r="K769" t="s">
        <v>48</v>
      </c>
      <c r="L769" t="s">
        <v>49</v>
      </c>
      <c r="M769" t="s">
        <v>50</v>
      </c>
      <c r="N769" t="s">
        <v>51</v>
      </c>
      <c r="O769">
        <v>8421999000</v>
      </c>
      <c r="P769" t="s">
        <v>52</v>
      </c>
      <c r="Q769" t="s">
        <v>879</v>
      </c>
      <c r="R769" t="s">
        <v>54</v>
      </c>
      <c r="S769" t="s">
        <v>55</v>
      </c>
      <c r="T769">
        <v>7</v>
      </c>
      <c r="U769">
        <v>2</v>
      </c>
      <c r="V769" t="s">
        <v>135</v>
      </c>
      <c r="W769">
        <v>0</v>
      </c>
      <c r="X769">
        <v>627.15</v>
      </c>
      <c r="Y769">
        <v>109.58</v>
      </c>
      <c r="Z769">
        <v>4.5199999999999996</v>
      </c>
      <c r="AA769">
        <v>741.24</v>
      </c>
      <c r="AB769" t="s">
        <v>57</v>
      </c>
      <c r="AC769" t="s">
        <v>58</v>
      </c>
      <c r="AD769" t="s">
        <v>48</v>
      </c>
      <c r="AE769">
        <v>0</v>
      </c>
      <c r="AF769">
        <v>6.77</v>
      </c>
      <c r="AG769" t="s">
        <v>59</v>
      </c>
      <c r="AH769">
        <v>179772</v>
      </c>
      <c r="AI769" t="s">
        <v>60</v>
      </c>
      <c r="AJ769" t="s">
        <v>60</v>
      </c>
      <c r="AK769" t="s">
        <v>54</v>
      </c>
      <c r="AL769">
        <v>2024</v>
      </c>
      <c r="AM769" s="6" t="s">
        <v>878</v>
      </c>
      <c r="AN769" s="7">
        <v>313.57</v>
      </c>
      <c r="AO769" s="8">
        <f t="shared" si="36"/>
        <v>587.94375000000002</v>
      </c>
      <c r="AP769" s="8">
        <f t="shared" si="37"/>
        <v>653.20550624999998</v>
      </c>
      <c r="AQ769" s="9">
        <f t="shared" si="35"/>
        <v>952.41008062499998</v>
      </c>
    </row>
    <row r="770" spans="1:43" x14ac:dyDescent="0.25">
      <c r="A770">
        <v>8</v>
      </c>
      <c r="B770">
        <v>7</v>
      </c>
      <c r="C770">
        <v>2024</v>
      </c>
      <c r="D770" t="s">
        <v>43</v>
      </c>
      <c r="E770" t="s">
        <v>75</v>
      </c>
      <c r="F770" t="s">
        <v>76</v>
      </c>
      <c r="G770">
        <v>59</v>
      </c>
      <c r="H770">
        <v>1791882490001</v>
      </c>
      <c r="I770" t="s">
        <v>46</v>
      </c>
      <c r="J770" t="s">
        <v>48</v>
      </c>
      <c r="K770" t="s">
        <v>48</v>
      </c>
      <c r="L770" t="s">
        <v>49</v>
      </c>
      <c r="M770" t="s">
        <v>50</v>
      </c>
      <c r="N770" t="s">
        <v>51</v>
      </c>
      <c r="O770">
        <v>8421999000</v>
      </c>
      <c r="P770" t="s">
        <v>66</v>
      </c>
      <c r="Q770" t="s">
        <v>477</v>
      </c>
      <c r="R770" t="s">
        <v>54</v>
      </c>
      <c r="S770" t="s">
        <v>55</v>
      </c>
      <c r="T770">
        <v>8</v>
      </c>
      <c r="U770">
        <v>1</v>
      </c>
      <c r="V770" t="s">
        <v>135</v>
      </c>
      <c r="W770">
        <v>0</v>
      </c>
      <c r="X770">
        <v>68.760000000000005</v>
      </c>
      <c r="Y770">
        <v>5.87</v>
      </c>
      <c r="Z770">
        <v>0.45</v>
      </c>
      <c r="AA770">
        <v>75.08</v>
      </c>
      <c r="AB770" t="s">
        <v>57</v>
      </c>
      <c r="AC770" t="s">
        <v>77</v>
      </c>
      <c r="AD770" t="s">
        <v>48</v>
      </c>
      <c r="AE770">
        <v>0</v>
      </c>
      <c r="AF770">
        <v>0.46</v>
      </c>
      <c r="AG770" t="s">
        <v>59</v>
      </c>
      <c r="AH770">
        <v>107711</v>
      </c>
      <c r="AI770" t="s">
        <v>60</v>
      </c>
      <c r="AJ770" t="s">
        <v>78</v>
      </c>
      <c r="AK770" t="s">
        <v>54</v>
      </c>
      <c r="AL770">
        <v>2024</v>
      </c>
      <c r="AM770" s="6" t="s">
        <v>880</v>
      </c>
      <c r="AN770" s="7">
        <v>68.760000000000005</v>
      </c>
      <c r="AO770" s="8">
        <f t="shared" si="36"/>
        <v>128.92500000000001</v>
      </c>
      <c r="AP770" s="8">
        <f t="shared" si="37"/>
        <v>143.23567500000001</v>
      </c>
      <c r="AQ770" s="9">
        <f t="shared" si="35"/>
        <v>208.8456075</v>
      </c>
    </row>
    <row r="771" spans="1:43" x14ac:dyDescent="0.25">
      <c r="A771">
        <v>8</v>
      </c>
      <c r="B771">
        <v>7</v>
      </c>
      <c r="C771">
        <v>2024</v>
      </c>
      <c r="D771" t="s">
        <v>43</v>
      </c>
      <c r="E771" t="s">
        <v>75</v>
      </c>
      <c r="F771" t="s">
        <v>76</v>
      </c>
      <c r="G771">
        <v>59</v>
      </c>
      <c r="H771">
        <v>1791882490001</v>
      </c>
      <c r="I771" t="s">
        <v>46</v>
      </c>
      <c r="J771" t="s">
        <v>48</v>
      </c>
      <c r="K771" t="s">
        <v>48</v>
      </c>
      <c r="L771" t="s">
        <v>49</v>
      </c>
      <c r="M771" t="s">
        <v>50</v>
      </c>
      <c r="N771" t="s">
        <v>51</v>
      </c>
      <c r="O771">
        <v>8421999000</v>
      </c>
      <c r="P771" t="s">
        <v>66</v>
      </c>
      <c r="Q771" t="s">
        <v>477</v>
      </c>
      <c r="R771" t="s">
        <v>54</v>
      </c>
      <c r="S771" t="s">
        <v>55</v>
      </c>
      <c r="T771">
        <v>8</v>
      </c>
      <c r="U771">
        <v>1</v>
      </c>
      <c r="V771" t="s">
        <v>135</v>
      </c>
      <c r="W771">
        <v>0</v>
      </c>
      <c r="X771">
        <v>68.760000000000005</v>
      </c>
      <c r="Y771">
        <v>5.87</v>
      </c>
      <c r="Z771">
        <v>0.45</v>
      </c>
      <c r="AA771">
        <v>75.08</v>
      </c>
      <c r="AB771" t="s">
        <v>57</v>
      </c>
      <c r="AC771" t="s">
        <v>77</v>
      </c>
      <c r="AD771" t="s">
        <v>48</v>
      </c>
      <c r="AE771">
        <v>0</v>
      </c>
      <c r="AF771">
        <v>0.46</v>
      </c>
      <c r="AG771" t="s">
        <v>59</v>
      </c>
      <c r="AH771">
        <v>107711</v>
      </c>
      <c r="AI771" t="s">
        <v>60</v>
      </c>
      <c r="AJ771" t="s">
        <v>78</v>
      </c>
      <c r="AK771" t="s">
        <v>54</v>
      </c>
      <c r="AL771">
        <v>2024</v>
      </c>
      <c r="AM771" s="6" t="s">
        <v>880</v>
      </c>
      <c r="AN771" s="7">
        <v>68.760000000000005</v>
      </c>
      <c r="AO771" s="8">
        <f t="shared" si="36"/>
        <v>128.92500000000001</v>
      </c>
      <c r="AP771" s="8">
        <f t="shared" si="37"/>
        <v>143.23567500000001</v>
      </c>
      <c r="AQ771" s="9">
        <f t="shared" ref="AQ771:AQ834" si="38">SUM(AO771)*1.6199</f>
        <v>208.8456075</v>
      </c>
    </row>
    <row r="772" spans="1:43" x14ac:dyDescent="0.25">
      <c r="A772">
        <v>8</v>
      </c>
      <c r="B772">
        <v>7</v>
      </c>
      <c r="C772">
        <v>2024</v>
      </c>
      <c r="D772" t="s">
        <v>43</v>
      </c>
      <c r="E772" t="s">
        <v>75</v>
      </c>
      <c r="F772" t="s">
        <v>76</v>
      </c>
      <c r="G772">
        <v>60</v>
      </c>
      <c r="H772">
        <v>1791882490001</v>
      </c>
      <c r="I772" t="s">
        <v>46</v>
      </c>
      <c r="J772" t="s">
        <v>65</v>
      </c>
      <c r="K772" t="s">
        <v>48</v>
      </c>
      <c r="L772" t="s">
        <v>49</v>
      </c>
      <c r="M772" t="s">
        <v>50</v>
      </c>
      <c r="N772" t="s">
        <v>51</v>
      </c>
      <c r="O772">
        <v>8421999000</v>
      </c>
      <c r="P772" t="s">
        <v>66</v>
      </c>
      <c r="Q772" t="s">
        <v>477</v>
      </c>
      <c r="R772" t="s">
        <v>54</v>
      </c>
      <c r="S772" t="s">
        <v>55</v>
      </c>
      <c r="T772">
        <v>8</v>
      </c>
      <c r="U772">
        <v>1</v>
      </c>
      <c r="V772" t="s">
        <v>135</v>
      </c>
      <c r="W772">
        <v>0</v>
      </c>
      <c r="X772">
        <v>100.07</v>
      </c>
      <c r="Y772">
        <v>8.5500000000000007</v>
      </c>
      <c r="Z772">
        <v>0.65</v>
      </c>
      <c r="AA772">
        <v>109.27</v>
      </c>
      <c r="AB772" t="s">
        <v>57</v>
      </c>
      <c r="AC772" t="s">
        <v>77</v>
      </c>
      <c r="AD772" t="s">
        <v>48</v>
      </c>
      <c r="AE772">
        <v>0</v>
      </c>
      <c r="AF772">
        <v>0.66</v>
      </c>
      <c r="AG772" t="s">
        <v>59</v>
      </c>
      <c r="AH772">
        <v>107711</v>
      </c>
      <c r="AI772" t="s">
        <v>60</v>
      </c>
      <c r="AJ772" t="s">
        <v>78</v>
      </c>
      <c r="AK772" t="s">
        <v>54</v>
      </c>
      <c r="AL772">
        <v>2024</v>
      </c>
      <c r="AM772" s="6" t="s">
        <v>881</v>
      </c>
      <c r="AN772" s="7">
        <v>100.07</v>
      </c>
      <c r="AO772" s="8">
        <f t="shared" si="36"/>
        <v>187.63124999999999</v>
      </c>
      <c r="AP772" s="8">
        <f t="shared" si="37"/>
        <v>208.45831874999999</v>
      </c>
      <c r="AQ772" s="9">
        <f t="shared" si="38"/>
        <v>303.94386187499998</v>
      </c>
    </row>
    <row r="773" spans="1:43" x14ac:dyDescent="0.25">
      <c r="A773">
        <v>8</v>
      </c>
      <c r="B773">
        <v>7</v>
      </c>
      <c r="C773">
        <v>2024</v>
      </c>
      <c r="D773" t="s">
        <v>43</v>
      </c>
      <c r="E773" t="s">
        <v>75</v>
      </c>
      <c r="F773" t="s">
        <v>76</v>
      </c>
      <c r="G773">
        <v>60</v>
      </c>
      <c r="H773">
        <v>1791882490001</v>
      </c>
      <c r="I773" t="s">
        <v>46</v>
      </c>
      <c r="J773" t="s">
        <v>65</v>
      </c>
      <c r="K773" t="s">
        <v>48</v>
      </c>
      <c r="L773" t="s">
        <v>49</v>
      </c>
      <c r="M773" t="s">
        <v>50</v>
      </c>
      <c r="N773" t="s">
        <v>51</v>
      </c>
      <c r="O773">
        <v>8421999000</v>
      </c>
      <c r="P773" t="s">
        <v>66</v>
      </c>
      <c r="Q773" t="s">
        <v>477</v>
      </c>
      <c r="R773" t="s">
        <v>54</v>
      </c>
      <c r="S773" t="s">
        <v>55</v>
      </c>
      <c r="T773">
        <v>8</v>
      </c>
      <c r="U773">
        <v>1</v>
      </c>
      <c r="V773" t="s">
        <v>135</v>
      </c>
      <c r="W773">
        <v>0</v>
      </c>
      <c r="X773">
        <v>100.07</v>
      </c>
      <c r="Y773">
        <v>8.5500000000000007</v>
      </c>
      <c r="Z773">
        <v>0.65</v>
      </c>
      <c r="AA773">
        <v>109.27</v>
      </c>
      <c r="AB773" t="s">
        <v>57</v>
      </c>
      <c r="AC773" t="s">
        <v>77</v>
      </c>
      <c r="AD773" t="s">
        <v>48</v>
      </c>
      <c r="AE773">
        <v>0</v>
      </c>
      <c r="AF773">
        <v>0.66</v>
      </c>
      <c r="AG773" t="s">
        <v>59</v>
      </c>
      <c r="AH773">
        <v>107711</v>
      </c>
      <c r="AI773" t="s">
        <v>60</v>
      </c>
      <c r="AJ773" t="s">
        <v>78</v>
      </c>
      <c r="AK773" t="s">
        <v>54</v>
      </c>
      <c r="AL773">
        <v>2024</v>
      </c>
      <c r="AM773" s="6" t="s">
        <v>881</v>
      </c>
      <c r="AN773" s="7">
        <v>100.07</v>
      </c>
      <c r="AO773" s="8">
        <f t="shared" si="36"/>
        <v>187.63124999999999</v>
      </c>
      <c r="AP773" s="8">
        <f t="shared" si="37"/>
        <v>208.45831874999999</v>
      </c>
      <c r="AQ773" s="9">
        <f t="shared" si="38"/>
        <v>303.94386187499998</v>
      </c>
    </row>
    <row r="774" spans="1:43" x14ac:dyDescent="0.25">
      <c r="A774">
        <v>8</v>
      </c>
      <c r="B774">
        <v>7</v>
      </c>
      <c r="C774">
        <v>2024</v>
      </c>
      <c r="D774" t="s">
        <v>43</v>
      </c>
      <c r="E774" t="s">
        <v>75</v>
      </c>
      <c r="F774" t="s">
        <v>76</v>
      </c>
      <c r="G774">
        <v>61</v>
      </c>
      <c r="H774">
        <v>1791882490001</v>
      </c>
      <c r="I774" t="s">
        <v>46</v>
      </c>
      <c r="J774" t="s">
        <v>65</v>
      </c>
      <c r="K774" t="s">
        <v>48</v>
      </c>
      <c r="L774" t="s">
        <v>49</v>
      </c>
      <c r="M774" t="s">
        <v>50</v>
      </c>
      <c r="N774" t="s">
        <v>51</v>
      </c>
      <c r="O774">
        <v>8421999000</v>
      </c>
      <c r="P774" t="s">
        <v>66</v>
      </c>
      <c r="Q774" t="s">
        <v>477</v>
      </c>
      <c r="R774" t="s">
        <v>54</v>
      </c>
      <c r="S774" t="s">
        <v>55</v>
      </c>
      <c r="T774">
        <v>8</v>
      </c>
      <c r="U774">
        <v>1</v>
      </c>
      <c r="V774" t="s">
        <v>135</v>
      </c>
      <c r="W774">
        <v>0</v>
      </c>
      <c r="X774">
        <v>131.07</v>
      </c>
      <c r="Y774">
        <v>11.2</v>
      </c>
      <c r="Z774">
        <v>0.85</v>
      </c>
      <c r="AA774">
        <v>143.12</v>
      </c>
      <c r="AB774" t="s">
        <v>57</v>
      </c>
      <c r="AC774" t="s">
        <v>77</v>
      </c>
      <c r="AD774" t="s">
        <v>48</v>
      </c>
      <c r="AE774">
        <v>0</v>
      </c>
      <c r="AF774">
        <v>0.87</v>
      </c>
      <c r="AG774" t="s">
        <v>59</v>
      </c>
      <c r="AH774">
        <v>107711</v>
      </c>
      <c r="AI774" t="s">
        <v>60</v>
      </c>
      <c r="AJ774" t="s">
        <v>78</v>
      </c>
      <c r="AK774" t="s">
        <v>54</v>
      </c>
      <c r="AL774">
        <v>2024</v>
      </c>
      <c r="AM774" s="6" t="s">
        <v>882</v>
      </c>
      <c r="AN774" s="7">
        <v>131.07</v>
      </c>
      <c r="AO774" s="8">
        <f t="shared" si="36"/>
        <v>245.75624999999999</v>
      </c>
      <c r="AP774" s="8">
        <f t="shared" si="37"/>
        <v>273.03519375000002</v>
      </c>
      <c r="AQ774" s="9">
        <f t="shared" si="38"/>
        <v>398.10054937499996</v>
      </c>
    </row>
    <row r="775" spans="1:43" x14ac:dyDescent="0.25">
      <c r="A775">
        <v>8</v>
      </c>
      <c r="B775">
        <v>7</v>
      </c>
      <c r="C775">
        <v>2024</v>
      </c>
      <c r="D775" t="s">
        <v>43</v>
      </c>
      <c r="E775" t="s">
        <v>75</v>
      </c>
      <c r="F775" t="s">
        <v>76</v>
      </c>
      <c r="G775">
        <v>61</v>
      </c>
      <c r="H775">
        <v>1791882490001</v>
      </c>
      <c r="I775" t="s">
        <v>46</v>
      </c>
      <c r="J775" t="s">
        <v>65</v>
      </c>
      <c r="K775" t="s">
        <v>48</v>
      </c>
      <c r="L775" t="s">
        <v>49</v>
      </c>
      <c r="M775" t="s">
        <v>50</v>
      </c>
      <c r="N775" t="s">
        <v>51</v>
      </c>
      <c r="O775">
        <v>8421999000</v>
      </c>
      <c r="P775" t="s">
        <v>66</v>
      </c>
      <c r="Q775" t="s">
        <v>477</v>
      </c>
      <c r="R775" t="s">
        <v>54</v>
      </c>
      <c r="S775" t="s">
        <v>55</v>
      </c>
      <c r="T775">
        <v>8</v>
      </c>
      <c r="U775">
        <v>1</v>
      </c>
      <c r="V775" t="s">
        <v>135</v>
      </c>
      <c r="W775">
        <v>0</v>
      </c>
      <c r="X775">
        <v>131.07</v>
      </c>
      <c r="Y775">
        <v>11.2</v>
      </c>
      <c r="Z775">
        <v>0.85</v>
      </c>
      <c r="AA775">
        <v>143.12</v>
      </c>
      <c r="AB775" t="s">
        <v>57</v>
      </c>
      <c r="AC775" t="s">
        <v>77</v>
      </c>
      <c r="AD775" t="s">
        <v>48</v>
      </c>
      <c r="AE775">
        <v>0</v>
      </c>
      <c r="AF775">
        <v>0.87</v>
      </c>
      <c r="AG775" t="s">
        <v>59</v>
      </c>
      <c r="AH775">
        <v>107711</v>
      </c>
      <c r="AI775" t="s">
        <v>60</v>
      </c>
      <c r="AJ775" t="s">
        <v>78</v>
      </c>
      <c r="AK775" t="s">
        <v>54</v>
      </c>
      <c r="AL775">
        <v>2024</v>
      </c>
      <c r="AM775" s="6" t="s">
        <v>882</v>
      </c>
      <c r="AN775" s="7">
        <v>131.07</v>
      </c>
      <c r="AO775" s="8">
        <f t="shared" si="36"/>
        <v>245.75624999999999</v>
      </c>
      <c r="AP775" s="8">
        <f t="shared" si="37"/>
        <v>273.03519375000002</v>
      </c>
      <c r="AQ775" s="9">
        <f t="shared" si="38"/>
        <v>398.10054937499996</v>
      </c>
    </row>
    <row r="776" spans="1:43" x14ac:dyDescent="0.25">
      <c r="A776">
        <v>3</v>
      </c>
      <c r="B776">
        <v>4</v>
      </c>
      <c r="C776">
        <v>2024</v>
      </c>
      <c r="D776" t="s">
        <v>43</v>
      </c>
      <c r="E776" t="s">
        <v>73</v>
      </c>
      <c r="F776" t="s">
        <v>74</v>
      </c>
      <c r="G776">
        <v>42</v>
      </c>
      <c r="H776">
        <v>1791882490001</v>
      </c>
      <c r="I776" t="s">
        <v>46</v>
      </c>
      <c r="J776" t="s">
        <v>48</v>
      </c>
      <c r="K776" t="s">
        <v>48</v>
      </c>
      <c r="L776" t="s">
        <v>49</v>
      </c>
      <c r="M776" t="s">
        <v>50</v>
      </c>
      <c r="N776" t="s">
        <v>51</v>
      </c>
      <c r="O776">
        <v>8421999000</v>
      </c>
      <c r="P776" t="s">
        <v>66</v>
      </c>
      <c r="Q776" t="s">
        <v>477</v>
      </c>
      <c r="R776" t="s">
        <v>54</v>
      </c>
      <c r="S776" t="s">
        <v>55</v>
      </c>
      <c r="T776">
        <v>6</v>
      </c>
      <c r="U776">
        <v>1</v>
      </c>
      <c r="V776" t="s">
        <v>135</v>
      </c>
      <c r="W776">
        <v>0</v>
      </c>
      <c r="X776">
        <v>194.31</v>
      </c>
      <c r="Y776">
        <v>22.7</v>
      </c>
      <c r="Z776">
        <v>1.27</v>
      </c>
      <c r="AA776">
        <v>218.27</v>
      </c>
      <c r="AB776" t="s">
        <v>57</v>
      </c>
      <c r="AC776" t="s">
        <v>58</v>
      </c>
      <c r="AD776" t="s">
        <v>48</v>
      </c>
      <c r="AE776">
        <v>0</v>
      </c>
      <c r="AF776">
        <v>1.33</v>
      </c>
      <c r="AG776" t="s">
        <v>59</v>
      </c>
      <c r="AH776">
        <v>438183</v>
      </c>
      <c r="AI776" t="s">
        <v>60</v>
      </c>
      <c r="AJ776" t="s">
        <v>60</v>
      </c>
      <c r="AK776" t="s">
        <v>54</v>
      </c>
      <c r="AL776">
        <v>2024</v>
      </c>
      <c r="AM776" s="6" t="s">
        <v>883</v>
      </c>
      <c r="AN776" s="7">
        <v>194.31</v>
      </c>
      <c r="AO776" s="8">
        <f t="shared" si="36"/>
        <v>364.33125000000001</v>
      </c>
      <c r="AP776" s="8">
        <f t="shared" si="37"/>
        <v>404.77201875000003</v>
      </c>
      <c r="AQ776" s="9">
        <f t="shared" si="38"/>
        <v>590.18019187499999</v>
      </c>
    </row>
    <row r="777" spans="1:43" x14ac:dyDescent="0.25">
      <c r="A777">
        <v>19</v>
      </c>
      <c r="B777">
        <v>8</v>
      </c>
      <c r="C777">
        <v>2024</v>
      </c>
      <c r="D777" t="s">
        <v>43</v>
      </c>
      <c r="E777" t="s">
        <v>84</v>
      </c>
      <c r="F777" t="s">
        <v>85</v>
      </c>
      <c r="G777">
        <v>44</v>
      </c>
      <c r="H777">
        <v>1791882490001</v>
      </c>
      <c r="I777" t="s">
        <v>46</v>
      </c>
      <c r="J777" t="s">
        <v>259</v>
      </c>
      <c r="K777" t="s">
        <v>48</v>
      </c>
      <c r="L777" t="s">
        <v>49</v>
      </c>
      <c r="M777" t="s">
        <v>50</v>
      </c>
      <c r="N777" t="s">
        <v>51</v>
      </c>
      <c r="O777">
        <v>8421999000</v>
      </c>
      <c r="P777" t="s">
        <v>66</v>
      </c>
      <c r="Q777" t="s">
        <v>884</v>
      </c>
      <c r="R777" t="s">
        <v>54</v>
      </c>
      <c r="S777" t="s">
        <v>55</v>
      </c>
      <c r="T777">
        <v>6</v>
      </c>
      <c r="U777">
        <v>3</v>
      </c>
      <c r="V777" t="s">
        <v>135</v>
      </c>
      <c r="W777">
        <v>0</v>
      </c>
      <c r="X777">
        <v>968.19</v>
      </c>
      <c r="Y777">
        <v>124.93</v>
      </c>
      <c r="Z777">
        <v>6.62</v>
      </c>
      <c r="AA777">
        <v>1099.74</v>
      </c>
      <c r="AB777" t="s">
        <v>57</v>
      </c>
      <c r="AC777" t="s">
        <v>58</v>
      </c>
      <c r="AD777" t="s">
        <v>48</v>
      </c>
      <c r="AE777">
        <v>0</v>
      </c>
      <c r="AF777">
        <v>4.1900000000000004</v>
      </c>
      <c r="AG777" t="s">
        <v>59</v>
      </c>
      <c r="AH777">
        <v>144527</v>
      </c>
      <c r="AI777" t="s">
        <v>60</v>
      </c>
      <c r="AJ777" t="s">
        <v>60</v>
      </c>
      <c r="AK777" t="s">
        <v>54</v>
      </c>
      <c r="AL777">
        <v>2024</v>
      </c>
      <c r="AM777" s="6" t="s">
        <v>885</v>
      </c>
      <c r="AN777" s="7">
        <v>322.73</v>
      </c>
      <c r="AO777" s="8">
        <f t="shared" si="36"/>
        <v>605.11875000000009</v>
      </c>
      <c r="AP777" s="8">
        <f t="shared" si="37"/>
        <v>672.28693125000007</v>
      </c>
      <c r="AQ777" s="9">
        <f t="shared" si="38"/>
        <v>980.23186312500013</v>
      </c>
    </row>
    <row r="778" spans="1:43" x14ac:dyDescent="0.25">
      <c r="A778">
        <v>19</v>
      </c>
      <c r="B778">
        <v>8</v>
      </c>
      <c r="C778">
        <v>2024</v>
      </c>
      <c r="D778" t="s">
        <v>43</v>
      </c>
      <c r="E778" t="s">
        <v>84</v>
      </c>
      <c r="F778" t="s">
        <v>85</v>
      </c>
      <c r="G778">
        <v>45</v>
      </c>
      <c r="H778">
        <v>1791882490001</v>
      </c>
      <c r="I778" t="s">
        <v>46</v>
      </c>
      <c r="J778" t="s">
        <v>259</v>
      </c>
      <c r="K778" t="s">
        <v>48</v>
      </c>
      <c r="L778" t="s">
        <v>49</v>
      </c>
      <c r="M778" t="s">
        <v>50</v>
      </c>
      <c r="N778" t="s">
        <v>51</v>
      </c>
      <c r="O778">
        <v>8421999000</v>
      </c>
      <c r="P778" t="s">
        <v>66</v>
      </c>
      <c r="Q778" t="s">
        <v>886</v>
      </c>
      <c r="R778" t="s">
        <v>54</v>
      </c>
      <c r="S778" t="s">
        <v>55</v>
      </c>
      <c r="T778">
        <v>6</v>
      </c>
      <c r="U778">
        <v>1</v>
      </c>
      <c r="V778" t="s">
        <v>135</v>
      </c>
      <c r="W778">
        <v>0</v>
      </c>
      <c r="X778">
        <v>372.71</v>
      </c>
      <c r="Y778">
        <v>48.09</v>
      </c>
      <c r="Z778">
        <v>2.5499999999999998</v>
      </c>
      <c r="AA778">
        <v>423.35</v>
      </c>
      <c r="AB778" t="s">
        <v>57</v>
      </c>
      <c r="AC778" t="s">
        <v>58</v>
      </c>
      <c r="AD778" t="s">
        <v>48</v>
      </c>
      <c r="AE778">
        <v>0</v>
      </c>
      <c r="AF778">
        <v>1.39</v>
      </c>
      <c r="AG778" t="s">
        <v>59</v>
      </c>
      <c r="AH778">
        <v>144527</v>
      </c>
      <c r="AI778" t="s">
        <v>60</v>
      </c>
      <c r="AJ778" t="s">
        <v>60</v>
      </c>
      <c r="AK778" t="s">
        <v>54</v>
      </c>
      <c r="AL778">
        <v>2024</v>
      </c>
      <c r="AM778" s="6" t="s">
        <v>887</v>
      </c>
      <c r="AN778" s="7">
        <v>372.71</v>
      </c>
      <c r="AO778" s="8">
        <f t="shared" si="36"/>
        <v>698.83124999999995</v>
      </c>
      <c r="AP778" s="8">
        <f t="shared" si="37"/>
        <v>776.40151874999992</v>
      </c>
      <c r="AQ778" s="9">
        <f t="shared" si="38"/>
        <v>1132.036741875</v>
      </c>
    </row>
    <row r="779" spans="1:43" x14ac:dyDescent="0.25">
      <c r="A779">
        <v>8</v>
      </c>
      <c r="B779">
        <v>7</v>
      </c>
      <c r="C779">
        <v>2024</v>
      </c>
      <c r="D779" t="s">
        <v>43</v>
      </c>
      <c r="E779" t="s">
        <v>75</v>
      </c>
      <c r="F779" t="s">
        <v>76</v>
      </c>
      <c r="G779">
        <v>62</v>
      </c>
      <c r="H779">
        <v>1791882490001</v>
      </c>
      <c r="I779" t="s">
        <v>46</v>
      </c>
      <c r="J779" t="s">
        <v>65</v>
      </c>
      <c r="K779" t="s">
        <v>48</v>
      </c>
      <c r="L779" t="s">
        <v>49</v>
      </c>
      <c r="M779" t="s">
        <v>50</v>
      </c>
      <c r="N779" t="s">
        <v>51</v>
      </c>
      <c r="O779">
        <v>8421999000</v>
      </c>
      <c r="P779" t="s">
        <v>66</v>
      </c>
      <c r="Q779" t="s">
        <v>477</v>
      </c>
      <c r="R779" t="s">
        <v>54</v>
      </c>
      <c r="S779" t="s">
        <v>55</v>
      </c>
      <c r="T779">
        <v>8</v>
      </c>
      <c r="U779">
        <v>1</v>
      </c>
      <c r="V779" t="s">
        <v>135</v>
      </c>
      <c r="W779">
        <v>0</v>
      </c>
      <c r="X779">
        <v>68.760000000000005</v>
      </c>
      <c r="Y779">
        <v>5.87</v>
      </c>
      <c r="Z779">
        <v>0.45</v>
      </c>
      <c r="AA779">
        <v>75.08</v>
      </c>
      <c r="AB779" t="s">
        <v>57</v>
      </c>
      <c r="AC779" t="s">
        <v>77</v>
      </c>
      <c r="AD779" t="s">
        <v>48</v>
      </c>
      <c r="AE779">
        <v>0</v>
      </c>
      <c r="AF779">
        <v>0.46</v>
      </c>
      <c r="AG779" t="s">
        <v>59</v>
      </c>
      <c r="AH779">
        <v>107711</v>
      </c>
      <c r="AI779" t="s">
        <v>60</v>
      </c>
      <c r="AJ779" t="s">
        <v>78</v>
      </c>
      <c r="AK779" t="s">
        <v>54</v>
      </c>
      <c r="AL779">
        <v>2024</v>
      </c>
      <c r="AM779" s="6" t="s">
        <v>888</v>
      </c>
      <c r="AN779" s="7">
        <v>68.760000000000005</v>
      </c>
      <c r="AO779" s="8">
        <f t="shared" si="36"/>
        <v>128.92500000000001</v>
      </c>
      <c r="AP779" s="8">
        <f t="shared" si="37"/>
        <v>143.23567500000001</v>
      </c>
      <c r="AQ779" s="9">
        <f t="shared" si="38"/>
        <v>208.8456075</v>
      </c>
    </row>
    <row r="780" spans="1:43" x14ac:dyDescent="0.25">
      <c r="A780">
        <v>8</v>
      </c>
      <c r="B780">
        <v>7</v>
      </c>
      <c r="C780">
        <v>2024</v>
      </c>
      <c r="D780" t="s">
        <v>43</v>
      </c>
      <c r="E780" t="s">
        <v>75</v>
      </c>
      <c r="F780" t="s">
        <v>76</v>
      </c>
      <c r="G780">
        <v>62</v>
      </c>
      <c r="H780">
        <v>1791882490001</v>
      </c>
      <c r="I780" t="s">
        <v>46</v>
      </c>
      <c r="J780" t="s">
        <v>65</v>
      </c>
      <c r="K780" t="s">
        <v>48</v>
      </c>
      <c r="L780" t="s">
        <v>49</v>
      </c>
      <c r="M780" t="s">
        <v>50</v>
      </c>
      <c r="N780" t="s">
        <v>51</v>
      </c>
      <c r="O780">
        <v>8421999000</v>
      </c>
      <c r="P780" t="s">
        <v>66</v>
      </c>
      <c r="Q780" t="s">
        <v>477</v>
      </c>
      <c r="R780" t="s">
        <v>54</v>
      </c>
      <c r="S780" t="s">
        <v>55</v>
      </c>
      <c r="T780">
        <v>8</v>
      </c>
      <c r="U780">
        <v>1</v>
      </c>
      <c r="V780" t="s">
        <v>135</v>
      </c>
      <c r="W780">
        <v>0</v>
      </c>
      <c r="X780">
        <v>68.760000000000005</v>
      </c>
      <c r="Y780">
        <v>5.87</v>
      </c>
      <c r="Z780">
        <v>0.45</v>
      </c>
      <c r="AA780">
        <v>75.08</v>
      </c>
      <c r="AB780" t="s">
        <v>57</v>
      </c>
      <c r="AC780" t="s">
        <v>77</v>
      </c>
      <c r="AD780" t="s">
        <v>48</v>
      </c>
      <c r="AE780">
        <v>0</v>
      </c>
      <c r="AF780">
        <v>0.46</v>
      </c>
      <c r="AG780" t="s">
        <v>59</v>
      </c>
      <c r="AH780">
        <v>107711</v>
      </c>
      <c r="AI780" t="s">
        <v>60</v>
      </c>
      <c r="AJ780" t="s">
        <v>78</v>
      </c>
      <c r="AK780" t="s">
        <v>54</v>
      </c>
      <c r="AL780">
        <v>2024</v>
      </c>
      <c r="AM780" s="6" t="s">
        <v>888</v>
      </c>
      <c r="AN780" s="7">
        <v>68.760000000000005</v>
      </c>
      <c r="AO780" s="8">
        <f t="shared" si="36"/>
        <v>128.92500000000001</v>
      </c>
      <c r="AP780" s="8">
        <f t="shared" si="37"/>
        <v>143.23567500000001</v>
      </c>
      <c r="AQ780" s="9">
        <f t="shared" si="38"/>
        <v>208.8456075</v>
      </c>
    </row>
    <row r="781" spans="1:43" x14ac:dyDescent="0.25">
      <c r="A781">
        <v>26</v>
      </c>
      <c r="B781">
        <v>12</v>
      </c>
      <c r="C781">
        <v>2024</v>
      </c>
      <c r="D781" t="s">
        <v>43</v>
      </c>
      <c r="E781" t="s">
        <v>222</v>
      </c>
      <c r="F781" t="s">
        <v>223</v>
      </c>
      <c r="G781">
        <v>38</v>
      </c>
      <c r="H781">
        <v>1791882490001</v>
      </c>
      <c r="I781" t="s">
        <v>46</v>
      </c>
      <c r="J781" t="s">
        <v>259</v>
      </c>
      <c r="K781" t="s">
        <v>48</v>
      </c>
      <c r="L781" t="s">
        <v>49</v>
      </c>
      <c r="M781" t="s">
        <v>50</v>
      </c>
      <c r="N781" t="s">
        <v>224</v>
      </c>
      <c r="O781">
        <v>8421999000</v>
      </c>
      <c r="P781" t="s">
        <v>52</v>
      </c>
      <c r="Q781" t="s">
        <v>889</v>
      </c>
      <c r="R781" t="s">
        <v>54</v>
      </c>
      <c r="S781" t="s">
        <v>55</v>
      </c>
      <c r="T781">
        <v>8</v>
      </c>
      <c r="U781">
        <v>1</v>
      </c>
      <c r="V781" t="s">
        <v>135</v>
      </c>
      <c r="W781">
        <v>0</v>
      </c>
      <c r="X781">
        <v>70.260000000000005</v>
      </c>
      <c r="Y781">
        <v>14.55</v>
      </c>
      <c r="Z781">
        <v>0.7</v>
      </c>
      <c r="AA781">
        <v>85.51</v>
      </c>
      <c r="AB781" t="s">
        <v>57</v>
      </c>
      <c r="AC781" t="s">
        <v>225</v>
      </c>
      <c r="AD781" t="s">
        <v>48</v>
      </c>
      <c r="AE781">
        <v>0</v>
      </c>
      <c r="AF781">
        <v>2.06</v>
      </c>
      <c r="AG781" t="s">
        <v>59</v>
      </c>
      <c r="AH781">
        <v>341996</v>
      </c>
      <c r="AI781" t="s">
        <v>60</v>
      </c>
      <c r="AJ781" t="s">
        <v>60</v>
      </c>
      <c r="AK781" t="s">
        <v>54</v>
      </c>
      <c r="AL781">
        <v>2024</v>
      </c>
      <c r="AM781" s="6" t="s">
        <v>888</v>
      </c>
      <c r="AN781" s="7">
        <v>70.260000000000005</v>
      </c>
      <c r="AO781" s="8">
        <f t="shared" si="36"/>
        <v>131.73750000000001</v>
      </c>
      <c r="AP781" s="8">
        <f t="shared" si="37"/>
        <v>146.36036250000001</v>
      </c>
      <c r="AQ781" s="9">
        <f t="shared" si="38"/>
        <v>213.40157625000001</v>
      </c>
    </row>
    <row r="782" spans="1:43" x14ac:dyDescent="0.25">
      <c r="A782">
        <v>8</v>
      </c>
      <c r="B782">
        <v>7</v>
      </c>
      <c r="C782">
        <v>2024</v>
      </c>
      <c r="D782" t="s">
        <v>43</v>
      </c>
      <c r="E782" t="s">
        <v>75</v>
      </c>
      <c r="F782" t="s">
        <v>76</v>
      </c>
      <c r="G782">
        <v>63</v>
      </c>
      <c r="H782">
        <v>1791882490001</v>
      </c>
      <c r="I782" t="s">
        <v>46</v>
      </c>
      <c r="J782" t="s">
        <v>65</v>
      </c>
      <c r="K782" t="s">
        <v>48</v>
      </c>
      <c r="L782" t="s">
        <v>49</v>
      </c>
      <c r="M782" t="s">
        <v>50</v>
      </c>
      <c r="N782" t="s">
        <v>51</v>
      </c>
      <c r="O782">
        <v>8421999000</v>
      </c>
      <c r="P782" t="s">
        <v>66</v>
      </c>
      <c r="Q782" t="s">
        <v>477</v>
      </c>
      <c r="R782" t="s">
        <v>54</v>
      </c>
      <c r="S782" t="s">
        <v>55</v>
      </c>
      <c r="T782">
        <v>8</v>
      </c>
      <c r="U782">
        <v>1</v>
      </c>
      <c r="V782" t="s">
        <v>135</v>
      </c>
      <c r="W782">
        <v>0</v>
      </c>
      <c r="X782">
        <v>100.07</v>
      </c>
      <c r="Y782">
        <v>8.5500000000000007</v>
      </c>
      <c r="Z782">
        <v>0.65</v>
      </c>
      <c r="AA782">
        <v>109.27</v>
      </c>
      <c r="AB782" t="s">
        <v>57</v>
      </c>
      <c r="AC782" t="s">
        <v>77</v>
      </c>
      <c r="AD782" t="s">
        <v>48</v>
      </c>
      <c r="AE782">
        <v>0</v>
      </c>
      <c r="AF782">
        <v>0.66</v>
      </c>
      <c r="AG782" t="s">
        <v>59</v>
      </c>
      <c r="AH782">
        <v>107711</v>
      </c>
      <c r="AI782" t="s">
        <v>60</v>
      </c>
      <c r="AJ782" t="s">
        <v>78</v>
      </c>
      <c r="AK782" t="s">
        <v>54</v>
      </c>
      <c r="AL782">
        <v>2024</v>
      </c>
      <c r="AM782" s="6" t="s">
        <v>890</v>
      </c>
      <c r="AN782" s="7">
        <v>100.07</v>
      </c>
      <c r="AO782" s="8">
        <f t="shared" si="36"/>
        <v>187.63124999999999</v>
      </c>
      <c r="AP782" s="8">
        <f t="shared" si="37"/>
        <v>208.45831874999999</v>
      </c>
      <c r="AQ782" s="9">
        <f t="shared" si="38"/>
        <v>303.94386187499998</v>
      </c>
    </row>
    <row r="783" spans="1:43" x14ac:dyDescent="0.25">
      <c r="A783">
        <v>8</v>
      </c>
      <c r="B783">
        <v>7</v>
      </c>
      <c r="C783">
        <v>2024</v>
      </c>
      <c r="D783" t="s">
        <v>43</v>
      </c>
      <c r="E783" t="s">
        <v>75</v>
      </c>
      <c r="F783" t="s">
        <v>76</v>
      </c>
      <c r="G783">
        <v>63</v>
      </c>
      <c r="H783">
        <v>1791882490001</v>
      </c>
      <c r="I783" t="s">
        <v>46</v>
      </c>
      <c r="J783" t="s">
        <v>65</v>
      </c>
      <c r="K783" t="s">
        <v>48</v>
      </c>
      <c r="L783" t="s">
        <v>49</v>
      </c>
      <c r="M783" t="s">
        <v>50</v>
      </c>
      <c r="N783" t="s">
        <v>51</v>
      </c>
      <c r="O783">
        <v>8421999000</v>
      </c>
      <c r="P783" t="s">
        <v>66</v>
      </c>
      <c r="Q783" t="s">
        <v>477</v>
      </c>
      <c r="R783" t="s">
        <v>54</v>
      </c>
      <c r="S783" t="s">
        <v>55</v>
      </c>
      <c r="T783">
        <v>8</v>
      </c>
      <c r="U783">
        <v>1</v>
      </c>
      <c r="V783" t="s">
        <v>135</v>
      </c>
      <c r="W783">
        <v>0</v>
      </c>
      <c r="X783">
        <v>100.07</v>
      </c>
      <c r="Y783">
        <v>8.5500000000000007</v>
      </c>
      <c r="Z783">
        <v>0.65</v>
      </c>
      <c r="AA783">
        <v>109.27</v>
      </c>
      <c r="AB783" t="s">
        <v>57</v>
      </c>
      <c r="AC783" t="s">
        <v>77</v>
      </c>
      <c r="AD783" t="s">
        <v>48</v>
      </c>
      <c r="AE783">
        <v>0</v>
      </c>
      <c r="AF783">
        <v>0.66</v>
      </c>
      <c r="AG783" t="s">
        <v>59</v>
      </c>
      <c r="AH783">
        <v>107711</v>
      </c>
      <c r="AI783" t="s">
        <v>60</v>
      </c>
      <c r="AJ783" t="s">
        <v>78</v>
      </c>
      <c r="AK783" t="s">
        <v>54</v>
      </c>
      <c r="AL783">
        <v>2024</v>
      </c>
      <c r="AM783" s="6" t="s">
        <v>890</v>
      </c>
      <c r="AN783" s="7">
        <v>100.07</v>
      </c>
      <c r="AO783" s="8">
        <f t="shared" si="36"/>
        <v>187.63124999999999</v>
      </c>
      <c r="AP783" s="8">
        <f t="shared" si="37"/>
        <v>208.45831874999999</v>
      </c>
      <c r="AQ783" s="9">
        <f t="shared" si="38"/>
        <v>303.94386187499998</v>
      </c>
    </row>
    <row r="784" spans="1:43" x14ac:dyDescent="0.25">
      <c r="A784">
        <v>8</v>
      </c>
      <c r="B784">
        <v>7</v>
      </c>
      <c r="C784">
        <v>2024</v>
      </c>
      <c r="D784" t="s">
        <v>43</v>
      </c>
      <c r="E784" t="s">
        <v>75</v>
      </c>
      <c r="F784" t="s">
        <v>76</v>
      </c>
      <c r="G784">
        <v>64</v>
      </c>
      <c r="H784">
        <v>1791882490001</v>
      </c>
      <c r="I784" t="s">
        <v>46</v>
      </c>
      <c r="J784" t="s">
        <v>65</v>
      </c>
      <c r="K784" t="s">
        <v>48</v>
      </c>
      <c r="L784" t="s">
        <v>49</v>
      </c>
      <c r="M784" t="s">
        <v>50</v>
      </c>
      <c r="N784" t="s">
        <v>51</v>
      </c>
      <c r="O784">
        <v>8421999000</v>
      </c>
      <c r="P784" t="s">
        <v>66</v>
      </c>
      <c r="Q784" t="s">
        <v>477</v>
      </c>
      <c r="R784" t="s">
        <v>54</v>
      </c>
      <c r="S784" t="s">
        <v>55</v>
      </c>
      <c r="T784">
        <v>8</v>
      </c>
      <c r="U784">
        <v>1</v>
      </c>
      <c r="V784" t="s">
        <v>135</v>
      </c>
      <c r="W784">
        <v>0</v>
      </c>
      <c r="X784">
        <v>131.07</v>
      </c>
      <c r="Y784">
        <v>11.2</v>
      </c>
      <c r="Z784">
        <v>0.85</v>
      </c>
      <c r="AA784">
        <v>143.12</v>
      </c>
      <c r="AB784" t="s">
        <v>57</v>
      </c>
      <c r="AC784" t="s">
        <v>77</v>
      </c>
      <c r="AD784" t="s">
        <v>48</v>
      </c>
      <c r="AE784">
        <v>0</v>
      </c>
      <c r="AF784">
        <v>0.87</v>
      </c>
      <c r="AG784" t="s">
        <v>59</v>
      </c>
      <c r="AH784">
        <v>107711</v>
      </c>
      <c r="AI784" t="s">
        <v>60</v>
      </c>
      <c r="AJ784" t="s">
        <v>78</v>
      </c>
      <c r="AK784" t="s">
        <v>54</v>
      </c>
      <c r="AL784">
        <v>2024</v>
      </c>
      <c r="AM784" s="6" t="s">
        <v>891</v>
      </c>
      <c r="AN784" s="7">
        <v>131.07</v>
      </c>
      <c r="AO784" s="8">
        <f t="shared" si="36"/>
        <v>245.75624999999999</v>
      </c>
      <c r="AP784" s="8">
        <f t="shared" si="37"/>
        <v>273.03519375000002</v>
      </c>
      <c r="AQ784" s="9">
        <f t="shared" si="38"/>
        <v>398.10054937499996</v>
      </c>
    </row>
    <row r="785" spans="1:43" x14ac:dyDescent="0.25">
      <c r="A785">
        <v>8</v>
      </c>
      <c r="B785">
        <v>7</v>
      </c>
      <c r="C785">
        <v>2024</v>
      </c>
      <c r="D785" t="s">
        <v>43</v>
      </c>
      <c r="E785" t="s">
        <v>75</v>
      </c>
      <c r="F785" t="s">
        <v>76</v>
      </c>
      <c r="G785">
        <v>64</v>
      </c>
      <c r="H785">
        <v>1791882490001</v>
      </c>
      <c r="I785" t="s">
        <v>46</v>
      </c>
      <c r="J785" t="s">
        <v>65</v>
      </c>
      <c r="K785" t="s">
        <v>48</v>
      </c>
      <c r="L785" t="s">
        <v>49</v>
      </c>
      <c r="M785" t="s">
        <v>50</v>
      </c>
      <c r="N785" t="s">
        <v>51</v>
      </c>
      <c r="O785">
        <v>8421999000</v>
      </c>
      <c r="P785" t="s">
        <v>66</v>
      </c>
      <c r="Q785" t="s">
        <v>477</v>
      </c>
      <c r="R785" t="s">
        <v>54</v>
      </c>
      <c r="S785" t="s">
        <v>55</v>
      </c>
      <c r="T785">
        <v>8</v>
      </c>
      <c r="U785">
        <v>1</v>
      </c>
      <c r="V785" t="s">
        <v>135</v>
      </c>
      <c r="W785">
        <v>0</v>
      </c>
      <c r="X785">
        <v>131.07</v>
      </c>
      <c r="Y785">
        <v>11.2</v>
      </c>
      <c r="Z785">
        <v>0.85</v>
      </c>
      <c r="AA785">
        <v>143.12</v>
      </c>
      <c r="AB785" t="s">
        <v>57</v>
      </c>
      <c r="AC785" t="s">
        <v>77</v>
      </c>
      <c r="AD785" t="s">
        <v>48</v>
      </c>
      <c r="AE785">
        <v>0</v>
      </c>
      <c r="AF785">
        <v>0.87</v>
      </c>
      <c r="AG785" t="s">
        <v>59</v>
      </c>
      <c r="AH785">
        <v>107711</v>
      </c>
      <c r="AI785" t="s">
        <v>60</v>
      </c>
      <c r="AJ785" t="s">
        <v>78</v>
      </c>
      <c r="AK785" t="s">
        <v>54</v>
      </c>
      <c r="AL785">
        <v>2024</v>
      </c>
      <c r="AM785" s="6" t="s">
        <v>891</v>
      </c>
      <c r="AN785" s="7">
        <v>131.07</v>
      </c>
      <c r="AO785" s="8">
        <f t="shared" si="36"/>
        <v>245.75624999999999</v>
      </c>
      <c r="AP785" s="8">
        <f t="shared" si="37"/>
        <v>273.03519375000002</v>
      </c>
      <c r="AQ785" s="9">
        <f t="shared" si="38"/>
        <v>398.10054937499996</v>
      </c>
    </row>
    <row r="786" spans="1:43" x14ac:dyDescent="0.25">
      <c r="A786">
        <v>3</v>
      </c>
      <c r="B786">
        <v>4</v>
      </c>
      <c r="C786">
        <v>2024</v>
      </c>
      <c r="D786" t="s">
        <v>43</v>
      </c>
      <c r="E786" t="s">
        <v>73</v>
      </c>
      <c r="F786" t="s">
        <v>74</v>
      </c>
      <c r="G786">
        <v>43</v>
      </c>
      <c r="H786">
        <v>1791882490001</v>
      </c>
      <c r="I786" t="s">
        <v>46</v>
      </c>
      <c r="J786" t="s">
        <v>48</v>
      </c>
      <c r="K786" t="s">
        <v>48</v>
      </c>
      <c r="L786" t="s">
        <v>49</v>
      </c>
      <c r="M786" t="s">
        <v>50</v>
      </c>
      <c r="N786" t="s">
        <v>51</v>
      </c>
      <c r="O786">
        <v>8421999000</v>
      </c>
      <c r="P786" t="s">
        <v>66</v>
      </c>
      <c r="Q786" t="s">
        <v>477</v>
      </c>
      <c r="R786" t="s">
        <v>54</v>
      </c>
      <c r="S786" t="s">
        <v>55</v>
      </c>
      <c r="T786">
        <v>6</v>
      </c>
      <c r="U786">
        <v>1</v>
      </c>
      <c r="V786" t="s">
        <v>135</v>
      </c>
      <c r="W786">
        <v>0</v>
      </c>
      <c r="X786">
        <v>194.31</v>
      </c>
      <c r="Y786">
        <v>22.7</v>
      </c>
      <c r="Z786">
        <v>1.27</v>
      </c>
      <c r="AA786">
        <v>218.27</v>
      </c>
      <c r="AB786" t="s">
        <v>57</v>
      </c>
      <c r="AC786" t="s">
        <v>58</v>
      </c>
      <c r="AD786" t="s">
        <v>48</v>
      </c>
      <c r="AE786">
        <v>0</v>
      </c>
      <c r="AF786">
        <v>1.33</v>
      </c>
      <c r="AG786" t="s">
        <v>59</v>
      </c>
      <c r="AH786">
        <v>438183</v>
      </c>
      <c r="AI786" t="s">
        <v>60</v>
      </c>
      <c r="AJ786" t="s">
        <v>60</v>
      </c>
      <c r="AK786" t="s">
        <v>54</v>
      </c>
      <c r="AL786">
        <v>2024</v>
      </c>
      <c r="AM786" s="6" t="s">
        <v>892</v>
      </c>
      <c r="AN786" s="7">
        <v>194.31</v>
      </c>
      <c r="AO786" s="8">
        <f t="shared" si="36"/>
        <v>364.33125000000001</v>
      </c>
      <c r="AP786" s="8">
        <f t="shared" si="37"/>
        <v>404.77201875000003</v>
      </c>
      <c r="AQ786" s="9">
        <f t="shared" si="38"/>
        <v>590.18019187499999</v>
      </c>
    </row>
    <row r="787" spans="1:43" x14ac:dyDescent="0.25">
      <c r="A787">
        <v>19</v>
      </c>
      <c r="B787">
        <v>8</v>
      </c>
      <c r="C787">
        <v>2024</v>
      </c>
      <c r="D787" t="s">
        <v>43</v>
      </c>
      <c r="E787" t="s">
        <v>84</v>
      </c>
      <c r="F787" t="s">
        <v>85</v>
      </c>
      <c r="G787">
        <v>46</v>
      </c>
      <c r="H787">
        <v>1791882490001</v>
      </c>
      <c r="I787" t="s">
        <v>46</v>
      </c>
      <c r="J787" t="s">
        <v>259</v>
      </c>
      <c r="K787" t="s">
        <v>48</v>
      </c>
      <c r="L787" t="s">
        <v>49</v>
      </c>
      <c r="M787" t="s">
        <v>50</v>
      </c>
      <c r="N787" t="s">
        <v>51</v>
      </c>
      <c r="O787">
        <v>8421999000</v>
      </c>
      <c r="P787" t="s">
        <v>66</v>
      </c>
      <c r="Q787" t="s">
        <v>893</v>
      </c>
      <c r="R787" t="s">
        <v>54</v>
      </c>
      <c r="S787" t="s">
        <v>55</v>
      </c>
      <c r="T787">
        <v>6</v>
      </c>
      <c r="U787">
        <v>3</v>
      </c>
      <c r="V787" t="s">
        <v>135</v>
      </c>
      <c r="W787">
        <v>0</v>
      </c>
      <c r="X787">
        <v>968.19</v>
      </c>
      <c r="Y787">
        <v>124.93</v>
      </c>
      <c r="Z787">
        <v>6.62</v>
      </c>
      <c r="AA787">
        <v>1099.74</v>
      </c>
      <c r="AB787" t="s">
        <v>57</v>
      </c>
      <c r="AC787" t="s">
        <v>58</v>
      </c>
      <c r="AD787" t="s">
        <v>48</v>
      </c>
      <c r="AE787">
        <v>0</v>
      </c>
      <c r="AF787">
        <v>4.1900000000000004</v>
      </c>
      <c r="AG787" t="s">
        <v>59</v>
      </c>
      <c r="AH787">
        <v>144527</v>
      </c>
      <c r="AI787" t="s">
        <v>60</v>
      </c>
      <c r="AJ787" t="s">
        <v>60</v>
      </c>
      <c r="AK787" t="s">
        <v>54</v>
      </c>
      <c r="AL787">
        <v>2024</v>
      </c>
      <c r="AM787" s="6" t="s">
        <v>894</v>
      </c>
      <c r="AN787" s="7">
        <v>322.73</v>
      </c>
      <c r="AO787" s="8">
        <f t="shared" si="36"/>
        <v>605.11875000000009</v>
      </c>
      <c r="AP787" s="8">
        <f t="shared" si="37"/>
        <v>672.28693125000007</v>
      </c>
      <c r="AQ787" s="9">
        <f t="shared" si="38"/>
        <v>980.23186312500013</v>
      </c>
    </row>
    <row r="788" spans="1:43" x14ac:dyDescent="0.25">
      <c r="A788">
        <v>2</v>
      </c>
      <c r="B788">
        <v>1</v>
      </c>
      <c r="C788">
        <v>2024</v>
      </c>
      <c r="D788" t="s">
        <v>43</v>
      </c>
      <c r="E788" t="s">
        <v>181</v>
      </c>
      <c r="F788" t="s">
        <v>182</v>
      </c>
      <c r="G788">
        <v>34</v>
      </c>
      <c r="H788">
        <v>1791882490001</v>
      </c>
      <c r="I788" t="s">
        <v>46</v>
      </c>
      <c r="J788" t="s">
        <v>259</v>
      </c>
      <c r="K788" t="s">
        <v>48</v>
      </c>
      <c r="L788" t="s">
        <v>49</v>
      </c>
      <c r="M788" t="s">
        <v>50</v>
      </c>
      <c r="N788" t="s">
        <v>51</v>
      </c>
      <c r="O788">
        <v>8421999000</v>
      </c>
      <c r="P788" t="s">
        <v>52</v>
      </c>
      <c r="Q788" t="s">
        <v>477</v>
      </c>
      <c r="R788" t="s">
        <v>54</v>
      </c>
      <c r="S788" t="s">
        <v>55</v>
      </c>
      <c r="T788">
        <v>8</v>
      </c>
      <c r="U788">
        <v>3</v>
      </c>
      <c r="V788" t="s">
        <v>135</v>
      </c>
      <c r="W788">
        <v>0</v>
      </c>
      <c r="X788">
        <v>212.49</v>
      </c>
      <c r="Y788">
        <v>43.17</v>
      </c>
      <c r="Z788">
        <v>1.37</v>
      </c>
      <c r="AA788">
        <v>257.02999999999997</v>
      </c>
      <c r="AB788" t="s">
        <v>57</v>
      </c>
      <c r="AC788" t="s">
        <v>81</v>
      </c>
      <c r="AD788" t="s">
        <v>48</v>
      </c>
      <c r="AE788">
        <v>0</v>
      </c>
      <c r="AF788">
        <v>9.7200000000000006</v>
      </c>
      <c r="AG788" t="s">
        <v>59</v>
      </c>
      <c r="AH788">
        <v>413505</v>
      </c>
      <c r="AI788" t="s">
        <v>60</v>
      </c>
      <c r="AJ788" t="s">
        <v>60</v>
      </c>
      <c r="AK788" t="s">
        <v>54</v>
      </c>
      <c r="AL788">
        <v>2023</v>
      </c>
      <c r="AM788" s="6" t="s">
        <v>895</v>
      </c>
      <c r="AN788" s="7">
        <v>70.83</v>
      </c>
      <c r="AO788" s="8">
        <f t="shared" si="36"/>
        <v>132.80625000000001</v>
      </c>
      <c r="AP788" s="8">
        <f t="shared" si="37"/>
        <v>147.54774375</v>
      </c>
      <c r="AQ788" s="9">
        <f t="shared" si="38"/>
        <v>215.13284437499999</v>
      </c>
    </row>
    <row r="789" spans="1:43" x14ac:dyDescent="0.25">
      <c r="A789">
        <v>17</v>
      </c>
      <c r="B789">
        <v>5</v>
      </c>
      <c r="C789">
        <v>2024</v>
      </c>
      <c r="D789" t="s">
        <v>43</v>
      </c>
      <c r="E789" t="s">
        <v>79</v>
      </c>
      <c r="F789" t="s">
        <v>80</v>
      </c>
      <c r="G789">
        <v>48</v>
      </c>
      <c r="H789">
        <v>1791882490001</v>
      </c>
      <c r="I789" t="s">
        <v>46</v>
      </c>
      <c r="J789" t="s">
        <v>48</v>
      </c>
      <c r="K789" t="s">
        <v>48</v>
      </c>
      <c r="L789" t="s">
        <v>49</v>
      </c>
      <c r="M789" t="s">
        <v>50</v>
      </c>
      <c r="N789" t="s">
        <v>51</v>
      </c>
      <c r="O789">
        <v>8421999000</v>
      </c>
      <c r="P789" t="s">
        <v>66</v>
      </c>
      <c r="Q789" t="s">
        <v>896</v>
      </c>
      <c r="R789" t="s">
        <v>54</v>
      </c>
      <c r="S789" t="s">
        <v>55</v>
      </c>
      <c r="T789">
        <v>6</v>
      </c>
      <c r="U789">
        <v>2</v>
      </c>
      <c r="V789" t="s">
        <v>135</v>
      </c>
      <c r="W789">
        <v>0</v>
      </c>
      <c r="X789">
        <v>237.69</v>
      </c>
      <c r="Y789">
        <v>22.95</v>
      </c>
      <c r="Z789">
        <v>1.58</v>
      </c>
      <c r="AA789">
        <v>262.22000000000003</v>
      </c>
      <c r="AB789" t="s">
        <v>57</v>
      </c>
      <c r="AC789" t="s">
        <v>81</v>
      </c>
      <c r="AD789" t="s">
        <v>48</v>
      </c>
      <c r="AE789">
        <v>0</v>
      </c>
      <c r="AF789">
        <v>2.16</v>
      </c>
      <c r="AG789" t="s">
        <v>82</v>
      </c>
      <c r="AH789">
        <v>471463</v>
      </c>
      <c r="AI789" t="s">
        <v>60</v>
      </c>
      <c r="AJ789" t="s">
        <v>60</v>
      </c>
      <c r="AK789" t="s">
        <v>54</v>
      </c>
      <c r="AL789">
        <v>2024</v>
      </c>
      <c r="AM789" s="6" t="s">
        <v>897</v>
      </c>
      <c r="AN789" s="7">
        <v>118.84</v>
      </c>
      <c r="AO789" s="8">
        <f t="shared" si="36"/>
        <v>222.82500000000002</v>
      </c>
      <c r="AP789" s="8">
        <f t="shared" si="37"/>
        <v>247.55857500000002</v>
      </c>
      <c r="AQ789" s="9">
        <f t="shared" si="38"/>
        <v>360.95421750000003</v>
      </c>
    </row>
    <row r="790" spans="1:43" x14ac:dyDescent="0.25">
      <c r="A790">
        <v>15</v>
      </c>
      <c r="B790">
        <v>4</v>
      </c>
      <c r="C790">
        <v>2024</v>
      </c>
      <c r="D790" t="s">
        <v>43</v>
      </c>
      <c r="E790" t="s">
        <v>63</v>
      </c>
      <c r="F790" t="s">
        <v>64</v>
      </c>
      <c r="G790">
        <v>55</v>
      </c>
      <c r="H790">
        <v>1791882490001</v>
      </c>
      <c r="I790" t="s">
        <v>46</v>
      </c>
      <c r="J790" t="s">
        <v>48</v>
      </c>
      <c r="K790" t="s">
        <v>48</v>
      </c>
      <c r="L790" t="s">
        <v>49</v>
      </c>
      <c r="M790" t="s">
        <v>50</v>
      </c>
      <c r="N790" t="s">
        <v>51</v>
      </c>
      <c r="O790">
        <v>8421999000</v>
      </c>
      <c r="P790" t="s">
        <v>66</v>
      </c>
      <c r="Q790" t="s">
        <v>477</v>
      </c>
      <c r="R790" t="s">
        <v>54</v>
      </c>
      <c r="S790" t="s">
        <v>55</v>
      </c>
      <c r="T790">
        <v>6</v>
      </c>
      <c r="U790">
        <v>1</v>
      </c>
      <c r="V790" t="s">
        <v>135</v>
      </c>
      <c r="W790">
        <v>0</v>
      </c>
      <c r="X790">
        <v>166.5</v>
      </c>
      <c r="Y790">
        <v>17.53</v>
      </c>
      <c r="Z790">
        <v>1.1200000000000001</v>
      </c>
      <c r="AA790">
        <v>185.15</v>
      </c>
      <c r="AB790" t="s">
        <v>57</v>
      </c>
      <c r="AC790" t="s">
        <v>58</v>
      </c>
      <c r="AD790" t="s">
        <v>48</v>
      </c>
      <c r="AE790">
        <v>0</v>
      </c>
      <c r="AF790">
        <v>1.6</v>
      </c>
      <c r="AG790" t="s">
        <v>59</v>
      </c>
      <c r="AH790">
        <v>443965</v>
      </c>
      <c r="AI790" t="s">
        <v>60</v>
      </c>
      <c r="AJ790" t="s">
        <v>60</v>
      </c>
      <c r="AK790" t="s">
        <v>54</v>
      </c>
      <c r="AL790">
        <v>2024</v>
      </c>
      <c r="AM790" s="6" t="s">
        <v>898</v>
      </c>
      <c r="AN790" s="7">
        <v>166.5</v>
      </c>
      <c r="AO790" s="8">
        <f t="shared" si="36"/>
        <v>312.1875</v>
      </c>
      <c r="AP790" s="8">
        <f t="shared" si="37"/>
        <v>346.84031249999998</v>
      </c>
      <c r="AQ790" s="9">
        <f t="shared" si="38"/>
        <v>505.71253124999998</v>
      </c>
    </row>
    <row r="791" spans="1:43" x14ac:dyDescent="0.25">
      <c r="A791">
        <v>17</v>
      </c>
      <c r="B791">
        <v>5</v>
      </c>
      <c r="C791">
        <v>2024</v>
      </c>
      <c r="D791" t="s">
        <v>43</v>
      </c>
      <c r="E791" t="s">
        <v>79</v>
      </c>
      <c r="F791" t="s">
        <v>80</v>
      </c>
      <c r="G791">
        <v>49</v>
      </c>
      <c r="H791">
        <v>1791882490001</v>
      </c>
      <c r="I791" t="s">
        <v>46</v>
      </c>
      <c r="J791" t="s">
        <v>48</v>
      </c>
      <c r="K791" t="s">
        <v>48</v>
      </c>
      <c r="L791" t="s">
        <v>49</v>
      </c>
      <c r="M791" t="s">
        <v>50</v>
      </c>
      <c r="N791" t="s">
        <v>51</v>
      </c>
      <c r="O791">
        <v>8421999000</v>
      </c>
      <c r="P791" t="s">
        <v>66</v>
      </c>
      <c r="Q791" t="s">
        <v>899</v>
      </c>
      <c r="R791" t="s">
        <v>54</v>
      </c>
      <c r="S791" t="s">
        <v>55</v>
      </c>
      <c r="T791">
        <v>6</v>
      </c>
      <c r="U791">
        <v>1</v>
      </c>
      <c r="V791" t="s">
        <v>135</v>
      </c>
      <c r="W791">
        <v>0</v>
      </c>
      <c r="X791">
        <v>166.64</v>
      </c>
      <c r="Y791">
        <v>16.09</v>
      </c>
      <c r="Z791">
        <v>1.1100000000000001</v>
      </c>
      <c r="AA791">
        <v>183.84</v>
      </c>
      <c r="AB791" t="s">
        <v>57</v>
      </c>
      <c r="AC791" t="s">
        <v>81</v>
      </c>
      <c r="AD791" t="s">
        <v>48</v>
      </c>
      <c r="AE791">
        <v>0</v>
      </c>
      <c r="AF791">
        <v>1.08</v>
      </c>
      <c r="AG791" t="s">
        <v>82</v>
      </c>
      <c r="AH791">
        <v>471463</v>
      </c>
      <c r="AI791" t="s">
        <v>60</v>
      </c>
      <c r="AJ791" t="s">
        <v>60</v>
      </c>
      <c r="AK791" t="s">
        <v>54</v>
      </c>
      <c r="AL791">
        <v>2024</v>
      </c>
      <c r="AM791" s="6" t="s">
        <v>898</v>
      </c>
      <c r="AN791" s="7">
        <v>166.64</v>
      </c>
      <c r="AO791" s="8">
        <f t="shared" si="36"/>
        <v>312.45</v>
      </c>
      <c r="AP791" s="8">
        <f t="shared" si="37"/>
        <v>347.13194999999996</v>
      </c>
      <c r="AQ791" s="9">
        <f t="shared" si="38"/>
        <v>506.13775499999997</v>
      </c>
    </row>
    <row r="792" spans="1:43" x14ac:dyDescent="0.25">
      <c r="A792">
        <v>8</v>
      </c>
      <c r="B792">
        <v>7</v>
      </c>
      <c r="C792">
        <v>2024</v>
      </c>
      <c r="D792" t="s">
        <v>43</v>
      </c>
      <c r="E792" t="s">
        <v>75</v>
      </c>
      <c r="F792" t="s">
        <v>76</v>
      </c>
      <c r="G792">
        <v>65</v>
      </c>
      <c r="H792">
        <v>1791882490001</v>
      </c>
      <c r="I792" t="s">
        <v>46</v>
      </c>
      <c r="J792" t="s">
        <v>65</v>
      </c>
      <c r="K792" t="s">
        <v>48</v>
      </c>
      <c r="L792" t="s">
        <v>49</v>
      </c>
      <c r="M792" t="s">
        <v>50</v>
      </c>
      <c r="N792" t="s">
        <v>51</v>
      </c>
      <c r="O792">
        <v>8421999000</v>
      </c>
      <c r="P792" t="s">
        <v>66</v>
      </c>
      <c r="Q792" t="s">
        <v>477</v>
      </c>
      <c r="R792" t="s">
        <v>54</v>
      </c>
      <c r="S792" t="s">
        <v>55</v>
      </c>
      <c r="T792">
        <v>8</v>
      </c>
      <c r="U792">
        <v>1</v>
      </c>
      <c r="V792" t="s">
        <v>135</v>
      </c>
      <c r="W792">
        <v>0</v>
      </c>
      <c r="X792">
        <v>197.52</v>
      </c>
      <c r="Y792">
        <v>16.88</v>
      </c>
      <c r="Z792">
        <v>1.28</v>
      </c>
      <c r="AA792">
        <v>215.68</v>
      </c>
      <c r="AB792" t="s">
        <v>57</v>
      </c>
      <c r="AC792" t="s">
        <v>77</v>
      </c>
      <c r="AD792" t="s">
        <v>48</v>
      </c>
      <c r="AE792">
        <v>0</v>
      </c>
      <c r="AF792">
        <v>1.31</v>
      </c>
      <c r="AG792" t="s">
        <v>59</v>
      </c>
      <c r="AH792">
        <v>107711</v>
      </c>
      <c r="AI792" t="s">
        <v>60</v>
      </c>
      <c r="AJ792" t="s">
        <v>78</v>
      </c>
      <c r="AK792" t="s">
        <v>54</v>
      </c>
      <c r="AL792">
        <v>2024</v>
      </c>
      <c r="AM792" s="6" t="s">
        <v>900</v>
      </c>
      <c r="AN792" s="7">
        <v>197.52</v>
      </c>
      <c r="AO792" s="8">
        <f t="shared" si="36"/>
        <v>370.35</v>
      </c>
      <c r="AP792" s="8">
        <f t="shared" si="37"/>
        <v>411.45885000000004</v>
      </c>
      <c r="AQ792" s="9">
        <f t="shared" si="38"/>
        <v>599.92996500000004</v>
      </c>
    </row>
    <row r="793" spans="1:43" x14ac:dyDescent="0.25">
      <c r="A793">
        <v>8</v>
      </c>
      <c r="B793">
        <v>7</v>
      </c>
      <c r="C793">
        <v>2024</v>
      </c>
      <c r="D793" t="s">
        <v>43</v>
      </c>
      <c r="E793" t="s">
        <v>75</v>
      </c>
      <c r="F793" t="s">
        <v>76</v>
      </c>
      <c r="G793">
        <v>65</v>
      </c>
      <c r="H793">
        <v>1791882490001</v>
      </c>
      <c r="I793" t="s">
        <v>46</v>
      </c>
      <c r="J793" t="s">
        <v>65</v>
      </c>
      <c r="K793" t="s">
        <v>48</v>
      </c>
      <c r="L793" t="s">
        <v>49</v>
      </c>
      <c r="M793" t="s">
        <v>50</v>
      </c>
      <c r="N793" t="s">
        <v>51</v>
      </c>
      <c r="O793">
        <v>8421999000</v>
      </c>
      <c r="P793" t="s">
        <v>66</v>
      </c>
      <c r="Q793" t="s">
        <v>477</v>
      </c>
      <c r="R793" t="s">
        <v>54</v>
      </c>
      <c r="S793" t="s">
        <v>55</v>
      </c>
      <c r="T793">
        <v>8</v>
      </c>
      <c r="U793">
        <v>1</v>
      </c>
      <c r="V793" t="s">
        <v>135</v>
      </c>
      <c r="W793">
        <v>0</v>
      </c>
      <c r="X793">
        <v>197.52</v>
      </c>
      <c r="Y793">
        <v>16.88</v>
      </c>
      <c r="Z793">
        <v>1.28</v>
      </c>
      <c r="AA793">
        <v>215.68</v>
      </c>
      <c r="AB793" t="s">
        <v>57</v>
      </c>
      <c r="AC793" t="s">
        <v>77</v>
      </c>
      <c r="AD793" t="s">
        <v>48</v>
      </c>
      <c r="AE793">
        <v>0</v>
      </c>
      <c r="AF793">
        <v>1.31</v>
      </c>
      <c r="AG793" t="s">
        <v>59</v>
      </c>
      <c r="AH793">
        <v>107711</v>
      </c>
      <c r="AI793" t="s">
        <v>60</v>
      </c>
      <c r="AJ793" t="s">
        <v>78</v>
      </c>
      <c r="AK793" t="s">
        <v>54</v>
      </c>
      <c r="AL793">
        <v>2024</v>
      </c>
      <c r="AM793" s="6" t="s">
        <v>900</v>
      </c>
      <c r="AN793" s="7">
        <v>197.52</v>
      </c>
      <c r="AO793" s="8">
        <f t="shared" si="36"/>
        <v>370.35</v>
      </c>
      <c r="AP793" s="8">
        <f t="shared" si="37"/>
        <v>411.45885000000004</v>
      </c>
      <c r="AQ793" s="9">
        <f t="shared" si="38"/>
        <v>599.92996500000004</v>
      </c>
    </row>
    <row r="794" spans="1:43" x14ac:dyDescent="0.25">
      <c r="A794">
        <v>19</v>
      </c>
      <c r="B794">
        <v>8</v>
      </c>
      <c r="C794">
        <v>2024</v>
      </c>
      <c r="D794" t="s">
        <v>43</v>
      </c>
      <c r="E794" t="s">
        <v>84</v>
      </c>
      <c r="F794" t="s">
        <v>85</v>
      </c>
      <c r="G794">
        <v>47</v>
      </c>
      <c r="H794">
        <v>1791882490001</v>
      </c>
      <c r="I794" t="s">
        <v>46</v>
      </c>
      <c r="J794" t="s">
        <v>259</v>
      </c>
      <c r="K794" t="s">
        <v>48</v>
      </c>
      <c r="L794" t="s">
        <v>49</v>
      </c>
      <c r="M794" t="s">
        <v>50</v>
      </c>
      <c r="N794" t="s">
        <v>51</v>
      </c>
      <c r="O794">
        <v>8421999000</v>
      </c>
      <c r="P794" t="s">
        <v>66</v>
      </c>
      <c r="Q794" t="s">
        <v>901</v>
      </c>
      <c r="R794" t="s">
        <v>54</v>
      </c>
      <c r="S794" t="s">
        <v>55</v>
      </c>
      <c r="T794">
        <v>6</v>
      </c>
      <c r="U794">
        <v>2</v>
      </c>
      <c r="V794" t="s">
        <v>135</v>
      </c>
      <c r="W794">
        <v>0</v>
      </c>
      <c r="X794">
        <v>676.3</v>
      </c>
      <c r="Y794">
        <v>87.26</v>
      </c>
      <c r="Z794">
        <v>4.63</v>
      </c>
      <c r="AA794">
        <v>768.19</v>
      </c>
      <c r="AB794" t="s">
        <v>57</v>
      </c>
      <c r="AC794" t="s">
        <v>58</v>
      </c>
      <c r="AD794" t="s">
        <v>48</v>
      </c>
      <c r="AE794">
        <v>0</v>
      </c>
      <c r="AF794">
        <v>2.79</v>
      </c>
      <c r="AG794" t="s">
        <v>59</v>
      </c>
      <c r="AH794">
        <v>144527</v>
      </c>
      <c r="AI794" t="s">
        <v>60</v>
      </c>
      <c r="AJ794" t="s">
        <v>60</v>
      </c>
      <c r="AK794" t="s">
        <v>54</v>
      </c>
      <c r="AL794">
        <v>2024</v>
      </c>
      <c r="AM794" s="6" t="s">
        <v>902</v>
      </c>
      <c r="AN794" s="7">
        <v>338.15</v>
      </c>
      <c r="AO794" s="8">
        <f t="shared" ref="AO794:AO857" si="39">SUM(AN794)*1.875</f>
        <v>634.03125</v>
      </c>
      <c r="AP794" s="8">
        <f t="shared" ref="AP794:AP857" si="40">SUM(AO794)*1.111</f>
        <v>704.40871875000005</v>
      </c>
      <c r="AQ794" s="9">
        <f t="shared" si="38"/>
        <v>1027.0672218749999</v>
      </c>
    </row>
    <row r="795" spans="1:43" x14ac:dyDescent="0.25">
      <c r="A795">
        <v>19</v>
      </c>
      <c r="B795">
        <v>8</v>
      </c>
      <c r="C795">
        <v>2024</v>
      </c>
      <c r="D795" t="s">
        <v>43</v>
      </c>
      <c r="E795" t="s">
        <v>84</v>
      </c>
      <c r="F795" t="s">
        <v>85</v>
      </c>
      <c r="G795">
        <v>48</v>
      </c>
      <c r="H795">
        <v>1791882490001</v>
      </c>
      <c r="I795" t="s">
        <v>46</v>
      </c>
      <c r="J795" t="s">
        <v>259</v>
      </c>
      <c r="K795" t="s">
        <v>48</v>
      </c>
      <c r="L795" t="s">
        <v>49</v>
      </c>
      <c r="M795" t="s">
        <v>50</v>
      </c>
      <c r="N795" t="s">
        <v>51</v>
      </c>
      <c r="O795">
        <v>8421999000</v>
      </c>
      <c r="P795" t="s">
        <v>66</v>
      </c>
      <c r="Q795" t="s">
        <v>903</v>
      </c>
      <c r="R795" t="s">
        <v>54</v>
      </c>
      <c r="S795" t="s">
        <v>55</v>
      </c>
      <c r="T795">
        <v>6</v>
      </c>
      <c r="U795">
        <v>1</v>
      </c>
      <c r="V795" t="s">
        <v>135</v>
      </c>
      <c r="W795">
        <v>0</v>
      </c>
      <c r="X795">
        <v>148.35</v>
      </c>
      <c r="Y795">
        <v>19.14</v>
      </c>
      <c r="Z795">
        <v>1.01</v>
      </c>
      <c r="AA795">
        <v>168.51</v>
      </c>
      <c r="AB795" t="s">
        <v>57</v>
      </c>
      <c r="AC795" t="s">
        <v>58</v>
      </c>
      <c r="AD795" t="s">
        <v>48</v>
      </c>
      <c r="AE795">
        <v>0</v>
      </c>
      <c r="AF795">
        <v>1.39</v>
      </c>
      <c r="AG795" t="s">
        <v>59</v>
      </c>
      <c r="AH795">
        <v>144527</v>
      </c>
      <c r="AI795" t="s">
        <v>60</v>
      </c>
      <c r="AJ795" t="s">
        <v>60</v>
      </c>
      <c r="AK795" t="s">
        <v>54</v>
      </c>
      <c r="AL795">
        <v>2024</v>
      </c>
      <c r="AM795" s="6" t="s">
        <v>904</v>
      </c>
      <c r="AN795" s="7">
        <v>148.35</v>
      </c>
      <c r="AO795" s="8">
        <f t="shared" si="39"/>
        <v>278.15625</v>
      </c>
      <c r="AP795" s="8">
        <f t="shared" si="40"/>
        <v>309.03159375000001</v>
      </c>
      <c r="AQ795" s="9">
        <f t="shared" si="38"/>
        <v>450.58530937499995</v>
      </c>
    </row>
    <row r="796" spans="1:43" x14ac:dyDescent="0.25">
      <c r="A796">
        <v>2</v>
      </c>
      <c r="B796">
        <v>1</v>
      </c>
      <c r="C796">
        <v>2024</v>
      </c>
      <c r="D796" t="s">
        <v>43</v>
      </c>
      <c r="E796" t="s">
        <v>181</v>
      </c>
      <c r="F796" t="s">
        <v>182</v>
      </c>
      <c r="G796">
        <v>35</v>
      </c>
      <c r="H796">
        <v>1791882490001</v>
      </c>
      <c r="I796" t="s">
        <v>46</v>
      </c>
      <c r="J796" t="s">
        <v>259</v>
      </c>
      <c r="K796" t="s">
        <v>48</v>
      </c>
      <c r="L796" t="s">
        <v>49</v>
      </c>
      <c r="M796" t="s">
        <v>50</v>
      </c>
      <c r="N796" t="s">
        <v>51</v>
      </c>
      <c r="O796">
        <v>8421999000</v>
      </c>
      <c r="P796" t="s">
        <v>52</v>
      </c>
      <c r="Q796" t="s">
        <v>477</v>
      </c>
      <c r="R796" t="s">
        <v>54</v>
      </c>
      <c r="S796" t="s">
        <v>55</v>
      </c>
      <c r="T796">
        <v>8</v>
      </c>
      <c r="U796">
        <v>3</v>
      </c>
      <c r="V796" t="s">
        <v>135</v>
      </c>
      <c r="W796">
        <v>0</v>
      </c>
      <c r="X796">
        <v>121.42</v>
      </c>
      <c r="Y796">
        <v>24.67</v>
      </c>
      <c r="Z796">
        <v>0.78</v>
      </c>
      <c r="AA796">
        <v>146.87</v>
      </c>
      <c r="AB796" t="s">
        <v>57</v>
      </c>
      <c r="AC796" t="s">
        <v>81</v>
      </c>
      <c r="AD796" t="s">
        <v>48</v>
      </c>
      <c r="AE796">
        <v>0</v>
      </c>
      <c r="AF796">
        <v>9.7200000000000006</v>
      </c>
      <c r="AG796" t="s">
        <v>59</v>
      </c>
      <c r="AH796">
        <v>413505</v>
      </c>
      <c r="AI796" t="s">
        <v>60</v>
      </c>
      <c r="AJ796" t="s">
        <v>60</v>
      </c>
      <c r="AK796" t="s">
        <v>54</v>
      </c>
      <c r="AL796">
        <v>2023</v>
      </c>
      <c r="AM796" s="6" t="s">
        <v>905</v>
      </c>
      <c r="AN796" s="7">
        <v>40.47</v>
      </c>
      <c r="AO796" s="8">
        <f t="shared" si="39"/>
        <v>75.881249999999994</v>
      </c>
      <c r="AP796" s="8">
        <f t="shared" si="40"/>
        <v>84.304068749999999</v>
      </c>
      <c r="AQ796" s="9">
        <f t="shared" si="38"/>
        <v>122.92003687499998</v>
      </c>
    </row>
    <row r="797" spans="1:43" x14ac:dyDescent="0.25">
      <c r="A797">
        <v>3</v>
      </c>
      <c r="B797">
        <v>4</v>
      </c>
      <c r="C797">
        <v>2024</v>
      </c>
      <c r="D797" t="s">
        <v>43</v>
      </c>
      <c r="E797" t="s">
        <v>73</v>
      </c>
      <c r="F797" t="s">
        <v>74</v>
      </c>
      <c r="G797">
        <v>44</v>
      </c>
      <c r="H797">
        <v>1791882490001</v>
      </c>
      <c r="I797" t="s">
        <v>46</v>
      </c>
      <c r="J797" t="s">
        <v>48</v>
      </c>
      <c r="K797" t="s">
        <v>48</v>
      </c>
      <c r="L797" t="s">
        <v>49</v>
      </c>
      <c r="M797" t="s">
        <v>50</v>
      </c>
      <c r="N797" t="s">
        <v>51</v>
      </c>
      <c r="O797">
        <v>8421999000</v>
      </c>
      <c r="P797" t="s">
        <v>66</v>
      </c>
      <c r="Q797" t="s">
        <v>477</v>
      </c>
      <c r="R797" t="s">
        <v>54</v>
      </c>
      <c r="S797" t="s">
        <v>55</v>
      </c>
      <c r="T797">
        <v>6</v>
      </c>
      <c r="U797">
        <v>1</v>
      </c>
      <c r="V797" t="s">
        <v>135</v>
      </c>
      <c r="W797">
        <v>0</v>
      </c>
      <c r="X797">
        <v>200.97</v>
      </c>
      <c r="Y797">
        <v>23.47</v>
      </c>
      <c r="Z797">
        <v>1.32</v>
      </c>
      <c r="AA797">
        <v>225.76</v>
      </c>
      <c r="AB797" t="s">
        <v>57</v>
      </c>
      <c r="AC797" t="s">
        <v>58</v>
      </c>
      <c r="AD797" t="s">
        <v>48</v>
      </c>
      <c r="AE797">
        <v>0</v>
      </c>
      <c r="AF797">
        <v>1.33</v>
      </c>
      <c r="AG797" t="s">
        <v>59</v>
      </c>
      <c r="AH797">
        <v>438183</v>
      </c>
      <c r="AI797" t="s">
        <v>60</v>
      </c>
      <c r="AJ797" t="s">
        <v>60</v>
      </c>
      <c r="AK797" t="s">
        <v>54</v>
      </c>
      <c r="AL797">
        <v>2024</v>
      </c>
      <c r="AM797" s="6" t="s">
        <v>906</v>
      </c>
      <c r="AN797" s="7">
        <v>200.97</v>
      </c>
      <c r="AO797" s="8">
        <f t="shared" si="39"/>
        <v>376.81875000000002</v>
      </c>
      <c r="AP797" s="8">
        <f t="shared" si="40"/>
        <v>418.64563125000001</v>
      </c>
      <c r="AQ797" s="9">
        <f t="shared" si="38"/>
        <v>610.40869312500001</v>
      </c>
    </row>
    <row r="798" spans="1:43" x14ac:dyDescent="0.25">
      <c r="A798">
        <v>19</v>
      </c>
      <c r="B798">
        <v>8</v>
      </c>
      <c r="C798">
        <v>2024</v>
      </c>
      <c r="D798" t="s">
        <v>43</v>
      </c>
      <c r="E798" t="s">
        <v>84</v>
      </c>
      <c r="F798" t="s">
        <v>85</v>
      </c>
      <c r="G798">
        <v>49</v>
      </c>
      <c r="H798">
        <v>1791882490001</v>
      </c>
      <c r="I798" t="s">
        <v>46</v>
      </c>
      <c r="J798" t="s">
        <v>259</v>
      </c>
      <c r="K798" t="s">
        <v>48</v>
      </c>
      <c r="L798" t="s">
        <v>49</v>
      </c>
      <c r="M798" t="s">
        <v>50</v>
      </c>
      <c r="N798" t="s">
        <v>51</v>
      </c>
      <c r="O798">
        <v>8421999000</v>
      </c>
      <c r="P798" t="s">
        <v>66</v>
      </c>
      <c r="Q798" t="s">
        <v>907</v>
      </c>
      <c r="R798" t="s">
        <v>54</v>
      </c>
      <c r="S798" t="s">
        <v>55</v>
      </c>
      <c r="T798">
        <v>6</v>
      </c>
      <c r="U798">
        <v>1</v>
      </c>
      <c r="V798" t="s">
        <v>135</v>
      </c>
      <c r="W798">
        <v>0</v>
      </c>
      <c r="X798">
        <v>195.07</v>
      </c>
      <c r="Y798">
        <v>25.17</v>
      </c>
      <c r="Z798">
        <v>1.33</v>
      </c>
      <c r="AA798">
        <v>221.57</v>
      </c>
      <c r="AB798" t="s">
        <v>57</v>
      </c>
      <c r="AC798" t="s">
        <v>58</v>
      </c>
      <c r="AD798" t="s">
        <v>48</v>
      </c>
      <c r="AE798">
        <v>0</v>
      </c>
      <c r="AF798">
        <v>1.39</v>
      </c>
      <c r="AG798" t="s">
        <v>59</v>
      </c>
      <c r="AH798">
        <v>144527</v>
      </c>
      <c r="AI798" t="s">
        <v>60</v>
      </c>
      <c r="AJ798" t="s">
        <v>60</v>
      </c>
      <c r="AK798" t="s">
        <v>54</v>
      </c>
      <c r="AL798">
        <v>2024</v>
      </c>
      <c r="AM798" s="6" t="s">
        <v>906</v>
      </c>
      <c r="AN798" s="7">
        <v>195.07</v>
      </c>
      <c r="AO798" s="8">
        <f t="shared" si="39"/>
        <v>365.75624999999997</v>
      </c>
      <c r="AP798" s="8">
        <f t="shared" si="40"/>
        <v>406.35519374999996</v>
      </c>
      <c r="AQ798" s="9">
        <f t="shared" si="38"/>
        <v>592.48854937499993</v>
      </c>
    </row>
    <row r="799" spans="1:43" x14ac:dyDescent="0.25">
      <c r="A799">
        <v>28</v>
      </c>
      <c r="B799">
        <v>8</v>
      </c>
      <c r="C799">
        <v>2024</v>
      </c>
      <c r="D799" t="s">
        <v>43</v>
      </c>
      <c r="E799" t="s">
        <v>91</v>
      </c>
      <c r="F799" t="s">
        <v>92</v>
      </c>
      <c r="G799">
        <v>41</v>
      </c>
      <c r="H799">
        <v>1791882490001</v>
      </c>
      <c r="I799" t="s">
        <v>46</v>
      </c>
      <c r="J799" t="s">
        <v>259</v>
      </c>
      <c r="K799" t="s">
        <v>48</v>
      </c>
      <c r="L799" t="s">
        <v>49</v>
      </c>
      <c r="M799" t="s">
        <v>50</v>
      </c>
      <c r="N799" t="s">
        <v>51</v>
      </c>
      <c r="O799">
        <v>8421999000</v>
      </c>
      <c r="P799" t="s">
        <v>66</v>
      </c>
      <c r="Q799" t="s">
        <v>907</v>
      </c>
      <c r="R799" t="s">
        <v>54</v>
      </c>
      <c r="S799" t="s">
        <v>55</v>
      </c>
      <c r="T799">
        <v>8</v>
      </c>
      <c r="U799">
        <v>1</v>
      </c>
      <c r="V799" t="s">
        <v>135</v>
      </c>
      <c r="W799">
        <v>0</v>
      </c>
      <c r="X799">
        <v>194.64</v>
      </c>
      <c r="Y799">
        <v>21.51</v>
      </c>
      <c r="Z799">
        <v>1.31</v>
      </c>
      <c r="AA799">
        <v>217.46</v>
      </c>
      <c r="AB799" t="s">
        <v>57</v>
      </c>
      <c r="AC799" t="s">
        <v>94</v>
      </c>
      <c r="AD799" t="s">
        <v>48</v>
      </c>
      <c r="AE799">
        <v>0</v>
      </c>
      <c r="AF799">
        <v>2.2400000000000002</v>
      </c>
      <c r="AG799" t="s">
        <v>59</v>
      </c>
      <c r="AH799">
        <v>150511</v>
      </c>
      <c r="AI799" t="s">
        <v>60</v>
      </c>
      <c r="AJ799" t="s">
        <v>60</v>
      </c>
      <c r="AK799" t="s">
        <v>54</v>
      </c>
      <c r="AL799">
        <v>2024</v>
      </c>
      <c r="AM799" s="6" t="s">
        <v>906</v>
      </c>
      <c r="AN799" s="7">
        <v>194.64</v>
      </c>
      <c r="AO799" s="8">
        <f t="shared" si="39"/>
        <v>364.95</v>
      </c>
      <c r="AP799" s="8">
        <f t="shared" si="40"/>
        <v>405.45945</v>
      </c>
      <c r="AQ799" s="9">
        <f t="shared" si="38"/>
        <v>591.18250499999999</v>
      </c>
    </row>
    <row r="800" spans="1:43" x14ac:dyDescent="0.25">
      <c r="A800">
        <v>19</v>
      </c>
      <c r="B800">
        <v>8</v>
      </c>
      <c r="C800">
        <v>2024</v>
      </c>
      <c r="D800" t="s">
        <v>43</v>
      </c>
      <c r="E800" t="s">
        <v>84</v>
      </c>
      <c r="F800" t="s">
        <v>85</v>
      </c>
      <c r="G800">
        <v>50</v>
      </c>
      <c r="H800">
        <v>1791882490001</v>
      </c>
      <c r="I800" t="s">
        <v>46</v>
      </c>
      <c r="J800" t="s">
        <v>259</v>
      </c>
      <c r="K800" t="s">
        <v>48</v>
      </c>
      <c r="L800" t="s">
        <v>49</v>
      </c>
      <c r="M800" t="s">
        <v>50</v>
      </c>
      <c r="N800" t="s">
        <v>51</v>
      </c>
      <c r="O800">
        <v>8421999000</v>
      </c>
      <c r="P800" t="s">
        <v>66</v>
      </c>
      <c r="Q800" t="s">
        <v>908</v>
      </c>
      <c r="R800" t="s">
        <v>54</v>
      </c>
      <c r="S800" t="s">
        <v>55</v>
      </c>
      <c r="T800">
        <v>6</v>
      </c>
      <c r="U800">
        <v>1</v>
      </c>
      <c r="V800" t="s">
        <v>135</v>
      </c>
      <c r="W800">
        <v>0</v>
      </c>
      <c r="X800">
        <v>322.73</v>
      </c>
      <c r="Y800">
        <v>41.64</v>
      </c>
      <c r="Z800">
        <v>2.21</v>
      </c>
      <c r="AA800">
        <v>366.58</v>
      </c>
      <c r="AB800" t="s">
        <v>57</v>
      </c>
      <c r="AC800" t="s">
        <v>58</v>
      </c>
      <c r="AD800" t="s">
        <v>48</v>
      </c>
      <c r="AE800">
        <v>0</v>
      </c>
      <c r="AF800">
        <v>1.39</v>
      </c>
      <c r="AG800" t="s">
        <v>59</v>
      </c>
      <c r="AH800">
        <v>144527</v>
      </c>
      <c r="AI800" t="s">
        <v>60</v>
      </c>
      <c r="AJ800" t="s">
        <v>60</v>
      </c>
      <c r="AK800" t="s">
        <v>54</v>
      </c>
      <c r="AL800">
        <v>2024</v>
      </c>
      <c r="AM800" s="6" t="s">
        <v>909</v>
      </c>
      <c r="AN800" s="7">
        <v>322.73</v>
      </c>
      <c r="AO800" s="8">
        <f t="shared" si="39"/>
        <v>605.11875000000009</v>
      </c>
      <c r="AP800" s="8">
        <f t="shared" si="40"/>
        <v>672.28693125000007</v>
      </c>
      <c r="AQ800" s="9">
        <f t="shared" si="38"/>
        <v>980.23186312500013</v>
      </c>
    </row>
    <row r="801" spans="1:43" x14ac:dyDescent="0.25">
      <c r="A801">
        <v>1</v>
      </c>
      <c r="B801">
        <v>2</v>
      </c>
      <c r="C801">
        <v>2024</v>
      </c>
      <c r="D801" t="s">
        <v>43</v>
      </c>
      <c r="E801" t="s">
        <v>174</v>
      </c>
      <c r="F801" t="s">
        <v>175</v>
      </c>
      <c r="G801">
        <v>33</v>
      </c>
      <c r="H801">
        <v>1791882490001</v>
      </c>
      <c r="I801" t="s">
        <v>46</v>
      </c>
      <c r="J801" t="s">
        <v>133</v>
      </c>
      <c r="K801" t="s">
        <v>48</v>
      </c>
      <c r="L801" t="s">
        <v>49</v>
      </c>
      <c r="M801" t="s">
        <v>50</v>
      </c>
      <c r="N801" t="s">
        <v>51</v>
      </c>
      <c r="O801">
        <v>8421999000</v>
      </c>
      <c r="P801" t="s">
        <v>66</v>
      </c>
      <c r="Q801" t="s">
        <v>585</v>
      </c>
      <c r="R801" t="s">
        <v>54</v>
      </c>
      <c r="S801" t="s">
        <v>55</v>
      </c>
      <c r="T801">
        <v>5</v>
      </c>
      <c r="U801">
        <v>2</v>
      </c>
      <c r="V801" t="s">
        <v>135</v>
      </c>
      <c r="W801">
        <v>0</v>
      </c>
      <c r="X801">
        <v>146.04</v>
      </c>
      <c r="Y801">
        <v>10.86</v>
      </c>
      <c r="Z801">
        <v>0.87</v>
      </c>
      <c r="AA801">
        <v>157.77000000000001</v>
      </c>
      <c r="AB801" t="s">
        <v>54</v>
      </c>
      <c r="AC801" t="s">
        <v>94</v>
      </c>
      <c r="AD801" t="s">
        <v>48</v>
      </c>
      <c r="AE801">
        <v>0</v>
      </c>
      <c r="AF801">
        <v>3.97</v>
      </c>
      <c r="AG801" t="s">
        <v>59</v>
      </c>
      <c r="AH801">
        <v>863266</v>
      </c>
      <c r="AI801" t="s">
        <v>60</v>
      </c>
      <c r="AJ801" t="s">
        <v>60</v>
      </c>
      <c r="AK801" t="s">
        <v>54</v>
      </c>
      <c r="AL801">
        <v>2023</v>
      </c>
      <c r="AM801" s="6" t="s">
        <v>910</v>
      </c>
      <c r="AN801" s="7">
        <v>73.02</v>
      </c>
      <c r="AO801" s="8">
        <f t="shared" si="39"/>
        <v>136.91249999999999</v>
      </c>
      <c r="AP801" s="8">
        <f t="shared" si="40"/>
        <v>152.10978749999998</v>
      </c>
      <c r="AQ801" s="9">
        <f t="shared" si="38"/>
        <v>221.78455874999997</v>
      </c>
    </row>
    <row r="802" spans="1:43" x14ac:dyDescent="0.25">
      <c r="A802">
        <v>20</v>
      </c>
      <c r="B802">
        <v>2</v>
      </c>
      <c r="C802">
        <v>2024</v>
      </c>
      <c r="D802" t="s">
        <v>43</v>
      </c>
      <c r="E802" t="s">
        <v>140</v>
      </c>
      <c r="F802" t="s">
        <v>141</v>
      </c>
      <c r="G802">
        <v>53</v>
      </c>
      <c r="H802">
        <v>1791882490001</v>
      </c>
      <c r="I802" t="s">
        <v>46</v>
      </c>
      <c r="J802" t="s">
        <v>133</v>
      </c>
      <c r="K802" t="s">
        <v>48</v>
      </c>
      <c r="L802" t="s">
        <v>49</v>
      </c>
      <c r="M802" t="s">
        <v>50</v>
      </c>
      <c r="N802" t="s">
        <v>51</v>
      </c>
      <c r="O802">
        <v>8421999000</v>
      </c>
      <c r="P802" t="s">
        <v>66</v>
      </c>
      <c r="Q802" t="s">
        <v>585</v>
      </c>
      <c r="R802" t="s">
        <v>54</v>
      </c>
      <c r="S802" t="s">
        <v>55</v>
      </c>
      <c r="T802">
        <v>6</v>
      </c>
      <c r="U802">
        <v>4</v>
      </c>
      <c r="V802" t="s">
        <v>135</v>
      </c>
      <c r="W802">
        <v>0</v>
      </c>
      <c r="X802">
        <v>370.04</v>
      </c>
      <c r="Y802">
        <v>33.21</v>
      </c>
      <c r="Z802">
        <v>2.4900000000000002</v>
      </c>
      <c r="AA802">
        <v>405.73</v>
      </c>
      <c r="AB802" t="s">
        <v>54</v>
      </c>
      <c r="AC802" t="s">
        <v>143</v>
      </c>
      <c r="AD802" t="s">
        <v>48</v>
      </c>
      <c r="AE802">
        <v>0</v>
      </c>
      <c r="AF802">
        <v>7.49</v>
      </c>
      <c r="AG802" t="s">
        <v>59</v>
      </c>
      <c r="AH802">
        <v>876053</v>
      </c>
      <c r="AI802" t="s">
        <v>60</v>
      </c>
      <c r="AJ802" t="s">
        <v>60</v>
      </c>
      <c r="AK802" t="s">
        <v>54</v>
      </c>
      <c r="AL802">
        <v>2024</v>
      </c>
      <c r="AM802" s="6" t="s">
        <v>911</v>
      </c>
      <c r="AN802" s="7">
        <v>92.51</v>
      </c>
      <c r="AO802" s="8">
        <f t="shared" si="39"/>
        <v>173.45625000000001</v>
      </c>
      <c r="AP802" s="8">
        <f t="shared" si="40"/>
        <v>192.70989375000002</v>
      </c>
      <c r="AQ802" s="9">
        <f t="shared" si="38"/>
        <v>280.98177937499997</v>
      </c>
    </row>
    <row r="803" spans="1:43" x14ac:dyDescent="0.25">
      <c r="A803">
        <v>3</v>
      </c>
      <c r="B803">
        <v>4</v>
      </c>
      <c r="C803">
        <v>2024</v>
      </c>
      <c r="D803" t="s">
        <v>43</v>
      </c>
      <c r="E803" t="s">
        <v>73</v>
      </c>
      <c r="F803" t="s">
        <v>74</v>
      </c>
      <c r="G803">
        <v>45</v>
      </c>
      <c r="H803">
        <v>1791882490001</v>
      </c>
      <c r="I803" t="s">
        <v>46</v>
      </c>
      <c r="J803" t="s">
        <v>133</v>
      </c>
      <c r="K803" t="s">
        <v>48</v>
      </c>
      <c r="L803" t="s">
        <v>49</v>
      </c>
      <c r="M803" t="s">
        <v>50</v>
      </c>
      <c r="N803" t="s">
        <v>51</v>
      </c>
      <c r="O803">
        <v>8421999000</v>
      </c>
      <c r="P803" t="s">
        <v>66</v>
      </c>
      <c r="Q803" t="s">
        <v>585</v>
      </c>
      <c r="R803" t="s">
        <v>54</v>
      </c>
      <c r="S803" t="s">
        <v>55</v>
      </c>
      <c r="T803">
        <v>6</v>
      </c>
      <c r="U803">
        <v>3</v>
      </c>
      <c r="V803" t="s">
        <v>135</v>
      </c>
      <c r="W803">
        <v>0</v>
      </c>
      <c r="X803">
        <v>292.18</v>
      </c>
      <c r="Y803">
        <v>34.130000000000003</v>
      </c>
      <c r="Z803">
        <v>1.91</v>
      </c>
      <c r="AA803">
        <v>328.22</v>
      </c>
      <c r="AB803" t="s">
        <v>57</v>
      </c>
      <c r="AC803" t="s">
        <v>58</v>
      </c>
      <c r="AD803" t="s">
        <v>48</v>
      </c>
      <c r="AE803">
        <v>0</v>
      </c>
      <c r="AF803">
        <v>4</v>
      </c>
      <c r="AG803" t="s">
        <v>59</v>
      </c>
      <c r="AH803">
        <v>438183</v>
      </c>
      <c r="AI803" t="s">
        <v>60</v>
      </c>
      <c r="AJ803" t="s">
        <v>60</v>
      </c>
      <c r="AK803" t="s">
        <v>54</v>
      </c>
      <c r="AL803">
        <v>2024</v>
      </c>
      <c r="AM803" s="6" t="s">
        <v>911</v>
      </c>
      <c r="AN803" s="7">
        <v>97.39</v>
      </c>
      <c r="AO803" s="8">
        <f t="shared" si="39"/>
        <v>182.60624999999999</v>
      </c>
      <c r="AP803" s="8">
        <f t="shared" si="40"/>
        <v>202.87554374999999</v>
      </c>
      <c r="AQ803" s="9">
        <f t="shared" si="38"/>
        <v>295.80386437499999</v>
      </c>
    </row>
    <row r="804" spans="1:43" x14ac:dyDescent="0.25">
      <c r="A804">
        <v>15</v>
      </c>
      <c r="B804">
        <v>4</v>
      </c>
      <c r="C804">
        <v>2024</v>
      </c>
      <c r="D804" t="s">
        <v>43</v>
      </c>
      <c r="E804" t="s">
        <v>63</v>
      </c>
      <c r="F804" t="s">
        <v>64</v>
      </c>
      <c r="G804">
        <v>56</v>
      </c>
      <c r="H804">
        <v>1791882490001</v>
      </c>
      <c r="I804" t="s">
        <v>46</v>
      </c>
      <c r="J804" t="s">
        <v>133</v>
      </c>
      <c r="K804" t="s">
        <v>48</v>
      </c>
      <c r="L804" t="s">
        <v>49</v>
      </c>
      <c r="M804" t="s">
        <v>50</v>
      </c>
      <c r="N804" t="s">
        <v>51</v>
      </c>
      <c r="O804">
        <v>8421999000</v>
      </c>
      <c r="P804" t="s">
        <v>66</v>
      </c>
      <c r="Q804" t="s">
        <v>585</v>
      </c>
      <c r="R804" t="s">
        <v>54</v>
      </c>
      <c r="S804" t="s">
        <v>55</v>
      </c>
      <c r="T804">
        <v>6</v>
      </c>
      <c r="U804">
        <v>3</v>
      </c>
      <c r="V804" t="s">
        <v>135</v>
      </c>
      <c r="W804">
        <v>0</v>
      </c>
      <c r="X804">
        <v>283.7</v>
      </c>
      <c r="Y804">
        <v>29.86</v>
      </c>
      <c r="Z804">
        <v>1.9</v>
      </c>
      <c r="AA804">
        <v>315.47000000000003</v>
      </c>
      <c r="AB804" t="s">
        <v>57</v>
      </c>
      <c r="AC804" t="s">
        <v>58</v>
      </c>
      <c r="AD804" t="s">
        <v>48</v>
      </c>
      <c r="AE804">
        <v>0</v>
      </c>
      <c r="AF804">
        <v>2.72</v>
      </c>
      <c r="AG804" t="s">
        <v>59</v>
      </c>
      <c r="AH804">
        <v>443965</v>
      </c>
      <c r="AI804" t="s">
        <v>60</v>
      </c>
      <c r="AJ804" t="s">
        <v>60</v>
      </c>
      <c r="AK804" t="s">
        <v>54</v>
      </c>
      <c r="AL804">
        <v>2024</v>
      </c>
      <c r="AM804" s="6" t="s">
        <v>911</v>
      </c>
      <c r="AN804" s="7">
        <v>94.57</v>
      </c>
      <c r="AO804" s="8">
        <f t="shared" si="39"/>
        <v>177.31874999999999</v>
      </c>
      <c r="AP804" s="8">
        <f t="shared" si="40"/>
        <v>197.00113124999999</v>
      </c>
      <c r="AQ804" s="9">
        <f t="shared" si="38"/>
        <v>287.23864312499995</v>
      </c>
    </row>
    <row r="805" spans="1:43" x14ac:dyDescent="0.25">
      <c r="A805">
        <v>8</v>
      </c>
      <c r="B805">
        <v>7</v>
      </c>
      <c r="C805">
        <v>2024</v>
      </c>
      <c r="D805" t="s">
        <v>43</v>
      </c>
      <c r="E805" t="s">
        <v>75</v>
      </c>
      <c r="F805" t="s">
        <v>76</v>
      </c>
      <c r="G805">
        <v>66</v>
      </c>
      <c r="H805">
        <v>1791882490001</v>
      </c>
      <c r="I805" t="s">
        <v>46</v>
      </c>
      <c r="J805" t="s">
        <v>133</v>
      </c>
      <c r="K805" t="s">
        <v>48</v>
      </c>
      <c r="L805" t="s">
        <v>49</v>
      </c>
      <c r="M805" t="s">
        <v>50</v>
      </c>
      <c r="N805" t="s">
        <v>51</v>
      </c>
      <c r="O805">
        <v>8421999000</v>
      </c>
      <c r="P805" t="s">
        <v>66</v>
      </c>
      <c r="Q805" t="s">
        <v>585</v>
      </c>
      <c r="R805" t="s">
        <v>54</v>
      </c>
      <c r="S805" t="s">
        <v>55</v>
      </c>
      <c r="T805">
        <v>8</v>
      </c>
      <c r="U805">
        <v>4</v>
      </c>
      <c r="V805" t="s">
        <v>135</v>
      </c>
      <c r="W805">
        <v>0</v>
      </c>
      <c r="X805">
        <v>392.69</v>
      </c>
      <c r="Y805">
        <v>33.549999999999997</v>
      </c>
      <c r="Z805">
        <v>2.5499999999999998</v>
      </c>
      <c r="AA805">
        <v>428.79</v>
      </c>
      <c r="AB805" t="s">
        <v>57</v>
      </c>
      <c r="AC805" t="s">
        <v>77</v>
      </c>
      <c r="AD805" t="s">
        <v>48</v>
      </c>
      <c r="AE805">
        <v>0</v>
      </c>
      <c r="AF805">
        <v>2.6</v>
      </c>
      <c r="AG805" t="s">
        <v>59</v>
      </c>
      <c r="AH805">
        <v>107711</v>
      </c>
      <c r="AI805" t="s">
        <v>60</v>
      </c>
      <c r="AJ805" t="s">
        <v>78</v>
      </c>
      <c r="AK805" t="s">
        <v>54</v>
      </c>
      <c r="AL805">
        <v>2024</v>
      </c>
      <c r="AM805" s="6" t="s">
        <v>911</v>
      </c>
      <c r="AN805" s="7">
        <v>98.17</v>
      </c>
      <c r="AO805" s="8">
        <f t="shared" si="39"/>
        <v>184.06874999999999</v>
      </c>
      <c r="AP805" s="8">
        <f t="shared" si="40"/>
        <v>204.50038125</v>
      </c>
      <c r="AQ805" s="9">
        <f t="shared" si="38"/>
        <v>298.17296812499995</v>
      </c>
    </row>
    <row r="806" spans="1:43" x14ac:dyDescent="0.25">
      <c r="A806">
        <v>8</v>
      </c>
      <c r="B806">
        <v>7</v>
      </c>
      <c r="C806">
        <v>2024</v>
      </c>
      <c r="D806" t="s">
        <v>43</v>
      </c>
      <c r="E806" t="s">
        <v>75</v>
      </c>
      <c r="F806" t="s">
        <v>76</v>
      </c>
      <c r="G806">
        <v>66</v>
      </c>
      <c r="H806">
        <v>1791882490001</v>
      </c>
      <c r="I806" t="s">
        <v>46</v>
      </c>
      <c r="J806" t="s">
        <v>133</v>
      </c>
      <c r="K806" t="s">
        <v>48</v>
      </c>
      <c r="L806" t="s">
        <v>49</v>
      </c>
      <c r="M806" t="s">
        <v>50</v>
      </c>
      <c r="N806" t="s">
        <v>51</v>
      </c>
      <c r="O806">
        <v>8421999000</v>
      </c>
      <c r="P806" t="s">
        <v>66</v>
      </c>
      <c r="Q806" t="s">
        <v>585</v>
      </c>
      <c r="R806" t="s">
        <v>54</v>
      </c>
      <c r="S806" t="s">
        <v>55</v>
      </c>
      <c r="T806">
        <v>8</v>
      </c>
      <c r="U806">
        <v>4</v>
      </c>
      <c r="V806" t="s">
        <v>135</v>
      </c>
      <c r="W806">
        <v>0</v>
      </c>
      <c r="X806">
        <v>392.69</v>
      </c>
      <c r="Y806">
        <v>33.549999999999997</v>
      </c>
      <c r="Z806">
        <v>2.5499999999999998</v>
      </c>
      <c r="AA806">
        <v>428.79</v>
      </c>
      <c r="AB806" t="s">
        <v>57</v>
      </c>
      <c r="AC806" t="s">
        <v>77</v>
      </c>
      <c r="AD806" t="s">
        <v>48</v>
      </c>
      <c r="AE806">
        <v>0</v>
      </c>
      <c r="AF806">
        <v>2.6</v>
      </c>
      <c r="AG806" t="s">
        <v>59</v>
      </c>
      <c r="AH806">
        <v>107711</v>
      </c>
      <c r="AI806" t="s">
        <v>60</v>
      </c>
      <c r="AJ806" t="s">
        <v>78</v>
      </c>
      <c r="AK806" t="s">
        <v>54</v>
      </c>
      <c r="AL806">
        <v>2024</v>
      </c>
      <c r="AM806" s="6" t="s">
        <v>911</v>
      </c>
      <c r="AN806" s="7">
        <v>98.17</v>
      </c>
      <c r="AO806" s="8">
        <f t="shared" si="39"/>
        <v>184.06874999999999</v>
      </c>
      <c r="AP806" s="8">
        <f t="shared" si="40"/>
        <v>204.50038125</v>
      </c>
      <c r="AQ806" s="9">
        <f t="shared" si="38"/>
        <v>298.17296812499995</v>
      </c>
    </row>
    <row r="807" spans="1:43" x14ac:dyDescent="0.25">
      <c r="A807">
        <v>1</v>
      </c>
      <c r="B807">
        <v>2</v>
      </c>
      <c r="C807">
        <v>2024</v>
      </c>
      <c r="D807" t="s">
        <v>43</v>
      </c>
      <c r="E807" t="s">
        <v>174</v>
      </c>
      <c r="F807" t="s">
        <v>175</v>
      </c>
      <c r="G807">
        <v>34</v>
      </c>
      <c r="H807">
        <v>1791882490001</v>
      </c>
      <c r="I807" t="s">
        <v>46</v>
      </c>
      <c r="J807" t="s">
        <v>133</v>
      </c>
      <c r="K807" t="s">
        <v>48</v>
      </c>
      <c r="L807" t="s">
        <v>49</v>
      </c>
      <c r="M807" t="s">
        <v>50</v>
      </c>
      <c r="N807" t="s">
        <v>51</v>
      </c>
      <c r="O807">
        <v>8421999000</v>
      </c>
      <c r="P807" t="s">
        <v>66</v>
      </c>
      <c r="Q807" t="s">
        <v>585</v>
      </c>
      <c r="R807" t="s">
        <v>54</v>
      </c>
      <c r="S807" t="s">
        <v>55</v>
      </c>
      <c r="T807">
        <v>5</v>
      </c>
      <c r="U807">
        <v>4</v>
      </c>
      <c r="V807" t="s">
        <v>135</v>
      </c>
      <c r="W807">
        <v>0</v>
      </c>
      <c r="X807">
        <v>552.09</v>
      </c>
      <c r="Y807">
        <v>41.04</v>
      </c>
      <c r="Z807">
        <v>3.3</v>
      </c>
      <c r="AA807">
        <v>596.42999999999995</v>
      </c>
      <c r="AB807" t="s">
        <v>54</v>
      </c>
      <c r="AC807" t="s">
        <v>94</v>
      </c>
      <c r="AD807" t="s">
        <v>48</v>
      </c>
      <c r="AE807">
        <v>0</v>
      </c>
      <c r="AF807">
        <v>7.94</v>
      </c>
      <c r="AG807" t="s">
        <v>59</v>
      </c>
      <c r="AH807">
        <v>863266</v>
      </c>
      <c r="AI807" t="s">
        <v>60</v>
      </c>
      <c r="AJ807" t="s">
        <v>60</v>
      </c>
      <c r="AK807" t="s">
        <v>54</v>
      </c>
      <c r="AL807">
        <v>2023</v>
      </c>
      <c r="AM807" s="6" t="s">
        <v>912</v>
      </c>
      <c r="AN807" s="7">
        <v>138.02000000000001</v>
      </c>
      <c r="AO807" s="8">
        <f t="shared" si="39"/>
        <v>258.78750000000002</v>
      </c>
      <c r="AP807" s="8">
        <f t="shared" si="40"/>
        <v>287.51291250000003</v>
      </c>
      <c r="AQ807" s="9">
        <f t="shared" si="38"/>
        <v>419.20987124999999</v>
      </c>
    </row>
    <row r="808" spans="1:43" x14ac:dyDescent="0.25">
      <c r="A808">
        <v>3</v>
      </c>
      <c r="B808">
        <v>4</v>
      </c>
      <c r="C808">
        <v>2024</v>
      </c>
      <c r="D808" t="s">
        <v>43</v>
      </c>
      <c r="E808" t="s">
        <v>73</v>
      </c>
      <c r="F808" t="s">
        <v>74</v>
      </c>
      <c r="G808">
        <v>46</v>
      </c>
      <c r="H808">
        <v>1791882490001</v>
      </c>
      <c r="I808" t="s">
        <v>46</v>
      </c>
      <c r="J808" t="s">
        <v>133</v>
      </c>
      <c r="K808" t="s">
        <v>48</v>
      </c>
      <c r="L808" t="s">
        <v>49</v>
      </c>
      <c r="M808" t="s">
        <v>50</v>
      </c>
      <c r="N808" t="s">
        <v>51</v>
      </c>
      <c r="O808">
        <v>8421999000</v>
      </c>
      <c r="P808" t="s">
        <v>66</v>
      </c>
      <c r="Q808" t="s">
        <v>585</v>
      </c>
      <c r="R808" t="s">
        <v>54</v>
      </c>
      <c r="S808" t="s">
        <v>55</v>
      </c>
      <c r="T808">
        <v>6</v>
      </c>
      <c r="U808">
        <v>5</v>
      </c>
      <c r="V808" t="s">
        <v>135</v>
      </c>
      <c r="W808">
        <v>0</v>
      </c>
      <c r="X808">
        <v>705.65</v>
      </c>
      <c r="Y808">
        <v>82.42</v>
      </c>
      <c r="Z808">
        <v>4.62</v>
      </c>
      <c r="AA808">
        <v>792.69</v>
      </c>
      <c r="AB808" t="s">
        <v>57</v>
      </c>
      <c r="AC808" t="s">
        <v>58</v>
      </c>
      <c r="AD808" t="s">
        <v>48</v>
      </c>
      <c r="AE808">
        <v>0</v>
      </c>
      <c r="AF808">
        <v>6.66</v>
      </c>
      <c r="AG808" t="s">
        <v>59</v>
      </c>
      <c r="AH808">
        <v>438183</v>
      </c>
      <c r="AI808" t="s">
        <v>60</v>
      </c>
      <c r="AJ808" t="s">
        <v>60</v>
      </c>
      <c r="AK808" t="s">
        <v>54</v>
      </c>
      <c r="AL808">
        <v>2024</v>
      </c>
      <c r="AM808" s="6" t="s">
        <v>912</v>
      </c>
      <c r="AN808" s="7">
        <v>141.13</v>
      </c>
      <c r="AO808" s="8">
        <f t="shared" si="39"/>
        <v>264.61874999999998</v>
      </c>
      <c r="AP808" s="8">
        <f t="shared" si="40"/>
        <v>293.99143124999995</v>
      </c>
      <c r="AQ808" s="9">
        <f t="shared" si="38"/>
        <v>428.65591312499993</v>
      </c>
    </row>
    <row r="809" spans="1:43" x14ac:dyDescent="0.25">
      <c r="A809">
        <v>12</v>
      </c>
      <c r="B809">
        <v>6</v>
      </c>
      <c r="C809">
        <v>2024</v>
      </c>
      <c r="D809" t="s">
        <v>43</v>
      </c>
      <c r="E809" t="s">
        <v>96</v>
      </c>
      <c r="F809" t="s">
        <v>97</v>
      </c>
      <c r="G809">
        <v>42</v>
      </c>
      <c r="H809">
        <v>1791882490001</v>
      </c>
      <c r="I809" t="s">
        <v>46</v>
      </c>
      <c r="J809" t="s">
        <v>133</v>
      </c>
      <c r="K809" t="s">
        <v>48</v>
      </c>
      <c r="L809" t="s">
        <v>49</v>
      </c>
      <c r="M809" t="s">
        <v>50</v>
      </c>
      <c r="N809" t="s">
        <v>51</v>
      </c>
      <c r="O809">
        <v>8421999000</v>
      </c>
      <c r="P809" t="s">
        <v>66</v>
      </c>
      <c r="Q809" t="s">
        <v>913</v>
      </c>
      <c r="R809" t="s">
        <v>54</v>
      </c>
      <c r="S809" t="s">
        <v>55</v>
      </c>
      <c r="T809">
        <v>7</v>
      </c>
      <c r="U809">
        <v>5</v>
      </c>
      <c r="V809" t="s">
        <v>135</v>
      </c>
      <c r="W809">
        <v>0</v>
      </c>
      <c r="X809">
        <v>690.91</v>
      </c>
      <c r="Y809">
        <v>59.92</v>
      </c>
      <c r="Z809">
        <v>4.6500000000000004</v>
      </c>
      <c r="AA809">
        <v>755.48</v>
      </c>
      <c r="AB809" t="s">
        <v>57</v>
      </c>
      <c r="AC809" t="s">
        <v>94</v>
      </c>
      <c r="AD809" t="s">
        <v>48</v>
      </c>
      <c r="AE809">
        <v>0</v>
      </c>
      <c r="AF809">
        <v>9</v>
      </c>
      <c r="AG809" t="s">
        <v>59</v>
      </c>
      <c r="AH809" t="s">
        <v>98</v>
      </c>
      <c r="AI809" t="s">
        <v>60</v>
      </c>
      <c r="AJ809" t="s">
        <v>60</v>
      </c>
      <c r="AK809" t="s">
        <v>54</v>
      </c>
      <c r="AL809">
        <v>2024</v>
      </c>
      <c r="AM809" s="6" t="s">
        <v>912</v>
      </c>
      <c r="AN809" s="7">
        <v>138.18</v>
      </c>
      <c r="AO809" s="8">
        <f t="shared" si="39"/>
        <v>259.08750000000003</v>
      </c>
      <c r="AP809" s="8">
        <f t="shared" si="40"/>
        <v>287.84621250000004</v>
      </c>
      <c r="AQ809" s="9">
        <f t="shared" si="38"/>
        <v>419.69584125</v>
      </c>
    </row>
    <row r="810" spans="1:43" x14ac:dyDescent="0.25">
      <c r="A810">
        <v>8</v>
      </c>
      <c r="B810">
        <v>7</v>
      </c>
      <c r="C810">
        <v>2024</v>
      </c>
      <c r="D810" t="s">
        <v>43</v>
      </c>
      <c r="E810" t="s">
        <v>75</v>
      </c>
      <c r="F810" t="s">
        <v>76</v>
      </c>
      <c r="G810">
        <v>67</v>
      </c>
      <c r="H810">
        <v>1791882490001</v>
      </c>
      <c r="I810" t="s">
        <v>46</v>
      </c>
      <c r="J810" t="s">
        <v>133</v>
      </c>
      <c r="K810" t="s">
        <v>48</v>
      </c>
      <c r="L810" t="s">
        <v>49</v>
      </c>
      <c r="M810" t="s">
        <v>50</v>
      </c>
      <c r="N810" t="s">
        <v>51</v>
      </c>
      <c r="O810">
        <v>8421999000</v>
      </c>
      <c r="P810" t="s">
        <v>66</v>
      </c>
      <c r="Q810" t="s">
        <v>585</v>
      </c>
      <c r="R810" t="s">
        <v>54</v>
      </c>
      <c r="S810" t="s">
        <v>55</v>
      </c>
      <c r="T810">
        <v>8</v>
      </c>
      <c r="U810">
        <v>3</v>
      </c>
      <c r="V810" t="s">
        <v>135</v>
      </c>
      <c r="W810">
        <v>0</v>
      </c>
      <c r="X810">
        <v>426.73</v>
      </c>
      <c r="Y810">
        <v>36.44</v>
      </c>
      <c r="Z810">
        <v>2.78</v>
      </c>
      <c r="AA810">
        <v>465.95</v>
      </c>
      <c r="AB810" t="s">
        <v>57</v>
      </c>
      <c r="AC810" t="s">
        <v>77</v>
      </c>
      <c r="AD810" t="s">
        <v>48</v>
      </c>
      <c r="AE810">
        <v>0</v>
      </c>
      <c r="AF810">
        <v>2.82</v>
      </c>
      <c r="AG810" t="s">
        <v>59</v>
      </c>
      <c r="AH810">
        <v>107711</v>
      </c>
      <c r="AI810" t="s">
        <v>60</v>
      </c>
      <c r="AJ810" t="s">
        <v>78</v>
      </c>
      <c r="AK810" t="s">
        <v>54</v>
      </c>
      <c r="AL810">
        <v>2024</v>
      </c>
      <c r="AM810" s="6" t="s">
        <v>912</v>
      </c>
      <c r="AN810" s="7">
        <v>142.24</v>
      </c>
      <c r="AO810" s="8">
        <f t="shared" si="39"/>
        <v>266.70000000000005</v>
      </c>
      <c r="AP810" s="8">
        <f t="shared" si="40"/>
        <v>296.30370000000005</v>
      </c>
      <c r="AQ810" s="9">
        <f t="shared" si="38"/>
        <v>432.02733000000006</v>
      </c>
    </row>
    <row r="811" spans="1:43" x14ac:dyDescent="0.25">
      <c r="A811">
        <v>8</v>
      </c>
      <c r="B811">
        <v>7</v>
      </c>
      <c r="C811">
        <v>2024</v>
      </c>
      <c r="D811" t="s">
        <v>43</v>
      </c>
      <c r="E811" t="s">
        <v>75</v>
      </c>
      <c r="F811" t="s">
        <v>76</v>
      </c>
      <c r="G811">
        <v>67</v>
      </c>
      <c r="H811">
        <v>1791882490001</v>
      </c>
      <c r="I811" t="s">
        <v>46</v>
      </c>
      <c r="J811" t="s">
        <v>133</v>
      </c>
      <c r="K811" t="s">
        <v>48</v>
      </c>
      <c r="L811" t="s">
        <v>49</v>
      </c>
      <c r="M811" t="s">
        <v>50</v>
      </c>
      <c r="N811" t="s">
        <v>51</v>
      </c>
      <c r="O811">
        <v>8421999000</v>
      </c>
      <c r="P811" t="s">
        <v>66</v>
      </c>
      <c r="Q811" t="s">
        <v>585</v>
      </c>
      <c r="R811" t="s">
        <v>54</v>
      </c>
      <c r="S811" t="s">
        <v>55</v>
      </c>
      <c r="T811">
        <v>8</v>
      </c>
      <c r="U811">
        <v>3</v>
      </c>
      <c r="V811" t="s">
        <v>135</v>
      </c>
      <c r="W811">
        <v>0</v>
      </c>
      <c r="X811">
        <v>426.73</v>
      </c>
      <c r="Y811">
        <v>36.44</v>
      </c>
      <c r="Z811">
        <v>2.78</v>
      </c>
      <c r="AA811">
        <v>465.95</v>
      </c>
      <c r="AB811" t="s">
        <v>57</v>
      </c>
      <c r="AC811" t="s">
        <v>77</v>
      </c>
      <c r="AD811" t="s">
        <v>48</v>
      </c>
      <c r="AE811">
        <v>0</v>
      </c>
      <c r="AF811">
        <v>2.82</v>
      </c>
      <c r="AG811" t="s">
        <v>59</v>
      </c>
      <c r="AH811">
        <v>107711</v>
      </c>
      <c r="AI811" t="s">
        <v>60</v>
      </c>
      <c r="AJ811" t="s">
        <v>78</v>
      </c>
      <c r="AK811" t="s">
        <v>54</v>
      </c>
      <c r="AL811">
        <v>2024</v>
      </c>
      <c r="AM811" s="6" t="s">
        <v>912</v>
      </c>
      <c r="AN811" s="7">
        <v>142.24</v>
      </c>
      <c r="AO811" s="8">
        <f t="shared" si="39"/>
        <v>266.70000000000005</v>
      </c>
      <c r="AP811" s="8">
        <f t="shared" si="40"/>
        <v>296.30370000000005</v>
      </c>
      <c r="AQ811" s="9">
        <f t="shared" si="38"/>
        <v>432.02733000000006</v>
      </c>
    </row>
    <row r="812" spans="1:43" x14ac:dyDescent="0.25">
      <c r="A812">
        <v>26</v>
      </c>
      <c r="B812">
        <v>12</v>
      </c>
      <c r="C812">
        <v>2024</v>
      </c>
      <c r="D812" t="s">
        <v>43</v>
      </c>
      <c r="E812" t="s">
        <v>222</v>
      </c>
      <c r="F812" t="s">
        <v>223</v>
      </c>
      <c r="G812">
        <v>39</v>
      </c>
      <c r="H812">
        <v>1791882490001</v>
      </c>
      <c r="I812" t="s">
        <v>46</v>
      </c>
      <c r="J812" t="s">
        <v>133</v>
      </c>
      <c r="K812" t="s">
        <v>48</v>
      </c>
      <c r="L812" t="s">
        <v>49</v>
      </c>
      <c r="M812" t="s">
        <v>50</v>
      </c>
      <c r="N812" t="s">
        <v>224</v>
      </c>
      <c r="O812">
        <v>8421999000</v>
      </c>
      <c r="P812" t="s">
        <v>52</v>
      </c>
      <c r="Q812" t="s">
        <v>914</v>
      </c>
      <c r="R812" t="s">
        <v>54</v>
      </c>
      <c r="S812" t="s">
        <v>55</v>
      </c>
      <c r="T812">
        <v>8</v>
      </c>
      <c r="U812">
        <v>3</v>
      </c>
      <c r="V812" t="s">
        <v>135</v>
      </c>
      <c r="W812">
        <v>0</v>
      </c>
      <c r="X812">
        <v>420.13</v>
      </c>
      <c r="Y812">
        <v>87.01</v>
      </c>
      <c r="Z812">
        <v>4.2</v>
      </c>
      <c r="AA812">
        <v>511.33</v>
      </c>
      <c r="AB812" t="s">
        <v>57</v>
      </c>
      <c r="AC812" t="s">
        <v>225</v>
      </c>
      <c r="AD812" t="s">
        <v>48</v>
      </c>
      <c r="AE812">
        <v>0</v>
      </c>
      <c r="AF812">
        <v>6.18</v>
      </c>
      <c r="AG812" t="s">
        <v>59</v>
      </c>
      <c r="AH812">
        <v>341996</v>
      </c>
      <c r="AI812" t="s">
        <v>60</v>
      </c>
      <c r="AJ812" t="s">
        <v>60</v>
      </c>
      <c r="AK812" t="s">
        <v>54</v>
      </c>
      <c r="AL812">
        <v>2024</v>
      </c>
      <c r="AM812" s="6" t="s">
        <v>912</v>
      </c>
      <c r="AN812" s="7">
        <v>140.04</v>
      </c>
      <c r="AO812" s="8">
        <f t="shared" si="39"/>
        <v>262.57499999999999</v>
      </c>
      <c r="AP812" s="8">
        <f t="shared" si="40"/>
        <v>291.72082499999999</v>
      </c>
      <c r="AQ812" s="9">
        <f t="shared" si="38"/>
        <v>425.34524249999993</v>
      </c>
    </row>
    <row r="813" spans="1:43" x14ac:dyDescent="0.25">
      <c r="A813">
        <v>1</v>
      </c>
      <c r="B813">
        <v>2</v>
      </c>
      <c r="C813">
        <v>2024</v>
      </c>
      <c r="D813" t="s">
        <v>43</v>
      </c>
      <c r="E813" t="s">
        <v>174</v>
      </c>
      <c r="F813" t="s">
        <v>175</v>
      </c>
      <c r="G813">
        <v>35</v>
      </c>
      <c r="H813">
        <v>1791882490001</v>
      </c>
      <c r="I813" t="s">
        <v>46</v>
      </c>
      <c r="J813" t="s">
        <v>133</v>
      </c>
      <c r="K813" t="s">
        <v>48</v>
      </c>
      <c r="L813" t="s">
        <v>49</v>
      </c>
      <c r="M813" t="s">
        <v>50</v>
      </c>
      <c r="N813" t="s">
        <v>51</v>
      </c>
      <c r="O813">
        <v>8421999000</v>
      </c>
      <c r="P813" t="s">
        <v>66</v>
      </c>
      <c r="Q813" t="s">
        <v>585</v>
      </c>
      <c r="R813" t="s">
        <v>54</v>
      </c>
      <c r="S813" t="s">
        <v>55</v>
      </c>
      <c r="T813">
        <v>5</v>
      </c>
      <c r="U813">
        <v>6</v>
      </c>
      <c r="V813" t="s">
        <v>135</v>
      </c>
      <c r="W813">
        <v>0</v>
      </c>
      <c r="X813">
        <v>1347.62</v>
      </c>
      <c r="Y813">
        <v>100.18</v>
      </c>
      <c r="Z813">
        <v>8.0500000000000007</v>
      </c>
      <c r="AA813">
        <v>1455.85</v>
      </c>
      <c r="AB813" t="s">
        <v>54</v>
      </c>
      <c r="AC813" t="s">
        <v>94</v>
      </c>
      <c r="AD813" t="s">
        <v>48</v>
      </c>
      <c r="AE813">
        <v>0</v>
      </c>
      <c r="AF813">
        <v>11.91</v>
      </c>
      <c r="AG813" t="s">
        <v>59</v>
      </c>
      <c r="AH813">
        <v>863266</v>
      </c>
      <c r="AI813" t="s">
        <v>60</v>
      </c>
      <c r="AJ813" t="s">
        <v>60</v>
      </c>
      <c r="AK813" t="s">
        <v>54</v>
      </c>
      <c r="AL813">
        <v>2023</v>
      </c>
      <c r="AM813" s="6" t="s">
        <v>915</v>
      </c>
      <c r="AN813" s="7">
        <v>224.6</v>
      </c>
      <c r="AO813" s="8">
        <f t="shared" si="39"/>
        <v>421.125</v>
      </c>
      <c r="AP813" s="8">
        <f t="shared" si="40"/>
        <v>467.86987499999998</v>
      </c>
      <c r="AQ813" s="9">
        <f t="shared" si="38"/>
        <v>682.18038749999994</v>
      </c>
    </row>
    <row r="814" spans="1:43" x14ac:dyDescent="0.25">
      <c r="A814">
        <v>13</v>
      </c>
      <c r="B814">
        <v>3</v>
      </c>
      <c r="C814">
        <v>2024</v>
      </c>
      <c r="D814" t="s">
        <v>43</v>
      </c>
      <c r="E814" t="s">
        <v>69</v>
      </c>
      <c r="F814" t="s">
        <v>70</v>
      </c>
      <c r="G814">
        <v>42</v>
      </c>
      <c r="H814">
        <v>1791882490001</v>
      </c>
      <c r="I814" t="s">
        <v>46</v>
      </c>
      <c r="J814" t="s">
        <v>133</v>
      </c>
      <c r="K814" t="s">
        <v>48</v>
      </c>
      <c r="L814" t="s">
        <v>49</v>
      </c>
      <c r="M814" t="s">
        <v>50</v>
      </c>
      <c r="N814" t="s">
        <v>51</v>
      </c>
      <c r="O814">
        <v>8421999000</v>
      </c>
      <c r="P814" t="s">
        <v>66</v>
      </c>
      <c r="Q814" t="s">
        <v>585</v>
      </c>
      <c r="R814" t="s">
        <v>54</v>
      </c>
      <c r="S814" t="s">
        <v>55</v>
      </c>
      <c r="T814">
        <v>11</v>
      </c>
      <c r="U814">
        <v>2</v>
      </c>
      <c r="V814" t="s">
        <v>135</v>
      </c>
      <c r="W814">
        <v>0</v>
      </c>
      <c r="X814">
        <v>450.9</v>
      </c>
      <c r="Y814">
        <v>59.04</v>
      </c>
      <c r="Z814">
        <v>3.03</v>
      </c>
      <c r="AA814">
        <v>512.98</v>
      </c>
      <c r="AB814" t="s">
        <v>54</v>
      </c>
      <c r="AC814" t="s">
        <v>71</v>
      </c>
      <c r="AD814" t="s">
        <v>48</v>
      </c>
      <c r="AE814">
        <v>0</v>
      </c>
      <c r="AF814">
        <v>4.08</v>
      </c>
      <c r="AG814" t="s">
        <v>59</v>
      </c>
      <c r="AH814">
        <v>895279</v>
      </c>
      <c r="AI814" t="s">
        <v>60</v>
      </c>
      <c r="AJ814" t="s">
        <v>60</v>
      </c>
      <c r="AK814" t="s">
        <v>54</v>
      </c>
      <c r="AL814">
        <v>2024</v>
      </c>
      <c r="AM814" s="6" t="s">
        <v>915</v>
      </c>
      <c r="AN814" s="7">
        <v>225.45</v>
      </c>
      <c r="AO814" s="8">
        <f t="shared" si="39"/>
        <v>422.71875</v>
      </c>
      <c r="AP814" s="8">
        <f t="shared" si="40"/>
        <v>469.64053124999998</v>
      </c>
      <c r="AQ814" s="9">
        <f t="shared" si="38"/>
        <v>684.76210312499995</v>
      </c>
    </row>
    <row r="815" spans="1:43" x14ac:dyDescent="0.25">
      <c r="A815">
        <v>11</v>
      </c>
      <c r="B815">
        <v>7</v>
      </c>
      <c r="C815">
        <v>2024</v>
      </c>
      <c r="D815" t="s">
        <v>43</v>
      </c>
      <c r="E815" t="s">
        <v>116</v>
      </c>
      <c r="F815" t="s">
        <v>117</v>
      </c>
      <c r="G815">
        <v>25</v>
      </c>
      <c r="H815">
        <v>1791882490001</v>
      </c>
      <c r="I815" t="s">
        <v>46</v>
      </c>
      <c r="J815" t="s">
        <v>133</v>
      </c>
      <c r="K815" t="s">
        <v>48</v>
      </c>
      <c r="L815" t="s">
        <v>119</v>
      </c>
      <c r="M815" t="s">
        <v>120</v>
      </c>
      <c r="N815" t="s">
        <v>121</v>
      </c>
      <c r="O815">
        <v>8421999000</v>
      </c>
      <c r="P815" t="s">
        <v>66</v>
      </c>
      <c r="Q815" t="s">
        <v>585</v>
      </c>
      <c r="R815" t="s">
        <v>54</v>
      </c>
      <c r="S815" t="s">
        <v>55</v>
      </c>
      <c r="T815">
        <v>9</v>
      </c>
      <c r="U815">
        <v>6</v>
      </c>
      <c r="V815" t="s">
        <v>135</v>
      </c>
      <c r="W815">
        <v>0</v>
      </c>
      <c r="X815">
        <v>1344.28</v>
      </c>
      <c r="Y815">
        <v>121.06</v>
      </c>
      <c r="Z815">
        <v>9.0299999999999994</v>
      </c>
      <c r="AA815">
        <v>1474.37</v>
      </c>
      <c r="AB815" t="s">
        <v>124</v>
      </c>
      <c r="AC815" t="s">
        <v>125</v>
      </c>
      <c r="AD815" t="s">
        <v>48</v>
      </c>
      <c r="AE815">
        <v>0</v>
      </c>
      <c r="AF815">
        <v>12.1</v>
      </c>
      <c r="AG815" t="s">
        <v>59</v>
      </c>
      <c r="AH815">
        <v>486256</v>
      </c>
      <c r="AI815" t="s">
        <v>60</v>
      </c>
      <c r="AJ815" t="s">
        <v>78</v>
      </c>
      <c r="AK815" t="s">
        <v>54</v>
      </c>
      <c r="AL815">
        <v>2024</v>
      </c>
      <c r="AM815" s="6" t="s">
        <v>915</v>
      </c>
      <c r="AN815" s="7">
        <v>224.05</v>
      </c>
      <c r="AO815" s="8">
        <f t="shared" si="39"/>
        <v>420.09375</v>
      </c>
      <c r="AP815" s="8">
        <f t="shared" si="40"/>
        <v>466.72415625000002</v>
      </c>
      <c r="AQ815" s="9">
        <f t="shared" si="38"/>
        <v>680.50986562499997</v>
      </c>
    </row>
    <row r="816" spans="1:43" x14ac:dyDescent="0.25">
      <c r="A816">
        <v>17</v>
      </c>
      <c r="B816">
        <v>5</v>
      </c>
      <c r="C816">
        <v>2024</v>
      </c>
      <c r="D816" t="s">
        <v>43</v>
      </c>
      <c r="E816" t="s">
        <v>79</v>
      </c>
      <c r="F816" t="s">
        <v>80</v>
      </c>
      <c r="G816">
        <v>50</v>
      </c>
      <c r="H816">
        <v>1791882490001</v>
      </c>
      <c r="I816" t="s">
        <v>46</v>
      </c>
      <c r="J816" t="s">
        <v>133</v>
      </c>
      <c r="K816" t="s">
        <v>48</v>
      </c>
      <c r="L816" t="s">
        <v>49</v>
      </c>
      <c r="M816" t="s">
        <v>50</v>
      </c>
      <c r="N816" t="s">
        <v>51</v>
      </c>
      <c r="O816">
        <v>8421999000</v>
      </c>
      <c r="P816" t="s">
        <v>66</v>
      </c>
      <c r="Q816" t="s">
        <v>914</v>
      </c>
      <c r="R816" t="s">
        <v>54</v>
      </c>
      <c r="S816" t="s">
        <v>55</v>
      </c>
      <c r="T816">
        <v>6</v>
      </c>
      <c r="U816">
        <v>2</v>
      </c>
      <c r="V816" t="s">
        <v>135</v>
      </c>
      <c r="W816">
        <v>0</v>
      </c>
      <c r="X816">
        <v>518.71</v>
      </c>
      <c r="Y816">
        <v>50.08</v>
      </c>
      <c r="Z816">
        <v>3.45</v>
      </c>
      <c r="AA816">
        <v>572.24</v>
      </c>
      <c r="AB816" t="s">
        <v>57</v>
      </c>
      <c r="AC816" t="s">
        <v>81</v>
      </c>
      <c r="AD816" t="s">
        <v>48</v>
      </c>
      <c r="AE816">
        <v>0</v>
      </c>
      <c r="AF816">
        <v>2.16</v>
      </c>
      <c r="AG816" t="s">
        <v>82</v>
      </c>
      <c r="AH816">
        <v>471463</v>
      </c>
      <c r="AI816" t="s">
        <v>60</v>
      </c>
      <c r="AJ816" t="s">
        <v>60</v>
      </c>
      <c r="AK816" t="s">
        <v>54</v>
      </c>
      <c r="AL816">
        <v>2024</v>
      </c>
      <c r="AM816" s="6" t="s">
        <v>916</v>
      </c>
      <c r="AN816" s="7">
        <v>259.36</v>
      </c>
      <c r="AO816" s="8">
        <f t="shared" si="39"/>
        <v>486.3</v>
      </c>
      <c r="AP816" s="8">
        <f t="shared" si="40"/>
        <v>540.27930000000003</v>
      </c>
      <c r="AQ816" s="9">
        <f t="shared" si="38"/>
        <v>787.75736999999992</v>
      </c>
    </row>
    <row r="817" spans="1:43" x14ac:dyDescent="0.25">
      <c r="A817">
        <v>3</v>
      </c>
      <c r="B817">
        <v>4</v>
      </c>
      <c r="C817">
        <v>2024</v>
      </c>
      <c r="D817" t="s">
        <v>43</v>
      </c>
      <c r="E817" t="s">
        <v>73</v>
      </c>
      <c r="F817" t="s">
        <v>74</v>
      </c>
      <c r="G817">
        <v>47</v>
      </c>
      <c r="H817">
        <v>1791882490001</v>
      </c>
      <c r="I817" t="s">
        <v>46</v>
      </c>
      <c r="J817" t="s">
        <v>133</v>
      </c>
      <c r="K817" t="s">
        <v>48</v>
      </c>
      <c r="L817" t="s">
        <v>49</v>
      </c>
      <c r="M817" t="s">
        <v>50</v>
      </c>
      <c r="N817" t="s">
        <v>51</v>
      </c>
      <c r="O817">
        <v>8421999000</v>
      </c>
      <c r="P817" t="s">
        <v>66</v>
      </c>
      <c r="Q817" t="s">
        <v>585</v>
      </c>
      <c r="R817" t="s">
        <v>54</v>
      </c>
      <c r="S817" t="s">
        <v>55</v>
      </c>
      <c r="T817">
        <v>6</v>
      </c>
      <c r="U817">
        <v>1</v>
      </c>
      <c r="V817" t="s">
        <v>135</v>
      </c>
      <c r="W817">
        <v>0</v>
      </c>
      <c r="X817">
        <v>287.87</v>
      </c>
      <c r="Y817">
        <v>33.630000000000003</v>
      </c>
      <c r="Z817">
        <v>1.88</v>
      </c>
      <c r="AA817">
        <v>323.38</v>
      </c>
      <c r="AB817" t="s">
        <v>57</v>
      </c>
      <c r="AC817" t="s">
        <v>58</v>
      </c>
      <c r="AD817" t="s">
        <v>48</v>
      </c>
      <c r="AE817">
        <v>0</v>
      </c>
      <c r="AF817">
        <v>1.33</v>
      </c>
      <c r="AG817" t="s">
        <v>59</v>
      </c>
      <c r="AH817">
        <v>438183</v>
      </c>
      <c r="AI817" t="s">
        <v>60</v>
      </c>
      <c r="AJ817" t="s">
        <v>60</v>
      </c>
      <c r="AK817" t="s">
        <v>54</v>
      </c>
      <c r="AL817">
        <v>2024</v>
      </c>
      <c r="AM817" s="6" t="s">
        <v>917</v>
      </c>
      <c r="AN817" s="7">
        <v>287.87</v>
      </c>
      <c r="AO817" s="8">
        <f t="shared" si="39"/>
        <v>539.75625000000002</v>
      </c>
      <c r="AP817" s="8">
        <f t="shared" si="40"/>
        <v>599.66919374999998</v>
      </c>
      <c r="AQ817" s="9">
        <f t="shared" si="38"/>
        <v>874.35114937499998</v>
      </c>
    </row>
    <row r="818" spans="1:43" x14ac:dyDescent="0.25">
      <c r="A818">
        <v>17</v>
      </c>
      <c r="B818">
        <v>5</v>
      </c>
      <c r="C818">
        <v>2024</v>
      </c>
      <c r="D818" t="s">
        <v>43</v>
      </c>
      <c r="E818" t="s">
        <v>79</v>
      </c>
      <c r="F818" t="s">
        <v>80</v>
      </c>
      <c r="G818">
        <v>51</v>
      </c>
      <c r="H818">
        <v>1791882490001</v>
      </c>
      <c r="I818" t="s">
        <v>46</v>
      </c>
      <c r="J818" t="s">
        <v>133</v>
      </c>
      <c r="K818" t="s">
        <v>48</v>
      </c>
      <c r="L818" t="s">
        <v>49</v>
      </c>
      <c r="M818" t="s">
        <v>50</v>
      </c>
      <c r="N818" t="s">
        <v>51</v>
      </c>
      <c r="O818">
        <v>8421999000</v>
      </c>
      <c r="P818" t="s">
        <v>66</v>
      </c>
      <c r="Q818" t="s">
        <v>914</v>
      </c>
      <c r="R818" t="s">
        <v>54</v>
      </c>
      <c r="S818" t="s">
        <v>55</v>
      </c>
      <c r="T818">
        <v>6</v>
      </c>
      <c r="U818">
        <v>2</v>
      </c>
      <c r="V818" t="s">
        <v>135</v>
      </c>
      <c r="W818">
        <v>0</v>
      </c>
      <c r="X818">
        <v>572.99</v>
      </c>
      <c r="Y818">
        <v>55.32</v>
      </c>
      <c r="Z818">
        <v>3.82</v>
      </c>
      <c r="AA818">
        <v>632.13</v>
      </c>
      <c r="AB818" t="s">
        <v>57</v>
      </c>
      <c r="AC818" t="s">
        <v>81</v>
      </c>
      <c r="AD818" t="s">
        <v>48</v>
      </c>
      <c r="AE818">
        <v>0</v>
      </c>
      <c r="AF818">
        <v>2.16</v>
      </c>
      <c r="AG818" t="s">
        <v>82</v>
      </c>
      <c r="AH818">
        <v>471463</v>
      </c>
      <c r="AI818" t="s">
        <v>60</v>
      </c>
      <c r="AJ818" t="s">
        <v>60</v>
      </c>
      <c r="AK818" t="s">
        <v>54</v>
      </c>
      <c r="AL818">
        <v>2024</v>
      </c>
      <c r="AM818" s="6" t="s">
        <v>917</v>
      </c>
      <c r="AN818" s="7">
        <v>286.5</v>
      </c>
      <c r="AO818" s="8">
        <f t="shared" si="39"/>
        <v>537.1875</v>
      </c>
      <c r="AP818" s="8">
        <f t="shared" si="40"/>
        <v>596.8153125</v>
      </c>
      <c r="AQ818" s="9">
        <f t="shared" si="38"/>
        <v>870.19003124999995</v>
      </c>
    </row>
    <row r="819" spans="1:43" x14ac:dyDescent="0.25">
      <c r="A819">
        <v>16</v>
      </c>
      <c r="B819">
        <v>12</v>
      </c>
      <c r="C819">
        <v>2024</v>
      </c>
      <c r="D819" t="s">
        <v>43</v>
      </c>
      <c r="E819" t="s">
        <v>128</v>
      </c>
      <c r="F819" t="s">
        <v>129</v>
      </c>
      <c r="G819">
        <v>56</v>
      </c>
      <c r="H819">
        <v>1791882490001</v>
      </c>
      <c r="I819" t="s">
        <v>46</v>
      </c>
      <c r="J819" t="s">
        <v>133</v>
      </c>
      <c r="K819" t="s">
        <v>48</v>
      </c>
      <c r="L819" t="s">
        <v>49</v>
      </c>
      <c r="M819" t="s">
        <v>50</v>
      </c>
      <c r="N819" t="s">
        <v>51</v>
      </c>
      <c r="O819">
        <v>8421999000</v>
      </c>
      <c r="P819" t="s">
        <v>52</v>
      </c>
      <c r="Q819" t="s">
        <v>914</v>
      </c>
      <c r="R819" t="s">
        <v>54</v>
      </c>
      <c r="S819" t="s">
        <v>55</v>
      </c>
      <c r="T819">
        <v>9</v>
      </c>
      <c r="U819">
        <v>2</v>
      </c>
      <c r="V819" t="s">
        <v>135</v>
      </c>
      <c r="W819">
        <v>0</v>
      </c>
      <c r="X819">
        <v>578.29</v>
      </c>
      <c r="Y819">
        <v>75.739999999999995</v>
      </c>
      <c r="Z819">
        <v>3.97</v>
      </c>
      <c r="AA819">
        <v>657.99</v>
      </c>
      <c r="AB819" t="s">
        <v>57</v>
      </c>
      <c r="AC819" t="s">
        <v>131</v>
      </c>
      <c r="AD819" t="s">
        <v>48</v>
      </c>
      <c r="AE819">
        <v>0</v>
      </c>
      <c r="AF819">
        <v>3.98</v>
      </c>
      <c r="AG819" t="s">
        <v>59</v>
      </c>
      <c r="AH819">
        <v>325395</v>
      </c>
      <c r="AI819" t="s">
        <v>60</v>
      </c>
      <c r="AJ819" t="s">
        <v>78</v>
      </c>
      <c r="AK819" t="s">
        <v>54</v>
      </c>
      <c r="AL819">
        <v>2024</v>
      </c>
      <c r="AM819" s="6" t="s">
        <v>917</v>
      </c>
      <c r="AN819" s="7">
        <v>289.14</v>
      </c>
      <c r="AO819" s="8">
        <f t="shared" si="39"/>
        <v>542.13749999999993</v>
      </c>
      <c r="AP819" s="8">
        <f t="shared" si="40"/>
        <v>602.31476249999992</v>
      </c>
      <c r="AQ819" s="9">
        <f t="shared" si="38"/>
        <v>878.20853624999984</v>
      </c>
    </row>
    <row r="820" spans="1:43" x14ac:dyDescent="0.25">
      <c r="A820">
        <v>13</v>
      </c>
      <c r="B820">
        <v>3</v>
      </c>
      <c r="C820">
        <v>2024</v>
      </c>
      <c r="D820" t="s">
        <v>43</v>
      </c>
      <c r="E820" t="s">
        <v>69</v>
      </c>
      <c r="F820" t="s">
        <v>70</v>
      </c>
      <c r="G820">
        <v>43</v>
      </c>
      <c r="H820">
        <v>1791882490001</v>
      </c>
      <c r="I820" t="s">
        <v>46</v>
      </c>
      <c r="J820" t="s">
        <v>133</v>
      </c>
      <c r="K820" t="s">
        <v>48</v>
      </c>
      <c r="L820" t="s">
        <v>49</v>
      </c>
      <c r="M820" t="s">
        <v>50</v>
      </c>
      <c r="N820" t="s">
        <v>51</v>
      </c>
      <c r="O820">
        <v>8421999000</v>
      </c>
      <c r="P820" t="s">
        <v>66</v>
      </c>
      <c r="Q820" t="s">
        <v>585</v>
      </c>
      <c r="R820" t="s">
        <v>54</v>
      </c>
      <c r="S820" t="s">
        <v>55</v>
      </c>
      <c r="T820">
        <v>11</v>
      </c>
      <c r="U820">
        <v>5</v>
      </c>
      <c r="V820" t="s">
        <v>135</v>
      </c>
      <c r="W820">
        <v>0</v>
      </c>
      <c r="X820">
        <v>1820.29</v>
      </c>
      <c r="Y820">
        <v>238.36</v>
      </c>
      <c r="Z820">
        <v>12.25</v>
      </c>
      <c r="AA820">
        <v>2070.9</v>
      </c>
      <c r="AB820" t="s">
        <v>54</v>
      </c>
      <c r="AC820" t="s">
        <v>71</v>
      </c>
      <c r="AD820" t="s">
        <v>48</v>
      </c>
      <c r="AE820">
        <v>0</v>
      </c>
      <c r="AF820">
        <v>10.19</v>
      </c>
      <c r="AG820" t="s">
        <v>59</v>
      </c>
      <c r="AH820">
        <v>895279</v>
      </c>
      <c r="AI820" t="s">
        <v>60</v>
      </c>
      <c r="AJ820" t="s">
        <v>60</v>
      </c>
      <c r="AK820" t="s">
        <v>54</v>
      </c>
      <c r="AL820">
        <v>2024</v>
      </c>
      <c r="AM820" s="6" t="s">
        <v>918</v>
      </c>
      <c r="AN820" s="7">
        <v>364.06</v>
      </c>
      <c r="AO820" s="8">
        <f t="shared" si="39"/>
        <v>682.61249999999995</v>
      </c>
      <c r="AP820" s="8">
        <f t="shared" si="40"/>
        <v>758.38248749999991</v>
      </c>
      <c r="AQ820" s="9">
        <f t="shared" si="38"/>
        <v>1105.76398875</v>
      </c>
    </row>
    <row r="821" spans="1:43" x14ac:dyDescent="0.25">
      <c r="A821">
        <v>3</v>
      </c>
      <c r="B821">
        <v>4</v>
      </c>
      <c r="C821">
        <v>2024</v>
      </c>
      <c r="D821" t="s">
        <v>43</v>
      </c>
      <c r="E821" t="s">
        <v>73</v>
      </c>
      <c r="F821" t="s">
        <v>74</v>
      </c>
      <c r="G821">
        <v>48</v>
      </c>
      <c r="H821">
        <v>1791882490001</v>
      </c>
      <c r="I821" t="s">
        <v>46</v>
      </c>
      <c r="J821" t="s">
        <v>133</v>
      </c>
      <c r="K821" t="s">
        <v>48</v>
      </c>
      <c r="L821" t="s">
        <v>49</v>
      </c>
      <c r="M821" t="s">
        <v>50</v>
      </c>
      <c r="N821" t="s">
        <v>51</v>
      </c>
      <c r="O821">
        <v>8421999000</v>
      </c>
      <c r="P821" t="s">
        <v>66</v>
      </c>
      <c r="Q821" t="s">
        <v>585</v>
      </c>
      <c r="R821" t="s">
        <v>54</v>
      </c>
      <c r="S821" t="s">
        <v>55</v>
      </c>
      <c r="T821">
        <v>6</v>
      </c>
      <c r="U821">
        <v>2</v>
      </c>
      <c r="V821" t="s">
        <v>135</v>
      </c>
      <c r="W821">
        <v>0</v>
      </c>
      <c r="X821">
        <v>741.71</v>
      </c>
      <c r="Y821">
        <v>86.63</v>
      </c>
      <c r="Z821">
        <v>4.8499999999999996</v>
      </c>
      <c r="AA821">
        <v>833.2</v>
      </c>
      <c r="AB821" t="s">
        <v>57</v>
      </c>
      <c r="AC821" t="s">
        <v>58</v>
      </c>
      <c r="AD821" t="s">
        <v>48</v>
      </c>
      <c r="AE821">
        <v>0</v>
      </c>
      <c r="AF821">
        <v>2.67</v>
      </c>
      <c r="AG821" t="s">
        <v>59</v>
      </c>
      <c r="AH821">
        <v>438183</v>
      </c>
      <c r="AI821" t="s">
        <v>60</v>
      </c>
      <c r="AJ821" t="s">
        <v>60</v>
      </c>
      <c r="AK821" t="s">
        <v>54</v>
      </c>
      <c r="AL821">
        <v>2024</v>
      </c>
      <c r="AM821" s="6" t="s">
        <v>918</v>
      </c>
      <c r="AN821" s="7">
        <v>370.85</v>
      </c>
      <c r="AO821" s="8">
        <f t="shared" si="39"/>
        <v>695.34375</v>
      </c>
      <c r="AP821" s="8">
        <f t="shared" si="40"/>
        <v>772.52690625000002</v>
      </c>
      <c r="AQ821" s="9">
        <f t="shared" si="38"/>
        <v>1126.387340625</v>
      </c>
    </row>
    <row r="822" spans="1:43" x14ac:dyDescent="0.25">
      <c r="A822">
        <v>10</v>
      </c>
      <c r="B822">
        <v>10</v>
      </c>
      <c r="C822">
        <v>2024</v>
      </c>
      <c r="D822" t="s">
        <v>43</v>
      </c>
      <c r="E822" t="s">
        <v>44</v>
      </c>
      <c r="F822" t="s">
        <v>45</v>
      </c>
      <c r="G822">
        <v>53</v>
      </c>
      <c r="H822">
        <v>1791882490001</v>
      </c>
      <c r="I822" t="s">
        <v>46</v>
      </c>
      <c r="J822" t="s">
        <v>133</v>
      </c>
      <c r="K822" t="s">
        <v>48</v>
      </c>
      <c r="L822" t="s">
        <v>49</v>
      </c>
      <c r="M822" t="s">
        <v>50</v>
      </c>
      <c r="N822" t="s">
        <v>51</v>
      </c>
      <c r="O822">
        <v>8421999000</v>
      </c>
      <c r="P822" t="s">
        <v>52</v>
      </c>
      <c r="Q822" t="s">
        <v>914</v>
      </c>
      <c r="R822" t="s">
        <v>54</v>
      </c>
      <c r="S822" t="s">
        <v>55</v>
      </c>
      <c r="T822">
        <v>7</v>
      </c>
      <c r="U822">
        <v>3</v>
      </c>
      <c r="V822" t="s">
        <v>135</v>
      </c>
      <c r="W822">
        <v>0</v>
      </c>
      <c r="X822">
        <v>1189.99</v>
      </c>
      <c r="Y822">
        <v>207.92</v>
      </c>
      <c r="Z822">
        <v>8.58</v>
      </c>
      <c r="AA822">
        <v>1406.49</v>
      </c>
      <c r="AB822" t="s">
        <v>57</v>
      </c>
      <c r="AC822" t="s">
        <v>58</v>
      </c>
      <c r="AD822" t="s">
        <v>48</v>
      </c>
      <c r="AE822">
        <v>0</v>
      </c>
      <c r="AF822">
        <v>12.84</v>
      </c>
      <c r="AG822" t="s">
        <v>59</v>
      </c>
      <c r="AH822">
        <v>179772</v>
      </c>
      <c r="AI822" t="s">
        <v>60</v>
      </c>
      <c r="AJ822" t="s">
        <v>60</v>
      </c>
      <c r="AK822" t="s">
        <v>54</v>
      </c>
      <c r="AL822">
        <v>2024</v>
      </c>
      <c r="AM822" s="6" t="s">
        <v>918</v>
      </c>
      <c r="AN822" s="7">
        <v>396.66</v>
      </c>
      <c r="AO822" s="8">
        <f t="shared" si="39"/>
        <v>743.73750000000007</v>
      </c>
      <c r="AP822" s="8">
        <f t="shared" si="40"/>
        <v>826.29236250000008</v>
      </c>
      <c r="AQ822" s="9">
        <f t="shared" si="38"/>
        <v>1204.78037625</v>
      </c>
    </row>
    <row r="823" spans="1:43" x14ac:dyDescent="0.25">
      <c r="A823">
        <v>19</v>
      </c>
      <c r="B823">
        <v>8</v>
      </c>
      <c r="C823">
        <v>2024</v>
      </c>
      <c r="D823" t="s">
        <v>43</v>
      </c>
      <c r="E823" t="s">
        <v>84</v>
      </c>
      <c r="F823" t="s">
        <v>85</v>
      </c>
      <c r="G823">
        <v>51</v>
      </c>
      <c r="H823">
        <v>1791882490001</v>
      </c>
      <c r="I823" t="s">
        <v>46</v>
      </c>
      <c r="J823" t="s">
        <v>133</v>
      </c>
      <c r="K823" t="s">
        <v>48</v>
      </c>
      <c r="L823" t="s">
        <v>49</v>
      </c>
      <c r="M823" t="s">
        <v>50</v>
      </c>
      <c r="N823" t="s">
        <v>51</v>
      </c>
      <c r="O823">
        <v>8421999000</v>
      </c>
      <c r="P823" t="s">
        <v>66</v>
      </c>
      <c r="Q823" t="s">
        <v>914</v>
      </c>
      <c r="R823" t="s">
        <v>54</v>
      </c>
      <c r="S823" t="s">
        <v>55</v>
      </c>
      <c r="T823">
        <v>6</v>
      </c>
      <c r="U823">
        <v>1</v>
      </c>
      <c r="V823" t="s">
        <v>135</v>
      </c>
      <c r="W823">
        <v>0</v>
      </c>
      <c r="X823">
        <v>481.89</v>
      </c>
      <c r="Y823">
        <v>62.18</v>
      </c>
      <c r="Z823">
        <v>3.3</v>
      </c>
      <c r="AA823">
        <v>547.36</v>
      </c>
      <c r="AB823" t="s">
        <v>57</v>
      </c>
      <c r="AC823" t="s">
        <v>58</v>
      </c>
      <c r="AD823" t="s">
        <v>48</v>
      </c>
      <c r="AE823">
        <v>0</v>
      </c>
      <c r="AF823">
        <v>1.39</v>
      </c>
      <c r="AG823" t="s">
        <v>59</v>
      </c>
      <c r="AH823">
        <v>144527</v>
      </c>
      <c r="AI823" t="s">
        <v>60</v>
      </c>
      <c r="AJ823" t="s">
        <v>60</v>
      </c>
      <c r="AK823" t="s">
        <v>54</v>
      </c>
      <c r="AL823">
        <v>2024</v>
      </c>
      <c r="AM823" s="6" t="s">
        <v>919</v>
      </c>
      <c r="AN823" s="7">
        <v>481.89</v>
      </c>
      <c r="AO823" s="8">
        <f t="shared" si="39"/>
        <v>903.54374999999993</v>
      </c>
      <c r="AP823" s="8">
        <f t="shared" si="40"/>
        <v>1003.8371062499999</v>
      </c>
      <c r="AQ823" s="9">
        <f t="shared" si="38"/>
        <v>1463.6505206249999</v>
      </c>
    </row>
    <row r="824" spans="1:43" x14ac:dyDescent="0.25">
      <c r="A824">
        <v>20</v>
      </c>
      <c r="B824">
        <v>2</v>
      </c>
      <c r="C824">
        <v>2024</v>
      </c>
      <c r="D824" t="s">
        <v>43</v>
      </c>
      <c r="E824" t="s">
        <v>140</v>
      </c>
      <c r="F824" t="s">
        <v>141</v>
      </c>
      <c r="G824">
        <v>54</v>
      </c>
      <c r="H824">
        <v>1791882490001</v>
      </c>
      <c r="I824" t="s">
        <v>46</v>
      </c>
      <c r="J824" t="s">
        <v>133</v>
      </c>
      <c r="K824" t="s">
        <v>48</v>
      </c>
      <c r="L824" t="s">
        <v>49</v>
      </c>
      <c r="M824" t="s">
        <v>50</v>
      </c>
      <c r="N824" t="s">
        <v>51</v>
      </c>
      <c r="O824">
        <v>8421999000</v>
      </c>
      <c r="P824" t="s">
        <v>66</v>
      </c>
      <c r="Q824" t="s">
        <v>585</v>
      </c>
      <c r="R824" t="s">
        <v>54</v>
      </c>
      <c r="S824" t="s">
        <v>55</v>
      </c>
      <c r="T824">
        <v>6</v>
      </c>
      <c r="U824">
        <v>1</v>
      </c>
      <c r="V824" t="s">
        <v>135</v>
      </c>
      <c r="W824">
        <v>0</v>
      </c>
      <c r="X824">
        <v>582.52</v>
      </c>
      <c r="Y824">
        <v>52.27</v>
      </c>
      <c r="Z824">
        <v>3.91</v>
      </c>
      <c r="AA824">
        <v>638.71</v>
      </c>
      <c r="AB824" t="s">
        <v>54</v>
      </c>
      <c r="AC824" t="s">
        <v>143</v>
      </c>
      <c r="AD824" t="s">
        <v>48</v>
      </c>
      <c r="AE824">
        <v>0</v>
      </c>
      <c r="AF824">
        <v>1.87</v>
      </c>
      <c r="AG824" t="s">
        <v>59</v>
      </c>
      <c r="AH824">
        <v>876053</v>
      </c>
      <c r="AI824" t="s">
        <v>60</v>
      </c>
      <c r="AJ824" t="s">
        <v>60</v>
      </c>
      <c r="AK824" t="s">
        <v>54</v>
      </c>
      <c r="AL824">
        <v>2024</v>
      </c>
      <c r="AM824" s="6" t="s">
        <v>920</v>
      </c>
      <c r="AN824" s="7">
        <v>582.52</v>
      </c>
      <c r="AO824" s="8">
        <f t="shared" si="39"/>
        <v>1092.2249999999999</v>
      </c>
      <c r="AP824" s="8">
        <f t="shared" si="40"/>
        <v>1213.4619749999999</v>
      </c>
      <c r="AQ824" s="9">
        <f t="shared" si="38"/>
        <v>1769.2952774999997</v>
      </c>
    </row>
    <row r="825" spans="1:43" x14ac:dyDescent="0.25">
      <c r="A825">
        <v>1</v>
      </c>
      <c r="B825">
        <v>2</v>
      </c>
      <c r="C825">
        <v>2024</v>
      </c>
      <c r="D825" t="s">
        <v>43</v>
      </c>
      <c r="E825" t="s">
        <v>174</v>
      </c>
      <c r="F825" t="s">
        <v>175</v>
      </c>
      <c r="G825">
        <v>36</v>
      </c>
      <c r="H825">
        <v>1791882490001</v>
      </c>
      <c r="I825" t="s">
        <v>46</v>
      </c>
      <c r="J825" t="s">
        <v>133</v>
      </c>
      <c r="K825" t="s">
        <v>48</v>
      </c>
      <c r="L825" t="s">
        <v>49</v>
      </c>
      <c r="M825" t="s">
        <v>50</v>
      </c>
      <c r="N825" t="s">
        <v>51</v>
      </c>
      <c r="O825">
        <v>8421999000</v>
      </c>
      <c r="P825" t="s">
        <v>66</v>
      </c>
      <c r="Q825" t="s">
        <v>585</v>
      </c>
      <c r="R825" t="s">
        <v>54</v>
      </c>
      <c r="S825" t="s">
        <v>55</v>
      </c>
      <c r="T825">
        <v>5</v>
      </c>
      <c r="U825">
        <v>2</v>
      </c>
      <c r="V825" t="s">
        <v>135</v>
      </c>
      <c r="W825">
        <v>0</v>
      </c>
      <c r="X825">
        <v>146.04</v>
      </c>
      <c r="Y825">
        <v>10.86</v>
      </c>
      <c r="Z825">
        <v>0.87</v>
      </c>
      <c r="AA825">
        <v>157.77000000000001</v>
      </c>
      <c r="AB825" t="s">
        <v>54</v>
      </c>
      <c r="AC825" t="s">
        <v>94</v>
      </c>
      <c r="AD825" t="s">
        <v>48</v>
      </c>
      <c r="AE825">
        <v>0</v>
      </c>
      <c r="AF825">
        <v>3.97</v>
      </c>
      <c r="AG825" t="s">
        <v>59</v>
      </c>
      <c r="AH825">
        <v>863266</v>
      </c>
      <c r="AI825" t="s">
        <v>60</v>
      </c>
      <c r="AJ825" t="s">
        <v>60</v>
      </c>
      <c r="AK825" t="s">
        <v>54</v>
      </c>
      <c r="AL825">
        <v>2023</v>
      </c>
      <c r="AM825" s="6" t="s">
        <v>921</v>
      </c>
      <c r="AN825" s="7">
        <v>73.02</v>
      </c>
      <c r="AO825" s="8">
        <f t="shared" si="39"/>
        <v>136.91249999999999</v>
      </c>
      <c r="AP825" s="8">
        <f t="shared" si="40"/>
        <v>152.10978749999998</v>
      </c>
      <c r="AQ825" s="9">
        <f t="shared" si="38"/>
        <v>221.78455874999997</v>
      </c>
    </row>
    <row r="826" spans="1:43" x14ac:dyDescent="0.25">
      <c r="A826">
        <v>20</v>
      </c>
      <c r="B826">
        <v>2</v>
      </c>
      <c r="C826">
        <v>2024</v>
      </c>
      <c r="D826" t="s">
        <v>43</v>
      </c>
      <c r="E826" t="s">
        <v>140</v>
      </c>
      <c r="F826" t="s">
        <v>141</v>
      </c>
      <c r="G826">
        <v>55</v>
      </c>
      <c r="H826">
        <v>1791882490001</v>
      </c>
      <c r="I826" t="s">
        <v>46</v>
      </c>
      <c r="J826" t="s">
        <v>133</v>
      </c>
      <c r="K826" t="s">
        <v>48</v>
      </c>
      <c r="L826" t="s">
        <v>49</v>
      </c>
      <c r="M826" t="s">
        <v>50</v>
      </c>
      <c r="N826" t="s">
        <v>51</v>
      </c>
      <c r="O826">
        <v>8421999000</v>
      </c>
      <c r="P826" t="s">
        <v>66</v>
      </c>
      <c r="Q826" t="s">
        <v>585</v>
      </c>
      <c r="R826" t="s">
        <v>54</v>
      </c>
      <c r="S826" t="s">
        <v>55</v>
      </c>
      <c r="T826">
        <v>6</v>
      </c>
      <c r="U826">
        <v>4</v>
      </c>
      <c r="V826" t="s">
        <v>135</v>
      </c>
      <c r="W826">
        <v>0</v>
      </c>
      <c r="X826">
        <v>370.04</v>
      </c>
      <c r="Y826">
        <v>33.21</v>
      </c>
      <c r="Z826">
        <v>2.4900000000000002</v>
      </c>
      <c r="AA826">
        <v>405.73</v>
      </c>
      <c r="AB826" t="s">
        <v>54</v>
      </c>
      <c r="AC826" t="s">
        <v>143</v>
      </c>
      <c r="AD826" t="s">
        <v>48</v>
      </c>
      <c r="AE826">
        <v>0</v>
      </c>
      <c r="AF826">
        <v>7.49</v>
      </c>
      <c r="AG826" t="s">
        <v>59</v>
      </c>
      <c r="AH826">
        <v>876053</v>
      </c>
      <c r="AI826" t="s">
        <v>60</v>
      </c>
      <c r="AJ826" t="s">
        <v>60</v>
      </c>
      <c r="AK826" t="s">
        <v>54</v>
      </c>
      <c r="AL826">
        <v>2024</v>
      </c>
      <c r="AM826" s="6" t="s">
        <v>922</v>
      </c>
      <c r="AN826" s="7">
        <v>92.51</v>
      </c>
      <c r="AO826" s="8">
        <f t="shared" si="39"/>
        <v>173.45625000000001</v>
      </c>
      <c r="AP826" s="8">
        <f t="shared" si="40"/>
        <v>192.70989375000002</v>
      </c>
      <c r="AQ826" s="9">
        <f t="shared" si="38"/>
        <v>280.98177937499997</v>
      </c>
    </row>
    <row r="827" spans="1:43" x14ac:dyDescent="0.25">
      <c r="A827">
        <v>3</v>
      </c>
      <c r="B827">
        <v>4</v>
      </c>
      <c r="C827">
        <v>2024</v>
      </c>
      <c r="D827" t="s">
        <v>43</v>
      </c>
      <c r="E827" t="s">
        <v>73</v>
      </c>
      <c r="F827" t="s">
        <v>74</v>
      </c>
      <c r="G827">
        <v>49</v>
      </c>
      <c r="H827">
        <v>1791882490001</v>
      </c>
      <c r="I827" t="s">
        <v>46</v>
      </c>
      <c r="J827" t="s">
        <v>133</v>
      </c>
      <c r="K827" t="s">
        <v>48</v>
      </c>
      <c r="L827" t="s">
        <v>49</v>
      </c>
      <c r="M827" t="s">
        <v>50</v>
      </c>
      <c r="N827" t="s">
        <v>51</v>
      </c>
      <c r="O827">
        <v>8421999000</v>
      </c>
      <c r="P827" t="s">
        <v>66</v>
      </c>
      <c r="Q827" t="s">
        <v>585</v>
      </c>
      <c r="R827" t="s">
        <v>54</v>
      </c>
      <c r="S827" t="s">
        <v>55</v>
      </c>
      <c r="T827">
        <v>6</v>
      </c>
      <c r="U827">
        <v>3</v>
      </c>
      <c r="V827" t="s">
        <v>135</v>
      </c>
      <c r="W827">
        <v>0</v>
      </c>
      <c r="X827">
        <v>292.18</v>
      </c>
      <c r="Y827">
        <v>34.130000000000003</v>
      </c>
      <c r="Z827">
        <v>1.91</v>
      </c>
      <c r="AA827">
        <v>328.22</v>
      </c>
      <c r="AB827" t="s">
        <v>57</v>
      </c>
      <c r="AC827" t="s">
        <v>58</v>
      </c>
      <c r="AD827" t="s">
        <v>48</v>
      </c>
      <c r="AE827">
        <v>0</v>
      </c>
      <c r="AF827">
        <v>4</v>
      </c>
      <c r="AG827" t="s">
        <v>59</v>
      </c>
      <c r="AH827">
        <v>438183</v>
      </c>
      <c r="AI827" t="s">
        <v>60</v>
      </c>
      <c r="AJ827" t="s">
        <v>60</v>
      </c>
      <c r="AK827" t="s">
        <v>54</v>
      </c>
      <c r="AL827">
        <v>2024</v>
      </c>
      <c r="AM827" s="6" t="s">
        <v>922</v>
      </c>
      <c r="AN827" s="7">
        <v>97.39</v>
      </c>
      <c r="AO827" s="8">
        <f t="shared" si="39"/>
        <v>182.60624999999999</v>
      </c>
      <c r="AP827" s="8">
        <f t="shared" si="40"/>
        <v>202.87554374999999</v>
      </c>
      <c r="AQ827" s="9">
        <f t="shared" si="38"/>
        <v>295.80386437499999</v>
      </c>
    </row>
    <row r="828" spans="1:43" x14ac:dyDescent="0.25">
      <c r="A828">
        <v>15</v>
      </c>
      <c r="B828">
        <v>4</v>
      </c>
      <c r="C828">
        <v>2024</v>
      </c>
      <c r="D828" t="s">
        <v>43</v>
      </c>
      <c r="E828" t="s">
        <v>63</v>
      </c>
      <c r="F828" t="s">
        <v>64</v>
      </c>
      <c r="G828">
        <v>57</v>
      </c>
      <c r="H828">
        <v>1791882490001</v>
      </c>
      <c r="I828" t="s">
        <v>46</v>
      </c>
      <c r="J828" t="s">
        <v>133</v>
      </c>
      <c r="K828" t="s">
        <v>48</v>
      </c>
      <c r="L828" t="s">
        <v>49</v>
      </c>
      <c r="M828" t="s">
        <v>50</v>
      </c>
      <c r="N828" t="s">
        <v>51</v>
      </c>
      <c r="O828">
        <v>8421999000</v>
      </c>
      <c r="P828" t="s">
        <v>66</v>
      </c>
      <c r="Q828" t="s">
        <v>585</v>
      </c>
      <c r="R828" t="s">
        <v>54</v>
      </c>
      <c r="S828" t="s">
        <v>55</v>
      </c>
      <c r="T828">
        <v>6</v>
      </c>
      <c r="U828">
        <v>5</v>
      </c>
      <c r="V828" t="s">
        <v>135</v>
      </c>
      <c r="W828">
        <v>0</v>
      </c>
      <c r="X828">
        <v>472.83</v>
      </c>
      <c r="Y828">
        <v>49.77</v>
      </c>
      <c r="Z828">
        <v>3.17</v>
      </c>
      <c r="AA828">
        <v>525.78</v>
      </c>
      <c r="AB828" t="s">
        <v>57</v>
      </c>
      <c r="AC828" t="s">
        <v>58</v>
      </c>
      <c r="AD828" t="s">
        <v>48</v>
      </c>
      <c r="AE828">
        <v>0</v>
      </c>
      <c r="AF828">
        <v>4.53</v>
      </c>
      <c r="AG828" t="s">
        <v>59</v>
      </c>
      <c r="AH828">
        <v>443965</v>
      </c>
      <c r="AI828" t="s">
        <v>60</v>
      </c>
      <c r="AJ828" t="s">
        <v>60</v>
      </c>
      <c r="AK828" t="s">
        <v>54</v>
      </c>
      <c r="AL828">
        <v>2024</v>
      </c>
      <c r="AM828" s="6" t="s">
        <v>922</v>
      </c>
      <c r="AN828" s="7">
        <v>94.57</v>
      </c>
      <c r="AO828" s="8">
        <f t="shared" si="39"/>
        <v>177.31874999999999</v>
      </c>
      <c r="AP828" s="8">
        <f t="shared" si="40"/>
        <v>197.00113124999999</v>
      </c>
      <c r="AQ828" s="9">
        <f t="shared" si="38"/>
        <v>287.23864312499995</v>
      </c>
    </row>
    <row r="829" spans="1:43" x14ac:dyDescent="0.25">
      <c r="A829">
        <v>8</v>
      </c>
      <c r="B829">
        <v>7</v>
      </c>
      <c r="C829">
        <v>2024</v>
      </c>
      <c r="D829" t="s">
        <v>43</v>
      </c>
      <c r="E829" t="s">
        <v>75</v>
      </c>
      <c r="F829" t="s">
        <v>76</v>
      </c>
      <c r="G829">
        <v>68</v>
      </c>
      <c r="H829">
        <v>1791882490001</v>
      </c>
      <c r="I829" t="s">
        <v>46</v>
      </c>
      <c r="J829" t="s">
        <v>133</v>
      </c>
      <c r="K829" t="s">
        <v>48</v>
      </c>
      <c r="L829" t="s">
        <v>49</v>
      </c>
      <c r="M829" t="s">
        <v>50</v>
      </c>
      <c r="N829" t="s">
        <v>51</v>
      </c>
      <c r="O829">
        <v>8421999000</v>
      </c>
      <c r="P829" t="s">
        <v>66</v>
      </c>
      <c r="Q829" t="s">
        <v>585</v>
      </c>
      <c r="R829" t="s">
        <v>54</v>
      </c>
      <c r="S829" t="s">
        <v>55</v>
      </c>
      <c r="T829">
        <v>8</v>
      </c>
      <c r="U829">
        <v>4</v>
      </c>
      <c r="V829" t="s">
        <v>135</v>
      </c>
      <c r="W829">
        <v>0</v>
      </c>
      <c r="X829">
        <v>392.69</v>
      </c>
      <c r="Y829">
        <v>33.549999999999997</v>
      </c>
      <c r="Z829">
        <v>2.5499999999999998</v>
      </c>
      <c r="AA829">
        <v>428.79</v>
      </c>
      <c r="AB829" t="s">
        <v>57</v>
      </c>
      <c r="AC829" t="s">
        <v>77</v>
      </c>
      <c r="AD829" t="s">
        <v>48</v>
      </c>
      <c r="AE829">
        <v>0</v>
      </c>
      <c r="AF829">
        <v>2.6</v>
      </c>
      <c r="AG829" t="s">
        <v>59</v>
      </c>
      <c r="AH829">
        <v>107711</v>
      </c>
      <c r="AI829" t="s">
        <v>60</v>
      </c>
      <c r="AJ829" t="s">
        <v>78</v>
      </c>
      <c r="AK829" t="s">
        <v>54</v>
      </c>
      <c r="AL829">
        <v>2024</v>
      </c>
      <c r="AM829" s="6" t="s">
        <v>922</v>
      </c>
      <c r="AN829" s="7">
        <v>98.17</v>
      </c>
      <c r="AO829" s="8">
        <f t="shared" si="39"/>
        <v>184.06874999999999</v>
      </c>
      <c r="AP829" s="8">
        <f t="shared" si="40"/>
        <v>204.50038125</v>
      </c>
      <c r="AQ829" s="9">
        <f t="shared" si="38"/>
        <v>298.17296812499995</v>
      </c>
    </row>
    <row r="830" spans="1:43" x14ac:dyDescent="0.25">
      <c r="A830">
        <v>8</v>
      </c>
      <c r="B830">
        <v>7</v>
      </c>
      <c r="C830">
        <v>2024</v>
      </c>
      <c r="D830" t="s">
        <v>43</v>
      </c>
      <c r="E830" t="s">
        <v>75</v>
      </c>
      <c r="F830" t="s">
        <v>76</v>
      </c>
      <c r="G830">
        <v>68</v>
      </c>
      <c r="H830">
        <v>1791882490001</v>
      </c>
      <c r="I830" t="s">
        <v>46</v>
      </c>
      <c r="J830" t="s">
        <v>133</v>
      </c>
      <c r="K830" t="s">
        <v>48</v>
      </c>
      <c r="L830" t="s">
        <v>49</v>
      </c>
      <c r="M830" t="s">
        <v>50</v>
      </c>
      <c r="N830" t="s">
        <v>51</v>
      </c>
      <c r="O830">
        <v>8421999000</v>
      </c>
      <c r="P830" t="s">
        <v>66</v>
      </c>
      <c r="Q830" t="s">
        <v>585</v>
      </c>
      <c r="R830" t="s">
        <v>54</v>
      </c>
      <c r="S830" t="s">
        <v>55</v>
      </c>
      <c r="T830">
        <v>8</v>
      </c>
      <c r="U830">
        <v>4</v>
      </c>
      <c r="V830" t="s">
        <v>135</v>
      </c>
      <c r="W830">
        <v>0</v>
      </c>
      <c r="X830">
        <v>392.69</v>
      </c>
      <c r="Y830">
        <v>33.549999999999997</v>
      </c>
      <c r="Z830">
        <v>2.5499999999999998</v>
      </c>
      <c r="AA830">
        <v>428.79</v>
      </c>
      <c r="AB830" t="s">
        <v>57</v>
      </c>
      <c r="AC830" t="s">
        <v>77</v>
      </c>
      <c r="AD830" t="s">
        <v>48</v>
      </c>
      <c r="AE830">
        <v>0</v>
      </c>
      <c r="AF830">
        <v>2.6</v>
      </c>
      <c r="AG830" t="s">
        <v>59</v>
      </c>
      <c r="AH830">
        <v>107711</v>
      </c>
      <c r="AI830" t="s">
        <v>60</v>
      </c>
      <c r="AJ830" t="s">
        <v>78</v>
      </c>
      <c r="AK830" t="s">
        <v>54</v>
      </c>
      <c r="AL830">
        <v>2024</v>
      </c>
      <c r="AM830" s="6" t="s">
        <v>922</v>
      </c>
      <c r="AN830" s="7">
        <v>98.17</v>
      </c>
      <c r="AO830" s="8">
        <f t="shared" si="39"/>
        <v>184.06874999999999</v>
      </c>
      <c r="AP830" s="8">
        <f t="shared" si="40"/>
        <v>204.50038125</v>
      </c>
      <c r="AQ830" s="9">
        <f t="shared" si="38"/>
        <v>298.17296812499995</v>
      </c>
    </row>
    <row r="831" spans="1:43" x14ac:dyDescent="0.25">
      <c r="A831">
        <v>1</v>
      </c>
      <c r="B831">
        <v>2</v>
      </c>
      <c r="C831">
        <v>2024</v>
      </c>
      <c r="D831" t="s">
        <v>43</v>
      </c>
      <c r="E831" t="s">
        <v>174</v>
      </c>
      <c r="F831" t="s">
        <v>175</v>
      </c>
      <c r="G831">
        <v>37</v>
      </c>
      <c r="H831">
        <v>1791882490001</v>
      </c>
      <c r="I831" t="s">
        <v>46</v>
      </c>
      <c r="J831" t="s">
        <v>133</v>
      </c>
      <c r="K831" t="s">
        <v>48</v>
      </c>
      <c r="L831" t="s">
        <v>49</v>
      </c>
      <c r="M831" t="s">
        <v>50</v>
      </c>
      <c r="N831" t="s">
        <v>51</v>
      </c>
      <c r="O831">
        <v>8421999000</v>
      </c>
      <c r="P831" t="s">
        <v>66</v>
      </c>
      <c r="Q831" t="s">
        <v>585</v>
      </c>
      <c r="R831" t="s">
        <v>54</v>
      </c>
      <c r="S831" t="s">
        <v>55</v>
      </c>
      <c r="T831">
        <v>5</v>
      </c>
      <c r="U831">
        <v>4</v>
      </c>
      <c r="V831" t="s">
        <v>135</v>
      </c>
      <c r="W831">
        <v>0</v>
      </c>
      <c r="X831">
        <v>552.09</v>
      </c>
      <c r="Y831">
        <v>41.04</v>
      </c>
      <c r="Z831">
        <v>3.3</v>
      </c>
      <c r="AA831">
        <v>596.42999999999995</v>
      </c>
      <c r="AB831" t="s">
        <v>54</v>
      </c>
      <c r="AC831" t="s">
        <v>94</v>
      </c>
      <c r="AD831" t="s">
        <v>48</v>
      </c>
      <c r="AE831">
        <v>0</v>
      </c>
      <c r="AF831">
        <v>7.94</v>
      </c>
      <c r="AG831" t="s">
        <v>59</v>
      </c>
      <c r="AH831">
        <v>863266</v>
      </c>
      <c r="AI831" t="s">
        <v>60</v>
      </c>
      <c r="AJ831" t="s">
        <v>60</v>
      </c>
      <c r="AK831" t="s">
        <v>54</v>
      </c>
      <c r="AL831">
        <v>2023</v>
      </c>
      <c r="AM831" s="6" t="s">
        <v>923</v>
      </c>
      <c r="AN831" s="7">
        <v>138.02000000000001</v>
      </c>
      <c r="AO831" s="8">
        <f t="shared" si="39"/>
        <v>258.78750000000002</v>
      </c>
      <c r="AP831" s="8">
        <f t="shared" si="40"/>
        <v>287.51291250000003</v>
      </c>
      <c r="AQ831" s="9">
        <f t="shared" si="38"/>
        <v>419.20987124999999</v>
      </c>
    </row>
    <row r="832" spans="1:43" x14ac:dyDescent="0.25">
      <c r="A832">
        <v>3</v>
      </c>
      <c r="B832">
        <v>4</v>
      </c>
      <c r="C832">
        <v>2024</v>
      </c>
      <c r="D832" t="s">
        <v>43</v>
      </c>
      <c r="E832" t="s">
        <v>73</v>
      </c>
      <c r="F832" t="s">
        <v>74</v>
      </c>
      <c r="G832">
        <v>50</v>
      </c>
      <c r="H832">
        <v>1791882490001</v>
      </c>
      <c r="I832" t="s">
        <v>46</v>
      </c>
      <c r="J832" t="s">
        <v>133</v>
      </c>
      <c r="K832" t="s">
        <v>48</v>
      </c>
      <c r="L832" t="s">
        <v>49</v>
      </c>
      <c r="M832" t="s">
        <v>50</v>
      </c>
      <c r="N832" t="s">
        <v>51</v>
      </c>
      <c r="O832">
        <v>8421999000</v>
      </c>
      <c r="P832" t="s">
        <v>66</v>
      </c>
      <c r="Q832" t="s">
        <v>585</v>
      </c>
      <c r="R832" t="s">
        <v>54</v>
      </c>
      <c r="S832" t="s">
        <v>55</v>
      </c>
      <c r="T832">
        <v>6</v>
      </c>
      <c r="U832">
        <v>5</v>
      </c>
      <c r="V832" t="s">
        <v>135</v>
      </c>
      <c r="W832">
        <v>0</v>
      </c>
      <c r="X832">
        <v>705.65</v>
      </c>
      <c r="Y832">
        <v>82.42</v>
      </c>
      <c r="Z832">
        <v>4.62</v>
      </c>
      <c r="AA832">
        <v>792.69</v>
      </c>
      <c r="AB832" t="s">
        <v>57</v>
      </c>
      <c r="AC832" t="s">
        <v>58</v>
      </c>
      <c r="AD832" t="s">
        <v>48</v>
      </c>
      <c r="AE832">
        <v>0</v>
      </c>
      <c r="AF832">
        <v>6.66</v>
      </c>
      <c r="AG832" t="s">
        <v>59</v>
      </c>
      <c r="AH832">
        <v>438183</v>
      </c>
      <c r="AI832" t="s">
        <v>60</v>
      </c>
      <c r="AJ832" t="s">
        <v>60</v>
      </c>
      <c r="AK832" t="s">
        <v>54</v>
      </c>
      <c r="AL832">
        <v>2024</v>
      </c>
      <c r="AM832" s="6" t="s">
        <v>923</v>
      </c>
      <c r="AN832" s="7">
        <v>141.13</v>
      </c>
      <c r="AO832" s="8">
        <f t="shared" si="39"/>
        <v>264.61874999999998</v>
      </c>
      <c r="AP832" s="8">
        <f t="shared" si="40"/>
        <v>293.99143124999995</v>
      </c>
      <c r="AQ832" s="9">
        <f t="shared" si="38"/>
        <v>428.65591312499993</v>
      </c>
    </row>
    <row r="833" spans="1:43" x14ac:dyDescent="0.25">
      <c r="A833">
        <v>12</v>
      </c>
      <c r="B833">
        <v>6</v>
      </c>
      <c r="C833">
        <v>2024</v>
      </c>
      <c r="D833" t="s">
        <v>43</v>
      </c>
      <c r="E833" t="s">
        <v>96</v>
      </c>
      <c r="F833" t="s">
        <v>97</v>
      </c>
      <c r="G833">
        <v>43</v>
      </c>
      <c r="H833">
        <v>1791882490001</v>
      </c>
      <c r="I833" t="s">
        <v>46</v>
      </c>
      <c r="J833" t="s">
        <v>133</v>
      </c>
      <c r="K833" t="s">
        <v>48</v>
      </c>
      <c r="L833" t="s">
        <v>49</v>
      </c>
      <c r="M833" t="s">
        <v>50</v>
      </c>
      <c r="N833" t="s">
        <v>51</v>
      </c>
      <c r="O833">
        <v>8421999000</v>
      </c>
      <c r="P833" t="s">
        <v>66</v>
      </c>
      <c r="Q833" t="s">
        <v>924</v>
      </c>
      <c r="R833" t="s">
        <v>54</v>
      </c>
      <c r="S833" t="s">
        <v>55</v>
      </c>
      <c r="T833">
        <v>7</v>
      </c>
      <c r="U833">
        <v>4</v>
      </c>
      <c r="V833" t="s">
        <v>135</v>
      </c>
      <c r="W833">
        <v>0</v>
      </c>
      <c r="X833">
        <v>552.72</v>
      </c>
      <c r="Y833">
        <v>47.94</v>
      </c>
      <c r="Z833">
        <v>3.72</v>
      </c>
      <c r="AA833">
        <v>604.38</v>
      </c>
      <c r="AB833" t="s">
        <v>57</v>
      </c>
      <c r="AC833" t="s">
        <v>94</v>
      </c>
      <c r="AD833" t="s">
        <v>48</v>
      </c>
      <c r="AE833">
        <v>0</v>
      </c>
      <c r="AF833">
        <v>7.2</v>
      </c>
      <c r="AG833" t="s">
        <v>59</v>
      </c>
      <c r="AH833" t="s">
        <v>98</v>
      </c>
      <c r="AI833" t="s">
        <v>60</v>
      </c>
      <c r="AJ833" t="s">
        <v>60</v>
      </c>
      <c r="AK833" t="s">
        <v>54</v>
      </c>
      <c r="AL833">
        <v>2024</v>
      </c>
      <c r="AM833" s="6" t="s">
        <v>923</v>
      </c>
      <c r="AN833" s="7">
        <v>138.18</v>
      </c>
      <c r="AO833" s="8">
        <f t="shared" si="39"/>
        <v>259.08750000000003</v>
      </c>
      <c r="AP833" s="8">
        <f t="shared" si="40"/>
        <v>287.84621250000004</v>
      </c>
      <c r="AQ833" s="9">
        <f t="shared" si="38"/>
        <v>419.69584125</v>
      </c>
    </row>
    <row r="834" spans="1:43" x14ac:dyDescent="0.25">
      <c r="A834">
        <v>8</v>
      </c>
      <c r="B834">
        <v>7</v>
      </c>
      <c r="C834">
        <v>2024</v>
      </c>
      <c r="D834" t="s">
        <v>43</v>
      </c>
      <c r="E834" t="s">
        <v>75</v>
      </c>
      <c r="F834" t="s">
        <v>76</v>
      </c>
      <c r="G834">
        <v>69</v>
      </c>
      <c r="H834">
        <v>1791882490001</v>
      </c>
      <c r="I834" t="s">
        <v>46</v>
      </c>
      <c r="J834" t="s">
        <v>133</v>
      </c>
      <c r="K834" t="s">
        <v>48</v>
      </c>
      <c r="L834" t="s">
        <v>49</v>
      </c>
      <c r="M834" t="s">
        <v>50</v>
      </c>
      <c r="N834" t="s">
        <v>51</v>
      </c>
      <c r="O834">
        <v>8421999000</v>
      </c>
      <c r="P834" t="s">
        <v>66</v>
      </c>
      <c r="Q834" t="s">
        <v>585</v>
      </c>
      <c r="R834" t="s">
        <v>54</v>
      </c>
      <c r="S834" t="s">
        <v>55</v>
      </c>
      <c r="T834">
        <v>8</v>
      </c>
      <c r="U834">
        <v>3</v>
      </c>
      <c r="V834" t="s">
        <v>135</v>
      </c>
      <c r="W834">
        <v>0</v>
      </c>
      <c r="X834">
        <v>426.73</v>
      </c>
      <c r="Y834">
        <v>36.44</v>
      </c>
      <c r="Z834">
        <v>2.78</v>
      </c>
      <c r="AA834">
        <v>465.95</v>
      </c>
      <c r="AB834" t="s">
        <v>57</v>
      </c>
      <c r="AC834" t="s">
        <v>77</v>
      </c>
      <c r="AD834" t="s">
        <v>48</v>
      </c>
      <c r="AE834">
        <v>0</v>
      </c>
      <c r="AF834">
        <v>2.82</v>
      </c>
      <c r="AG834" t="s">
        <v>59</v>
      </c>
      <c r="AH834">
        <v>107711</v>
      </c>
      <c r="AI834" t="s">
        <v>60</v>
      </c>
      <c r="AJ834" t="s">
        <v>78</v>
      </c>
      <c r="AK834" t="s">
        <v>54</v>
      </c>
      <c r="AL834">
        <v>2024</v>
      </c>
      <c r="AM834" s="6" t="s">
        <v>923</v>
      </c>
      <c r="AN834" s="7">
        <v>142.24</v>
      </c>
      <c r="AO834" s="8">
        <f t="shared" si="39"/>
        <v>266.70000000000005</v>
      </c>
      <c r="AP834" s="8">
        <f t="shared" si="40"/>
        <v>296.30370000000005</v>
      </c>
      <c r="AQ834" s="9">
        <f t="shared" si="38"/>
        <v>432.02733000000006</v>
      </c>
    </row>
    <row r="835" spans="1:43" x14ac:dyDescent="0.25">
      <c r="A835">
        <v>8</v>
      </c>
      <c r="B835">
        <v>7</v>
      </c>
      <c r="C835">
        <v>2024</v>
      </c>
      <c r="D835" t="s">
        <v>43</v>
      </c>
      <c r="E835" t="s">
        <v>75</v>
      </c>
      <c r="F835" t="s">
        <v>76</v>
      </c>
      <c r="G835">
        <v>69</v>
      </c>
      <c r="H835">
        <v>1791882490001</v>
      </c>
      <c r="I835" t="s">
        <v>46</v>
      </c>
      <c r="J835" t="s">
        <v>133</v>
      </c>
      <c r="K835" t="s">
        <v>48</v>
      </c>
      <c r="L835" t="s">
        <v>49</v>
      </c>
      <c r="M835" t="s">
        <v>50</v>
      </c>
      <c r="N835" t="s">
        <v>51</v>
      </c>
      <c r="O835">
        <v>8421999000</v>
      </c>
      <c r="P835" t="s">
        <v>66</v>
      </c>
      <c r="Q835" t="s">
        <v>585</v>
      </c>
      <c r="R835" t="s">
        <v>54</v>
      </c>
      <c r="S835" t="s">
        <v>55</v>
      </c>
      <c r="T835">
        <v>8</v>
      </c>
      <c r="U835">
        <v>3</v>
      </c>
      <c r="V835" t="s">
        <v>135</v>
      </c>
      <c r="W835">
        <v>0</v>
      </c>
      <c r="X835">
        <v>426.73</v>
      </c>
      <c r="Y835">
        <v>36.44</v>
      </c>
      <c r="Z835">
        <v>2.78</v>
      </c>
      <c r="AA835">
        <v>465.95</v>
      </c>
      <c r="AB835" t="s">
        <v>57</v>
      </c>
      <c r="AC835" t="s">
        <v>77</v>
      </c>
      <c r="AD835" t="s">
        <v>48</v>
      </c>
      <c r="AE835">
        <v>0</v>
      </c>
      <c r="AF835">
        <v>2.82</v>
      </c>
      <c r="AG835" t="s">
        <v>59</v>
      </c>
      <c r="AH835">
        <v>107711</v>
      </c>
      <c r="AI835" t="s">
        <v>60</v>
      </c>
      <c r="AJ835" t="s">
        <v>78</v>
      </c>
      <c r="AK835" t="s">
        <v>54</v>
      </c>
      <c r="AL835">
        <v>2024</v>
      </c>
      <c r="AM835" s="6" t="s">
        <v>923</v>
      </c>
      <c r="AN835" s="7">
        <v>142.24</v>
      </c>
      <c r="AO835" s="8">
        <f t="shared" si="39"/>
        <v>266.70000000000005</v>
      </c>
      <c r="AP835" s="8">
        <f t="shared" si="40"/>
        <v>296.30370000000005</v>
      </c>
      <c r="AQ835" s="9">
        <f t="shared" ref="AQ835:AQ898" si="41">SUM(AO835)*1.6199</f>
        <v>432.02733000000006</v>
      </c>
    </row>
    <row r="836" spans="1:43" x14ac:dyDescent="0.25">
      <c r="A836">
        <v>26</v>
      </c>
      <c r="B836">
        <v>12</v>
      </c>
      <c r="C836">
        <v>2024</v>
      </c>
      <c r="D836" t="s">
        <v>43</v>
      </c>
      <c r="E836" t="s">
        <v>222</v>
      </c>
      <c r="F836" t="s">
        <v>223</v>
      </c>
      <c r="G836">
        <v>40</v>
      </c>
      <c r="H836">
        <v>1791882490001</v>
      </c>
      <c r="I836" t="s">
        <v>46</v>
      </c>
      <c r="J836" t="s">
        <v>133</v>
      </c>
      <c r="K836" t="s">
        <v>48</v>
      </c>
      <c r="L836" t="s">
        <v>49</v>
      </c>
      <c r="M836" t="s">
        <v>50</v>
      </c>
      <c r="N836" t="s">
        <v>224</v>
      </c>
      <c r="O836">
        <v>8421999000</v>
      </c>
      <c r="P836" t="s">
        <v>52</v>
      </c>
      <c r="Q836" t="s">
        <v>925</v>
      </c>
      <c r="R836" t="s">
        <v>54</v>
      </c>
      <c r="S836" t="s">
        <v>55</v>
      </c>
      <c r="T836">
        <v>8</v>
      </c>
      <c r="U836">
        <v>3</v>
      </c>
      <c r="V836" t="s">
        <v>135</v>
      </c>
      <c r="W836">
        <v>0</v>
      </c>
      <c r="X836">
        <v>420.13</v>
      </c>
      <c r="Y836">
        <v>87.01</v>
      </c>
      <c r="Z836">
        <v>4.2</v>
      </c>
      <c r="AA836">
        <v>511.33</v>
      </c>
      <c r="AB836" t="s">
        <v>57</v>
      </c>
      <c r="AC836" t="s">
        <v>225</v>
      </c>
      <c r="AD836" t="s">
        <v>48</v>
      </c>
      <c r="AE836">
        <v>0</v>
      </c>
      <c r="AF836">
        <v>6.18</v>
      </c>
      <c r="AG836" t="s">
        <v>59</v>
      </c>
      <c r="AH836">
        <v>341996</v>
      </c>
      <c r="AI836" t="s">
        <v>60</v>
      </c>
      <c r="AJ836" t="s">
        <v>60</v>
      </c>
      <c r="AK836" t="s">
        <v>54</v>
      </c>
      <c r="AL836">
        <v>2024</v>
      </c>
      <c r="AM836" s="6" t="s">
        <v>923</v>
      </c>
      <c r="AN836" s="7">
        <v>140.04</v>
      </c>
      <c r="AO836" s="8">
        <f t="shared" si="39"/>
        <v>262.57499999999999</v>
      </c>
      <c r="AP836" s="8">
        <f t="shared" si="40"/>
        <v>291.72082499999999</v>
      </c>
      <c r="AQ836" s="9">
        <f t="shared" si="41"/>
        <v>425.34524249999993</v>
      </c>
    </row>
    <row r="837" spans="1:43" x14ac:dyDescent="0.25">
      <c r="A837">
        <v>1</v>
      </c>
      <c r="B837">
        <v>2</v>
      </c>
      <c r="C837">
        <v>2024</v>
      </c>
      <c r="D837" t="s">
        <v>43</v>
      </c>
      <c r="E837" t="s">
        <v>174</v>
      </c>
      <c r="F837" t="s">
        <v>175</v>
      </c>
      <c r="G837">
        <v>38</v>
      </c>
      <c r="H837">
        <v>1791882490001</v>
      </c>
      <c r="I837" t="s">
        <v>46</v>
      </c>
      <c r="J837" t="s">
        <v>133</v>
      </c>
      <c r="K837" t="s">
        <v>48</v>
      </c>
      <c r="L837" t="s">
        <v>49</v>
      </c>
      <c r="M837" t="s">
        <v>50</v>
      </c>
      <c r="N837" t="s">
        <v>51</v>
      </c>
      <c r="O837">
        <v>8421999000</v>
      </c>
      <c r="P837" t="s">
        <v>66</v>
      </c>
      <c r="Q837" t="s">
        <v>585</v>
      </c>
      <c r="R837" t="s">
        <v>54</v>
      </c>
      <c r="S837" t="s">
        <v>55</v>
      </c>
      <c r="T837">
        <v>5</v>
      </c>
      <c r="U837">
        <v>6</v>
      </c>
      <c r="V837" t="s">
        <v>135</v>
      </c>
      <c r="W837">
        <v>0</v>
      </c>
      <c r="X837">
        <v>1347.62</v>
      </c>
      <c r="Y837">
        <v>100.18</v>
      </c>
      <c r="Z837">
        <v>8.0500000000000007</v>
      </c>
      <c r="AA837">
        <v>1455.85</v>
      </c>
      <c r="AB837" t="s">
        <v>54</v>
      </c>
      <c r="AC837" t="s">
        <v>94</v>
      </c>
      <c r="AD837" t="s">
        <v>48</v>
      </c>
      <c r="AE837">
        <v>0</v>
      </c>
      <c r="AF837">
        <v>11.91</v>
      </c>
      <c r="AG837" t="s">
        <v>59</v>
      </c>
      <c r="AH837">
        <v>863266</v>
      </c>
      <c r="AI837" t="s">
        <v>60</v>
      </c>
      <c r="AJ837" t="s">
        <v>60</v>
      </c>
      <c r="AK837" t="s">
        <v>54</v>
      </c>
      <c r="AL837">
        <v>2023</v>
      </c>
      <c r="AM837" s="6" t="s">
        <v>926</v>
      </c>
      <c r="AN837" s="7">
        <v>224.6</v>
      </c>
      <c r="AO837" s="8">
        <f t="shared" si="39"/>
        <v>421.125</v>
      </c>
      <c r="AP837" s="8">
        <f t="shared" si="40"/>
        <v>467.86987499999998</v>
      </c>
      <c r="AQ837" s="9">
        <f t="shared" si="41"/>
        <v>682.18038749999994</v>
      </c>
    </row>
    <row r="838" spans="1:43" x14ac:dyDescent="0.25">
      <c r="A838">
        <v>13</v>
      </c>
      <c r="B838">
        <v>3</v>
      </c>
      <c r="C838">
        <v>2024</v>
      </c>
      <c r="D838" t="s">
        <v>43</v>
      </c>
      <c r="E838" t="s">
        <v>69</v>
      </c>
      <c r="F838" t="s">
        <v>70</v>
      </c>
      <c r="G838">
        <v>44</v>
      </c>
      <c r="H838">
        <v>1791882490001</v>
      </c>
      <c r="I838" t="s">
        <v>46</v>
      </c>
      <c r="J838" t="s">
        <v>133</v>
      </c>
      <c r="K838" t="s">
        <v>48</v>
      </c>
      <c r="L838" t="s">
        <v>49</v>
      </c>
      <c r="M838" t="s">
        <v>50</v>
      </c>
      <c r="N838" t="s">
        <v>51</v>
      </c>
      <c r="O838">
        <v>8421999000</v>
      </c>
      <c r="P838" t="s">
        <v>66</v>
      </c>
      <c r="Q838" t="s">
        <v>585</v>
      </c>
      <c r="R838" t="s">
        <v>54</v>
      </c>
      <c r="S838" t="s">
        <v>55</v>
      </c>
      <c r="T838">
        <v>11</v>
      </c>
      <c r="U838">
        <v>2</v>
      </c>
      <c r="V838" t="s">
        <v>135</v>
      </c>
      <c r="W838">
        <v>0</v>
      </c>
      <c r="X838">
        <v>450.9</v>
      </c>
      <c r="Y838">
        <v>59.04</v>
      </c>
      <c r="Z838">
        <v>3.03</v>
      </c>
      <c r="AA838">
        <v>512.98</v>
      </c>
      <c r="AB838" t="s">
        <v>54</v>
      </c>
      <c r="AC838" t="s">
        <v>71</v>
      </c>
      <c r="AD838" t="s">
        <v>48</v>
      </c>
      <c r="AE838">
        <v>0</v>
      </c>
      <c r="AF838">
        <v>4.08</v>
      </c>
      <c r="AG838" t="s">
        <v>59</v>
      </c>
      <c r="AH838">
        <v>895279</v>
      </c>
      <c r="AI838" t="s">
        <v>60</v>
      </c>
      <c r="AJ838" t="s">
        <v>60</v>
      </c>
      <c r="AK838" t="s">
        <v>54</v>
      </c>
      <c r="AL838">
        <v>2024</v>
      </c>
      <c r="AM838" s="6" t="s">
        <v>926</v>
      </c>
      <c r="AN838" s="7">
        <v>225.45</v>
      </c>
      <c r="AO838" s="8">
        <f t="shared" si="39"/>
        <v>422.71875</v>
      </c>
      <c r="AP838" s="8">
        <f t="shared" si="40"/>
        <v>469.64053124999998</v>
      </c>
      <c r="AQ838" s="9">
        <f t="shared" si="41"/>
        <v>684.76210312499995</v>
      </c>
    </row>
    <row r="839" spans="1:43" x14ac:dyDescent="0.25">
      <c r="A839">
        <v>11</v>
      </c>
      <c r="B839">
        <v>7</v>
      </c>
      <c r="C839">
        <v>2024</v>
      </c>
      <c r="D839" t="s">
        <v>43</v>
      </c>
      <c r="E839" t="s">
        <v>116</v>
      </c>
      <c r="F839" t="s">
        <v>117</v>
      </c>
      <c r="G839">
        <v>26</v>
      </c>
      <c r="H839">
        <v>1791882490001</v>
      </c>
      <c r="I839" t="s">
        <v>46</v>
      </c>
      <c r="J839" t="s">
        <v>133</v>
      </c>
      <c r="K839" t="s">
        <v>48</v>
      </c>
      <c r="L839" t="s">
        <v>119</v>
      </c>
      <c r="M839" t="s">
        <v>120</v>
      </c>
      <c r="N839" t="s">
        <v>121</v>
      </c>
      <c r="O839">
        <v>8421999000</v>
      </c>
      <c r="P839" t="s">
        <v>66</v>
      </c>
      <c r="Q839" t="s">
        <v>585</v>
      </c>
      <c r="R839" t="s">
        <v>54</v>
      </c>
      <c r="S839" t="s">
        <v>55</v>
      </c>
      <c r="T839">
        <v>9</v>
      </c>
      <c r="U839">
        <v>6</v>
      </c>
      <c r="V839" t="s">
        <v>135</v>
      </c>
      <c r="W839">
        <v>0</v>
      </c>
      <c r="X839">
        <v>1344.28</v>
      </c>
      <c r="Y839">
        <v>121.06</v>
      </c>
      <c r="Z839">
        <v>9.0299999999999994</v>
      </c>
      <c r="AA839">
        <v>1474.37</v>
      </c>
      <c r="AB839" t="s">
        <v>124</v>
      </c>
      <c r="AC839" t="s">
        <v>125</v>
      </c>
      <c r="AD839" t="s">
        <v>48</v>
      </c>
      <c r="AE839">
        <v>0</v>
      </c>
      <c r="AF839">
        <v>12.1</v>
      </c>
      <c r="AG839" t="s">
        <v>59</v>
      </c>
      <c r="AH839">
        <v>486256</v>
      </c>
      <c r="AI839" t="s">
        <v>60</v>
      </c>
      <c r="AJ839" t="s">
        <v>78</v>
      </c>
      <c r="AK839" t="s">
        <v>54</v>
      </c>
      <c r="AL839">
        <v>2024</v>
      </c>
      <c r="AM839" s="6" t="s">
        <v>926</v>
      </c>
      <c r="AN839" s="7">
        <v>224.05</v>
      </c>
      <c r="AO839" s="8">
        <f t="shared" si="39"/>
        <v>420.09375</v>
      </c>
      <c r="AP839" s="8">
        <f t="shared" si="40"/>
        <v>466.72415625000002</v>
      </c>
      <c r="AQ839" s="9">
        <f t="shared" si="41"/>
        <v>680.50986562499997</v>
      </c>
    </row>
    <row r="840" spans="1:43" x14ac:dyDescent="0.25">
      <c r="A840">
        <v>17</v>
      </c>
      <c r="B840">
        <v>5</v>
      </c>
      <c r="C840">
        <v>2024</v>
      </c>
      <c r="D840" t="s">
        <v>43</v>
      </c>
      <c r="E840" t="s">
        <v>79</v>
      </c>
      <c r="F840" t="s">
        <v>80</v>
      </c>
      <c r="G840">
        <v>52</v>
      </c>
      <c r="H840">
        <v>1791882490001</v>
      </c>
      <c r="I840" t="s">
        <v>46</v>
      </c>
      <c r="J840" t="s">
        <v>133</v>
      </c>
      <c r="K840" t="s">
        <v>48</v>
      </c>
      <c r="L840" t="s">
        <v>49</v>
      </c>
      <c r="M840" t="s">
        <v>50</v>
      </c>
      <c r="N840" t="s">
        <v>51</v>
      </c>
      <c r="O840">
        <v>8421999000</v>
      </c>
      <c r="P840" t="s">
        <v>66</v>
      </c>
      <c r="Q840" t="s">
        <v>927</v>
      </c>
      <c r="R840" t="s">
        <v>54</v>
      </c>
      <c r="S840" t="s">
        <v>55</v>
      </c>
      <c r="T840">
        <v>6</v>
      </c>
      <c r="U840">
        <v>1</v>
      </c>
      <c r="V840" t="s">
        <v>135</v>
      </c>
      <c r="W840">
        <v>0</v>
      </c>
      <c r="X840">
        <v>259.36</v>
      </c>
      <c r="Y840">
        <v>25.04</v>
      </c>
      <c r="Z840">
        <v>1.73</v>
      </c>
      <c r="AA840">
        <v>286.12</v>
      </c>
      <c r="AB840" t="s">
        <v>57</v>
      </c>
      <c r="AC840" t="s">
        <v>81</v>
      </c>
      <c r="AD840" t="s">
        <v>48</v>
      </c>
      <c r="AE840">
        <v>0</v>
      </c>
      <c r="AF840">
        <v>1.08</v>
      </c>
      <c r="AG840" t="s">
        <v>82</v>
      </c>
      <c r="AH840">
        <v>471463</v>
      </c>
      <c r="AI840" t="s">
        <v>60</v>
      </c>
      <c r="AJ840" t="s">
        <v>60</v>
      </c>
      <c r="AK840" t="s">
        <v>54</v>
      </c>
      <c r="AL840">
        <v>2024</v>
      </c>
      <c r="AM840" s="6" t="s">
        <v>928</v>
      </c>
      <c r="AN840" s="7">
        <v>259.36</v>
      </c>
      <c r="AO840" s="8">
        <f t="shared" si="39"/>
        <v>486.3</v>
      </c>
      <c r="AP840" s="8">
        <f t="shared" si="40"/>
        <v>540.27930000000003</v>
      </c>
      <c r="AQ840" s="9">
        <f t="shared" si="41"/>
        <v>787.75736999999992</v>
      </c>
    </row>
    <row r="841" spans="1:43" x14ac:dyDescent="0.25">
      <c r="A841">
        <v>3</v>
      </c>
      <c r="B841">
        <v>4</v>
      </c>
      <c r="C841">
        <v>2024</v>
      </c>
      <c r="D841" t="s">
        <v>43</v>
      </c>
      <c r="E841" t="s">
        <v>73</v>
      </c>
      <c r="F841" t="s">
        <v>74</v>
      </c>
      <c r="G841">
        <v>51</v>
      </c>
      <c r="H841">
        <v>1791882490001</v>
      </c>
      <c r="I841" t="s">
        <v>46</v>
      </c>
      <c r="J841" t="s">
        <v>133</v>
      </c>
      <c r="K841" t="s">
        <v>48</v>
      </c>
      <c r="L841" t="s">
        <v>49</v>
      </c>
      <c r="M841" t="s">
        <v>50</v>
      </c>
      <c r="N841" t="s">
        <v>51</v>
      </c>
      <c r="O841">
        <v>8421999000</v>
      </c>
      <c r="P841" t="s">
        <v>66</v>
      </c>
      <c r="Q841" t="s">
        <v>585</v>
      </c>
      <c r="R841" t="s">
        <v>54</v>
      </c>
      <c r="S841" t="s">
        <v>55</v>
      </c>
      <c r="T841">
        <v>6</v>
      </c>
      <c r="U841">
        <v>1</v>
      </c>
      <c r="V841" t="s">
        <v>135</v>
      </c>
      <c r="W841">
        <v>0</v>
      </c>
      <c r="X841">
        <v>287.87</v>
      </c>
      <c r="Y841">
        <v>33.630000000000003</v>
      </c>
      <c r="Z841">
        <v>1.88</v>
      </c>
      <c r="AA841">
        <v>323.38</v>
      </c>
      <c r="AB841" t="s">
        <v>57</v>
      </c>
      <c r="AC841" t="s">
        <v>58</v>
      </c>
      <c r="AD841" t="s">
        <v>48</v>
      </c>
      <c r="AE841">
        <v>0</v>
      </c>
      <c r="AF841">
        <v>1.33</v>
      </c>
      <c r="AG841" t="s">
        <v>59</v>
      </c>
      <c r="AH841">
        <v>438183</v>
      </c>
      <c r="AI841" t="s">
        <v>60</v>
      </c>
      <c r="AJ841" t="s">
        <v>60</v>
      </c>
      <c r="AK841" t="s">
        <v>54</v>
      </c>
      <c r="AL841">
        <v>2024</v>
      </c>
      <c r="AM841" s="6" t="s">
        <v>929</v>
      </c>
      <c r="AN841" s="7">
        <v>287.87</v>
      </c>
      <c r="AO841" s="8">
        <f t="shared" si="39"/>
        <v>539.75625000000002</v>
      </c>
      <c r="AP841" s="8">
        <f t="shared" si="40"/>
        <v>599.66919374999998</v>
      </c>
      <c r="AQ841" s="9">
        <f t="shared" si="41"/>
        <v>874.35114937499998</v>
      </c>
    </row>
    <row r="842" spans="1:43" x14ac:dyDescent="0.25">
      <c r="A842">
        <v>17</v>
      </c>
      <c r="B842">
        <v>5</v>
      </c>
      <c r="C842">
        <v>2024</v>
      </c>
      <c r="D842" t="s">
        <v>43</v>
      </c>
      <c r="E842" t="s">
        <v>79</v>
      </c>
      <c r="F842" t="s">
        <v>80</v>
      </c>
      <c r="G842">
        <v>53</v>
      </c>
      <c r="H842">
        <v>1791882490001</v>
      </c>
      <c r="I842" t="s">
        <v>46</v>
      </c>
      <c r="J842" t="s">
        <v>133</v>
      </c>
      <c r="K842" t="s">
        <v>48</v>
      </c>
      <c r="L842" t="s">
        <v>49</v>
      </c>
      <c r="M842" t="s">
        <v>50</v>
      </c>
      <c r="N842" t="s">
        <v>51</v>
      </c>
      <c r="O842">
        <v>8421999000</v>
      </c>
      <c r="P842" t="s">
        <v>66</v>
      </c>
      <c r="Q842" t="s">
        <v>927</v>
      </c>
      <c r="R842" t="s">
        <v>54</v>
      </c>
      <c r="S842" t="s">
        <v>55</v>
      </c>
      <c r="T842">
        <v>6</v>
      </c>
      <c r="U842">
        <v>2</v>
      </c>
      <c r="V842" t="s">
        <v>135</v>
      </c>
      <c r="W842">
        <v>0</v>
      </c>
      <c r="X842">
        <v>572.99</v>
      </c>
      <c r="Y842">
        <v>55.32</v>
      </c>
      <c r="Z842">
        <v>3.82</v>
      </c>
      <c r="AA842">
        <v>632.13</v>
      </c>
      <c r="AB842" t="s">
        <v>57</v>
      </c>
      <c r="AC842" t="s">
        <v>81</v>
      </c>
      <c r="AD842" t="s">
        <v>48</v>
      </c>
      <c r="AE842">
        <v>0</v>
      </c>
      <c r="AF842">
        <v>2.16</v>
      </c>
      <c r="AG842" t="s">
        <v>82</v>
      </c>
      <c r="AH842">
        <v>471463</v>
      </c>
      <c r="AI842" t="s">
        <v>60</v>
      </c>
      <c r="AJ842" t="s">
        <v>60</v>
      </c>
      <c r="AK842" t="s">
        <v>54</v>
      </c>
      <c r="AL842">
        <v>2024</v>
      </c>
      <c r="AM842" s="6" t="s">
        <v>929</v>
      </c>
      <c r="AN842" s="7">
        <v>286.5</v>
      </c>
      <c r="AO842" s="8">
        <f t="shared" si="39"/>
        <v>537.1875</v>
      </c>
      <c r="AP842" s="8">
        <f t="shared" si="40"/>
        <v>596.8153125</v>
      </c>
      <c r="AQ842" s="9">
        <f t="shared" si="41"/>
        <v>870.19003124999995</v>
      </c>
    </row>
    <row r="843" spans="1:43" x14ac:dyDescent="0.25">
      <c r="A843">
        <v>13</v>
      </c>
      <c r="B843">
        <v>3</v>
      </c>
      <c r="C843">
        <v>2024</v>
      </c>
      <c r="D843" t="s">
        <v>43</v>
      </c>
      <c r="E843" t="s">
        <v>69</v>
      </c>
      <c r="F843" t="s">
        <v>70</v>
      </c>
      <c r="G843">
        <v>45</v>
      </c>
      <c r="H843">
        <v>1791882490001</v>
      </c>
      <c r="I843" t="s">
        <v>46</v>
      </c>
      <c r="J843" t="s">
        <v>133</v>
      </c>
      <c r="K843" t="s">
        <v>48</v>
      </c>
      <c r="L843" t="s">
        <v>49</v>
      </c>
      <c r="M843" t="s">
        <v>50</v>
      </c>
      <c r="N843" t="s">
        <v>51</v>
      </c>
      <c r="O843">
        <v>8421999000</v>
      </c>
      <c r="P843" t="s">
        <v>66</v>
      </c>
      <c r="Q843" t="s">
        <v>585</v>
      </c>
      <c r="R843" t="s">
        <v>54</v>
      </c>
      <c r="S843" t="s">
        <v>55</v>
      </c>
      <c r="T843">
        <v>11</v>
      </c>
      <c r="U843">
        <v>4</v>
      </c>
      <c r="V843" t="s">
        <v>135</v>
      </c>
      <c r="W843">
        <v>0</v>
      </c>
      <c r="X843">
        <v>1456.23</v>
      </c>
      <c r="Y843">
        <v>190.69</v>
      </c>
      <c r="Z843">
        <v>9.8000000000000007</v>
      </c>
      <c r="AA843">
        <v>1656.72</v>
      </c>
      <c r="AB843" t="s">
        <v>54</v>
      </c>
      <c r="AC843" t="s">
        <v>71</v>
      </c>
      <c r="AD843" t="s">
        <v>48</v>
      </c>
      <c r="AE843">
        <v>0</v>
      </c>
      <c r="AF843">
        <v>8.16</v>
      </c>
      <c r="AG843" t="s">
        <v>59</v>
      </c>
      <c r="AH843">
        <v>895279</v>
      </c>
      <c r="AI843" t="s">
        <v>60</v>
      </c>
      <c r="AJ843" t="s">
        <v>60</v>
      </c>
      <c r="AK843" t="s">
        <v>54</v>
      </c>
      <c r="AL843">
        <v>2024</v>
      </c>
      <c r="AM843" s="6" t="s">
        <v>930</v>
      </c>
      <c r="AN843" s="7">
        <v>364.06</v>
      </c>
      <c r="AO843" s="8">
        <f t="shared" si="39"/>
        <v>682.61249999999995</v>
      </c>
      <c r="AP843" s="8">
        <f t="shared" si="40"/>
        <v>758.38248749999991</v>
      </c>
      <c r="AQ843" s="9">
        <f t="shared" si="41"/>
        <v>1105.76398875</v>
      </c>
    </row>
    <row r="844" spans="1:43" x14ac:dyDescent="0.25">
      <c r="A844">
        <v>3</v>
      </c>
      <c r="B844">
        <v>4</v>
      </c>
      <c r="C844">
        <v>2024</v>
      </c>
      <c r="D844" t="s">
        <v>43</v>
      </c>
      <c r="E844" t="s">
        <v>73</v>
      </c>
      <c r="F844" t="s">
        <v>74</v>
      </c>
      <c r="G844">
        <v>52</v>
      </c>
      <c r="H844">
        <v>1791882490001</v>
      </c>
      <c r="I844" t="s">
        <v>46</v>
      </c>
      <c r="J844" t="s">
        <v>133</v>
      </c>
      <c r="K844" t="s">
        <v>48</v>
      </c>
      <c r="L844" t="s">
        <v>49</v>
      </c>
      <c r="M844" t="s">
        <v>50</v>
      </c>
      <c r="N844" t="s">
        <v>51</v>
      </c>
      <c r="O844">
        <v>8421999000</v>
      </c>
      <c r="P844" t="s">
        <v>66</v>
      </c>
      <c r="Q844" t="s">
        <v>585</v>
      </c>
      <c r="R844" t="s">
        <v>54</v>
      </c>
      <c r="S844" t="s">
        <v>55</v>
      </c>
      <c r="T844">
        <v>6</v>
      </c>
      <c r="U844">
        <v>2</v>
      </c>
      <c r="V844" t="s">
        <v>135</v>
      </c>
      <c r="W844">
        <v>0</v>
      </c>
      <c r="X844">
        <v>741.71</v>
      </c>
      <c r="Y844">
        <v>86.63</v>
      </c>
      <c r="Z844">
        <v>4.8499999999999996</v>
      </c>
      <c r="AA844">
        <v>833.2</v>
      </c>
      <c r="AB844" t="s">
        <v>57</v>
      </c>
      <c r="AC844" t="s">
        <v>58</v>
      </c>
      <c r="AD844" t="s">
        <v>48</v>
      </c>
      <c r="AE844">
        <v>0</v>
      </c>
      <c r="AF844">
        <v>2.67</v>
      </c>
      <c r="AG844" t="s">
        <v>59</v>
      </c>
      <c r="AH844">
        <v>438183</v>
      </c>
      <c r="AI844" t="s">
        <v>60</v>
      </c>
      <c r="AJ844" t="s">
        <v>60</v>
      </c>
      <c r="AK844" t="s">
        <v>54</v>
      </c>
      <c r="AL844">
        <v>2024</v>
      </c>
      <c r="AM844" s="6" t="s">
        <v>930</v>
      </c>
      <c r="AN844" s="7">
        <v>370.85</v>
      </c>
      <c r="AO844" s="8">
        <f t="shared" si="39"/>
        <v>695.34375</v>
      </c>
      <c r="AP844" s="8">
        <f t="shared" si="40"/>
        <v>772.52690625000002</v>
      </c>
      <c r="AQ844" s="9">
        <f t="shared" si="41"/>
        <v>1126.387340625</v>
      </c>
    </row>
    <row r="845" spans="1:43" x14ac:dyDescent="0.25">
      <c r="A845">
        <v>10</v>
      </c>
      <c r="B845">
        <v>10</v>
      </c>
      <c r="C845">
        <v>2024</v>
      </c>
      <c r="D845" t="s">
        <v>43</v>
      </c>
      <c r="E845" t="s">
        <v>44</v>
      </c>
      <c r="F845" t="s">
        <v>45</v>
      </c>
      <c r="G845">
        <v>54</v>
      </c>
      <c r="H845">
        <v>1791882490001</v>
      </c>
      <c r="I845" t="s">
        <v>46</v>
      </c>
      <c r="J845" t="s">
        <v>133</v>
      </c>
      <c r="K845" t="s">
        <v>48</v>
      </c>
      <c r="L845" t="s">
        <v>49</v>
      </c>
      <c r="M845" t="s">
        <v>50</v>
      </c>
      <c r="N845" t="s">
        <v>51</v>
      </c>
      <c r="O845">
        <v>8421999000</v>
      </c>
      <c r="P845" t="s">
        <v>52</v>
      </c>
      <c r="Q845" t="s">
        <v>927</v>
      </c>
      <c r="R845" t="s">
        <v>54</v>
      </c>
      <c r="S845" t="s">
        <v>55</v>
      </c>
      <c r="T845">
        <v>7</v>
      </c>
      <c r="U845">
        <v>3</v>
      </c>
      <c r="V845" t="s">
        <v>135</v>
      </c>
      <c r="W845">
        <v>0</v>
      </c>
      <c r="X845">
        <v>1189.99</v>
      </c>
      <c r="Y845">
        <v>207.92</v>
      </c>
      <c r="Z845">
        <v>8.58</v>
      </c>
      <c r="AA845">
        <v>1406.49</v>
      </c>
      <c r="AB845" t="s">
        <v>57</v>
      </c>
      <c r="AC845" t="s">
        <v>58</v>
      </c>
      <c r="AD845" t="s">
        <v>48</v>
      </c>
      <c r="AE845">
        <v>0</v>
      </c>
      <c r="AF845">
        <v>12.84</v>
      </c>
      <c r="AG845" t="s">
        <v>59</v>
      </c>
      <c r="AH845">
        <v>179772</v>
      </c>
      <c r="AI845" t="s">
        <v>60</v>
      </c>
      <c r="AJ845" t="s">
        <v>60</v>
      </c>
      <c r="AK845" t="s">
        <v>54</v>
      </c>
      <c r="AL845">
        <v>2024</v>
      </c>
      <c r="AM845" s="6" t="s">
        <v>930</v>
      </c>
      <c r="AN845" s="7">
        <v>396.66</v>
      </c>
      <c r="AO845" s="8">
        <f t="shared" si="39"/>
        <v>743.73750000000007</v>
      </c>
      <c r="AP845" s="8">
        <f t="shared" si="40"/>
        <v>826.29236250000008</v>
      </c>
      <c r="AQ845" s="9">
        <f t="shared" si="41"/>
        <v>1204.78037625</v>
      </c>
    </row>
    <row r="846" spans="1:43" x14ac:dyDescent="0.25">
      <c r="A846">
        <v>19</v>
      </c>
      <c r="B846">
        <v>8</v>
      </c>
      <c r="C846">
        <v>2024</v>
      </c>
      <c r="D846" t="s">
        <v>43</v>
      </c>
      <c r="E846" t="s">
        <v>84</v>
      </c>
      <c r="F846" t="s">
        <v>85</v>
      </c>
      <c r="G846">
        <v>52</v>
      </c>
      <c r="H846">
        <v>1791882490001</v>
      </c>
      <c r="I846" t="s">
        <v>46</v>
      </c>
      <c r="J846" t="s">
        <v>133</v>
      </c>
      <c r="K846" t="s">
        <v>48</v>
      </c>
      <c r="L846" t="s">
        <v>49</v>
      </c>
      <c r="M846" t="s">
        <v>50</v>
      </c>
      <c r="N846" t="s">
        <v>51</v>
      </c>
      <c r="O846">
        <v>8421999000</v>
      </c>
      <c r="P846" t="s">
        <v>66</v>
      </c>
      <c r="Q846" t="s">
        <v>927</v>
      </c>
      <c r="R846" t="s">
        <v>54</v>
      </c>
      <c r="S846" t="s">
        <v>55</v>
      </c>
      <c r="T846">
        <v>6</v>
      </c>
      <c r="U846">
        <v>1</v>
      </c>
      <c r="V846" t="s">
        <v>135</v>
      </c>
      <c r="W846">
        <v>0</v>
      </c>
      <c r="X846">
        <v>477.93</v>
      </c>
      <c r="Y846">
        <v>61.67</v>
      </c>
      <c r="Z846">
        <v>3.27</v>
      </c>
      <c r="AA846">
        <v>542.87</v>
      </c>
      <c r="AB846" t="s">
        <v>57</v>
      </c>
      <c r="AC846" t="s">
        <v>58</v>
      </c>
      <c r="AD846" t="s">
        <v>48</v>
      </c>
      <c r="AE846">
        <v>0</v>
      </c>
      <c r="AF846">
        <v>1.39</v>
      </c>
      <c r="AG846" t="s">
        <v>59</v>
      </c>
      <c r="AH846">
        <v>144527</v>
      </c>
      <c r="AI846" t="s">
        <v>60</v>
      </c>
      <c r="AJ846" t="s">
        <v>60</v>
      </c>
      <c r="AK846" t="s">
        <v>54</v>
      </c>
      <c r="AL846">
        <v>2024</v>
      </c>
      <c r="AM846" s="6" t="s">
        <v>931</v>
      </c>
      <c r="AN846" s="7">
        <v>477.93</v>
      </c>
      <c r="AO846" s="8">
        <f t="shared" si="39"/>
        <v>896.11874999999998</v>
      </c>
      <c r="AP846" s="8">
        <f t="shared" si="40"/>
        <v>995.58793125</v>
      </c>
      <c r="AQ846" s="9">
        <f t="shared" si="41"/>
        <v>1451.6227631249999</v>
      </c>
    </row>
    <row r="847" spans="1:43" x14ac:dyDescent="0.25">
      <c r="A847">
        <v>20</v>
      </c>
      <c r="B847">
        <v>2</v>
      </c>
      <c r="C847">
        <v>2024</v>
      </c>
      <c r="D847" t="s">
        <v>43</v>
      </c>
      <c r="E847" t="s">
        <v>140</v>
      </c>
      <c r="F847" t="s">
        <v>141</v>
      </c>
      <c r="G847">
        <v>56</v>
      </c>
      <c r="H847">
        <v>1791882490001</v>
      </c>
      <c r="I847" t="s">
        <v>46</v>
      </c>
      <c r="J847" t="s">
        <v>133</v>
      </c>
      <c r="K847" t="s">
        <v>48</v>
      </c>
      <c r="L847" t="s">
        <v>49</v>
      </c>
      <c r="M847" t="s">
        <v>50</v>
      </c>
      <c r="N847" t="s">
        <v>51</v>
      </c>
      <c r="O847">
        <v>8421999000</v>
      </c>
      <c r="P847" t="s">
        <v>66</v>
      </c>
      <c r="Q847" t="s">
        <v>585</v>
      </c>
      <c r="R847" t="s">
        <v>54</v>
      </c>
      <c r="S847" t="s">
        <v>55</v>
      </c>
      <c r="T847">
        <v>6</v>
      </c>
      <c r="U847">
        <v>1</v>
      </c>
      <c r="V847" t="s">
        <v>135</v>
      </c>
      <c r="W847">
        <v>0</v>
      </c>
      <c r="X847">
        <v>617.20000000000005</v>
      </c>
      <c r="Y847">
        <v>55.39</v>
      </c>
      <c r="Z847">
        <v>4.1500000000000004</v>
      </c>
      <c r="AA847">
        <v>676.73</v>
      </c>
      <c r="AB847" t="s">
        <v>54</v>
      </c>
      <c r="AC847" t="s">
        <v>143</v>
      </c>
      <c r="AD847" t="s">
        <v>48</v>
      </c>
      <c r="AE847">
        <v>0</v>
      </c>
      <c r="AF847">
        <v>1.87</v>
      </c>
      <c r="AG847" t="s">
        <v>59</v>
      </c>
      <c r="AH847">
        <v>876053</v>
      </c>
      <c r="AI847" t="s">
        <v>60</v>
      </c>
      <c r="AJ847" t="s">
        <v>60</v>
      </c>
      <c r="AK847" t="s">
        <v>54</v>
      </c>
      <c r="AL847">
        <v>2024</v>
      </c>
      <c r="AM847" s="6" t="s">
        <v>932</v>
      </c>
      <c r="AN847" s="7">
        <v>617.20000000000005</v>
      </c>
      <c r="AO847" s="8">
        <f t="shared" si="39"/>
        <v>1157.25</v>
      </c>
      <c r="AP847" s="8">
        <f t="shared" si="40"/>
        <v>1285.7047499999999</v>
      </c>
      <c r="AQ847" s="9">
        <f t="shared" si="41"/>
        <v>1874.6292749999998</v>
      </c>
    </row>
    <row r="848" spans="1:43" x14ac:dyDescent="0.25">
      <c r="A848">
        <v>10</v>
      </c>
      <c r="B848">
        <v>10</v>
      </c>
      <c r="C848">
        <v>2024</v>
      </c>
      <c r="D848" t="s">
        <v>43</v>
      </c>
      <c r="E848" t="s">
        <v>44</v>
      </c>
      <c r="F848" t="s">
        <v>45</v>
      </c>
      <c r="G848">
        <v>55</v>
      </c>
      <c r="H848">
        <v>1791882490001</v>
      </c>
      <c r="I848" t="s">
        <v>46</v>
      </c>
      <c r="J848" t="s">
        <v>133</v>
      </c>
      <c r="K848" t="s">
        <v>48</v>
      </c>
      <c r="L848" t="s">
        <v>49</v>
      </c>
      <c r="M848" t="s">
        <v>50</v>
      </c>
      <c r="N848" t="s">
        <v>51</v>
      </c>
      <c r="O848">
        <v>8421999000</v>
      </c>
      <c r="P848" t="s">
        <v>52</v>
      </c>
      <c r="Q848" t="s">
        <v>933</v>
      </c>
      <c r="R848" t="s">
        <v>54</v>
      </c>
      <c r="S848" t="s">
        <v>55</v>
      </c>
      <c r="T848">
        <v>7</v>
      </c>
      <c r="U848">
        <v>1</v>
      </c>
      <c r="V848" t="s">
        <v>135</v>
      </c>
      <c r="W848">
        <v>0</v>
      </c>
      <c r="X848">
        <v>192.27</v>
      </c>
      <c r="Y848">
        <v>33.590000000000003</v>
      </c>
      <c r="Z848">
        <v>1.39</v>
      </c>
      <c r="AA848">
        <v>227.25</v>
      </c>
      <c r="AB848" t="s">
        <v>57</v>
      </c>
      <c r="AC848" t="s">
        <v>58</v>
      </c>
      <c r="AD848" t="s">
        <v>48</v>
      </c>
      <c r="AE848">
        <v>0</v>
      </c>
      <c r="AF848">
        <v>2.0699999999999998</v>
      </c>
      <c r="AG848" t="s">
        <v>59</v>
      </c>
      <c r="AH848">
        <v>179772</v>
      </c>
      <c r="AI848" t="s">
        <v>60</v>
      </c>
      <c r="AJ848" t="s">
        <v>60</v>
      </c>
      <c r="AK848" t="s">
        <v>54</v>
      </c>
      <c r="AL848">
        <v>2024</v>
      </c>
      <c r="AM848" s="6" t="s">
        <v>934</v>
      </c>
      <c r="AN848" s="7">
        <v>192.27</v>
      </c>
      <c r="AO848" s="8">
        <f t="shared" si="39"/>
        <v>360.50625000000002</v>
      </c>
      <c r="AP848" s="8">
        <f t="shared" si="40"/>
        <v>400.52244375000004</v>
      </c>
      <c r="AQ848" s="9">
        <f t="shared" si="41"/>
        <v>583.98407437499998</v>
      </c>
    </row>
    <row r="849" spans="1:43" x14ac:dyDescent="0.25">
      <c r="A849">
        <v>17</v>
      </c>
      <c r="B849">
        <v>5</v>
      </c>
      <c r="C849">
        <v>2024</v>
      </c>
      <c r="D849" t="s">
        <v>43</v>
      </c>
      <c r="E849" t="s">
        <v>79</v>
      </c>
      <c r="F849" t="s">
        <v>80</v>
      </c>
      <c r="G849">
        <v>54</v>
      </c>
      <c r="H849">
        <v>1791882490001</v>
      </c>
      <c r="I849" t="s">
        <v>46</v>
      </c>
      <c r="J849" t="s">
        <v>133</v>
      </c>
      <c r="K849" t="s">
        <v>48</v>
      </c>
      <c r="L849" t="s">
        <v>49</v>
      </c>
      <c r="M849" t="s">
        <v>50</v>
      </c>
      <c r="N849" t="s">
        <v>51</v>
      </c>
      <c r="O849">
        <v>8421999000</v>
      </c>
      <c r="P849" t="s">
        <v>66</v>
      </c>
      <c r="Q849" t="s">
        <v>935</v>
      </c>
      <c r="R849" t="s">
        <v>54</v>
      </c>
      <c r="S849" t="s">
        <v>55</v>
      </c>
      <c r="T849">
        <v>6</v>
      </c>
      <c r="U849">
        <v>3</v>
      </c>
      <c r="V849" t="s">
        <v>135</v>
      </c>
      <c r="W849">
        <v>0</v>
      </c>
      <c r="X849">
        <v>676.84</v>
      </c>
      <c r="Y849">
        <v>65.34</v>
      </c>
      <c r="Z849">
        <v>4.51</v>
      </c>
      <c r="AA849">
        <v>746.69</v>
      </c>
      <c r="AB849" t="s">
        <v>57</v>
      </c>
      <c r="AC849" t="s">
        <v>81</v>
      </c>
      <c r="AD849" t="s">
        <v>48</v>
      </c>
      <c r="AE849">
        <v>0</v>
      </c>
      <c r="AF849">
        <v>3.24</v>
      </c>
      <c r="AG849" t="s">
        <v>82</v>
      </c>
      <c r="AH849">
        <v>471463</v>
      </c>
      <c r="AI849" t="s">
        <v>60</v>
      </c>
      <c r="AJ849" t="s">
        <v>60</v>
      </c>
      <c r="AK849" t="s">
        <v>54</v>
      </c>
      <c r="AL849">
        <v>2024</v>
      </c>
      <c r="AM849" s="6" t="s">
        <v>936</v>
      </c>
      <c r="AN849" s="7">
        <v>225.61</v>
      </c>
      <c r="AO849" s="8">
        <f t="shared" si="39"/>
        <v>423.01875000000001</v>
      </c>
      <c r="AP849" s="8">
        <f t="shared" si="40"/>
        <v>469.97383124999999</v>
      </c>
      <c r="AQ849" s="9">
        <f t="shared" si="41"/>
        <v>685.24807312500002</v>
      </c>
    </row>
    <row r="850" spans="1:43" x14ac:dyDescent="0.25">
      <c r="A850">
        <v>2</v>
      </c>
      <c r="B850">
        <v>1</v>
      </c>
      <c r="C850">
        <v>2024</v>
      </c>
      <c r="D850" t="s">
        <v>43</v>
      </c>
      <c r="E850" t="s">
        <v>181</v>
      </c>
      <c r="F850" t="s">
        <v>182</v>
      </c>
      <c r="G850">
        <v>36</v>
      </c>
      <c r="H850">
        <v>1791882490001</v>
      </c>
      <c r="I850" t="s">
        <v>46</v>
      </c>
      <c r="J850" t="s">
        <v>133</v>
      </c>
      <c r="K850" t="s">
        <v>48</v>
      </c>
      <c r="L850" t="s">
        <v>49</v>
      </c>
      <c r="M850" t="s">
        <v>50</v>
      </c>
      <c r="N850" t="s">
        <v>51</v>
      </c>
      <c r="O850">
        <v>8421999000</v>
      </c>
      <c r="P850" t="s">
        <v>52</v>
      </c>
      <c r="Q850" t="s">
        <v>585</v>
      </c>
      <c r="R850" t="s">
        <v>54</v>
      </c>
      <c r="S850" t="s">
        <v>55</v>
      </c>
      <c r="T850">
        <v>8</v>
      </c>
      <c r="U850">
        <v>1</v>
      </c>
      <c r="V850" t="s">
        <v>135</v>
      </c>
      <c r="W850">
        <v>0</v>
      </c>
      <c r="X850">
        <v>414.25</v>
      </c>
      <c r="Y850">
        <v>84.17</v>
      </c>
      <c r="Z850">
        <v>2.66</v>
      </c>
      <c r="AA850">
        <v>501.08</v>
      </c>
      <c r="AB850" t="s">
        <v>57</v>
      </c>
      <c r="AC850" t="s">
        <v>81</v>
      </c>
      <c r="AD850" t="s">
        <v>48</v>
      </c>
      <c r="AE850">
        <v>0</v>
      </c>
      <c r="AF850">
        <v>3.24</v>
      </c>
      <c r="AG850" t="s">
        <v>59</v>
      </c>
      <c r="AH850">
        <v>413505</v>
      </c>
      <c r="AI850" t="s">
        <v>60</v>
      </c>
      <c r="AJ850" t="s">
        <v>60</v>
      </c>
      <c r="AK850" t="s">
        <v>54</v>
      </c>
      <c r="AL850">
        <v>2023</v>
      </c>
      <c r="AM850" s="6" t="s">
        <v>937</v>
      </c>
      <c r="AN850" s="7">
        <v>414.25</v>
      </c>
      <c r="AO850" s="8">
        <f t="shared" si="39"/>
        <v>776.71875</v>
      </c>
      <c r="AP850" s="8">
        <f t="shared" si="40"/>
        <v>862.93453124999996</v>
      </c>
      <c r="AQ850" s="9">
        <f t="shared" si="41"/>
        <v>1258.2067031249999</v>
      </c>
    </row>
    <row r="851" spans="1:43" x14ac:dyDescent="0.25">
      <c r="A851">
        <v>12</v>
      </c>
      <c r="B851">
        <v>6</v>
      </c>
      <c r="C851">
        <v>2024</v>
      </c>
      <c r="D851" t="s">
        <v>43</v>
      </c>
      <c r="E851" t="s">
        <v>96</v>
      </c>
      <c r="F851" t="s">
        <v>97</v>
      </c>
      <c r="G851">
        <v>44</v>
      </c>
      <c r="H851">
        <v>1791882490001</v>
      </c>
      <c r="I851" t="s">
        <v>46</v>
      </c>
      <c r="J851" t="s">
        <v>133</v>
      </c>
      <c r="K851" t="s">
        <v>48</v>
      </c>
      <c r="L851" t="s">
        <v>49</v>
      </c>
      <c r="M851" t="s">
        <v>50</v>
      </c>
      <c r="N851" t="s">
        <v>51</v>
      </c>
      <c r="O851">
        <v>8421999000</v>
      </c>
      <c r="P851" t="s">
        <v>66</v>
      </c>
      <c r="Q851" t="s">
        <v>938</v>
      </c>
      <c r="R851" t="s">
        <v>54</v>
      </c>
      <c r="S851" t="s">
        <v>55</v>
      </c>
      <c r="T851">
        <v>7</v>
      </c>
      <c r="U851">
        <v>1</v>
      </c>
      <c r="V851" t="s">
        <v>135</v>
      </c>
      <c r="W851">
        <v>0</v>
      </c>
      <c r="X851">
        <v>321.91000000000003</v>
      </c>
      <c r="Y851">
        <v>27.92</v>
      </c>
      <c r="Z851">
        <v>2.17</v>
      </c>
      <c r="AA851">
        <v>352</v>
      </c>
      <c r="AB851" t="s">
        <v>57</v>
      </c>
      <c r="AC851" t="s">
        <v>94</v>
      </c>
      <c r="AD851" t="s">
        <v>48</v>
      </c>
      <c r="AE851">
        <v>0</v>
      </c>
      <c r="AF851">
        <v>1.8</v>
      </c>
      <c r="AG851" t="s">
        <v>59</v>
      </c>
      <c r="AH851" t="s">
        <v>98</v>
      </c>
      <c r="AI851" t="s">
        <v>60</v>
      </c>
      <c r="AJ851" t="s">
        <v>60</v>
      </c>
      <c r="AK851" t="s">
        <v>54</v>
      </c>
      <c r="AL851">
        <v>2024</v>
      </c>
      <c r="AM851" s="6" t="s">
        <v>937</v>
      </c>
      <c r="AN851" s="7">
        <v>321.91000000000003</v>
      </c>
      <c r="AO851" s="8">
        <f t="shared" si="39"/>
        <v>603.58125000000007</v>
      </c>
      <c r="AP851" s="8">
        <f t="shared" si="40"/>
        <v>670.57876875000011</v>
      </c>
      <c r="AQ851" s="9">
        <f t="shared" si="41"/>
        <v>977.74126687500006</v>
      </c>
    </row>
    <row r="852" spans="1:43" x14ac:dyDescent="0.25">
      <c r="A852">
        <v>19</v>
      </c>
      <c r="B852">
        <v>8</v>
      </c>
      <c r="C852">
        <v>2024</v>
      </c>
      <c r="D852" t="s">
        <v>43</v>
      </c>
      <c r="E852" t="s">
        <v>84</v>
      </c>
      <c r="F852" t="s">
        <v>85</v>
      </c>
      <c r="G852">
        <v>53</v>
      </c>
      <c r="H852">
        <v>1791882490001</v>
      </c>
      <c r="I852" t="s">
        <v>46</v>
      </c>
      <c r="J852" t="s">
        <v>133</v>
      </c>
      <c r="K852" t="s">
        <v>48</v>
      </c>
      <c r="L852" t="s">
        <v>49</v>
      </c>
      <c r="M852" t="s">
        <v>50</v>
      </c>
      <c r="N852" t="s">
        <v>51</v>
      </c>
      <c r="O852">
        <v>8421999000</v>
      </c>
      <c r="P852" t="s">
        <v>66</v>
      </c>
      <c r="Q852" t="s">
        <v>939</v>
      </c>
      <c r="R852" t="s">
        <v>54</v>
      </c>
      <c r="S852" t="s">
        <v>55</v>
      </c>
      <c r="T852">
        <v>6</v>
      </c>
      <c r="U852">
        <v>2</v>
      </c>
      <c r="V852" t="s">
        <v>135</v>
      </c>
      <c r="W852">
        <v>0</v>
      </c>
      <c r="X852">
        <v>638.24</v>
      </c>
      <c r="Y852">
        <v>82.35</v>
      </c>
      <c r="Z852">
        <v>4.3600000000000003</v>
      </c>
      <c r="AA852">
        <v>724.96</v>
      </c>
      <c r="AB852" t="s">
        <v>57</v>
      </c>
      <c r="AC852" t="s">
        <v>58</v>
      </c>
      <c r="AD852" t="s">
        <v>48</v>
      </c>
      <c r="AE852">
        <v>0</v>
      </c>
      <c r="AF852">
        <v>2.79</v>
      </c>
      <c r="AG852" t="s">
        <v>59</v>
      </c>
      <c r="AH852">
        <v>144527</v>
      </c>
      <c r="AI852" t="s">
        <v>60</v>
      </c>
      <c r="AJ852" t="s">
        <v>60</v>
      </c>
      <c r="AK852" t="s">
        <v>54</v>
      </c>
      <c r="AL852">
        <v>2024</v>
      </c>
      <c r="AM852" s="6" t="s">
        <v>937</v>
      </c>
      <c r="AN852" s="7">
        <v>319.12</v>
      </c>
      <c r="AO852" s="8">
        <f t="shared" si="39"/>
        <v>598.35</v>
      </c>
      <c r="AP852" s="8">
        <f t="shared" si="40"/>
        <v>664.76684999999998</v>
      </c>
      <c r="AQ852" s="9">
        <f t="shared" si="41"/>
        <v>969.26716499999998</v>
      </c>
    </row>
    <row r="853" spans="1:43" x14ac:dyDescent="0.25">
      <c r="A853">
        <v>28</v>
      </c>
      <c r="B853">
        <v>8</v>
      </c>
      <c r="C853">
        <v>2024</v>
      </c>
      <c r="D853" t="s">
        <v>43</v>
      </c>
      <c r="E853" t="s">
        <v>91</v>
      </c>
      <c r="F853" t="s">
        <v>92</v>
      </c>
      <c r="G853">
        <v>42</v>
      </c>
      <c r="H853">
        <v>1791882490001</v>
      </c>
      <c r="I853" t="s">
        <v>46</v>
      </c>
      <c r="J853" t="s">
        <v>133</v>
      </c>
      <c r="K853" t="s">
        <v>48</v>
      </c>
      <c r="L853" t="s">
        <v>49</v>
      </c>
      <c r="M853" t="s">
        <v>50</v>
      </c>
      <c r="N853" t="s">
        <v>51</v>
      </c>
      <c r="O853">
        <v>8421999000</v>
      </c>
      <c r="P853" t="s">
        <v>66</v>
      </c>
      <c r="Q853" t="s">
        <v>940</v>
      </c>
      <c r="R853" t="s">
        <v>54</v>
      </c>
      <c r="S853" t="s">
        <v>55</v>
      </c>
      <c r="T853">
        <v>8</v>
      </c>
      <c r="U853">
        <v>1</v>
      </c>
      <c r="V853" t="s">
        <v>135</v>
      </c>
      <c r="W853">
        <v>0</v>
      </c>
      <c r="X853">
        <v>318.41000000000003</v>
      </c>
      <c r="Y853">
        <v>35.18</v>
      </c>
      <c r="Z853">
        <v>2.14</v>
      </c>
      <c r="AA853">
        <v>355.74</v>
      </c>
      <c r="AB853" t="s">
        <v>57</v>
      </c>
      <c r="AC853" t="s">
        <v>94</v>
      </c>
      <c r="AD853" t="s">
        <v>48</v>
      </c>
      <c r="AE853">
        <v>0</v>
      </c>
      <c r="AF853">
        <v>3.66</v>
      </c>
      <c r="AG853" t="s">
        <v>59</v>
      </c>
      <c r="AH853">
        <v>150511</v>
      </c>
      <c r="AI853" t="s">
        <v>60</v>
      </c>
      <c r="AJ853" t="s">
        <v>60</v>
      </c>
      <c r="AK853" t="s">
        <v>54</v>
      </c>
      <c r="AL853">
        <v>2024</v>
      </c>
      <c r="AM853" s="6" t="s">
        <v>937</v>
      </c>
      <c r="AN853" s="7">
        <v>318.41000000000003</v>
      </c>
      <c r="AO853" s="8">
        <f t="shared" si="39"/>
        <v>597.01875000000007</v>
      </c>
      <c r="AP853" s="8">
        <f t="shared" si="40"/>
        <v>663.28783125000007</v>
      </c>
      <c r="AQ853" s="9">
        <f t="shared" si="41"/>
        <v>967.11067312500006</v>
      </c>
    </row>
    <row r="854" spans="1:43" x14ac:dyDescent="0.25">
      <c r="A854">
        <v>15</v>
      </c>
      <c r="B854">
        <v>4</v>
      </c>
      <c r="C854">
        <v>2024</v>
      </c>
      <c r="D854" t="s">
        <v>43</v>
      </c>
      <c r="E854" t="s">
        <v>63</v>
      </c>
      <c r="F854" t="s">
        <v>64</v>
      </c>
      <c r="G854">
        <v>58</v>
      </c>
      <c r="H854">
        <v>1791882490001</v>
      </c>
      <c r="I854" t="s">
        <v>46</v>
      </c>
      <c r="J854" t="s">
        <v>133</v>
      </c>
      <c r="K854" t="s">
        <v>48</v>
      </c>
      <c r="L854" t="s">
        <v>49</v>
      </c>
      <c r="M854" t="s">
        <v>50</v>
      </c>
      <c r="N854" t="s">
        <v>51</v>
      </c>
      <c r="O854">
        <v>8421999000</v>
      </c>
      <c r="P854" t="s">
        <v>66</v>
      </c>
      <c r="Q854" t="s">
        <v>585</v>
      </c>
      <c r="R854" t="s">
        <v>54</v>
      </c>
      <c r="S854" t="s">
        <v>55</v>
      </c>
      <c r="T854">
        <v>6</v>
      </c>
      <c r="U854">
        <v>1</v>
      </c>
      <c r="V854" t="s">
        <v>135</v>
      </c>
      <c r="W854">
        <v>0</v>
      </c>
      <c r="X854">
        <v>657.44</v>
      </c>
      <c r="Y854">
        <v>69.2</v>
      </c>
      <c r="Z854">
        <v>4.41</v>
      </c>
      <c r="AA854">
        <v>731.06</v>
      </c>
      <c r="AB854" t="s">
        <v>57</v>
      </c>
      <c r="AC854" t="s">
        <v>58</v>
      </c>
      <c r="AD854" t="s">
        <v>48</v>
      </c>
      <c r="AE854">
        <v>0</v>
      </c>
      <c r="AF854">
        <v>6.3</v>
      </c>
      <c r="AG854" t="s">
        <v>59</v>
      </c>
      <c r="AH854">
        <v>443965</v>
      </c>
      <c r="AI854" t="s">
        <v>60</v>
      </c>
      <c r="AJ854" t="s">
        <v>60</v>
      </c>
      <c r="AK854" t="s">
        <v>54</v>
      </c>
      <c r="AL854">
        <v>2024</v>
      </c>
      <c r="AM854" s="6" t="s">
        <v>941</v>
      </c>
      <c r="AN854" s="7">
        <v>657.44</v>
      </c>
      <c r="AO854" s="8">
        <f t="shared" si="39"/>
        <v>1232.7</v>
      </c>
      <c r="AP854" s="8">
        <f t="shared" si="40"/>
        <v>1369.5297</v>
      </c>
      <c r="AQ854" s="9">
        <f t="shared" si="41"/>
        <v>1996.8507299999999</v>
      </c>
    </row>
    <row r="855" spans="1:43" x14ac:dyDescent="0.25">
      <c r="A855">
        <v>10</v>
      </c>
      <c r="B855">
        <v>10</v>
      </c>
      <c r="C855">
        <v>2024</v>
      </c>
      <c r="D855" t="s">
        <v>43</v>
      </c>
      <c r="E855" t="s">
        <v>44</v>
      </c>
      <c r="F855" t="s">
        <v>45</v>
      </c>
      <c r="G855">
        <v>56</v>
      </c>
      <c r="H855">
        <v>1791882490001</v>
      </c>
      <c r="I855" t="s">
        <v>46</v>
      </c>
      <c r="J855" t="s">
        <v>133</v>
      </c>
      <c r="K855" t="s">
        <v>48</v>
      </c>
      <c r="L855" t="s">
        <v>49</v>
      </c>
      <c r="M855" t="s">
        <v>50</v>
      </c>
      <c r="N855" t="s">
        <v>51</v>
      </c>
      <c r="O855">
        <v>8421999000</v>
      </c>
      <c r="P855" t="s">
        <v>52</v>
      </c>
      <c r="Q855" t="s">
        <v>933</v>
      </c>
      <c r="R855" t="s">
        <v>54</v>
      </c>
      <c r="S855" t="s">
        <v>55</v>
      </c>
      <c r="T855">
        <v>7</v>
      </c>
      <c r="U855">
        <v>1</v>
      </c>
      <c r="V855" t="s">
        <v>135</v>
      </c>
      <c r="W855">
        <v>0</v>
      </c>
      <c r="X855">
        <v>1082.06</v>
      </c>
      <c r="Y855">
        <v>189.06</v>
      </c>
      <c r="Z855">
        <v>7.8</v>
      </c>
      <c r="AA855">
        <v>1278.92</v>
      </c>
      <c r="AB855" t="s">
        <v>57</v>
      </c>
      <c r="AC855" t="s">
        <v>58</v>
      </c>
      <c r="AD855" t="s">
        <v>48</v>
      </c>
      <c r="AE855">
        <v>0</v>
      </c>
      <c r="AF855">
        <v>11.67</v>
      </c>
      <c r="AG855" t="s">
        <v>59</v>
      </c>
      <c r="AH855">
        <v>179772</v>
      </c>
      <c r="AI855" t="s">
        <v>60</v>
      </c>
      <c r="AJ855" t="s">
        <v>60</v>
      </c>
      <c r="AK855" t="s">
        <v>54</v>
      </c>
      <c r="AL855">
        <v>2024</v>
      </c>
      <c r="AM855" s="6" t="s">
        <v>942</v>
      </c>
      <c r="AN855" s="7">
        <v>1082.06</v>
      </c>
      <c r="AO855" s="8">
        <f t="shared" si="39"/>
        <v>2028.8625</v>
      </c>
      <c r="AP855" s="8">
        <f t="shared" si="40"/>
        <v>2254.0662374999997</v>
      </c>
      <c r="AQ855" s="9">
        <f t="shared" si="41"/>
        <v>3286.5543637499995</v>
      </c>
    </row>
    <row r="856" spans="1:43" x14ac:dyDescent="0.25">
      <c r="A856">
        <v>20</v>
      </c>
      <c r="B856">
        <v>2</v>
      </c>
      <c r="C856">
        <v>2024</v>
      </c>
      <c r="D856" t="s">
        <v>43</v>
      </c>
      <c r="E856" t="s">
        <v>140</v>
      </c>
      <c r="F856" t="s">
        <v>141</v>
      </c>
      <c r="G856">
        <v>57</v>
      </c>
      <c r="H856">
        <v>1791882490001</v>
      </c>
      <c r="I856" t="s">
        <v>46</v>
      </c>
      <c r="J856" t="s">
        <v>133</v>
      </c>
      <c r="K856" t="s">
        <v>48</v>
      </c>
      <c r="L856" t="s">
        <v>49</v>
      </c>
      <c r="M856" t="s">
        <v>50</v>
      </c>
      <c r="N856" t="s">
        <v>51</v>
      </c>
      <c r="O856">
        <v>8421999000</v>
      </c>
      <c r="P856" t="s">
        <v>66</v>
      </c>
      <c r="Q856" t="s">
        <v>585</v>
      </c>
      <c r="R856" t="s">
        <v>54</v>
      </c>
      <c r="S856" t="s">
        <v>55</v>
      </c>
      <c r="T856">
        <v>6</v>
      </c>
      <c r="U856">
        <v>1</v>
      </c>
      <c r="V856" t="s">
        <v>135</v>
      </c>
      <c r="W856">
        <v>0</v>
      </c>
      <c r="X856">
        <v>967.8</v>
      </c>
      <c r="Y856">
        <v>86.85</v>
      </c>
      <c r="Z856">
        <v>6.5</v>
      </c>
      <c r="AA856">
        <v>1061.1600000000001</v>
      </c>
      <c r="AB856" t="s">
        <v>54</v>
      </c>
      <c r="AC856" t="s">
        <v>143</v>
      </c>
      <c r="AD856" t="s">
        <v>48</v>
      </c>
      <c r="AE856">
        <v>0</v>
      </c>
      <c r="AF856">
        <v>1.87</v>
      </c>
      <c r="AG856" t="s">
        <v>59</v>
      </c>
      <c r="AH856">
        <v>876053</v>
      </c>
      <c r="AI856" t="s">
        <v>60</v>
      </c>
      <c r="AJ856" t="s">
        <v>60</v>
      </c>
      <c r="AK856" t="s">
        <v>54</v>
      </c>
      <c r="AL856">
        <v>2024</v>
      </c>
      <c r="AM856" s="6" t="s">
        <v>943</v>
      </c>
      <c r="AN856" s="7">
        <v>967.8</v>
      </c>
      <c r="AO856" s="8">
        <f t="shared" si="39"/>
        <v>1814.625</v>
      </c>
      <c r="AP856" s="8">
        <f t="shared" si="40"/>
        <v>2016.0483750000001</v>
      </c>
      <c r="AQ856" s="9">
        <f t="shared" si="41"/>
        <v>2939.5110374999999</v>
      </c>
    </row>
    <row r="857" spans="1:43" x14ac:dyDescent="0.25">
      <c r="A857">
        <v>1</v>
      </c>
      <c r="B857">
        <v>2</v>
      </c>
      <c r="C857">
        <v>2024</v>
      </c>
      <c r="D857" t="s">
        <v>43</v>
      </c>
      <c r="E857" t="s">
        <v>174</v>
      </c>
      <c r="F857" t="s">
        <v>175</v>
      </c>
      <c r="G857">
        <v>39</v>
      </c>
      <c r="H857">
        <v>1791882490001</v>
      </c>
      <c r="I857" t="s">
        <v>46</v>
      </c>
      <c r="J857" t="s">
        <v>48</v>
      </c>
      <c r="K857" t="s">
        <v>48</v>
      </c>
      <c r="L857" t="s">
        <v>49</v>
      </c>
      <c r="M857" t="s">
        <v>50</v>
      </c>
      <c r="N857" t="s">
        <v>51</v>
      </c>
      <c r="O857">
        <v>8421999000</v>
      </c>
      <c r="P857" t="s">
        <v>66</v>
      </c>
      <c r="Q857" t="s">
        <v>833</v>
      </c>
      <c r="R857" t="s">
        <v>54</v>
      </c>
      <c r="S857" t="s">
        <v>55</v>
      </c>
      <c r="T857">
        <v>5</v>
      </c>
      <c r="U857">
        <v>5</v>
      </c>
      <c r="V857" t="s">
        <v>135</v>
      </c>
      <c r="W857">
        <v>0</v>
      </c>
      <c r="X857">
        <v>732.31</v>
      </c>
      <c r="Y857">
        <v>54.44</v>
      </c>
      <c r="Z857">
        <v>4.38</v>
      </c>
      <c r="AA857">
        <v>791.13</v>
      </c>
      <c r="AB857" t="s">
        <v>54</v>
      </c>
      <c r="AC857" t="s">
        <v>94</v>
      </c>
      <c r="AD857" t="s">
        <v>48</v>
      </c>
      <c r="AE857">
        <v>0</v>
      </c>
      <c r="AF857">
        <v>9.92</v>
      </c>
      <c r="AG857" t="s">
        <v>59</v>
      </c>
      <c r="AH857">
        <v>863266</v>
      </c>
      <c r="AI857" t="s">
        <v>60</v>
      </c>
      <c r="AJ857" t="s">
        <v>60</v>
      </c>
      <c r="AK857" t="s">
        <v>54</v>
      </c>
      <c r="AL857">
        <v>2023</v>
      </c>
      <c r="AM857" s="6" t="s">
        <v>944</v>
      </c>
      <c r="AN857" s="7">
        <v>146.46</v>
      </c>
      <c r="AO857" s="8">
        <f t="shared" si="39"/>
        <v>274.61250000000001</v>
      </c>
      <c r="AP857" s="8">
        <f t="shared" si="40"/>
        <v>305.09448750000001</v>
      </c>
      <c r="AQ857" s="9">
        <f t="shared" si="41"/>
        <v>444.84478874999996</v>
      </c>
    </row>
    <row r="858" spans="1:43" x14ac:dyDescent="0.25">
      <c r="A858">
        <v>17</v>
      </c>
      <c r="B858">
        <v>5</v>
      </c>
      <c r="C858">
        <v>2024</v>
      </c>
      <c r="D858" t="s">
        <v>43</v>
      </c>
      <c r="E858" t="s">
        <v>79</v>
      </c>
      <c r="F858" t="s">
        <v>80</v>
      </c>
      <c r="G858">
        <v>55</v>
      </c>
      <c r="H858">
        <v>1791882490001</v>
      </c>
      <c r="I858" t="s">
        <v>46</v>
      </c>
      <c r="J858" t="s">
        <v>48</v>
      </c>
      <c r="K858" t="s">
        <v>48</v>
      </c>
      <c r="L858" t="s">
        <v>49</v>
      </c>
      <c r="M858" t="s">
        <v>50</v>
      </c>
      <c r="N858" t="s">
        <v>51</v>
      </c>
      <c r="O858">
        <v>8421999000</v>
      </c>
      <c r="P858" t="s">
        <v>66</v>
      </c>
      <c r="Q858" t="s">
        <v>836</v>
      </c>
      <c r="R858" t="s">
        <v>54</v>
      </c>
      <c r="S858" t="s">
        <v>55</v>
      </c>
      <c r="T858">
        <v>6</v>
      </c>
      <c r="U858">
        <v>5</v>
      </c>
      <c r="V858" t="s">
        <v>135</v>
      </c>
      <c r="W858">
        <v>0</v>
      </c>
      <c r="X858">
        <v>828.2</v>
      </c>
      <c r="Y858">
        <v>79.959999999999994</v>
      </c>
      <c r="Z858">
        <v>5.51</v>
      </c>
      <c r="AA858">
        <v>913.67</v>
      </c>
      <c r="AB858" t="s">
        <v>57</v>
      </c>
      <c r="AC858" t="s">
        <v>81</v>
      </c>
      <c r="AD858" t="s">
        <v>48</v>
      </c>
      <c r="AE858">
        <v>0</v>
      </c>
      <c r="AF858">
        <v>5.41</v>
      </c>
      <c r="AG858" t="s">
        <v>82</v>
      </c>
      <c r="AH858">
        <v>471463</v>
      </c>
      <c r="AI858" t="s">
        <v>60</v>
      </c>
      <c r="AJ858" t="s">
        <v>60</v>
      </c>
      <c r="AK858" t="s">
        <v>54</v>
      </c>
      <c r="AL858">
        <v>2024</v>
      </c>
      <c r="AM858" s="6" t="s">
        <v>944</v>
      </c>
      <c r="AN858" s="7">
        <v>165.64</v>
      </c>
      <c r="AO858" s="8">
        <f t="shared" ref="AO858:AO921" si="42">SUM(AN858)*1.875</f>
        <v>310.57499999999999</v>
      </c>
      <c r="AP858" s="8">
        <f t="shared" ref="AP858:AP921" si="43">SUM(AO858)*1.111</f>
        <v>345.04882499999997</v>
      </c>
      <c r="AQ858" s="9">
        <f t="shared" si="41"/>
        <v>503.10044249999993</v>
      </c>
    </row>
    <row r="859" spans="1:43" x14ac:dyDescent="0.25">
      <c r="A859">
        <v>17</v>
      </c>
      <c r="B859">
        <v>5</v>
      </c>
      <c r="C859">
        <v>2024</v>
      </c>
      <c r="D859" t="s">
        <v>43</v>
      </c>
      <c r="E859" t="s">
        <v>79</v>
      </c>
      <c r="F859" t="s">
        <v>80</v>
      </c>
      <c r="G859">
        <v>56</v>
      </c>
      <c r="H859">
        <v>1791882490001</v>
      </c>
      <c r="I859" t="s">
        <v>46</v>
      </c>
      <c r="J859" t="s">
        <v>48</v>
      </c>
      <c r="K859" t="s">
        <v>48</v>
      </c>
      <c r="L859" t="s">
        <v>49</v>
      </c>
      <c r="M859" t="s">
        <v>50</v>
      </c>
      <c r="N859" t="s">
        <v>51</v>
      </c>
      <c r="O859">
        <v>8421999000</v>
      </c>
      <c r="P859" t="s">
        <v>66</v>
      </c>
      <c r="Q859" t="s">
        <v>836</v>
      </c>
      <c r="R859" t="s">
        <v>54</v>
      </c>
      <c r="S859" t="s">
        <v>55</v>
      </c>
      <c r="T859">
        <v>6</v>
      </c>
      <c r="U859">
        <v>3</v>
      </c>
      <c r="V859" t="s">
        <v>135</v>
      </c>
      <c r="W859">
        <v>0</v>
      </c>
      <c r="X859">
        <v>974.59</v>
      </c>
      <c r="Y859">
        <v>94.09</v>
      </c>
      <c r="Z859">
        <v>6.49</v>
      </c>
      <c r="AA859">
        <v>1075.17</v>
      </c>
      <c r="AB859" t="s">
        <v>57</v>
      </c>
      <c r="AC859" t="s">
        <v>81</v>
      </c>
      <c r="AD859" t="s">
        <v>48</v>
      </c>
      <c r="AE859">
        <v>0</v>
      </c>
      <c r="AF859">
        <v>3.24</v>
      </c>
      <c r="AG859" t="s">
        <v>82</v>
      </c>
      <c r="AH859">
        <v>471463</v>
      </c>
      <c r="AI859" t="s">
        <v>60</v>
      </c>
      <c r="AJ859" t="s">
        <v>60</v>
      </c>
      <c r="AK859" t="s">
        <v>54</v>
      </c>
      <c r="AL859">
        <v>2024</v>
      </c>
      <c r="AM859" s="6" t="s">
        <v>945</v>
      </c>
      <c r="AN859" s="7">
        <v>324.86</v>
      </c>
      <c r="AO859" s="8">
        <f t="shared" si="42"/>
        <v>609.11250000000007</v>
      </c>
      <c r="AP859" s="8">
        <f t="shared" si="43"/>
        <v>676.72398750000002</v>
      </c>
      <c r="AQ859" s="9">
        <f t="shared" si="41"/>
        <v>986.70133874999999</v>
      </c>
    </row>
    <row r="860" spans="1:43" x14ac:dyDescent="0.25">
      <c r="A860">
        <v>3</v>
      </c>
      <c r="B860">
        <v>4</v>
      </c>
      <c r="C860">
        <v>2024</v>
      </c>
      <c r="D860" t="s">
        <v>43</v>
      </c>
      <c r="E860" t="s">
        <v>73</v>
      </c>
      <c r="F860" t="s">
        <v>74</v>
      </c>
      <c r="G860">
        <v>53</v>
      </c>
      <c r="H860">
        <v>1791882490001</v>
      </c>
      <c r="I860" t="s">
        <v>46</v>
      </c>
      <c r="J860" t="s">
        <v>133</v>
      </c>
      <c r="K860" t="s">
        <v>48</v>
      </c>
      <c r="L860" t="s">
        <v>49</v>
      </c>
      <c r="M860" t="s">
        <v>50</v>
      </c>
      <c r="N860" t="s">
        <v>51</v>
      </c>
      <c r="O860">
        <v>8481909090</v>
      </c>
      <c r="P860" t="s">
        <v>103</v>
      </c>
      <c r="Q860" t="s">
        <v>800</v>
      </c>
      <c r="R860" t="s">
        <v>54</v>
      </c>
      <c r="S860" t="s">
        <v>55</v>
      </c>
      <c r="T860">
        <v>6</v>
      </c>
      <c r="U860">
        <v>6</v>
      </c>
      <c r="V860" t="s">
        <v>135</v>
      </c>
      <c r="W860">
        <v>0</v>
      </c>
      <c r="X860">
        <v>910.3</v>
      </c>
      <c r="Y860">
        <v>106.33</v>
      </c>
      <c r="Z860">
        <v>5.96</v>
      </c>
      <c r="AA860">
        <v>1022.58</v>
      </c>
      <c r="AB860" t="s">
        <v>57</v>
      </c>
      <c r="AC860" t="s">
        <v>58</v>
      </c>
      <c r="AD860" t="s">
        <v>48</v>
      </c>
      <c r="AE860">
        <v>0</v>
      </c>
      <c r="AF860">
        <v>8</v>
      </c>
      <c r="AG860" t="s">
        <v>59</v>
      </c>
      <c r="AH860">
        <v>438183</v>
      </c>
      <c r="AI860" t="s">
        <v>60</v>
      </c>
      <c r="AJ860" t="s">
        <v>60</v>
      </c>
      <c r="AK860" t="s">
        <v>54</v>
      </c>
      <c r="AL860">
        <v>2024</v>
      </c>
      <c r="AM860" s="6" t="s">
        <v>946</v>
      </c>
      <c r="AN860" s="7">
        <v>151.72</v>
      </c>
      <c r="AO860" s="8">
        <f t="shared" si="42"/>
        <v>284.47500000000002</v>
      </c>
      <c r="AP860" s="8">
        <f t="shared" si="43"/>
        <v>316.05172500000003</v>
      </c>
      <c r="AQ860" s="9">
        <f t="shared" si="41"/>
        <v>460.82105250000001</v>
      </c>
    </row>
    <row r="861" spans="1:43" x14ac:dyDescent="0.25">
      <c r="A861">
        <v>28</v>
      </c>
      <c r="B861">
        <v>8</v>
      </c>
      <c r="C861">
        <v>2024</v>
      </c>
      <c r="D861" t="s">
        <v>43</v>
      </c>
      <c r="E861" t="s">
        <v>91</v>
      </c>
      <c r="F861" t="s">
        <v>92</v>
      </c>
      <c r="G861">
        <v>43</v>
      </c>
      <c r="H861">
        <v>1791882490001</v>
      </c>
      <c r="I861" t="s">
        <v>46</v>
      </c>
      <c r="J861" t="s">
        <v>133</v>
      </c>
      <c r="K861" t="s">
        <v>48</v>
      </c>
      <c r="L861" t="s">
        <v>49</v>
      </c>
      <c r="M861" t="s">
        <v>50</v>
      </c>
      <c r="N861" t="s">
        <v>51</v>
      </c>
      <c r="O861">
        <v>8481909090</v>
      </c>
      <c r="P861" t="s">
        <v>103</v>
      </c>
      <c r="Q861" t="s">
        <v>800</v>
      </c>
      <c r="R861" t="s">
        <v>54</v>
      </c>
      <c r="S861" t="s">
        <v>55</v>
      </c>
      <c r="T861">
        <v>8</v>
      </c>
      <c r="U861">
        <v>3</v>
      </c>
      <c r="V861" t="s">
        <v>135</v>
      </c>
      <c r="W861">
        <v>0</v>
      </c>
      <c r="X861">
        <v>440.8</v>
      </c>
      <c r="Y861">
        <v>48.7</v>
      </c>
      <c r="Z861">
        <v>2.96</v>
      </c>
      <c r="AA861">
        <v>492.47</v>
      </c>
      <c r="AB861" t="s">
        <v>57</v>
      </c>
      <c r="AC861" t="s">
        <v>94</v>
      </c>
      <c r="AD861" t="s">
        <v>48</v>
      </c>
      <c r="AE861">
        <v>0</v>
      </c>
      <c r="AF861">
        <v>5.07</v>
      </c>
      <c r="AG861" t="s">
        <v>59</v>
      </c>
      <c r="AH861">
        <v>150511</v>
      </c>
      <c r="AI861" t="s">
        <v>60</v>
      </c>
      <c r="AJ861" t="s">
        <v>60</v>
      </c>
      <c r="AK861" t="s">
        <v>54</v>
      </c>
      <c r="AL861">
        <v>2024</v>
      </c>
      <c r="AM861" s="6" t="s">
        <v>946</v>
      </c>
      <c r="AN861" s="7">
        <v>146.93</v>
      </c>
      <c r="AO861" s="8">
        <f t="shared" si="42"/>
        <v>275.49375000000003</v>
      </c>
      <c r="AP861" s="8">
        <f t="shared" si="43"/>
        <v>306.07355625000002</v>
      </c>
      <c r="AQ861" s="9">
        <f t="shared" si="41"/>
        <v>446.27232562500001</v>
      </c>
    </row>
    <row r="862" spans="1:43" x14ac:dyDescent="0.25">
      <c r="A862">
        <v>28</v>
      </c>
      <c r="B862">
        <v>8</v>
      </c>
      <c r="C862">
        <v>2024</v>
      </c>
      <c r="D862" t="s">
        <v>43</v>
      </c>
      <c r="E862" t="s">
        <v>91</v>
      </c>
      <c r="F862" t="s">
        <v>92</v>
      </c>
      <c r="G862">
        <v>44</v>
      </c>
      <c r="H862">
        <v>1791882490001</v>
      </c>
      <c r="I862" t="s">
        <v>46</v>
      </c>
      <c r="J862" t="s">
        <v>133</v>
      </c>
      <c r="K862" t="s">
        <v>48</v>
      </c>
      <c r="L862" t="s">
        <v>49</v>
      </c>
      <c r="M862" t="s">
        <v>50</v>
      </c>
      <c r="N862" t="s">
        <v>51</v>
      </c>
      <c r="O862">
        <v>3926904000</v>
      </c>
      <c r="P862" t="s">
        <v>188</v>
      </c>
      <c r="Q862" t="s">
        <v>752</v>
      </c>
      <c r="R862" t="s">
        <v>54</v>
      </c>
      <c r="S862" t="s">
        <v>55</v>
      </c>
      <c r="T862">
        <v>8</v>
      </c>
      <c r="U862">
        <v>5</v>
      </c>
      <c r="V862" t="s">
        <v>135</v>
      </c>
      <c r="W862">
        <v>29.33</v>
      </c>
      <c r="X862">
        <v>131.24</v>
      </c>
      <c r="Y862">
        <v>14.5</v>
      </c>
      <c r="Z862">
        <v>0.88</v>
      </c>
      <c r="AA862">
        <v>146.63</v>
      </c>
      <c r="AB862" t="s">
        <v>57</v>
      </c>
      <c r="AC862" t="s">
        <v>94</v>
      </c>
      <c r="AD862" t="s">
        <v>48</v>
      </c>
      <c r="AE862">
        <v>0</v>
      </c>
      <c r="AF862">
        <v>1.51</v>
      </c>
      <c r="AG862" t="s">
        <v>59</v>
      </c>
      <c r="AH862">
        <v>150511</v>
      </c>
      <c r="AI862" t="s">
        <v>60</v>
      </c>
      <c r="AJ862" t="s">
        <v>60</v>
      </c>
      <c r="AK862" t="s">
        <v>54</v>
      </c>
      <c r="AL862">
        <v>2024</v>
      </c>
      <c r="AM862" s="6" t="s">
        <v>947</v>
      </c>
      <c r="AN862" s="7">
        <v>26.25</v>
      </c>
      <c r="AO862" s="8">
        <f t="shared" si="42"/>
        <v>49.21875</v>
      </c>
      <c r="AP862" s="8">
        <f t="shared" si="43"/>
        <v>54.682031250000001</v>
      </c>
      <c r="AQ862" s="9">
        <f t="shared" si="41"/>
        <v>79.729453124999992</v>
      </c>
    </row>
    <row r="863" spans="1:43" x14ac:dyDescent="0.25">
      <c r="A863">
        <v>13</v>
      </c>
      <c r="B863">
        <v>3</v>
      </c>
      <c r="C863">
        <v>2024</v>
      </c>
      <c r="D863" t="s">
        <v>43</v>
      </c>
      <c r="E863" t="s">
        <v>69</v>
      </c>
      <c r="F863" t="s">
        <v>70</v>
      </c>
      <c r="G863">
        <v>46</v>
      </c>
      <c r="H863">
        <v>1791882490001</v>
      </c>
      <c r="I863" t="s">
        <v>46</v>
      </c>
      <c r="J863" t="s">
        <v>133</v>
      </c>
      <c r="K863" t="s">
        <v>48</v>
      </c>
      <c r="L863" t="s">
        <v>49</v>
      </c>
      <c r="M863" t="s">
        <v>50</v>
      </c>
      <c r="N863" t="s">
        <v>51</v>
      </c>
      <c r="O863">
        <v>8421999000</v>
      </c>
      <c r="P863" t="s">
        <v>66</v>
      </c>
      <c r="Q863" t="s">
        <v>792</v>
      </c>
      <c r="R863" t="s">
        <v>54</v>
      </c>
      <c r="S863" t="s">
        <v>55</v>
      </c>
      <c r="T863">
        <v>11</v>
      </c>
      <c r="U863">
        <v>2</v>
      </c>
      <c r="V863" t="s">
        <v>135</v>
      </c>
      <c r="W863">
        <v>0</v>
      </c>
      <c r="X863">
        <v>533.34</v>
      </c>
      <c r="Y863">
        <v>69.84</v>
      </c>
      <c r="Z863">
        <v>3.59</v>
      </c>
      <c r="AA863">
        <v>606.77</v>
      </c>
      <c r="AB863" t="s">
        <v>54</v>
      </c>
      <c r="AC863" t="s">
        <v>71</v>
      </c>
      <c r="AD863" t="s">
        <v>48</v>
      </c>
      <c r="AE863">
        <v>0</v>
      </c>
      <c r="AF863">
        <v>4.08</v>
      </c>
      <c r="AG863" t="s">
        <v>59</v>
      </c>
      <c r="AH863">
        <v>895279</v>
      </c>
      <c r="AI863" t="s">
        <v>60</v>
      </c>
      <c r="AJ863" t="s">
        <v>60</v>
      </c>
      <c r="AK863" t="s">
        <v>54</v>
      </c>
      <c r="AL863">
        <v>2024</v>
      </c>
      <c r="AM863" s="6" t="s">
        <v>948</v>
      </c>
      <c r="AN863" s="7">
        <v>266.67</v>
      </c>
      <c r="AO863" s="8">
        <f t="shared" si="42"/>
        <v>500.00625000000002</v>
      </c>
      <c r="AP863" s="8">
        <f t="shared" si="43"/>
        <v>555.50694375</v>
      </c>
      <c r="AQ863" s="9">
        <f t="shared" si="41"/>
        <v>809.96012437499996</v>
      </c>
    </row>
    <row r="864" spans="1:43" x14ac:dyDescent="0.25">
      <c r="A864">
        <v>8</v>
      </c>
      <c r="B864">
        <v>4</v>
      </c>
      <c r="C864">
        <v>2024</v>
      </c>
      <c r="D864" t="s">
        <v>43</v>
      </c>
      <c r="E864" t="s">
        <v>355</v>
      </c>
      <c r="F864" t="s">
        <v>356</v>
      </c>
      <c r="G864">
        <v>13</v>
      </c>
      <c r="H864">
        <v>1791882490001</v>
      </c>
      <c r="I864" t="s">
        <v>46</v>
      </c>
      <c r="J864" t="s">
        <v>133</v>
      </c>
      <c r="K864" t="s">
        <v>48</v>
      </c>
      <c r="L864" t="s">
        <v>119</v>
      </c>
      <c r="M864" t="s">
        <v>120</v>
      </c>
      <c r="N864" t="s">
        <v>121</v>
      </c>
      <c r="O864">
        <v>8421999000</v>
      </c>
      <c r="P864" t="s">
        <v>66</v>
      </c>
      <c r="Q864" t="s">
        <v>792</v>
      </c>
      <c r="R864" t="s">
        <v>54</v>
      </c>
      <c r="S864" t="s">
        <v>55</v>
      </c>
      <c r="T864">
        <v>10</v>
      </c>
      <c r="U864">
        <v>3</v>
      </c>
      <c r="V864" t="s">
        <v>135</v>
      </c>
      <c r="W864">
        <v>0</v>
      </c>
      <c r="X864">
        <v>793.18</v>
      </c>
      <c r="Y864">
        <v>39.659999999999997</v>
      </c>
      <c r="Z864">
        <v>5.07</v>
      </c>
      <c r="AA864">
        <v>837.91</v>
      </c>
      <c r="AB864" t="s">
        <v>359</v>
      </c>
      <c r="AC864" t="s">
        <v>125</v>
      </c>
      <c r="AD864" t="s">
        <v>48</v>
      </c>
      <c r="AE864">
        <v>1</v>
      </c>
      <c r="AF864">
        <v>40.869999999999997</v>
      </c>
      <c r="AG864" t="s">
        <v>59</v>
      </c>
      <c r="AH864">
        <v>882904</v>
      </c>
      <c r="AI864" t="s">
        <v>60</v>
      </c>
      <c r="AJ864" t="s">
        <v>60</v>
      </c>
      <c r="AK864" t="s">
        <v>54</v>
      </c>
      <c r="AL864">
        <v>2024</v>
      </c>
      <c r="AM864" s="6" t="s">
        <v>948</v>
      </c>
      <c r="AN864" s="7">
        <v>264.39</v>
      </c>
      <c r="AO864" s="8">
        <f t="shared" si="42"/>
        <v>495.73124999999999</v>
      </c>
      <c r="AP864" s="8">
        <f t="shared" si="43"/>
        <v>550.75741874999994</v>
      </c>
      <c r="AQ864" s="9">
        <f t="shared" si="41"/>
        <v>803.03505187499991</v>
      </c>
    </row>
    <row r="865" spans="1:43" x14ac:dyDescent="0.25">
      <c r="A865">
        <v>2</v>
      </c>
      <c r="B865">
        <v>1</v>
      </c>
      <c r="C865">
        <v>2024</v>
      </c>
      <c r="D865" t="s">
        <v>43</v>
      </c>
      <c r="E865" t="s">
        <v>181</v>
      </c>
      <c r="F865" t="s">
        <v>182</v>
      </c>
      <c r="G865">
        <v>37</v>
      </c>
      <c r="H865">
        <v>1791882490001</v>
      </c>
      <c r="I865" t="s">
        <v>46</v>
      </c>
      <c r="J865" t="s">
        <v>133</v>
      </c>
      <c r="K865" t="s">
        <v>48</v>
      </c>
      <c r="L865" t="s">
        <v>49</v>
      </c>
      <c r="M865" t="s">
        <v>50</v>
      </c>
      <c r="N865" t="s">
        <v>51</v>
      </c>
      <c r="O865">
        <v>8481809990</v>
      </c>
      <c r="P865" t="s">
        <v>232</v>
      </c>
      <c r="Q865" t="s">
        <v>949</v>
      </c>
      <c r="R865" t="s">
        <v>54</v>
      </c>
      <c r="S865" t="s">
        <v>55</v>
      </c>
      <c r="T865">
        <v>8</v>
      </c>
      <c r="U865">
        <v>1</v>
      </c>
      <c r="V865" t="s">
        <v>135</v>
      </c>
      <c r="W865">
        <v>0</v>
      </c>
      <c r="X865">
        <v>748.49</v>
      </c>
      <c r="Y865">
        <v>152.08000000000001</v>
      </c>
      <c r="Z865">
        <v>4.82</v>
      </c>
      <c r="AA865">
        <v>905.39</v>
      </c>
      <c r="AB865" t="s">
        <v>57</v>
      </c>
      <c r="AC865" t="s">
        <v>81</v>
      </c>
      <c r="AD865" t="s">
        <v>48</v>
      </c>
      <c r="AE865">
        <v>0</v>
      </c>
      <c r="AF865">
        <v>3.24</v>
      </c>
      <c r="AG865" t="s">
        <v>59</v>
      </c>
      <c r="AH865">
        <v>413505</v>
      </c>
      <c r="AI865" t="s">
        <v>60</v>
      </c>
      <c r="AJ865" t="s">
        <v>60</v>
      </c>
      <c r="AK865" t="s">
        <v>54</v>
      </c>
      <c r="AL865">
        <v>2023</v>
      </c>
      <c r="AM865" s="6" t="s">
        <v>950</v>
      </c>
      <c r="AN865" s="7">
        <v>748.49</v>
      </c>
      <c r="AO865" s="8">
        <f t="shared" si="42"/>
        <v>1403.41875</v>
      </c>
      <c r="AP865" s="8">
        <f t="shared" si="43"/>
        <v>1559.1982312499999</v>
      </c>
      <c r="AQ865" s="9">
        <f t="shared" si="41"/>
        <v>2273.398033125</v>
      </c>
    </row>
    <row r="866" spans="1:43" x14ac:dyDescent="0.25">
      <c r="A866">
        <v>12</v>
      </c>
      <c r="B866">
        <v>6</v>
      </c>
      <c r="C866">
        <v>2024</v>
      </c>
      <c r="D866" t="s">
        <v>43</v>
      </c>
      <c r="E866" t="s">
        <v>96</v>
      </c>
      <c r="F866" t="s">
        <v>97</v>
      </c>
      <c r="G866">
        <v>45</v>
      </c>
      <c r="H866">
        <v>1791882490001</v>
      </c>
      <c r="I866" t="s">
        <v>46</v>
      </c>
      <c r="J866" t="s">
        <v>133</v>
      </c>
      <c r="K866" t="s">
        <v>48</v>
      </c>
      <c r="L866" t="s">
        <v>49</v>
      </c>
      <c r="M866" t="s">
        <v>50</v>
      </c>
      <c r="N866" t="s">
        <v>51</v>
      </c>
      <c r="O866">
        <v>8481909090</v>
      </c>
      <c r="P866" t="s">
        <v>103</v>
      </c>
      <c r="Q866" t="s">
        <v>951</v>
      </c>
      <c r="R866" t="s">
        <v>54</v>
      </c>
      <c r="S866" t="s">
        <v>55</v>
      </c>
      <c r="T866">
        <v>7</v>
      </c>
      <c r="U866">
        <v>3</v>
      </c>
      <c r="V866" t="s">
        <v>135</v>
      </c>
      <c r="W866">
        <v>0</v>
      </c>
      <c r="X866">
        <v>441.84</v>
      </c>
      <c r="Y866">
        <v>38.32</v>
      </c>
      <c r="Z866">
        <v>2.97</v>
      </c>
      <c r="AA866">
        <v>483.14</v>
      </c>
      <c r="AB866" t="s">
        <v>57</v>
      </c>
      <c r="AC866" t="s">
        <v>94</v>
      </c>
      <c r="AD866" t="s">
        <v>48</v>
      </c>
      <c r="AE866">
        <v>0</v>
      </c>
      <c r="AF866">
        <v>5.4</v>
      </c>
      <c r="AG866" t="s">
        <v>59</v>
      </c>
      <c r="AH866" t="s">
        <v>98</v>
      </c>
      <c r="AI866" t="s">
        <v>60</v>
      </c>
      <c r="AJ866" t="s">
        <v>60</v>
      </c>
      <c r="AK866" t="s">
        <v>54</v>
      </c>
      <c r="AL866">
        <v>2024</v>
      </c>
      <c r="AM866" s="6" t="s">
        <v>952</v>
      </c>
      <c r="AN866" s="7">
        <v>147.28</v>
      </c>
      <c r="AO866" s="8">
        <f t="shared" si="42"/>
        <v>276.14999999999998</v>
      </c>
      <c r="AP866" s="8">
        <f t="shared" si="43"/>
        <v>306.80264999999997</v>
      </c>
      <c r="AQ866" s="9">
        <f t="shared" si="41"/>
        <v>447.33538499999992</v>
      </c>
    </row>
    <row r="867" spans="1:43" x14ac:dyDescent="0.25">
      <c r="A867">
        <v>28</v>
      </c>
      <c r="B867">
        <v>8</v>
      </c>
      <c r="C867">
        <v>2024</v>
      </c>
      <c r="D867" t="s">
        <v>43</v>
      </c>
      <c r="E867" t="s">
        <v>91</v>
      </c>
      <c r="F867" t="s">
        <v>92</v>
      </c>
      <c r="G867">
        <v>45</v>
      </c>
      <c r="H867">
        <v>1791882490001</v>
      </c>
      <c r="I867" t="s">
        <v>46</v>
      </c>
      <c r="J867" t="s">
        <v>133</v>
      </c>
      <c r="K867" t="s">
        <v>48</v>
      </c>
      <c r="L867" t="s">
        <v>49</v>
      </c>
      <c r="M867" t="s">
        <v>50</v>
      </c>
      <c r="N867" t="s">
        <v>51</v>
      </c>
      <c r="O867">
        <v>8481909090</v>
      </c>
      <c r="P867" t="s">
        <v>103</v>
      </c>
      <c r="Q867" t="s">
        <v>800</v>
      </c>
      <c r="R867" t="s">
        <v>54</v>
      </c>
      <c r="S867" t="s">
        <v>55</v>
      </c>
      <c r="T867">
        <v>8</v>
      </c>
      <c r="U867">
        <v>7</v>
      </c>
      <c r="V867" t="s">
        <v>135</v>
      </c>
      <c r="W867">
        <v>0</v>
      </c>
      <c r="X867">
        <v>1019.76</v>
      </c>
      <c r="Y867">
        <v>112.67</v>
      </c>
      <c r="Z867">
        <v>6.86</v>
      </c>
      <c r="AA867">
        <v>1139.29</v>
      </c>
      <c r="AB867" t="s">
        <v>57</v>
      </c>
      <c r="AC867" t="s">
        <v>94</v>
      </c>
      <c r="AD867" t="s">
        <v>48</v>
      </c>
      <c r="AE867">
        <v>0</v>
      </c>
      <c r="AF867">
        <v>11.74</v>
      </c>
      <c r="AG867" t="s">
        <v>59</v>
      </c>
      <c r="AH867">
        <v>150511</v>
      </c>
      <c r="AI867" t="s">
        <v>60</v>
      </c>
      <c r="AJ867" t="s">
        <v>60</v>
      </c>
      <c r="AK867" t="s">
        <v>54</v>
      </c>
      <c r="AL867">
        <v>2024</v>
      </c>
      <c r="AM867" s="6" t="s">
        <v>952</v>
      </c>
      <c r="AN867" s="7">
        <v>145.68</v>
      </c>
      <c r="AO867" s="8">
        <f t="shared" si="42"/>
        <v>273.15000000000003</v>
      </c>
      <c r="AP867" s="8">
        <f t="shared" si="43"/>
        <v>303.46965000000006</v>
      </c>
      <c r="AQ867" s="9">
        <f t="shared" si="41"/>
        <v>442.475685</v>
      </c>
    </row>
    <row r="868" spans="1:43" x14ac:dyDescent="0.25">
      <c r="A868">
        <v>28</v>
      </c>
      <c r="B868">
        <v>8</v>
      </c>
      <c r="C868">
        <v>2024</v>
      </c>
      <c r="D868" t="s">
        <v>43</v>
      </c>
      <c r="E868" t="s">
        <v>91</v>
      </c>
      <c r="F868" t="s">
        <v>92</v>
      </c>
      <c r="G868">
        <v>46</v>
      </c>
      <c r="H868">
        <v>1791882490001</v>
      </c>
      <c r="I868" t="s">
        <v>46</v>
      </c>
      <c r="J868" t="s">
        <v>133</v>
      </c>
      <c r="K868" t="s">
        <v>48</v>
      </c>
      <c r="L868" t="s">
        <v>49</v>
      </c>
      <c r="M868" t="s">
        <v>50</v>
      </c>
      <c r="N868" t="s">
        <v>51</v>
      </c>
      <c r="O868">
        <v>8484900000</v>
      </c>
      <c r="P868" t="s">
        <v>66</v>
      </c>
      <c r="Q868" t="s">
        <v>789</v>
      </c>
      <c r="R868" t="s">
        <v>54</v>
      </c>
      <c r="S868" t="s">
        <v>55</v>
      </c>
      <c r="T868">
        <v>8</v>
      </c>
      <c r="U868">
        <v>3</v>
      </c>
      <c r="V868" t="s">
        <v>135</v>
      </c>
      <c r="W868">
        <v>0</v>
      </c>
      <c r="X868">
        <v>132.96</v>
      </c>
      <c r="Y868">
        <v>14.69</v>
      </c>
      <c r="Z868">
        <v>0.89</v>
      </c>
      <c r="AA868">
        <v>148.55000000000001</v>
      </c>
      <c r="AB868" t="s">
        <v>57</v>
      </c>
      <c r="AC868" t="s">
        <v>94</v>
      </c>
      <c r="AD868" t="s">
        <v>48</v>
      </c>
      <c r="AE868">
        <v>0</v>
      </c>
      <c r="AF868">
        <v>1.53</v>
      </c>
      <c r="AG868" t="s">
        <v>59</v>
      </c>
      <c r="AH868">
        <v>150511</v>
      </c>
      <c r="AI868" t="s">
        <v>60</v>
      </c>
      <c r="AJ868" t="s">
        <v>60</v>
      </c>
      <c r="AK868" t="s">
        <v>54</v>
      </c>
      <c r="AL868">
        <v>2024</v>
      </c>
      <c r="AM868" s="6" t="s">
        <v>953</v>
      </c>
      <c r="AN868" s="7">
        <v>44.32</v>
      </c>
      <c r="AO868" s="8">
        <f t="shared" si="42"/>
        <v>83.1</v>
      </c>
      <c r="AP868" s="8">
        <f t="shared" si="43"/>
        <v>92.324099999999987</v>
      </c>
      <c r="AQ868" s="9">
        <f t="shared" si="41"/>
        <v>134.61368999999999</v>
      </c>
    </row>
    <row r="869" spans="1:43" x14ac:dyDescent="0.25">
      <c r="A869">
        <v>3</v>
      </c>
      <c r="B869">
        <v>4</v>
      </c>
      <c r="C869">
        <v>2024</v>
      </c>
      <c r="D869" t="s">
        <v>43</v>
      </c>
      <c r="E869" t="s">
        <v>73</v>
      </c>
      <c r="F869" t="s">
        <v>74</v>
      </c>
      <c r="G869">
        <v>54</v>
      </c>
      <c r="H869">
        <v>1791882490001</v>
      </c>
      <c r="I869" t="s">
        <v>46</v>
      </c>
      <c r="J869" t="s">
        <v>133</v>
      </c>
      <c r="K869" t="s">
        <v>48</v>
      </c>
      <c r="L869" t="s">
        <v>49</v>
      </c>
      <c r="M869" t="s">
        <v>50</v>
      </c>
      <c r="N869" t="s">
        <v>51</v>
      </c>
      <c r="O869">
        <v>8481809990</v>
      </c>
      <c r="P869" t="s">
        <v>103</v>
      </c>
      <c r="Q869" t="s">
        <v>954</v>
      </c>
      <c r="R869" t="s">
        <v>54</v>
      </c>
      <c r="S869" t="s">
        <v>55</v>
      </c>
      <c r="T869">
        <v>6</v>
      </c>
      <c r="U869">
        <v>4</v>
      </c>
      <c r="V869" t="s">
        <v>135</v>
      </c>
      <c r="W869">
        <v>0</v>
      </c>
      <c r="X869">
        <v>796.82</v>
      </c>
      <c r="Y869">
        <v>93.07</v>
      </c>
      <c r="Z869">
        <v>5.21</v>
      </c>
      <c r="AA869">
        <v>895.1</v>
      </c>
      <c r="AB869" t="s">
        <v>57</v>
      </c>
      <c r="AC869" t="s">
        <v>58</v>
      </c>
      <c r="AD869" t="s">
        <v>48</v>
      </c>
      <c r="AE869">
        <v>0</v>
      </c>
      <c r="AF869">
        <v>5.33</v>
      </c>
      <c r="AG869" t="s">
        <v>59</v>
      </c>
      <c r="AH869">
        <v>438183</v>
      </c>
      <c r="AI869" t="s">
        <v>60</v>
      </c>
      <c r="AJ869" t="s">
        <v>60</v>
      </c>
      <c r="AK869" t="s">
        <v>54</v>
      </c>
      <c r="AL869">
        <v>2024</v>
      </c>
      <c r="AM869" s="6" t="s">
        <v>955</v>
      </c>
      <c r="AN869" s="7">
        <v>199.21</v>
      </c>
      <c r="AO869" s="8">
        <f t="shared" si="42"/>
        <v>373.51875000000001</v>
      </c>
      <c r="AP869" s="8">
        <f t="shared" si="43"/>
        <v>414.97933125000003</v>
      </c>
      <c r="AQ869" s="9">
        <f t="shared" si="41"/>
        <v>605.06302312499997</v>
      </c>
    </row>
    <row r="870" spans="1:43" x14ac:dyDescent="0.25">
      <c r="A870">
        <v>12</v>
      </c>
      <c r="B870">
        <v>6</v>
      </c>
      <c r="C870">
        <v>2024</v>
      </c>
      <c r="D870" t="s">
        <v>43</v>
      </c>
      <c r="E870" t="s">
        <v>96</v>
      </c>
      <c r="F870" t="s">
        <v>97</v>
      </c>
      <c r="G870">
        <v>46</v>
      </c>
      <c r="H870">
        <v>1791882490001</v>
      </c>
      <c r="I870" t="s">
        <v>46</v>
      </c>
      <c r="J870" t="s">
        <v>133</v>
      </c>
      <c r="K870" t="s">
        <v>48</v>
      </c>
      <c r="L870" t="s">
        <v>49</v>
      </c>
      <c r="M870" t="s">
        <v>50</v>
      </c>
      <c r="N870" t="s">
        <v>51</v>
      </c>
      <c r="O870">
        <v>8481909090</v>
      </c>
      <c r="P870" t="s">
        <v>103</v>
      </c>
      <c r="Q870" t="s">
        <v>956</v>
      </c>
      <c r="R870" t="s">
        <v>54</v>
      </c>
      <c r="S870" t="s">
        <v>55</v>
      </c>
      <c r="T870">
        <v>7</v>
      </c>
      <c r="U870">
        <v>6</v>
      </c>
      <c r="V870" t="s">
        <v>135</v>
      </c>
      <c r="W870">
        <v>0</v>
      </c>
      <c r="X870">
        <v>1170.26</v>
      </c>
      <c r="Y870">
        <v>101.49</v>
      </c>
      <c r="Z870">
        <v>7.88</v>
      </c>
      <c r="AA870">
        <v>1279.6300000000001</v>
      </c>
      <c r="AB870" t="s">
        <v>57</v>
      </c>
      <c r="AC870" t="s">
        <v>94</v>
      </c>
      <c r="AD870" t="s">
        <v>48</v>
      </c>
      <c r="AE870">
        <v>0</v>
      </c>
      <c r="AF870">
        <v>10.8</v>
      </c>
      <c r="AG870" t="s">
        <v>59</v>
      </c>
      <c r="AH870" t="s">
        <v>98</v>
      </c>
      <c r="AI870" t="s">
        <v>60</v>
      </c>
      <c r="AJ870" t="s">
        <v>60</v>
      </c>
      <c r="AK870" t="s">
        <v>54</v>
      </c>
      <c r="AL870">
        <v>2024</v>
      </c>
      <c r="AM870" s="6" t="s">
        <v>955</v>
      </c>
      <c r="AN870" s="7">
        <v>195.04</v>
      </c>
      <c r="AO870" s="8">
        <f t="shared" si="42"/>
        <v>365.7</v>
      </c>
      <c r="AP870" s="8">
        <f t="shared" si="43"/>
        <v>406.29269999999997</v>
      </c>
      <c r="AQ870" s="9">
        <f t="shared" si="41"/>
        <v>592.39742999999999</v>
      </c>
    </row>
    <row r="871" spans="1:43" x14ac:dyDescent="0.25">
      <c r="A871">
        <v>15</v>
      </c>
      <c r="B871">
        <v>4</v>
      </c>
      <c r="C871">
        <v>2024</v>
      </c>
      <c r="D871" t="s">
        <v>43</v>
      </c>
      <c r="E871" t="s">
        <v>63</v>
      </c>
      <c r="F871" t="s">
        <v>64</v>
      </c>
      <c r="G871">
        <v>59</v>
      </c>
      <c r="H871">
        <v>1791882490001</v>
      </c>
      <c r="I871" t="s">
        <v>46</v>
      </c>
      <c r="J871" t="s">
        <v>48</v>
      </c>
      <c r="K871" t="s">
        <v>48</v>
      </c>
      <c r="L871" t="s">
        <v>49</v>
      </c>
      <c r="M871" t="s">
        <v>50</v>
      </c>
      <c r="N871" t="s">
        <v>51</v>
      </c>
      <c r="O871">
        <v>8483309000</v>
      </c>
      <c r="P871" t="s">
        <v>66</v>
      </c>
      <c r="Q871" t="s">
        <v>957</v>
      </c>
      <c r="R871" t="s">
        <v>54</v>
      </c>
      <c r="S871" t="s">
        <v>55</v>
      </c>
      <c r="T871">
        <v>6</v>
      </c>
      <c r="U871">
        <v>5</v>
      </c>
      <c r="V871" t="s">
        <v>135</v>
      </c>
      <c r="W871">
        <v>0</v>
      </c>
      <c r="X871">
        <v>501.82</v>
      </c>
      <c r="Y871">
        <v>52.82</v>
      </c>
      <c r="Z871">
        <v>3.37</v>
      </c>
      <c r="AA871">
        <v>558.01</v>
      </c>
      <c r="AB871" t="s">
        <v>57</v>
      </c>
      <c r="AC871" t="s">
        <v>58</v>
      </c>
      <c r="AD871" t="s">
        <v>48</v>
      </c>
      <c r="AE871">
        <v>0</v>
      </c>
      <c r="AF871">
        <v>4.8099999999999996</v>
      </c>
      <c r="AG871" t="s">
        <v>59</v>
      </c>
      <c r="AH871">
        <v>443965</v>
      </c>
      <c r="AI871" t="s">
        <v>60</v>
      </c>
      <c r="AJ871" t="s">
        <v>60</v>
      </c>
      <c r="AK871" t="s">
        <v>54</v>
      </c>
      <c r="AL871">
        <v>2024</v>
      </c>
      <c r="AM871" s="6" t="s">
        <v>958</v>
      </c>
      <c r="AN871" s="7">
        <v>100.36</v>
      </c>
      <c r="AO871" s="8">
        <f t="shared" si="42"/>
        <v>188.17500000000001</v>
      </c>
      <c r="AP871" s="8">
        <f t="shared" si="43"/>
        <v>209.06242500000002</v>
      </c>
      <c r="AQ871" s="9">
        <f t="shared" si="41"/>
        <v>304.82468249999999</v>
      </c>
    </row>
    <row r="872" spans="1:43" x14ac:dyDescent="0.25">
      <c r="A872">
        <v>16</v>
      </c>
      <c r="B872">
        <v>12</v>
      </c>
      <c r="C872">
        <v>2024</v>
      </c>
      <c r="D872" t="s">
        <v>43</v>
      </c>
      <c r="E872" t="s">
        <v>128</v>
      </c>
      <c r="F872" t="s">
        <v>129</v>
      </c>
      <c r="G872">
        <v>57</v>
      </c>
      <c r="H872">
        <v>1791882490001</v>
      </c>
      <c r="I872" t="s">
        <v>46</v>
      </c>
      <c r="J872" t="s">
        <v>48</v>
      </c>
      <c r="K872" t="s">
        <v>48</v>
      </c>
      <c r="L872" t="s">
        <v>49</v>
      </c>
      <c r="M872" t="s">
        <v>50</v>
      </c>
      <c r="N872" t="s">
        <v>51</v>
      </c>
      <c r="O872">
        <v>8483309000</v>
      </c>
      <c r="P872" t="s">
        <v>52</v>
      </c>
      <c r="Q872" t="s">
        <v>957</v>
      </c>
      <c r="R872" t="s">
        <v>54</v>
      </c>
      <c r="S872" t="s">
        <v>55</v>
      </c>
      <c r="T872">
        <v>9</v>
      </c>
      <c r="U872">
        <v>5</v>
      </c>
      <c r="V872" t="s">
        <v>135</v>
      </c>
      <c r="W872">
        <v>0</v>
      </c>
      <c r="X872">
        <v>506.87</v>
      </c>
      <c r="Y872">
        <v>66.38</v>
      </c>
      <c r="Z872">
        <v>3.48</v>
      </c>
      <c r="AA872">
        <v>576.73</v>
      </c>
      <c r="AB872" t="s">
        <v>57</v>
      </c>
      <c r="AC872" t="s">
        <v>131</v>
      </c>
      <c r="AD872" t="s">
        <v>48</v>
      </c>
      <c r="AE872">
        <v>0</v>
      </c>
      <c r="AF872">
        <v>9.94</v>
      </c>
      <c r="AG872" t="s">
        <v>59</v>
      </c>
      <c r="AH872">
        <v>325395</v>
      </c>
      <c r="AI872" t="s">
        <v>60</v>
      </c>
      <c r="AJ872" t="s">
        <v>78</v>
      </c>
      <c r="AK872" t="s">
        <v>54</v>
      </c>
      <c r="AL872">
        <v>2024</v>
      </c>
      <c r="AM872" s="6" t="s">
        <v>958</v>
      </c>
      <c r="AN872" s="7">
        <v>101.37</v>
      </c>
      <c r="AO872" s="8">
        <f t="shared" si="42"/>
        <v>190.06875000000002</v>
      </c>
      <c r="AP872" s="8">
        <f t="shared" si="43"/>
        <v>211.16638125000003</v>
      </c>
      <c r="AQ872" s="9">
        <f t="shared" si="41"/>
        <v>307.89236812500002</v>
      </c>
    </row>
    <row r="873" spans="1:43" x14ac:dyDescent="0.25">
      <c r="A873">
        <v>26</v>
      </c>
      <c r="B873">
        <v>12</v>
      </c>
      <c r="C873">
        <v>2024</v>
      </c>
      <c r="D873" t="s">
        <v>43</v>
      </c>
      <c r="E873" t="s">
        <v>222</v>
      </c>
      <c r="F873" t="s">
        <v>223</v>
      </c>
      <c r="G873">
        <v>41</v>
      </c>
      <c r="H873">
        <v>1791882490001</v>
      </c>
      <c r="I873" t="s">
        <v>46</v>
      </c>
      <c r="J873" t="s">
        <v>48</v>
      </c>
      <c r="K873" t="s">
        <v>48</v>
      </c>
      <c r="L873" t="s">
        <v>49</v>
      </c>
      <c r="M873" t="s">
        <v>50</v>
      </c>
      <c r="N873" t="s">
        <v>224</v>
      </c>
      <c r="O873">
        <v>8483309000</v>
      </c>
      <c r="P873" t="s">
        <v>52</v>
      </c>
      <c r="Q873" t="s">
        <v>959</v>
      </c>
      <c r="R873" t="s">
        <v>54</v>
      </c>
      <c r="S873" t="s">
        <v>55</v>
      </c>
      <c r="T873">
        <v>8</v>
      </c>
      <c r="U873">
        <v>1</v>
      </c>
      <c r="V873" t="s">
        <v>135</v>
      </c>
      <c r="W873">
        <v>0</v>
      </c>
      <c r="X873">
        <v>102.58</v>
      </c>
      <c r="Y873">
        <v>21.24</v>
      </c>
      <c r="Z873">
        <v>1.03</v>
      </c>
      <c r="AA873">
        <v>124.85</v>
      </c>
      <c r="AB873" t="s">
        <v>57</v>
      </c>
      <c r="AC873" t="s">
        <v>225</v>
      </c>
      <c r="AD873" t="s">
        <v>48</v>
      </c>
      <c r="AE873">
        <v>0</v>
      </c>
      <c r="AF873">
        <v>2.06</v>
      </c>
      <c r="AG873" t="s">
        <v>59</v>
      </c>
      <c r="AH873">
        <v>341996</v>
      </c>
      <c r="AI873" t="s">
        <v>60</v>
      </c>
      <c r="AJ873" t="s">
        <v>60</v>
      </c>
      <c r="AK873" t="s">
        <v>54</v>
      </c>
      <c r="AL873">
        <v>2024</v>
      </c>
      <c r="AM873" s="6" t="s">
        <v>958</v>
      </c>
      <c r="AN873" s="7">
        <v>102.58</v>
      </c>
      <c r="AO873" s="8">
        <f t="shared" si="42"/>
        <v>192.33750000000001</v>
      </c>
      <c r="AP873" s="8">
        <f t="shared" si="43"/>
        <v>213.68696249999999</v>
      </c>
      <c r="AQ873" s="9">
        <f t="shared" si="41"/>
        <v>311.56751624999998</v>
      </c>
    </row>
    <row r="874" spans="1:43" x14ac:dyDescent="0.25">
      <c r="A874">
        <v>2</v>
      </c>
      <c r="B874">
        <v>1</v>
      </c>
      <c r="C874">
        <v>2024</v>
      </c>
      <c r="D874" t="s">
        <v>43</v>
      </c>
      <c r="E874" t="s">
        <v>181</v>
      </c>
      <c r="F874" t="s">
        <v>182</v>
      </c>
      <c r="G874">
        <v>51</v>
      </c>
      <c r="H874">
        <v>1791882490001</v>
      </c>
      <c r="I874" t="s">
        <v>46</v>
      </c>
      <c r="J874" t="s">
        <v>48</v>
      </c>
      <c r="K874" t="s">
        <v>48</v>
      </c>
      <c r="L874" t="s">
        <v>49</v>
      </c>
      <c r="M874" t="s">
        <v>50</v>
      </c>
      <c r="N874" t="s">
        <v>51</v>
      </c>
      <c r="O874">
        <v>8481805900</v>
      </c>
      <c r="P874" t="s">
        <v>232</v>
      </c>
      <c r="Q874" t="s">
        <v>960</v>
      </c>
      <c r="R874" t="s">
        <v>54</v>
      </c>
      <c r="S874" t="s">
        <v>55</v>
      </c>
      <c r="T874">
        <v>8</v>
      </c>
      <c r="U874">
        <v>1</v>
      </c>
      <c r="V874" t="s">
        <v>135</v>
      </c>
      <c r="W874">
        <v>0</v>
      </c>
      <c r="X874">
        <v>2794.16</v>
      </c>
      <c r="Y874">
        <v>567.73</v>
      </c>
      <c r="Z874">
        <v>17.98</v>
      </c>
      <c r="AA874">
        <v>3379.86</v>
      </c>
      <c r="AB874" t="s">
        <v>57</v>
      </c>
      <c r="AC874" t="s">
        <v>81</v>
      </c>
      <c r="AD874" t="s">
        <v>48</v>
      </c>
      <c r="AE874">
        <v>0</v>
      </c>
      <c r="AF874">
        <v>3.24</v>
      </c>
      <c r="AG874" t="s">
        <v>59</v>
      </c>
      <c r="AH874">
        <v>413505</v>
      </c>
      <c r="AI874" t="s">
        <v>60</v>
      </c>
      <c r="AJ874" t="s">
        <v>60</v>
      </c>
      <c r="AK874" t="s">
        <v>54</v>
      </c>
      <c r="AL874">
        <v>2023</v>
      </c>
      <c r="AM874" s="6" t="s">
        <v>961</v>
      </c>
      <c r="AN874" s="7">
        <v>2794.16</v>
      </c>
      <c r="AO874" s="8">
        <f t="shared" si="42"/>
        <v>5239.0499999999993</v>
      </c>
      <c r="AP874" s="8">
        <f t="shared" si="43"/>
        <v>5820.5845499999996</v>
      </c>
      <c r="AQ874" s="9">
        <f t="shared" si="41"/>
        <v>8486.7370949999986</v>
      </c>
    </row>
    <row r="875" spans="1:43" x14ac:dyDescent="0.25">
      <c r="A875">
        <v>1</v>
      </c>
      <c r="B875">
        <v>2</v>
      </c>
      <c r="C875">
        <v>2024</v>
      </c>
      <c r="D875" t="s">
        <v>43</v>
      </c>
      <c r="E875" t="s">
        <v>174</v>
      </c>
      <c r="F875" t="s">
        <v>175</v>
      </c>
      <c r="G875">
        <v>40</v>
      </c>
      <c r="H875">
        <v>1791882490001</v>
      </c>
      <c r="I875" t="s">
        <v>46</v>
      </c>
      <c r="J875" t="s">
        <v>247</v>
      </c>
      <c r="K875" t="s">
        <v>48</v>
      </c>
      <c r="L875" t="s">
        <v>49</v>
      </c>
      <c r="M875" t="s">
        <v>50</v>
      </c>
      <c r="N875" t="s">
        <v>51</v>
      </c>
      <c r="O875">
        <v>8482100000</v>
      </c>
      <c r="P875" t="s">
        <v>831</v>
      </c>
      <c r="Q875" t="s">
        <v>455</v>
      </c>
      <c r="R875" t="s">
        <v>54</v>
      </c>
      <c r="S875" t="s">
        <v>55</v>
      </c>
      <c r="T875">
        <v>5</v>
      </c>
      <c r="U875">
        <v>2</v>
      </c>
      <c r="V875" t="s">
        <v>135</v>
      </c>
      <c r="W875">
        <v>0</v>
      </c>
      <c r="X875">
        <v>552.70000000000005</v>
      </c>
      <c r="Y875">
        <v>41.09</v>
      </c>
      <c r="Z875">
        <v>3.3</v>
      </c>
      <c r="AA875">
        <v>597.09</v>
      </c>
      <c r="AB875" t="s">
        <v>54</v>
      </c>
      <c r="AC875" t="s">
        <v>94</v>
      </c>
      <c r="AD875" t="s">
        <v>48</v>
      </c>
      <c r="AE875">
        <v>0</v>
      </c>
      <c r="AF875">
        <v>3.97</v>
      </c>
      <c r="AG875" t="s">
        <v>59</v>
      </c>
      <c r="AH875">
        <v>863266</v>
      </c>
      <c r="AI875" t="s">
        <v>60</v>
      </c>
      <c r="AJ875" t="s">
        <v>60</v>
      </c>
      <c r="AK875" t="s">
        <v>54</v>
      </c>
      <c r="AL875">
        <v>2023</v>
      </c>
      <c r="AM875" s="6" t="s">
        <v>962</v>
      </c>
      <c r="AN875" s="7">
        <v>276.35000000000002</v>
      </c>
      <c r="AO875" s="8">
        <f t="shared" si="42"/>
        <v>518.15625</v>
      </c>
      <c r="AP875" s="8">
        <f t="shared" si="43"/>
        <v>575.67159374999994</v>
      </c>
      <c r="AQ875" s="9">
        <f t="shared" si="41"/>
        <v>839.36130937499991</v>
      </c>
    </row>
    <row r="876" spans="1:43" x14ac:dyDescent="0.25">
      <c r="A876">
        <v>13</v>
      </c>
      <c r="B876">
        <v>3</v>
      </c>
      <c r="C876">
        <v>2024</v>
      </c>
      <c r="D876" t="s">
        <v>43</v>
      </c>
      <c r="E876" t="s">
        <v>69</v>
      </c>
      <c r="F876" t="s">
        <v>70</v>
      </c>
      <c r="G876">
        <v>47</v>
      </c>
      <c r="H876">
        <v>1791882490001</v>
      </c>
      <c r="I876" t="s">
        <v>46</v>
      </c>
      <c r="J876" t="s">
        <v>247</v>
      </c>
      <c r="K876" t="s">
        <v>48</v>
      </c>
      <c r="L876" t="s">
        <v>49</v>
      </c>
      <c r="M876" t="s">
        <v>50</v>
      </c>
      <c r="N876" t="s">
        <v>51</v>
      </c>
      <c r="O876">
        <v>8482100000</v>
      </c>
      <c r="P876" t="s">
        <v>831</v>
      </c>
      <c r="Q876" t="s">
        <v>723</v>
      </c>
      <c r="R876" t="s">
        <v>54</v>
      </c>
      <c r="S876" t="s">
        <v>55</v>
      </c>
      <c r="T876">
        <v>11</v>
      </c>
      <c r="U876">
        <v>2</v>
      </c>
      <c r="V876" t="s">
        <v>135</v>
      </c>
      <c r="W876">
        <v>0</v>
      </c>
      <c r="X876">
        <v>554.79</v>
      </c>
      <c r="Y876">
        <v>72.650000000000006</v>
      </c>
      <c r="Z876">
        <v>3.73</v>
      </c>
      <c r="AA876">
        <v>631.16999999999996</v>
      </c>
      <c r="AB876" t="s">
        <v>54</v>
      </c>
      <c r="AC876" t="s">
        <v>71</v>
      </c>
      <c r="AD876" t="s">
        <v>48</v>
      </c>
      <c r="AE876">
        <v>0</v>
      </c>
      <c r="AF876">
        <v>4.08</v>
      </c>
      <c r="AG876" t="s">
        <v>59</v>
      </c>
      <c r="AH876">
        <v>895279</v>
      </c>
      <c r="AI876" t="s">
        <v>60</v>
      </c>
      <c r="AJ876" t="s">
        <v>60</v>
      </c>
      <c r="AK876" t="s">
        <v>54</v>
      </c>
      <c r="AL876">
        <v>2024</v>
      </c>
      <c r="AM876" s="6" t="s">
        <v>962</v>
      </c>
      <c r="AN876" s="7">
        <v>277.39999999999998</v>
      </c>
      <c r="AO876" s="8">
        <f t="shared" si="42"/>
        <v>520.125</v>
      </c>
      <c r="AP876" s="8">
        <f t="shared" si="43"/>
        <v>577.85887500000001</v>
      </c>
      <c r="AQ876" s="9">
        <f t="shared" si="41"/>
        <v>842.55048749999992</v>
      </c>
    </row>
    <row r="877" spans="1:43" x14ac:dyDescent="0.25">
      <c r="A877">
        <v>8</v>
      </c>
      <c r="B877">
        <v>4</v>
      </c>
      <c r="C877">
        <v>2024</v>
      </c>
      <c r="D877" t="s">
        <v>43</v>
      </c>
      <c r="E877" t="s">
        <v>355</v>
      </c>
      <c r="F877" t="s">
        <v>356</v>
      </c>
      <c r="G877">
        <v>14</v>
      </c>
      <c r="H877">
        <v>1791882490001</v>
      </c>
      <c r="I877" t="s">
        <v>46</v>
      </c>
      <c r="J877" t="s">
        <v>247</v>
      </c>
      <c r="K877" t="s">
        <v>48</v>
      </c>
      <c r="L877" t="s">
        <v>119</v>
      </c>
      <c r="M877" t="s">
        <v>120</v>
      </c>
      <c r="N877" t="s">
        <v>121</v>
      </c>
      <c r="O877">
        <v>8482100000</v>
      </c>
      <c r="P877" t="s">
        <v>831</v>
      </c>
      <c r="Q877" t="s">
        <v>723</v>
      </c>
      <c r="R877" t="s">
        <v>54</v>
      </c>
      <c r="S877" t="s">
        <v>55</v>
      </c>
      <c r="T877">
        <v>10</v>
      </c>
      <c r="U877">
        <v>3</v>
      </c>
      <c r="V877" t="s">
        <v>135</v>
      </c>
      <c r="W877">
        <v>0</v>
      </c>
      <c r="X877">
        <v>825.07</v>
      </c>
      <c r="Y877">
        <v>41.26</v>
      </c>
      <c r="Z877">
        <v>5.27</v>
      </c>
      <c r="AA877">
        <v>871.6</v>
      </c>
      <c r="AB877" t="s">
        <v>359</v>
      </c>
      <c r="AC877" t="s">
        <v>125</v>
      </c>
      <c r="AD877" t="s">
        <v>48</v>
      </c>
      <c r="AE877">
        <v>1</v>
      </c>
      <c r="AF877">
        <v>40.869999999999997</v>
      </c>
      <c r="AG877" t="s">
        <v>59</v>
      </c>
      <c r="AH877">
        <v>882904</v>
      </c>
      <c r="AI877" t="s">
        <v>60</v>
      </c>
      <c r="AJ877" t="s">
        <v>60</v>
      </c>
      <c r="AK877" t="s">
        <v>54</v>
      </c>
      <c r="AL877">
        <v>2024</v>
      </c>
      <c r="AM877" s="6" t="s">
        <v>962</v>
      </c>
      <c r="AN877" s="7">
        <v>275.02</v>
      </c>
      <c r="AO877" s="8">
        <f t="shared" si="42"/>
        <v>515.66249999999991</v>
      </c>
      <c r="AP877" s="8">
        <f t="shared" si="43"/>
        <v>572.90103749999992</v>
      </c>
      <c r="AQ877" s="9">
        <f t="shared" si="41"/>
        <v>835.32168374999981</v>
      </c>
    </row>
    <row r="878" spans="1:43" x14ac:dyDescent="0.25">
      <c r="A878">
        <v>10</v>
      </c>
      <c r="B878">
        <v>10</v>
      </c>
      <c r="C878">
        <v>2024</v>
      </c>
      <c r="D878" t="s">
        <v>43</v>
      </c>
      <c r="E878" t="s">
        <v>44</v>
      </c>
      <c r="F878" t="s">
        <v>45</v>
      </c>
      <c r="G878">
        <v>57</v>
      </c>
      <c r="H878">
        <v>1791882490001</v>
      </c>
      <c r="I878" t="s">
        <v>46</v>
      </c>
      <c r="J878" t="s">
        <v>247</v>
      </c>
      <c r="K878" t="s">
        <v>48</v>
      </c>
      <c r="L878" t="s">
        <v>49</v>
      </c>
      <c r="M878" t="s">
        <v>50</v>
      </c>
      <c r="N878" t="s">
        <v>51</v>
      </c>
      <c r="O878">
        <v>8482100000</v>
      </c>
      <c r="P878" t="s">
        <v>843</v>
      </c>
      <c r="Q878" t="s">
        <v>455</v>
      </c>
      <c r="R878" t="s">
        <v>54</v>
      </c>
      <c r="S878" t="s">
        <v>55</v>
      </c>
      <c r="T878">
        <v>7</v>
      </c>
      <c r="U878">
        <v>2</v>
      </c>
      <c r="V878" t="s">
        <v>135</v>
      </c>
      <c r="W878">
        <v>0</v>
      </c>
      <c r="X878">
        <v>544.72</v>
      </c>
      <c r="Y878">
        <v>95.17</v>
      </c>
      <c r="Z878">
        <v>3.93</v>
      </c>
      <c r="AA878">
        <v>643.82000000000005</v>
      </c>
      <c r="AB878" t="s">
        <v>57</v>
      </c>
      <c r="AC878" t="s">
        <v>58</v>
      </c>
      <c r="AD878" t="s">
        <v>48</v>
      </c>
      <c r="AE878">
        <v>0</v>
      </c>
      <c r="AF878">
        <v>5.88</v>
      </c>
      <c r="AG878" t="s">
        <v>59</v>
      </c>
      <c r="AH878">
        <v>179772</v>
      </c>
      <c r="AI878" t="s">
        <v>60</v>
      </c>
      <c r="AJ878" t="s">
        <v>60</v>
      </c>
      <c r="AK878" t="s">
        <v>54</v>
      </c>
      <c r="AL878">
        <v>2024</v>
      </c>
      <c r="AM878" s="6" t="s">
        <v>962</v>
      </c>
      <c r="AN878" s="7">
        <v>272.36</v>
      </c>
      <c r="AO878" s="8">
        <f t="shared" si="42"/>
        <v>510.67500000000001</v>
      </c>
      <c r="AP878" s="8">
        <f t="shared" si="43"/>
        <v>567.35992499999998</v>
      </c>
      <c r="AQ878" s="9">
        <f t="shared" si="41"/>
        <v>827.24243249999995</v>
      </c>
    </row>
    <row r="879" spans="1:43" x14ac:dyDescent="0.25">
      <c r="A879">
        <v>26</v>
      </c>
      <c r="B879">
        <v>12</v>
      </c>
      <c r="C879">
        <v>2024</v>
      </c>
      <c r="D879" t="s">
        <v>43</v>
      </c>
      <c r="E879" t="s">
        <v>222</v>
      </c>
      <c r="F879" t="s">
        <v>223</v>
      </c>
      <c r="G879">
        <v>42</v>
      </c>
      <c r="H879">
        <v>1791882490001</v>
      </c>
      <c r="I879" t="s">
        <v>46</v>
      </c>
      <c r="J879" t="s">
        <v>48</v>
      </c>
      <c r="K879" t="s">
        <v>48</v>
      </c>
      <c r="L879" t="s">
        <v>49</v>
      </c>
      <c r="M879" t="s">
        <v>50</v>
      </c>
      <c r="N879" t="s">
        <v>224</v>
      </c>
      <c r="O879">
        <v>8482100000</v>
      </c>
      <c r="P879" t="s">
        <v>843</v>
      </c>
      <c r="Q879" t="s">
        <v>455</v>
      </c>
      <c r="R879" t="s">
        <v>54</v>
      </c>
      <c r="S879" t="s">
        <v>55</v>
      </c>
      <c r="T879">
        <v>8</v>
      </c>
      <c r="U879">
        <v>3</v>
      </c>
      <c r="V879" t="s">
        <v>135</v>
      </c>
      <c r="W879">
        <v>0</v>
      </c>
      <c r="X879">
        <v>826.42</v>
      </c>
      <c r="Y879">
        <v>171.15</v>
      </c>
      <c r="Z879">
        <v>8.26</v>
      </c>
      <c r="AA879">
        <v>1005.83</v>
      </c>
      <c r="AB879" t="s">
        <v>57</v>
      </c>
      <c r="AC879" t="s">
        <v>225</v>
      </c>
      <c r="AD879" t="s">
        <v>48</v>
      </c>
      <c r="AE879">
        <v>0</v>
      </c>
      <c r="AF879">
        <v>6.18</v>
      </c>
      <c r="AG879" t="s">
        <v>59</v>
      </c>
      <c r="AH879">
        <v>341996</v>
      </c>
      <c r="AI879" t="s">
        <v>60</v>
      </c>
      <c r="AJ879" t="s">
        <v>60</v>
      </c>
      <c r="AK879" t="s">
        <v>54</v>
      </c>
      <c r="AL879">
        <v>2024</v>
      </c>
      <c r="AM879" s="6" t="s">
        <v>962</v>
      </c>
      <c r="AN879" s="7">
        <v>275.47000000000003</v>
      </c>
      <c r="AO879" s="8">
        <f t="shared" si="42"/>
        <v>516.50625000000002</v>
      </c>
      <c r="AP879" s="8">
        <f t="shared" si="43"/>
        <v>573.83844375000001</v>
      </c>
      <c r="AQ879" s="9">
        <f t="shared" si="41"/>
        <v>836.68847437499994</v>
      </c>
    </row>
    <row r="880" spans="1:43" x14ac:dyDescent="0.25">
      <c r="A880">
        <v>1</v>
      </c>
      <c r="B880">
        <v>2</v>
      </c>
      <c r="C880">
        <v>2024</v>
      </c>
      <c r="D880" t="s">
        <v>43</v>
      </c>
      <c r="E880" t="s">
        <v>174</v>
      </c>
      <c r="F880" t="s">
        <v>175</v>
      </c>
      <c r="G880">
        <v>41</v>
      </c>
      <c r="H880">
        <v>1791882490001</v>
      </c>
      <c r="I880" t="s">
        <v>46</v>
      </c>
      <c r="J880" t="s">
        <v>48</v>
      </c>
      <c r="K880" t="s">
        <v>48</v>
      </c>
      <c r="L880" t="s">
        <v>49</v>
      </c>
      <c r="M880" t="s">
        <v>50</v>
      </c>
      <c r="N880" t="s">
        <v>51</v>
      </c>
      <c r="O880">
        <v>8421999000</v>
      </c>
      <c r="P880" t="s">
        <v>66</v>
      </c>
      <c r="Q880" t="s">
        <v>819</v>
      </c>
      <c r="R880" t="s">
        <v>54</v>
      </c>
      <c r="S880" t="s">
        <v>55</v>
      </c>
      <c r="T880">
        <v>5</v>
      </c>
      <c r="U880">
        <v>4</v>
      </c>
      <c r="V880" t="s">
        <v>135</v>
      </c>
      <c r="W880">
        <v>0</v>
      </c>
      <c r="X880">
        <v>816.24</v>
      </c>
      <c r="Y880">
        <v>60.68</v>
      </c>
      <c r="Z880">
        <v>4.88</v>
      </c>
      <c r="AA880">
        <v>881.8</v>
      </c>
      <c r="AB880" t="s">
        <v>54</v>
      </c>
      <c r="AC880" t="s">
        <v>94</v>
      </c>
      <c r="AD880" t="s">
        <v>48</v>
      </c>
      <c r="AE880">
        <v>0</v>
      </c>
      <c r="AF880">
        <v>7.94</v>
      </c>
      <c r="AG880" t="s">
        <v>59</v>
      </c>
      <c r="AH880">
        <v>863266</v>
      </c>
      <c r="AI880" t="s">
        <v>60</v>
      </c>
      <c r="AJ880" t="s">
        <v>60</v>
      </c>
      <c r="AK880" t="s">
        <v>54</v>
      </c>
      <c r="AL880">
        <v>2023</v>
      </c>
      <c r="AM880" s="6" t="s">
        <v>963</v>
      </c>
      <c r="AN880" s="7">
        <v>204.06</v>
      </c>
      <c r="AO880" s="8">
        <f t="shared" si="42"/>
        <v>382.61250000000001</v>
      </c>
      <c r="AP880" s="8">
        <f t="shared" si="43"/>
        <v>425.08248750000001</v>
      </c>
      <c r="AQ880" s="9">
        <f t="shared" si="41"/>
        <v>619.79398874999993</v>
      </c>
    </row>
    <row r="881" spans="1:43" x14ac:dyDescent="0.25">
      <c r="A881">
        <v>3</v>
      </c>
      <c r="B881">
        <v>4</v>
      </c>
      <c r="C881">
        <v>2024</v>
      </c>
      <c r="D881" t="s">
        <v>43</v>
      </c>
      <c r="E881" t="s">
        <v>73</v>
      </c>
      <c r="F881" t="s">
        <v>74</v>
      </c>
      <c r="G881">
        <v>55</v>
      </c>
      <c r="H881">
        <v>1791882490001</v>
      </c>
      <c r="I881" t="s">
        <v>46</v>
      </c>
      <c r="J881" t="s">
        <v>48</v>
      </c>
      <c r="K881" t="s">
        <v>48</v>
      </c>
      <c r="L881" t="s">
        <v>49</v>
      </c>
      <c r="M881" t="s">
        <v>50</v>
      </c>
      <c r="N881" t="s">
        <v>51</v>
      </c>
      <c r="O881">
        <v>8421999000</v>
      </c>
      <c r="P881" t="s">
        <v>66</v>
      </c>
      <c r="Q881" t="s">
        <v>819</v>
      </c>
      <c r="R881" t="s">
        <v>54</v>
      </c>
      <c r="S881" t="s">
        <v>55</v>
      </c>
      <c r="T881">
        <v>6</v>
      </c>
      <c r="U881">
        <v>4</v>
      </c>
      <c r="V881" t="s">
        <v>135</v>
      </c>
      <c r="W881">
        <v>0</v>
      </c>
      <c r="X881">
        <v>969.15</v>
      </c>
      <c r="Y881">
        <v>113.2</v>
      </c>
      <c r="Z881">
        <v>6.34</v>
      </c>
      <c r="AA881">
        <v>1088.69</v>
      </c>
      <c r="AB881" t="s">
        <v>57</v>
      </c>
      <c r="AC881" t="s">
        <v>58</v>
      </c>
      <c r="AD881" t="s">
        <v>48</v>
      </c>
      <c r="AE881">
        <v>0</v>
      </c>
      <c r="AF881">
        <v>5.33</v>
      </c>
      <c r="AG881" t="s">
        <v>59</v>
      </c>
      <c r="AH881">
        <v>438183</v>
      </c>
      <c r="AI881" t="s">
        <v>60</v>
      </c>
      <c r="AJ881" t="s">
        <v>60</v>
      </c>
      <c r="AK881" t="s">
        <v>54</v>
      </c>
      <c r="AL881">
        <v>2024</v>
      </c>
      <c r="AM881" s="6" t="s">
        <v>963</v>
      </c>
      <c r="AN881" s="7">
        <v>242.29</v>
      </c>
      <c r="AO881" s="8">
        <f t="shared" si="42"/>
        <v>454.29374999999999</v>
      </c>
      <c r="AP881" s="8">
        <f t="shared" si="43"/>
        <v>504.72035625000001</v>
      </c>
      <c r="AQ881" s="9">
        <f t="shared" si="41"/>
        <v>735.91044562499997</v>
      </c>
    </row>
    <row r="882" spans="1:43" x14ac:dyDescent="0.25">
      <c r="A882">
        <v>12</v>
      </c>
      <c r="B882">
        <v>6</v>
      </c>
      <c r="C882">
        <v>2024</v>
      </c>
      <c r="D882" t="s">
        <v>43</v>
      </c>
      <c r="E882" t="s">
        <v>96</v>
      </c>
      <c r="F882" t="s">
        <v>97</v>
      </c>
      <c r="G882">
        <v>47</v>
      </c>
      <c r="H882">
        <v>1791882490001</v>
      </c>
      <c r="I882" t="s">
        <v>46</v>
      </c>
      <c r="J882" t="s">
        <v>48</v>
      </c>
      <c r="K882" t="s">
        <v>48</v>
      </c>
      <c r="L882" t="s">
        <v>49</v>
      </c>
      <c r="M882" t="s">
        <v>50</v>
      </c>
      <c r="N882" t="s">
        <v>51</v>
      </c>
      <c r="O882">
        <v>8421999000</v>
      </c>
      <c r="P882" t="s">
        <v>66</v>
      </c>
      <c r="Q882" t="s">
        <v>964</v>
      </c>
      <c r="R882" t="s">
        <v>54</v>
      </c>
      <c r="S882" t="s">
        <v>55</v>
      </c>
      <c r="T882">
        <v>7</v>
      </c>
      <c r="U882">
        <v>4</v>
      </c>
      <c r="V882" t="s">
        <v>135</v>
      </c>
      <c r="W882">
        <v>0</v>
      </c>
      <c r="X882">
        <v>948.9</v>
      </c>
      <c r="Y882">
        <v>82.29</v>
      </c>
      <c r="Z882">
        <v>6.39</v>
      </c>
      <c r="AA882">
        <v>1037.58</v>
      </c>
      <c r="AB882" t="s">
        <v>57</v>
      </c>
      <c r="AC882" t="s">
        <v>94</v>
      </c>
      <c r="AD882" t="s">
        <v>48</v>
      </c>
      <c r="AE882">
        <v>0</v>
      </c>
      <c r="AF882">
        <v>7.2</v>
      </c>
      <c r="AG882" t="s">
        <v>59</v>
      </c>
      <c r="AH882" t="s">
        <v>98</v>
      </c>
      <c r="AI882" t="s">
        <v>60</v>
      </c>
      <c r="AJ882" t="s">
        <v>60</v>
      </c>
      <c r="AK882" t="s">
        <v>54</v>
      </c>
      <c r="AL882">
        <v>2024</v>
      </c>
      <c r="AM882" s="6" t="s">
        <v>963</v>
      </c>
      <c r="AN882" s="7">
        <v>237.23</v>
      </c>
      <c r="AO882" s="8">
        <f t="shared" si="42"/>
        <v>444.80624999999998</v>
      </c>
      <c r="AP882" s="8">
        <f t="shared" si="43"/>
        <v>494.17974374999994</v>
      </c>
      <c r="AQ882" s="9">
        <f t="shared" si="41"/>
        <v>720.54164437499992</v>
      </c>
    </row>
    <row r="883" spans="1:43" x14ac:dyDescent="0.25">
      <c r="A883">
        <v>11</v>
      </c>
      <c r="B883">
        <v>7</v>
      </c>
      <c r="C883">
        <v>2024</v>
      </c>
      <c r="D883" t="s">
        <v>43</v>
      </c>
      <c r="E883" t="s">
        <v>116</v>
      </c>
      <c r="F883" t="s">
        <v>117</v>
      </c>
      <c r="G883">
        <v>27</v>
      </c>
      <c r="H883">
        <v>1791882490001</v>
      </c>
      <c r="I883" t="s">
        <v>46</v>
      </c>
      <c r="J883" t="s">
        <v>48</v>
      </c>
      <c r="K883" t="s">
        <v>48</v>
      </c>
      <c r="L883" t="s">
        <v>119</v>
      </c>
      <c r="M883" t="s">
        <v>120</v>
      </c>
      <c r="N883" t="s">
        <v>121</v>
      </c>
      <c r="O883">
        <v>8421999000</v>
      </c>
      <c r="P883" t="s">
        <v>66</v>
      </c>
      <c r="Q883" t="s">
        <v>837</v>
      </c>
      <c r="R883" t="s">
        <v>54</v>
      </c>
      <c r="S883" t="s">
        <v>55</v>
      </c>
      <c r="T883">
        <v>9</v>
      </c>
      <c r="U883">
        <v>6</v>
      </c>
      <c r="V883" t="s">
        <v>135</v>
      </c>
      <c r="W883">
        <v>0</v>
      </c>
      <c r="X883">
        <v>1418.18</v>
      </c>
      <c r="Y883">
        <v>127.72</v>
      </c>
      <c r="Z883">
        <v>9.52</v>
      </c>
      <c r="AA883">
        <v>1555.42</v>
      </c>
      <c r="AB883" t="s">
        <v>124</v>
      </c>
      <c r="AC883" t="s">
        <v>125</v>
      </c>
      <c r="AD883" t="s">
        <v>48</v>
      </c>
      <c r="AE883">
        <v>0</v>
      </c>
      <c r="AF883">
        <v>12.1</v>
      </c>
      <c r="AG883" t="s">
        <v>59</v>
      </c>
      <c r="AH883">
        <v>486256</v>
      </c>
      <c r="AI883" t="s">
        <v>60</v>
      </c>
      <c r="AJ883" t="s">
        <v>78</v>
      </c>
      <c r="AK883" t="s">
        <v>54</v>
      </c>
      <c r="AL883">
        <v>2024</v>
      </c>
      <c r="AM883" s="6" t="s">
        <v>963</v>
      </c>
      <c r="AN883" s="7">
        <v>236.36</v>
      </c>
      <c r="AO883" s="8">
        <f t="shared" si="42"/>
        <v>443.17500000000001</v>
      </c>
      <c r="AP883" s="8">
        <f t="shared" si="43"/>
        <v>492.36742500000003</v>
      </c>
      <c r="AQ883" s="9">
        <f t="shared" si="41"/>
        <v>717.89918249999994</v>
      </c>
    </row>
    <row r="884" spans="1:43" x14ac:dyDescent="0.25">
      <c r="A884">
        <v>16</v>
      </c>
      <c r="B884">
        <v>12</v>
      </c>
      <c r="C884">
        <v>2024</v>
      </c>
      <c r="D884" t="s">
        <v>43</v>
      </c>
      <c r="E884" t="s">
        <v>128</v>
      </c>
      <c r="F884" t="s">
        <v>129</v>
      </c>
      <c r="G884">
        <v>58</v>
      </c>
      <c r="H884">
        <v>1791882490001</v>
      </c>
      <c r="I884" t="s">
        <v>46</v>
      </c>
      <c r="J884" t="s">
        <v>48</v>
      </c>
      <c r="K884" t="s">
        <v>48</v>
      </c>
      <c r="L884" t="s">
        <v>49</v>
      </c>
      <c r="M884" t="s">
        <v>50</v>
      </c>
      <c r="N884" t="s">
        <v>51</v>
      </c>
      <c r="O884">
        <v>8421999000</v>
      </c>
      <c r="P884" t="s">
        <v>52</v>
      </c>
      <c r="Q884" t="s">
        <v>819</v>
      </c>
      <c r="R884" t="s">
        <v>54</v>
      </c>
      <c r="S884" t="s">
        <v>55</v>
      </c>
      <c r="T884">
        <v>9</v>
      </c>
      <c r="U884">
        <v>4</v>
      </c>
      <c r="V884" t="s">
        <v>135</v>
      </c>
      <c r="W884">
        <v>0</v>
      </c>
      <c r="X884">
        <v>950.39</v>
      </c>
      <c r="Y884">
        <v>124.47</v>
      </c>
      <c r="Z884">
        <v>6.52</v>
      </c>
      <c r="AA884">
        <v>1081.3699999999999</v>
      </c>
      <c r="AB884" t="s">
        <v>57</v>
      </c>
      <c r="AC884" t="s">
        <v>131</v>
      </c>
      <c r="AD884" t="s">
        <v>48</v>
      </c>
      <c r="AE884">
        <v>0</v>
      </c>
      <c r="AF884">
        <v>7.95</v>
      </c>
      <c r="AG884" t="s">
        <v>59</v>
      </c>
      <c r="AH884">
        <v>325395</v>
      </c>
      <c r="AI884" t="s">
        <v>60</v>
      </c>
      <c r="AJ884" t="s">
        <v>78</v>
      </c>
      <c r="AK884" t="s">
        <v>54</v>
      </c>
      <c r="AL884">
        <v>2024</v>
      </c>
      <c r="AM884" s="6" t="s">
        <v>963</v>
      </c>
      <c r="AN884" s="7">
        <v>237.6</v>
      </c>
      <c r="AO884" s="8">
        <f t="shared" si="42"/>
        <v>445.5</v>
      </c>
      <c r="AP884" s="8">
        <f t="shared" si="43"/>
        <v>494.95049999999998</v>
      </c>
      <c r="AQ884" s="9">
        <f t="shared" si="41"/>
        <v>721.66544999999996</v>
      </c>
    </row>
    <row r="885" spans="1:43" x14ac:dyDescent="0.25">
      <c r="A885">
        <v>2</v>
      </c>
      <c r="B885">
        <v>1</v>
      </c>
      <c r="C885">
        <v>2024</v>
      </c>
      <c r="D885" t="s">
        <v>43</v>
      </c>
      <c r="E885" t="s">
        <v>181</v>
      </c>
      <c r="F885" t="s">
        <v>182</v>
      </c>
      <c r="G885">
        <v>38</v>
      </c>
      <c r="H885">
        <v>1791882490001</v>
      </c>
      <c r="I885" t="s">
        <v>46</v>
      </c>
      <c r="J885" t="s">
        <v>48</v>
      </c>
      <c r="K885" t="s">
        <v>48</v>
      </c>
      <c r="L885" t="s">
        <v>49</v>
      </c>
      <c r="M885" t="s">
        <v>50</v>
      </c>
      <c r="N885" t="s">
        <v>51</v>
      </c>
      <c r="O885">
        <v>8421999000</v>
      </c>
      <c r="P885" t="s">
        <v>52</v>
      </c>
      <c r="Q885" t="s">
        <v>819</v>
      </c>
      <c r="R885" t="s">
        <v>54</v>
      </c>
      <c r="S885" t="s">
        <v>55</v>
      </c>
      <c r="T885">
        <v>8</v>
      </c>
      <c r="U885">
        <v>2</v>
      </c>
      <c r="V885" t="s">
        <v>135</v>
      </c>
      <c r="W885">
        <v>0</v>
      </c>
      <c r="X885">
        <v>679.51</v>
      </c>
      <c r="Y885">
        <v>138.07</v>
      </c>
      <c r="Z885">
        <v>4.37</v>
      </c>
      <c r="AA885">
        <v>821.95</v>
      </c>
      <c r="AB885" t="s">
        <v>57</v>
      </c>
      <c r="AC885" t="s">
        <v>81</v>
      </c>
      <c r="AD885" t="s">
        <v>48</v>
      </c>
      <c r="AE885">
        <v>0</v>
      </c>
      <c r="AF885">
        <v>6.48</v>
      </c>
      <c r="AG885" t="s">
        <v>59</v>
      </c>
      <c r="AH885">
        <v>413505</v>
      </c>
      <c r="AI885" t="s">
        <v>60</v>
      </c>
      <c r="AJ885" t="s">
        <v>60</v>
      </c>
      <c r="AK885" t="s">
        <v>54</v>
      </c>
      <c r="AL885">
        <v>2023</v>
      </c>
      <c r="AM885" s="6" t="s">
        <v>965</v>
      </c>
      <c r="AN885" s="7">
        <v>339.76</v>
      </c>
      <c r="AO885" s="8">
        <f t="shared" si="42"/>
        <v>637.04999999999995</v>
      </c>
      <c r="AP885" s="8">
        <f t="shared" si="43"/>
        <v>707.76254999999992</v>
      </c>
      <c r="AQ885" s="9">
        <f t="shared" si="41"/>
        <v>1031.9572949999999</v>
      </c>
    </row>
    <row r="886" spans="1:43" x14ac:dyDescent="0.25">
      <c r="A886">
        <v>26</v>
      </c>
      <c r="B886">
        <v>12</v>
      </c>
      <c r="C886">
        <v>2024</v>
      </c>
      <c r="D886" t="s">
        <v>43</v>
      </c>
      <c r="E886" t="s">
        <v>222</v>
      </c>
      <c r="F886" t="s">
        <v>223</v>
      </c>
      <c r="G886">
        <v>43</v>
      </c>
      <c r="H886">
        <v>1791882490001</v>
      </c>
      <c r="I886" t="s">
        <v>46</v>
      </c>
      <c r="J886" t="s">
        <v>48</v>
      </c>
      <c r="K886" t="s">
        <v>48</v>
      </c>
      <c r="L886" t="s">
        <v>49</v>
      </c>
      <c r="M886" t="s">
        <v>50</v>
      </c>
      <c r="N886" t="s">
        <v>224</v>
      </c>
      <c r="O886">
        <v>8421999000</v>
      </c>
      <c r="P886" t="s">
        <v>52</v>
      </c>
      <c r="Q886" t="s">
        <v>837</v>
      </c>
      <c r="R886" t="s">
        <v>54</v>
      </c>
      <c r="S886" t="s">
        <v>55</v>
      </c>
      <c r="T886">
        <v>8</v>
      </c>
      <c r="U886">
        <v>2</v>
      </c>
      <c r="V886" t="s">
        <v>135</v>
      </c>
      <c r="W886">
        <v>0</v>
      </c>
      <c r="X886">
        <v>797.07</v>
      </c>
      <c r="Y886">
        <v>165.07</v>
      </c>
      <c r="Z886">
        <v>7.97</v>
      </c>
      <c r="AA886">
        <v>970.1</v>
      </c>
      <c r="AB886" t="s">
        <v>57</v>
      </c>
      <c r="AC886" t="s">
        <v>225</v>
      </c>
      <c r="AD886" t="s">
        <v>48</v>
      </c>
      <c r="AE886">
        <v>0</v>
      </c>
      <c r="AF886">
        <v>4.12</v>
      </c>
      <c r="AG886" t="s">
        <v>59</v>
      </c>
      <c r="AH886">
        <v>341996</v>
      </c>
      <c r="AI886" t="s">
        <v>60</v>
      </c>
      <c r="AJ886" t="s">
        <v>60</v>
      </c>
      <c r="AK886" t="s">
        <v>54</v>
      </c>
      <c r="AL886">
        <v>2024</v>
      </c>
      <c r="AM886" s="6" t="s">
        <v>966</v>
      </c>
      <c r="AN886" s="7">
        <v>398.53</v>
      </c>
      <c r="AO886" s="8">
        <f t="shared" si="42"/>
        <v>747.24374999999998</v>
      </c>
      <c r="AP886" s="8">
        <f t="shared" si="43"/>
        <v>830.18780624999999</v>
      </c>
      <c r="AQ886" s="9">
        <f t="shared" si="41"/>
        <v>1210.4601506249999</v>
      </c>
    </row>
    <row r="887" spans="1:43" x14ac:dyDescent="0.25">
      <c r="A887">
        <v>2</v>
      </c>
      <c r="B887">
        <v>1</v>
      </c>
      <c r="C887">
        <v>2024</v>
      </c>
      <c r="D887" t="s">
        <v>43</v>
      </c>
      <c r="E887" t="s">
        <v>181</v>
      </c>
      <c r="F887" t="s">
        <v>182</v>
      </c>
      <c r="G887">
        <v>39</v>
      </c>
      <c r="H887">
        <v>1791882490001</v>
      </c>
      <c r="I887" t="s">
        <v>46</v>
      </c>
      <c r="J887" t="s">
        <v>65</v>
      </c>
      <c r="K887" t="s">
        <v>48</v>
      </c>
      <c r="L887" t="s">
        <v>49</v>
      </c>
      <c r="M887" t="s">
        <v>50</v>
      </c>
      <c r="N887" t="s">
        <v>51</v>
      </c>
      <c r="O887">
        <v>8421999000</v>
      </c>
      <c r="P887" t="s">
        <v>52</v>
      </c>
      <c r="Q887" t="s">
        <v>699</v>
      </c>
      <c r="R887" t="s">
        <v>54</v>
      </c>
      <c r="S887" t="s">
        <v>55</v>
      </c>
      <c r="T887">
        <v>8</v>
      </c>
      <c r="U887">
        <v>4</v>
      </c>
      <c r="V887" t="s">
        <v>135</v>
      </c>
      <c r="W887">
        <v>0</v>
      </c>
      <c r="X887">
        <v>1543.34</v>
      </c>
      <c r="Y887">
        <v>313.58</v>
      </c>
      <c r="Z887">
        <v>9.93</v>
      </c>
      <c r="AA887">
        <v>1866.85</v>
      </c>
      <c r="AB887" t="s">
        <v>57</v>
      </c>
      <c r="AC887" t="s">
        <v>81</v>
      </c>
      <c r="AD887" t="s">
        <v>48</v>
      </c>
      <c r="AE887">
        <v>0</v>
      </c>
      <c r="AF887">
        <v>12.96</v>
      </c>
      <c r="AG887" t="s">
        <v>59</v>
      </c>
      <c r="AH887">
        <v>413505</v>
      </c>
      <c r="AI887" t="s">
        <v>60</v>
      </c>
      <c r="AJ887" t="s">
        <v>60</v>
      </c>
      <c r="AK887" t="s">
        <v>54</v>
      </c>
      <c r="AL887">
        <v>2023</v>
      </c>
      <c r="AM887" s="6" t="s">
        <v>967</v>
      </c>
      <c r="AN887" s="7">
        <v>385.83</v>
      </c>
      <c r="AO887" s="8">
        <f t="shared" si="42"/>
        <v>723.43124999999998</v>
      </c>
      <c r="AP887" s="8">
        <f t="shared" si="43"/>
        <v>803.73211874999993</v>
      </c>
      <c r="AQ887" s="9">
        <f t="shared" si="41"/>
        <v>1171.8862818749999</v>
      </c>
    </row>
    <row r="888" spans="1:43" x14ac:dyDescent="0.25">
      <c r="A888">
        <v>16</v>
      </c>
      <c r="B888">
        <v>1</v>
      </c>
      <c r="C888">
        <v>2024</v>
      </c>
      <c r="D888" t="s">
        <v>43</v>
      </c>
      <c r="E888" t="s">
        <v>191</v>
      </c>
      <c r="F888" t="s">
        <v>192</v>
      </c>
      <c r="G888">
        <v>19</v>
      </c>
      <c r="H888">
        <v>1791882490001</v>
      </c>
      <c r="I888" t="s">
        <v>46</v>
      </c>
      <c r="J888" t="s">
        <v>65</v>
      </c>
      <c r="K888" t="s">
        <v>48</v>
      </c>
      <c r="L888" t="s">
        <v>49</v>
      </c>
      <c r="M888" t="s">
        <v>50</v>
      </c>
      <c r="N888" t="s">
        <v>51</v>
      </c>
      <c r="O888">
        <v>8421999000</v>
      </c>
      <c r="P888" t="s">
        <v>52</v>
      </c>
      <c r="Q888" t="s">
        <v>879</v>
      </c>
      <c r="R888" t="s">
        <v>54</v>
      </c>
      <c r="S888" t="s">
        <v>55</v>
      </c>
      <c r="T888">
        <v>11</v>
      </c>
      <c r="U888">
        <v>8</v>
      </c>
      <c r="V888" t="s">
        <v>135</v>
      </c>
      <c r="W888">
        <v>0</v>
      </c>
      <c r="X888">
        <v>2756.4</v>
      </c>
      <c r="Y888">
        <v>180.85</v>
      </c>
      <c r="Z888">
        <v>17.79</v>
      </c>
      <c r="AA888">
        <v>2955.04</v>
      </c>
      <c r="AB888" t="s">
        <v>57</v>
      </c>
      <c r="AC888" t="s">
        <v>81</v>
      </c>
      <c r="AD888" t="s">
        <v>48</v>
      </c>
      <c r="AE888">
        <v>0</v>
      </c>
      <c r="AF888">
        <v>22.84</v>
      </c>
      <c r="AG888" t="s">
        <v>59</v>
      </c>
      <c r="AH888">
        <v>850332</v>
      </c>
      <c r="AI888" t="s">
        <v>60</v>
      </c>
      <c r="AJ888" t="s">
        <v>60</v>
      </c>
      <c r="AK888" t="s">
        <v>54</v>
      </c>
      <c r="AL888">
        <v>2023</v>
      </c>
      <c r="AM888" s="6" t="s">
        <v>967</v>
      </c>
      <c r="AN888" s="7">
        <v>344.55</v>
      </c>
      <c r="AO888" s="8">
        <f t="shared" si="42"/>
        <v>646.03125</v>
      </c>
      <c r="AP888" s="8">
        <f t="shared" si="43"/>
        <v>717.74071875000004</v>
      </c>
      <c r="AQ888" s="9">
        <f t="shared" si="41"/>
        <v>1046.506021875</v>
      </c>
    </row>
    <row r="889" spans="1:43" x14ac:dyDescent="0.25">
      <c r="A889">
        <v>1</v>
      </c>
      <c r="B889">
        <v>2</v>
      </c>
      <c r="C889">
        <v>2024</v>
      </c>
      <c r="D889" t="s">
        <v>43</v>
      </c>
      <c r="E889" t="s">
        <v>174</v>
      </c>
      <c r="F889" t="s">
        <v>175</v>
      </c>
      <c r="G889">
        <v>42</v>
      </c>
      <c r="H889">
        <v>1791882490001</v>
      </c>
      <c r="I889" t="s">
        <v>46</v>
      </c>
      <c r="J889" t="s">
        <v>65</v>
      </c>
      <c r="K889" t="s">
        <v>48</v>
      </c>
      <c r="L889" t="s">
        <v>49</v>
      </c>
      <c r="M889" t="s">
        <v>50</v>
      </c>
      <c r="N889" t="s">
        <v>51</v>
      </c>
      <c r="O889">
        <v>8421999000</v>
      </c>
      <c r="P889" t="s">
        <v>66</v>
      </c>
      <c r="Q889" t="s">
        <v>699</v>
      </c>
      <c r="R889" t="s">
        <v>54</v>
      </c>
      <c r="S889" t="s">
        <v>55</v>
      </c>
      <c r="T889">
        <v>5</v>
      </c>
      <c r="U889">
        <v>4</v>
      </c>
      <c r="V889" t="s">
        <v>135</v>
      </c>
      <c r="W889">
        <v>0</v>
      </c>
      <c r="X889">
        <v>1534.15</v>
      </c>
      <c r="Y889">
        <v>114.05</v>
      </c>
      <c r="Z889">
        <v>9.17</v>
      </c>
      <c r="AA889">
        <v>1657.37</v>
      </c>
      <c r="AB889" t="s">
        <v>54</v>
      </c>
      <c r="AC889" t="s">
        <v>94</v>
      </c>
      <c r="AD889" t="s">
        <v>48</v>
      </c>
      <c r="AE889">
        <v>0</v>
      </c>
      <c r="AF889">
        <v>7.94</v>
      </c>
      <c r="AG889" t="s">
        <v>59</v>
      </c>
      <c r="AH889">
        <v>863266</v>
      </c>
      <c r="AI889" t="s">
        <v>60</v>
      </c>
      <c r="AJ889" t="s">
        <v>60</v>
      </c>
      <c r="AK889" t="s">
        <v>54</v>
      </c>
      <c r="AL889">
        <v>2023</v>
      </c>
      <c r="AM889" s="6" t="s">
        <v>967</v>
      </c>
      <c r="AN889" s="7">
        <v>383.54</v>
      </c>
      <c r="AO889" s="8">
        <f t="shared" si="42"/>
        <v>719.13750000000005</v>
      </c>
      <c r="AP889" s="8">
        <f t="shared" si="43"/>
        <v>798.96176250000008</v>
      </c>
      <c r="AQ889" s="9">
        <f t="shared" si="41"/>
        <v>1164.9308362500001</v>
      </c>
    </row>
    <row r="890" spans="1:43" x14ac:dyDescent="0.25">
      <c r="A890">
        <v>12</v>
      </c>
      <c r="B890">
        <v>6</v>
      </c>
      <c r="C890">
        <v>2024</v>
      </c>
      <c r="D890" t="s">
        <v>43</v>
      </c>
      <c r="E890" t="s">
        <v>96</v>
      </c>
      <c r="F890" t="s">
        <v>97</v>
      </c>
      <c r="G890">
        <v>48</v>
      </c>
      <c r="H890">
        <v>1791882490001</v>
      </c>
      <c r="I890" t="s">
        <v>46</v>
      </c>
      <c r="J890" t="s">
        <v>65</v>
      </c>
      <c r="K890" t="s">
        <v>48</v>
      </c>
      <c r="L890" t="s">
        <v>49</v>
      </c>
      <c r="M890" t="s">
        <v>50</v>
      </c>
      <c r="N890" t="s">
        <v>51</v>
      </c>
      <c r="O890">
        <v>8421999000</v>
      </c>
      <c r="P890" t="s">
        <v>66</v>
      </c>
      <c r="Q890" t="s">
        <v>879</v>
      </c>
      <c r="R890" t="s">
        <v>54</v>
      </c>
      <c r="S890" t="s">
        <v>55</v>
      </c>
      <c r="T890">
        <v>7</v>
      </c>
      <c r="U890">
        <v>4</v>
      </c>
      <c r="V890" t="s">
        <v>135</v>
      </c>
      <c r="W890">
        <v>0</v>
      </c>
      <c r="X890">
        <v>1511.22</v>
      </c>
      <c r="Y890">
        <v>131.06</v>
      </c>
      <c r="Z890">
        <v>10.17</v>
      </c>
      <c r="AA890">
        <v>1652.46</v>
      </c>
      <c r="AB890" t="s">
        <v>57</v>
      </c>
      <c r="AC890" t="s">
        <v>94</v>
      </c>
      <c r="AD890" t="s">
        <v>48</v>
      </c>
      <c r="AE890">
        <v>0</v>
      </c>
      <c r="AF890">
        <v>7.2</v>
      </c>
      <c r="AG890" t="s">
        <v>59</v>
      </c>
      <c r="AH890" t="s">
        <v>98</v>
      </c>
      <c r="AI890" t="s">
        <v>60</v>
      </c>
      <c r="AJ890" t="s">
        <v>60</v>
      </c>
      <c r="AK890" t="s">
        <v>54</v>
      </c>
      <c r="AL890">
        <v>2024</v>
      </c>
      <c r="AM890" s="6" t="s">
        <v>967</v>
      </c>
      <c r="AN890" s="7">
        <v>377.81</v>
      </c>
      <c r="AO890" s="8">
        <f t="shared" si="42"/>
        <v>708.39374999999995</v>
      </c>
      <c r="AP890" s="8">
        <f t="shared" si="43"/>
        <v>787.02545624999993</v>
      </c>
      <c r="AQ890" s="9">
        <f t="shared" si="41"/>
        <v>1147.5270356249998</v>
      </c>
    </row>
    <row r="891" spans="1:43" x14ac:dyDescent="0.25">
      <c r="A891">
        <v>8</v>
      </c>
      <c r="B891">
        <v>7</v>
      </c>
      <c r="C891">
        <v>2024</v>
      </c>
      <c r="D891" t="s">
        <v>43</v>
      </c>
      <c r="E891" t="s">
        <v>75</v>
      </c>
      <c r="F891" t="s">
        <v>76</v>
      </c>
      <c r="G891">
        <v>70</v>
      </c>
      <c r="H891">
        <v>1791882490001</v>
      </c>
      <c r="I891" t="s">
        <v>46</v>
      </c>
      <c r="J891" t="s">
        <v>65</v>
      </c>
      <c r="K891" t="s">
        <v>48</v>
      </c>
      <c r="L891" t="s">
        <v>49</v>
      </c>
      <c r="M891" t="s">
        <v>50</v>
      </c>
      <c r="N891" t="s">
        <v>51</v>
      </c>
      <c r="O891">
        <v>8421999000</v>
      </c>
      <c r="P891" t="s">
        <v>66</v>
      </c>
      <c r="Q891" t="s">
        <v>643</v>
      </c>
      <c r="R891" t="s">
        <v>54</v>
      </c>
      <c r="S891" t="s">
        <v>55</v>
      </c>
      <c r="T891">
        <v>8</v>
      </c>
      <c r="U891">
        <v>2</v>
      </c>
      <c r="V891" t="s">
        <v>135</v>
      </c>
      <c r="W891">
        <v>0</v>
      </c>
      <c r="X891">
        <v>777.82</v>
      </c>
      <c r="Y891">
        <v>66.44</v>
      </c>
      <c r="Z891">
        <v>5.0599999999999996</v>
      </c>
      <c r="AA891">
        <v>849.32</v>
      </c>
      <c r="AB891" t="s">
        <v>57</v>
      </c>
      <c r="AC891" t="s">
        <v>77</v>
      </c>
      <c r="AD891" t="s">
        <v>48</v>
      </c>
      <c r="AE891">
        <v>0</v>
      </c>
      <c r="AF891">
        <v>5.15</v>
      </c>
      <c r="AG891" t="s">
        <v>59</v>
      </c>
      <c r="AH891">
        <v>107711</v>
      </c>
      <c r="AI891" t="s">
        <v>60</v>
      </c>
      <c r="AJ891" t="s">
        <v>78</v>
      </c>
      <c r="AK891" t="s">
        <v>54</v>
      </c>
      <c r="AL891">
        <v>2024</v>
      </c>
      <c r="AM891" s="6" t="s">
        <v>967</v>
      </c>
      <c r="AN891" s="7">
        <v>388.91</v>
      </c>
      <c r="AO891" s="8">
        <f t="shared" si="42"/>
        <v>729.20625000000007</v>
      </c>
      <c r="AP891" s="8">
        <f t="shared" si="43"/>
        <v>810.14814375000003</v>
      </c>
      <c r="AQ891" s="9">
        <f t="shared" si="41"/>
        <v>1181.2412043750001</v>
      </c>
    </row>
    <row r="892" spans="1:43" x14ac:dyDescent="0.25">
      <c r="A892">
        <v>8</v>
      </c>
      <c r="B892">
        <v>7</v>
      </c>
      <c r="C892">
        <v>2024</v>
      </c>
      <c r="D892" t="s">
        <v>43</v>
      </c>
      <c r="E892" t="s">
        <v>75</v>
      </c>
      <c r="F892" t="s">
        <v>76</v>
      </c>
      <c r="G892">
        <v>70</v>
      </c>
      <c r="H892">
        <v>1791882490001</v>
      </c>
      <c r="I892" t="s">
        <v>46</v>
      </c>
      <c r="J892" t="s">
        <v>65</v>
      </c>
      <c r="K892" t="s">
        <v>48</v>
      </c>
      <c r="L892" t="s">
        <v>49</v>
      </c>
      <c r="M892" t="s">
        <v>50</v>
      </c>
      <c r="N892" t="s">
        <v>51</v>
      </c>
      <c r="O892">
        <v>8421999000</v>
      </c>
      <c r="P892" t="s">
        <v>66</v>
      </c>
      <c r="Q892" t="s">
        <v>643</v>
      </c>
      <c r="R892" t="s">
        <v>54</v>
      </c>
      <c r="S892" t="s">
        <v>55</v>
      </c>
      <c r="T892">
        <v>8</v>
      </c>
      <c r="U892">
        <v>2</v>
      </c>
      <c r="V892" t="s">
        <v>135</v>
      </c>
      <c r="W892">
        <v>0</v>
      </c>
      <c r="X892">
        <v>777.82</v>
      </c>
      <c r="Y892">
        <v>66.44</v>
      </c>
      <c r="Z892">
        <v>5.0599999999999996</v>
      </c>
      <c r="AA892">
        <v>849.32</v>
      </c>
      <c r="AB892" t="s">
        <v>57</v>
      </c>
      <c r="AC892" t="s">
        <v>77</v>
      </c>
      <c r="AD892" t="s">
        <v>48</v>
      </c>
      <c r="AE892">
        <v>0</v>
      </c>
      <c r="AF892">
        <v>5.15</v>
      </c>
      <c r="AG892" t="s">
        <v>59</v>
      </c>
      <c r="AH892">
        <v>107711</v>
      </c>
      <c r="AI892" t="s">
        <v>60</v>
      </c>
      <c r="AJ892" t="s">
        <v>78</v>
      </c>
      <c r="AK892" t="s">
        <v>54</v>
      </c>
      <c r="AL892">
        <v>2024</v>
      </c>
      <c r="AM892" s="6" t="s">
        <v>967</v>
      </c>
      <c r="AN892" s="7">
        <v>388.91</v>
      </c>
      <c r="AO892" s="8">
        <f t="shared" si="42"/>
        <v>729.20625000000007</v>
      </c>
      <c r="AP892" s="8">
        <f t="shared" si="43"/>
        <v>810.14814375000003</v>
      </c>
      <c r="AQ892" s="9">
        <f t="shared" si="41"/>
        <v>1181.2412043750001</v>
      </c>
    </row>
    <row r="893" spans="1:43" x14ac:dyDescent="0.25">
      <c r="A893">
        <v>8</v>
      </c>
      <c r="B893">
        <v>7</v>
      </c>
      <c r="C893">
        <v>2024</v>
      </c>
      <c r="D893" t="s">
        <v>43</v>
      </c>
      <c r="E893" t="s">
        <v>75</v>
      </c>
      <c r="F893" t="s">
        <v>76</v>
      </c>
      <c r="G893">
        <v>71</v>
      </c>
      <c r="H893">
        <v>1791882490001</v>
      </c>
      <c r="I893" t="s">
        <v>46</v>
      </c>
      <c r="J893" t="s">
        <v>65</v>
      </c>
      <c r="K893" t="s">
        <v>48</v>
      </c>
      <c r="L893" t="s">
        <v>49</v>
      </c>
      <c r="M893" t="s">
        <v>50</v>
      </c>
      <c r="N893" t="s">
        <v>51</v>
      </c>
      <c r="O893">
        <v>8421999000</v>
      </c>
      <c r="P893" t="s">
        <v>66</v>
      </c>
      <c r="Q893" t="s">
        <v>643</v>
      </c>
      <c r="R893" t="s">
        <v>54</v>
      </c>
      <c r="S893" t="s">
        <v>55</v>
      </c>
      <c r="T893">
        <v>8</v>
      </c>
      <c r="U893">
        <v>2</v>
      </c>
      <c r="V893" t="s">
        <v>135</v>
      </c>
      <c r="W893">
        <v>0</v>
      </c>
      <c r="X893">
        <v>777.82</v>
      </c>
      <c r="Y893">
        <v>66.44</v>
      </c>
      <c r="Z893">
        <v>5.0599999999999996</v>
      </c>
      <c r="AA893">
        <v>849.32</v>
      </c>
      <c r="AB893" t="s">
        <v>57</v>
      </c>
      <c r="AC893" t="s">
        <v>77</v>
      </c>
      <c r="AD893" t="s">
        <v>48</v>
      </c>
      <c r="AE893">
        <v>0</v>
      </c>
      <c r="AF893">
        <v>5.15</v>
      </c>
      <c r="AG893" t="s">
        <v>59</v>
      </c>
      <c r="AH893">
        <v>107711</v>
      </c>
      <c r="AI893" t="s">
        <v>60</v>
      </c>
      <c r="AJ893" t="s">
        <v>78</v>
      </c>
      <c r="AK893" t="s">
        <v>54</v>
      </c>
      <c r="AL893">
        <v>2024</v>
      </c>
      <c r="AM893" s="6" t="s">
        <v>967</v>
      </c>
      <c r="AN893" s="7">
        <v>388.91</v>
      </c>
      <c r="AO893" s="8">
        <f t="shared" si="42"/>
        <v>729.20625000000007</v>
      </c>
      <c r="AP893" s="8">
        <f t="shared" si="43"/>
        <v>810.14814375000003</v>
      </c>
      <c r="AQ893" s="9">
        <f t="shared" si="41"/>
        <v>1181.2412043750001</v>
      </c>
    </row>
    <row r="894" spans="1:43" x14ac:dyDescent="0.25">
      <c r="A894">
        <v>8</v>
      </c>
      <c r="B894">
        <v>7</v>
      </c>
      <c r="C894">
        <v>2024</v>
      </c>
      <c r="D894" t="s">
        <v>43</v>
      </c>
      <c r="E894" t="s">
        <v>75</v>
      </c>
      <c r="F894" t="s">
        <v>76</v>
      </c>
      <c r="G894">
        <v>71</v>
      </c>
      <c r="H894">
        <v>1791882490001</v>
      </c>
      <c r="I894" t="s">
        <v>46</v>
      </c>
      <c r="J894" t="s">
        <v>65</v>
      </c>
      <c r="K894" t="s">
        <v>48</v>
      </c>
      <c r="L894" t="s">
        <v>49</v>
      </c>
      <c r="M894" t="s">
        <v>50</v>
      </c>
      <c r="N894" t="s">
        <v>51</v>
      </c>
      <c r="O894">
        <v>8421999000</v>
      </c>
      <c r="P894" t="s">
        <v>66</v>
      </c>
      <c r="Q894" t="s">
        <v>643</v>
      </c>
      <c r="R894" t="s">
        <v>54</v>
      </c>
      <c r="S894" t="s">
        <v>55</v>
      </c>
      <c r="T894">
        <v>8</v>
      </c>
      <c r="U894">
        <v>2</v>
      </c>
      <c r="V894" t="s">
        <v>135</v>
      </c>
      <c r="W894">
        <v>0</v>
      </c>
      <c r="X894">
        <v>777.82</v>
      </c>
      <c r="Y894">
        <v>66.44</v>
      </c>
      <c r="Z894">
        <v>5.0599999999999996</v>
      </c>
      <c r="AA894">
        <v>849.32</v>
      </c>
      <c r="AB894" t="s">
        <v>57</v>
      </c>
      <c r="AC894" t="s">
        <v>77</v>
      </c>
      <c r="AD894" t="s">
        <v>48</v>
      </c>
      <c r="AE894">
        <v>0</v>
      </c>
      <c r="AF894">
        <v>5.15</v>
      </c>
      <c r="AG894" t="s">
        <v>59</v>
      </c>
      <c r="AH894">
        <v>107711</v>
      </c>
      <c r="AI894" t="s">
        <v>60</v>
      </c>
      <c r="AJ894" t="s">
        <v>78</v>
      </c>
      <c r="AK894" t="s">
        <v>54</v>
      </c>
      <c r="AL894">
        <v>2024</v>
      </c>
      <c r="AM894" s="6" t="s">
        <v>967</v>
      </c>
      <c r="AN894" s="7">
        <v>388.91</v>
      </c>
      <c r="AO894" s="8">
        <f t="shared" si="42"/>
        <v>729.20625000000007</v>
      </c>
      <c r="AP894" s="8">
        <f t="shared" si="43"/>
        <v>810.14814375000003</v>
      </c>
      <c r="AQ894" s="9">
        <f t="shared" si="41"/>
        <v>1181.2412043750001</v>
      </c>
    </row>
    <row r="895" spans="1:43" x14ac:dyDescent="0.25">
      <c r="A895">
        <v>11</v>
      </c>
      <c r="B895">
        <v>7</v>
      </c>
      <c r="C895">
        <v>2024</v>
      </c>
      <c r="D895" t="s">
        <v>43</v>
      </c>
      <c r="E895" t="s">
        <v>116</v>
      </c>
      <c r="F895" t="s">
        <v>117</v>
      </c>
      <c r="G895">
        <v>28</v>
      </c>
      <c r="H895">
        <v>1791882490001</v>
      </c>
      <c r="I895" t="s">
        <v>46</v>
      </c>
      <c r="J895" t="s">
        <v>65</v>
      </c>
      <c r="K895" t="s">
        <v>48</v>
      </c>
      <c r="L895" t="s">
        <v>119</v>
      </c>
      <c r="M895" t="s">
        <v>120</v>
      </c>
      <c r="N895" t="s">
        <v>121</v>
      </c>
      <c r="O895">
        <v>8421999000</v>
      </c>
      <c r="P895" t="s">
        <v>66</v>
      </c>
      <c r="Q895" t="s">
        <v>699</v>
      </c>
      <c r="R895" t="s">
        <v>54</v>
      </c>
      <c r="S895" t="s">
        <v>55</v>
      </c>
      <c r="T895">
        <v>9</v>
      </c>
      <c r="U895">
        <v>4</v>
      </c>
      <c r="V895" t="s">
        <v>135</v>
      </c>
      <c r="W895">
        <v>0</v>
      </c>
      <c r="X895">
        <v>1505.73</v>
      </c>
      <c r="Y895">
        <v>135.6</v>
      </c>
      <c r="Z895">
        <v>10.11</v>
      </c>
      <c r="AA895">
        <v>1651.44</v>
      </c>
      <c r="AB895" t="s">
        <v>124</v>
      </c>
      <c r="AC895" t="s">
        <v>125</v>
      </c>
      <c r="AD895" t="s">
        <v>48</v>
      </c>
      <c r="AE895">
        <v>0</v>
      </c>
      <c r="AF895">
        <v>8.07</v>
      </c>
      <c r="AG895" t="s">
        <v>59</v>
      </c>
      <c r="AH895">
        <v>486256</v>
      </c>
      <c r="AI895" t="s">
        <v>60</v>
      </c>
      <c r="AJ895" t="s">
        <v>78</v>
      </c>
      <c r="AK895" t="s">
        <v>54</v>
      </c>
      <c r="AL895">
        <v>2024</v>
      </c>
      <c r="AM895" s="6" t="s">
        <v>967</v>
      </c>
      <c r="AN895" s="7">
        <v>376.43</v>
      </c>
      <c r="AO895" s="8">
        <f t="shared" si="42"/>
        <v>705.80624999999998</v>
      </c>
      <c r="AP895" s="8">
        <f t="shared" si="43"/>
        <v>784.15074374999995</v>
      </c>
      <c r="AQ895" s="9">
        <f t="shared" si="41"/>
        <v>1143.3355443749999</v>
      </c>
    </row>
    <row r="896" spans="1:43" x14ac:dyDescent="0.25">
      <c r="A896">
        <v>11</v>
      </c>
      <c r="B896">
        <v>7</v>
      </c>
      <c r="C896">
        <v>2024</v>
      </c>
      <c r="D896" t="s">
        <v>43</v>
      </c>
      <c r="E896" t="s">
        <v>116</v>
      </c>
      <c r="F896" t="s">
        <v>117</v>
      </c>
      <c r="G896">
        <v>29</v>
      </c>
      <c r="H896">
        <v>1791882490001</v>
      </c>
      <c r="I896" t="s">
        <v>46</v>
      </c>
      <c r="J896" t="s">
        <v>65</v>
      </c>
      <c r="K896" t="s">
        <v>48</v>
      </c>
      <c r="L896" t="s">
        <v>119</v>
      </c>
      <c r="M896" t="s">
        <v>120</v>
      </c>
      <c r="N896" t="s">
        <v>121</v>
      </c>
      <c r="O896">
        <v>8421999000</v>
      </c>
      <c r="P896" t="s">
        <v>66</v>
      </c>
      <c r="Q896" t="s">
        <v>699</v>
      </c>
      <c r="R896" t="s">
        <v>54</v>
      </c>
      <c r="S896" t="s">
        <v>55</v>
      </c>
      <c r="T896">
        <v>9</v>
      </c>
      <c r="U896">
        <v>4</v>
      </c>
      <c r="V896" t="s">
        <v>135</v>
      </c>
      <c r="W896">
        <v>0</v>
      </c>
      <c r="X896">
        <v>1505.73</v>
      </c>
      <c r="Y896">
        <v>135.6</v>
      </c>
      <c r="Z896">
        <v>10.11</v>
      </c>
      <c r="AA896">
        <v>1651.44</v>
      </c>
      <c r="AB896" t="s">
        <v>124</v>
      </c>
      <c r="AC896" t="s">
        <v>125</v>
      </c>
      <c r="AD896" t="s">
        <v>48</v>
      </c>
      <c r="AE896">
        <v>0</v>
      </c>
      <c r="AF896">
        <v>8.07</v>
      </c>
      <c r="AG896" t="s">
        <v>59</v>
      </c>
      <c r="AH896">
        <v>486256</v>
      </c>
      <c r="AI896" t="s">
        <v>60</v>
      </c>
      <c r="AJ896" t="s">
        <v>78</v>
      </c>
      <c r="AK896" t="s">
        <v>54</v>
      </c>
      <c r="AL896">
        <v>2024</v>
      </c>
      <c r="AM896" s="6" t="s">
        <v>967</v>
      </c>
      <c r="AN896" s="7">
        <v>376.43</v>
      </c>
      <c r="AO896" s="8">
        <f t="shared" si="42"/>
        <v>705.80624999999998</v>
      </c>
      <c r="AP896" s="8">
        <f t="shared" si="43"/>
        <v>784.15074374999995</v>
      </c>
      <c r="AQ896" s="9">
        <f t="shared" si="41"/>
        <v>1143.3355443749999</v>
      </c>
    </row>
    <row r="897" spans="1:43" x14ac:dyDescent="0.25">
      <c r="A897">
        <v>19</v>
      </c>
      <c r="B897">
        <v>8</v>
      </c>
      <c r="C897">
        <v>2024</v>
      </c>
      <c r="D897" t="s">
        <v>43</v>
      </c>
      <c r="E897" t="s">
        <v>84</v>
      </c>
      <c r="F897" t="s">
        <v>85</v>
      </c>
      <c r="G897">
        <v>54</v>
      </c>
      <c r="H897">
        <v>1791882490001</v>
      </c>
      <c r="I897" t="s">
        <v>46</v>
      </c>
      <c r="J897" t="s">
        <v>65</v>
      </c>
      <c r="K897" t="s">
        <v>48</v>
      </c>
      <c r="L897" t="s">
        <v>49</v>
      </c>
      <c r="M897" t="s">
        <v>50</v>
      </c>
      <c r="N897" t="s">
        <v>51</v>
      </c>
      <c r="O897">
        <v>8421999000</v>
      </c>
      <c r="P897" t="s">
        <v>66</v>
      </c>
      <c r="Q897" t="s">
        <v>699</v>
      </c>
      <c r="R897" t="s">
        <v>54</v>
      </c>
      <c r="S897" t="s">
        <v>55</v>
      </c>
      <c r="T897">
        <v>6</v>
      </c>
      <c r="U897">
        <v>4</v>
      </c>
      <c r="V897" t="s">
        <v>135</v>
      </c>
      <c r="W897">
        <v>0</v>
      </c>
      <c r="X897">
        <v>1498.11</v>
      </c>
      <c r="Y897">
        <v>193.3</v>
      </c>
      <c r="Z897">
        <v>10.25</v>
      </c>
      <c r="AA897">
        <v>1701.66</v>
      </c>
      <c r="AB897" t="s">
        <v>57</v>
      </c>
      <c r="AC897" t="s">
        <v>58</v>
      </c>
      <c r="AD897" t="s">
        <v>48</v>
      </c>
      <c r="AE897">
        <v>0</v>
      </c>
      <c r="AF897">
        <v>5.58</v>
      </c>
      <c r="AG897" t="s">
        <v>59</v>
      </c>
      <c r="AH897">
        <v>144527</v>
      </c>
      <c r="AI897" t="s">
        <v>60</v>
      </c>
      <c r="AJ897" t="s">
        <v>60</v>
      </c>
      <c r="AK897" t="s">
        <v>54</v>
      </c>
      <c r="AL897">
        <v>2024</v>
      </c>
      <c r="AM897" s="6" t="s">
        <v>967</v>
      </c>
      <c r="AN897" s="7">
        <v>374.53</v>
      </c>
      <c r="AO897" s="8">
        <f t="shared" si="42"/>
        <v>702.24374999999998</v>
      </c>
      <c r="AP897" s="8">
        <f t="shared" si="43"/>
        <v>780.19280624999999</v>
      </c>
      <c r="AQ897" s="9">
        <f t="shared" si="41"/>
        <v>1137.5646506249998</v>
      </c>
    </row>
    <row r="898" spans="1:43" x14ac:dyDescent="0.25">
      <c r="A898">
        <v>16</v>
      </c>
      <c r="B898">
        <v>12</v>
      </c>
      <c r="C898">
        <v>2024</v>
      </c>
      <c r="D898" t="s">
        <v>43</v>
      </c>
      <c r="E898" t="s">
        <v>128</v>
      </c>
      <c r="F898" t="s">
        <v>129</v>
      </c>
      <c r="G898">
        <v>59</v>
      </c>
      <c r="H898">
        <v>1791882490001</v>
      </c>
      <c r="I898" t="s">
        <v>46</v>
      </c>
      <c r="J898" t="s">
        <v>65</v>
      </c>
      <c r="K898" t="s">
        <v>48</v>
      </c>
      <c r="L898" t="s">
        <v>49</v>
      </c>
      <c r="M898" t="s">
        <v>50</v>
      </c>
      <c r="N898" t="s">
        <v>51</v>
      </c>
      <c r="O898">
        <v>8421999000</v>
      </c>
      <c r="P898" t="s">
        <v>52</v>
      </c>
      <c r="Q898" t="s">
        <v>879</v>
      </c>
      <c r="R898" t="s">
        <v>54</v>
      </c>
      <c r="S898" t="s">
        <v>55</v>
      </c>
      <c r="T898">
        <v>9</v>
      </c>
      <c r="U898">
        <v>4</v>
      </c>
      <c r="V898" t="s">
        <v>135</v>
      </c>
      <c r="W898">
        <v>0</v>
      </c>
      <c r="X898">
        <v>1513.58</v>
      </c>
      <c r="Y898">
        <v>198.23</v>
      </c>
      <c r="Z898">
        <v>10.38</v>
      </c>
      <c r="AA898">
        <v>1722.19</v>
      </c>
      <c r="AB898" t="s">
        <v>57</v>
      </c>
      <c r="AC898" t="s">
        <v>131</v>
      </c>
      <c r="AD898" t="s">
        <v>48</v>
      </c>
      <c r="AE898">
        <v>0</v>
      </c>
      <c r="AF898">
        <v>7.95</v>
      </c>
      <c r="AG898" t="s">
        <v>59</v>
      </c>
      <c r="AH898">
        <v>325395</v>
      </c>
      <c r="AI898" t="s">
        <v>60</v>
      </c>
      <c r="AJ898" t="s">
        <v>78</v>
      </c>
      <c r="AK898" t="s">
        <v>54</v>
      </c>
      <c r="AL898">
        <v>2024</v>
      </c>
      <c r="AM898" s="6" t="s">
        <v>967</v>
      </c>
      <c r="AN898" s="7">
        <v>378.39</v>
      </c>
      <c r="AO898" s="8">
        <f t="shared" si="42"/>
        <v>709.48124999999993</v>
      </c>
      <c r="AP898" s="8">
        <f t="shared" si="43"/>
        <v>788.23366874999988</v>
      </c>
      <c r="AQ898" s="9">
        <f t="shared" si="41"/>
        <v>1149.2886768749997</v>
      </c>
    </row>
    <row r="899" spans="1:43" x14ac:dyDescent="0.25">
      <c r="A899">
        <v>26</v>
      </c>
      <c r="B899">
        <v>12</v>
      </c>
      <c r="C899">
        <v>2024</v>
      </c>
      <c r="D899" t="s">
        <v>43</v>
      </c>
      <c r="E899" t="s">
        <v>222</v>
      </c>
      <c r="F899" t="s">
        <v>223</v>
      </c>
      <c r="G899">
        <v>44</v>
      </c>
      <c r="H899">
        <v>1791882490001</v>
      </c>
      <c r="I899" t="s">
        <v>46</v>
      </c>
      <c r="J899" t="s">
        <v>65</v>
      </c>
      <c r="K899" t="s">
        <v>48</v>
      </c>
      <c r="L899" t="s">
        <v>49</v>
      </c>
      <c r="M899" t="s">
        <v>50</v>
      </c>
      <c r="N899" t="s">
        <v>224</v>
      </c>
      <c r="O899">
        <v>8421999000</v>
      </c>
      <c r="P899" t="s">
        <v>52</v>
      </c>
      <c r="Q899" t="s">
        <v>879</v>
      </c>
      <c r="R899" t="s">
        <v>54</v>
      </c>
      <c r="S899" t="s">
        <v>55</v>
      </c>
      <c r="T899">
        <v>8</v>
      </c>
      <c r="U899">
        <v>6</v>
      </c>
      <c r="V899" t="s">
        <v>135</v>
      </c>
      <c r="W899">
        <v>0</v>
      </c>
      <c r="X899">
        <v>2297.37</v>
      </c>
      <c r="Y899">
        <v>475.77</v>
      </c>
      <c r="Z899">
        <v>22.97</v>
      </c>
      <c r="AA899">
        <v>2796.12</v>
      </c>
      <c r="AB899" t="s">
        <v>57</v>
      </c>
      <c r="AC899" t="s">
        <v>225</v>
      </c>
      <c r="AD899" t="s">
        <v>48</v>
      </c>
      <c r="AE899">
        <v>0</v>
      </c>
      <c r="AF899">
        <v>12.35</v>
      </c>
      <c r="AG899" t="s">
        <v>59</v>
      </c>
      <c r="AH899">
        <v>341996</v>
      </c>
      <c r="AI899" t="s">
        <v>60</v>
      </c>
      <c r="AJ899" t="s">
        <v>60</v>
      </c>
      <c r="AK899" t="s">
        <v>54</v>
      </c>
      <c r="AL899">
        <v>2024</v>
      </c>
      <c r="AM899" s="6" t="s">
        <v>967</v>
      </c>
      <c r="AN899" s="7">
        <v>382.9</v>
      </c>
      <c r="AO899" s="8">
        <f t="shared" si="42"/>
        <v>717.9375</v>
      </c>
      <c r="AP899" s="8">
        <f t="shared" si="43"/>
        <v>797.62856250000004</v>
      </c>
      <c r="AQ899" s="9">
        <f t="shared" ref="AQ899:AQ962" si="44">SUM(AO899)*1.6199</f>
        <v>1162.9869562499998</v>
      </c>
    </row>
    <row r="900" spans="1:43" x14ac:dyDescent="0.25">
      <c r="A900">
        <v>16</v>
      </c>
      <c r="B900">
        <v>1</v>
      </c>
      <c r="C900">
        <v>2024</v>
      </c>
      <c r="D900" t="s">
        <v>43</v>
      </c>
      <c r="E900" t="s">
        <v>191</v>
      </c>
      <c r="F900" t="s">
        <v>192</v>
      </c>
      <c r="G900">
        <v>20</v>
      </c>
      <c r="H900">
        <v>1791882490001</v>
      </c>
      <c r="I900" t="s">
        <v>46</v>
      </c>
      <c r="J900" t="s">
        <v>48</v>
      </c>
      <c r="K900" t="s">
        <v>48</v>
      </c>
      <c r="L900" t="s">
        <v>49</v>
      </c>
      <c r="M900" t="s">
        <v>50</v>
      </c>
      <c r="N900" t="s">
        <v>51</v>
      </c>
      <c r="O900">
        <v>8481809990</v>
      </c>
      <c r="P900" t="s">
        <v>232</v>
      </c>
      <c r="Q900" t="s">
        <v>968</v>
      </c>
      <c r="R900" t="s">
        <v>54</v>
      </c>
      <c r="S900" t="s">
        <v>55</v>
      </c>
      <c r="T900">
        <v>11</v>
      </c>
      <c r="U900">
        <v>1</v>
      </c>
      <c r="V900" t="s">
        <v>135</v>
      </c>
      <c r="W900">
        <v>0</v>
      </c>
      <c r="X900">
        <v>1032.27</v>
      </c>
      <c r="Y900">
        <v>67.73</v>
      </c>
      <c r="Z900">
        <v>6.66</v>
      </c>
      <c r="AA900">
        <v>1106.6600000000001</v>
      </c>
      <c r="AB900" t="s">
        <v>57</v>
      </c>
      <c r="AC900" t="s">
        <v>81</v>
      </c>
      <c r="AD900" t="s">
        <v>48</v>
      </c>
      <c r="AE900">
        <v>0</v>
      </c>
      <c r="AF900">
        <v>2.86</v>
      </c>
      <c r="AG900" t="s">
        <v>59</v>
      </c>
      <c r="AH900">
        <v>850332</v>
      </c>
      <c r="AI900" t="s">
        <v>60</v>
      </c>
      <c r="AJ900" t="s">
        <v>60</v>
      </c>
      <c r="AK900" t="s">
        <v>54</v>
      </c>
      <c r="AL900">
        <v>2023</v>
      </c>
      <c r="AM900" s="6" t="s">
        <v>969</v>
      </c>
      <c r="AN900" s="7">
        <v>1032.27</v>
      </c>
      <c r="AO900" s="8">
        <f t="shared" si="42"/>
        <v>1935.5062499999999</v>
      </c>
      <c r="AP900" s="8">
        <f t="shared" si="43"/>
        <v>2150.3474437499999</v>
      </c>
      <c r="AQ900" s="9">
        <f t="shared" si="44"/>
        <v>3135.3265743749998</v>
      </c>
    </row>
    <row r="901" spans="1:43" x14ac:dyDescent="0.25">
      <c r="A901">
        <v>2</v>
      </c>
      <c r="B901">
        <v>1</v>
      </c>
      <c r="C901">
        <v>2024</v>
      </c>
      <c r="D901" t="s">
        <v>43</v>
      </c>
      <c r="E901" t="s">
        <v>181</v>
      </c>
      <c r="F901" t="s">
        <v>182</v>
      </c>
      <c r="G901">
        <v>50</v>
      </c>
      <c r="H901">
        <v>1791882490001</v>
      </c>
      <c r="I901" t="s">
        <v>46</v>
      </c>
      <c r="J901" t="s">
        <v>48</v>
      </c>
      <c r="K901" t="s">
        <v>48</v>
      </c>
      <c r="L901" t="s">
        <v>49</v>
      </c>
      <c r="M901" t="s">
        <v>50</v>
      </c>
      <c r="N901" t="s">
        <v>51</v>
      </c>
      <c r="O901">
        <v>8481805900</v>
      </c>
      <c r="P901" t="s">
        <v>232</v>
      </c>
      <c r="Q901" t="s">
        <v>960</v>
      </c>
      <c r="R901" t="s">
        <v>54</v>
      </c>
      <c r="S901" t="s">
        <v>55</v>
      </c>
      <c r="T901">
        <v>8</v>
      </c>
      <c r="U901">
        <v>1</v>
      </c>
      <c r="V901" t="s">
        <v>135</v>
      </c>
      <c r="W901">
        <v>0</v>
      </c>
      <c r="X901">
        <v>2794.16</v>
      </c>
      <c r="Y901">
        <v>567.73</v>
      </c>
      <c r="Z901">
        <v>17.98</v>
      </c>
      <c r="AA901">
        <v>3379.86</v>
      </c>
      <c r="AB901" t="s">
        <v>57</v>
      </c>
      <c r="AC901" t="s">
        <v>81</v>
      </c>
      <c r="AD901" t="s">
        <v>48</v>
      </c>
      <c r="AE901">
        <v>0</v>
      </c>
      <c r="AF901">
        <v>3.23</v>
      </c>
      <c r="AG901" t="s">
        <v>59</v>
      </c>
      <c r="AH901">
        <v>413505</v>
      </c>
      <c r="AI901" t="s">
        <v>60</v>
      </c>
      <c r="AJ901" t="s">
        <v>60</v>
      </c>
      <c r="AK901" t="s">
        <v>54</v>
      </c>
      <c r="AL901">
        <v>2023</v>
      </c>
      <c r="AM901" s="6" t="s">
        <v>970</v>
      </c>
      <c r="AN901" s="7">
        <v>2794.16</v>
      </c>
      <c r="AO901" s="8">
        <f t="shared" si="42"/>
        <v>5239.0499999999993</v>
      </c>
      <c r="AP901" s="8">
        <f t="shared" si="43"/>
        <v>5820.5845499999996</v>
      </c>
      <c r="AQ901" s="9">
        <f t="shared" si="44"/>
        <v>8486.7370949999986</v>
      </c>
    </row>
    <row r="902" spans="1:43" x14ac:dyDescent="0.25">
      <c r="A902">
        <v>16</v>
      </c>
      <c r="B902">
        <v>12</v>
      </c>
      <c r="C902">
        <v>2024</v>
      </c>
      <c r="D902" t="s">
        <v>43</v>
      </c>
      <c r="E902" t="s">
        <v>128</v>
      </c>
      <c r="F902" t="s">
        <v>129</v>
      </c>
      <c r="G902">
        <v>70</v>
      </c>
      <c r="H902">
        <v>1791882490001</v>
      </c>
      <c r="I902" t="s">
        <v>46</v>
      </c>
      <c r="J902" t="s">
        <v>48</v>
      </c>
      <c r="K902" t="s">
        <v>48</v>
      </c>
      <c r="L902" t="s">
        <v>49</v>
      </c>
      <c r="M902" t="s">
        <v>50</v>
      </c>
      <c r="N902" t="s">
        <v>51</v>
      </c>
      <c r="O902">
        <v>8481805900</v>
      </c>
      <c r="P902" t="s">
        <v>52</v>
      </c>
      <c r="Q902" t="s">
        <v>971</v>
      </c>
      <c r="R902" t="s">
        <v>54</v>
      </c>
      <c r="S902" t="s">
        <v>55</v>
      </c>
      <c r="T902">
        <v>9</v>
      </c>
      <c r="U902">
        <v>1</v>
      </c>
      <c r="V902" t="s">
        <v>135</v>
      </c>
      <c r="W902">
        <v>0</v>
      </c>
      <c r="X902">
        <v>2662.11</v>
      </c>
      <c r="Y902">
        <v>348.64</v>
      </c>
      <c r="Z902">
        <v>18.260000000000002</v>
      </c>
      <c r="AA902">
        <v>3029.01</v>
      </c>
      <c r="AB902" t="s">
        <v>57</v>
      </c>
      <c r="AC902" t="s">
        <v>131</v>
      </c>
      <c r="AD902" t="s">
        <v>48</v>
      </c>
      <c r="AE902">
        <v>0</v>
      </c>
      <c r="AF902">
        <v>1.99</v>
      </c>
      <c r="AG902" t="s">
        <v>59</v>
      </c>
      <c r="AH902">
        <v>325395</v>
      </c>
      <c r="AI902" t="s">
        <v>60</v>
      </c>
      <c r="AJ902" t="s">
        <v>78</v>
      </c>
      <c r="AK902" t="s">
        <v>54</v>
      </c>
      <c r="AL902">
        <v>2024</v>
      </c>
      <c r="AM902" s="6" t="s">
        <v>970</v>
      </c>
      <c r="AN902" s="7">
        <v>2662.11</v>
      </c>
      <c r="AO902" s="8">
        <f t="shared" si="42"/>
        <v>4991.4562500000002</v>
      </c>
      <c r="AP902" s="8">
        <f t="shared" si="43"/>
        <v>5545.5078937500002</v>
      </c>
      <c r="AQ902" s="9">
        <f t="shared" si="44"/>
        <v>8085.6599793750001</v>
      </c>
    </row>
    <row r="903" spans="1:43" x14ac:dyDescent="0.25">
      <c r="A903">
        <v>16</v>
      </c>
      <c r="B903">
        <v>12</v>
      </c>
      <c r="C903">
        <v>2024</v>
      </c>
      <c r="D903" t="s">
        <v>43</v>
      </c>
      <c r="E903" t="s">
        <v>128</v>
      </c>
      <c r="F903" t="s">
        <v>129</v>
      </c>
      <c r="G903">
        <v>71</v>
      </c>
      <c r="H903">
        <v>1791882490001</v>
      </c>
      <c r="I903" t="s">
        <v>46</v>
      </c>
      <c r="J903" t="s">
        <v>48</v>
      </c>
      <c r="K903" t="s">
        <v>48</v>
      </c>
      <c r="L903" t="s">
        <v>49</v>
      </c>
      <c r="M903" t="s">
        <v>50</v>
      </c>
      <c r="N903" t="s">
        <v>51</v>
      </c>
      <c r="O903">
        <v>8481805900</v>
      </c>
      <c r="P903" t="s">
        <v>52</v>
      </c>
      <c r="Q903" t="s">
        <v>971</v>
      </c>
      <c r="R903" t="s">
        <v>54</v>
      </c>
      <c r="S903" t="s">
        <v>55</v>
      </c>
      <c r="T903">
        <v>9</v>
      </c>
      <c r="U903">
        <v>1</v>
      </c>
      <c r="V903" t="s">
        <v>135</v>
      </c>
      <c r="W903">
        <v>0</v>
      </c>
      <c r="X903">
        <v>2662.11</v>
      </c>
      <c r="Y903">
        <v>348.64</v>
      </c>
      <c r="Z903">
        <v>18.260000000000002</v>
      </c>
      <c r="AA903">
        <v>3029.01</v>
      </c>
      <c r="AB903" t="s">
        <v>57</v>
      </c>
      <c r="AC903" t="s">
        <v>131</v>
      </c>
      <c r="AD903" t="s">
        <v>48</v>
      </c>
      <c r="AE903">
        <v>0</v>
      </c>
      <c r="AF903">
        <v>1.99</v>
      </c>
      <c r="AG903" t="s">
        <v>59</v>
      </c>
      <c r="AH903">
        <v>325395</v>
      </c>
      <c r="AI903" t="s">
        <v>60</v>
      </c>
      <c r="AJ903" t="s">
        <v>78</v>
      </c>
      <c r="AK903" t="s">
        <v>54</v>
      </c>
      <c r="AL903">
        <v>2024</v>
      </c>
      <c r="AM903" s="6" t="s">
        <v>970</v>
      </c>
      <c r="AN903" s="7">
        <v>2662.11</v>
      </c>
      <c r="AO903" s="8">
        <f t="shared" si="42"/>
        <v>4991.4562500000002</v>
      </c>
      <c r="AP903" s="8">
        <f t="shared" si="43"/>
        <v>5545.5078937500002</v>
      </c>
      <c r="AQ903" s="9">
        <f t="shared" si="44"/>
        <v>8085.6599793750001</v>
      </c>
    </row>
    <row r="904" spans="1:43" x14ac:dyDescent="0.25">
      <c r="A904">
        <v>28</v>
      </c>
      <c r="B904">
        <v>8</v>
      </c>
      <c r="C904">
        <v>2024</v>
      </c>
      <c r="D904" t="s">
        <v>43</v>
      </c>
      <c r="E904" t="s">
        <v>91</v>
      </c>
      <c r="F904" t="s">
        <v>92</v>
      </c>
      <c r="G904">
        <v>47</v>
      </c>
      <c r="H904">
        <v>1791882490001</v>
      </c>
      <c r="I904" t="s">
        <v>46</v>
      </c>
      <c r="J904" t="s">
        <v>48</v>
      </c>
      <c r="K904" t="s">
        <v>48</v>
      </c>
      <c r="L904" t="s">
        <v>49</v>
      </c>
      <c r="M904" t="s">
        <v>50</v>
      </c>
      <c r="N904" t="s">
        <v>51</v>
      </c>
      <c r="O904">
        <v>8421999000</v>
      </c>
      <c r="P904" t="s">
        <v>66</v>
      </c>
      <c r="Q904" t="s">
        <v>972</v>
      </c>
      <c r="R904" t="s">
        <v>54</v>
      </c>
      <c r="S904" t="s">
        <v>55</v>
      </c>
      <c r="T904">
        <v>8</v>
      </c>
      <c r="U904">
        <v>1</v>
      </c>
      <c r="V904" t="s">
        <v>135</v>
      </c>
      <c r="W904">
        <v>0</v>
      </c>
      <c r="X904">
        <v>526.98</v>
      </c>
      <c r="Y904">
        <v>58.22</v>
      </c>
      <c r="Z904">
        <v>3.55</v>
      </c>
      <c r="AA904">
        <v>588.75</v>
      </c>
      <c r="AB904" t="s">
        <v>57</v>
      </c>
      <c r="AC904" t="s">
        <v>94</v>
      </c>
      <c r="AD904" t="s">
        <v>48</v>
      </c>
      <c r="AE904">
        <v>0</v>
      </c>
      <c r="AF904">
        <v>6.07</v>
      </c>
      <c r="AG904" t="s">
        <v>59</v>
      </c>
      <c r="AH904">
        <v>150511</v>
      </c>
      <c r="AI904" t="s">
        <v>60</v>
      </c>
      <c r="AJ904" t="s">
        <v>60</v>
      </c>
      <c r="AK904" t="s">
        <v>54</v>
      </c>
      <c r="AL904">
        <v>2024</v>
      </c>
      <c r="AM904" s="6" t="s">
        <v>973</v>
      </c>
      <c r="AN904" s="7">
        <v>526.98</v>
      </c>
      <c r="AO904" s="8">
        <f t="shared" si="42"/>
        <v>988.08750000000009</v>
      </c>
      <c r="AP904" s="8">
        <f t="shared" si="43"/>
        <v>1097.7652125000002</v>
      </c>
      <c r="AQ904" s="9">
        <f t="shared" si="44"/>
        <v>1600.60294125</v>
      </c>
    </row>
    <row r="905" spans="1:43" x14ac:dyDescent="0.25">
      <c r="A905">
        <v>20</v>
      </c>
      <c r="B905">
        <v>2</v>
      </c>
      <c r="C905">
        <v>2024</v>
      </c>
      <c r="D905" t="s">
        <v>43</v>
      </c>
      <c r="E905" t="s">
        <v>140</v>
      </c>
      <c r="F905" t="s">
        <v>141</v>
      </c>
      <c r="G905">
        <v>58</v>
      </c>
      <c r="H905">
        <v>1791882490001</v>
      </c>
      <c r="I905" t="s">
        <v>46</v>
      </c>
      <c r="J905" t="s">
        <v>48</v>
      </c>
      <c r="K905" t="s">
        <v>48</v>
      </c>
      <c r="L905" t="s">
        <v>49</v>
      </c>
      <c r="M905" t="s">
        <v>50</v>
      </c>
      <c r="N905" t="s">
        <v>51</v>
      </c>
      <c r="O905">
        <v>8421999000</v>
      </c>
      <c r="P905" t="s">
        <v>66</v>
      </c>
      <c r="Q905" t="s">
        <v>577</v>
      </c>
      <c r="R905" t="s">
        <v>54</v>
      </c>
      <c r="S905" t="s">
        <v>55</v>
      </c>
      <c r="T905">
        <v>6</v>
      </c>
      <c r="U905">
        <v>4</v>
      </c>
      <c r="V905" t="s">
        <v>135</v>
      </c>
      <c r="W905">
        <v>0</v>
      </c>
      <c r="X905">
        <v>819.19</v>
      </c>
      <c r="Y905">
        <v>73.510000000000005</v>
      </c>
      <c r="Z905">
        <v>5.51</v>
      </c>
      <c r="AA905">
        <v>898.21</v>
      </c>
      <c r="AB905" t="s">
        <v>54</v>
      </c>
      <c r="AC905" t="s">
        <v>143</v>
      </c>
      <c r="AD905" t="s">
        <v>48</v>
      </c>
      <c r="AE905">
        <v>0</v>
      </c>
      <c r="AF905">
        <v>7.49</v>
      </c>
      <c r="AG905" t="s">
        <v>59</v>
      </c>
      <c r="AH905">
        <v>876053</v>
      </c>
      <c r="AI905" t="s">
        <v>60</v>
      </c>
      <c r="AJ905" t="s">
        <v>60</v>
      </c>
      <c r="AK905" t="s">
        <v>54</v>
      </c>
      <c r="AL905">
        <v>2024</v>
      </c>
      <c r="AM905" s="6" t="s">
        <v>974</v>
      </c>
      <c r="AN905" s="7">
        <v>204.8</v>
      </c>
      <c r="AO905" s="8">
        <f t="shared" si="42"/>
        <v>384</v>
      </c>
      <c r="AP905" s="8">
        <f t="shared" si="43"/>
        <v>426.62400000000002</v>
      </c>
      <c r="AQ905" s="9">
        <f t="shared" si="44"/>
        <v>622.04160000000002</v>
      </c>
    </row>
    <row r="906" spans="1:43" x14ac:dyDescent="0.25">
      <c r="A906">
        <v>20</v>
      </c>
      <c r="B906">
        <v>2</v>
      </c>
      <c r="C906">
        <v>2024</v>
      </c>
      <c r="D906" t="s">
        <v>43</v>
      </c>
      <c r="E906" t="s">
        <v>140</v>
      </c>
      <c r="F906" t="s">
        <v>141</v>
      </c>
      <c r="G906">
        <v>59</v>
      </c>
      <c r="H906">
        <v>1791882490001</v>
      </c>
      <c r="I906" t="s">
        <v>46</v>
      </c>
      <c r="J906" t="s">
        <v>48</v>
      </c>
      <c r="K906" t="s">
        <v>48</v>
      </c>
      <c r="L906" t="s">
        <v>49</v>
      </c>
      <c r="M906" t="s">
        <v>50</v>
      </c>
      <c r="N906" t="s">
        <v>51</v>
      </c>
      <c r="O906">
        <v>8421299090</v>
      </c>
      <c r="P906" t="s">
        <v>303</v>
      </c>
      <c r="Q906" t="s">
        <v>975</v>
      </c>
      <c r="R906" t="s">
        <v>54</v>
      </c>
      <c r="S906" t="s">
        <v>55</v>
      </c>
      <c r="T906">
        <v>6</v>
      </c>
      <c r="U906">
        <v>2</v>
      </c>
      <c r="V906" t="s">
        <v>135</v>
      </c>
      <c r="W906">
        <v>0</v>
      </c>
      <c r="X906">
        <v>206.92</v>
      </c>
      <c r="Y906">
        <v>18.57</v>
      </c>
      <c r="Z906">
        <v>1.39</v>
      </c>
      <c r="AA906">
        <v>226.87</v>
      </c>
      <c r="AB906" t="s">
        <v>54</v>
      </c>
      <c r="AC906" t="s">
        <v>143</v>
      </c>
      <c r="AD906" t="s">
        <v>48</v>
      </c>
      <c r="AE906">
        <v>0</v>
      </c>
      <c r="AF906">
        <v>3.74</v>
      </c>
      <c r="AG906" t="s">
        <v>59</v>
      </c>
      <c r="AH906">
        <v>876053</v>
      </c>
      <c r="AI906" t="s">
        <v>60</v>
      </c>
      <c r="AJ906" t="s">
        <v>60</v>
      </c>
      <c r="AK906" t="s">
        <v>54</v>
      </c>
      <c r="AL906">
        <v>2024</v>
      </c>
      <c r="AM906" s="6" t="s">
        <v>976</v>
      </c>
      <c r="AN906" s="7">
        <v>103.46</v>
      </c>
      <c r="AO906" s="8">
        <f t="shared" si="42"/>
        <v>193.98749999999998</v>
      </c>
      <c r="AP906" s="8">
        <f t="shared" si="43"/>
        <v>215.52011249999998</v>
      </c>
      <c r="AQ906" s="9">
        <f t="shared" si="44"/>
        <v>314.24035124999995</v>
      </c>
    </row>
    <row r="907" spans="1:43" x14ac:dyDescent="0.25">
      <c r="A907">
        <v>20</v>
      </c>
      <c r="B907">
        <v>2</v>
      </c>
      <c r="C907">
        <v>2024</v>
      </c>
      <c r="D907" t="s">
        <v>43</v>
      </c>
      <c r="E907" t="s">
        <v>140</v>
      </c>
      <c r="F907" t="s">
        <v>141</v>
      </c>
      <c r="G907">
        <v>60</v>
      </c>
      <c r="H907">
        <v>1791882490001</v>
      </c>
      <c r="I907" t="s">
        <v>46</v>
      </c>
      <c r="J907" t="s">
        <v>48</v>
      </c>
      <c r="K907" t="s">
        <v>48</v>
      </c>
      <c r="L907" t="s">
        <v>49</v>
      </c>
      <c r="M907" t="s">
        <v>50</v>
      </c>
      <c r="N907" t="s">
        <v>51</v>
      </c>
      <c r="O907">
        <v>8481909090</v>
      </c>
      <c r="P907" t="s">
        <v>103</v>
      </c>
      <c r="Q907" t="s">
        <v>968</v>
      </c>
      <c r="R907" t="s">
        <v>54</v>
      </c>
      <c r="S907" t="s">
        <v>55</v>
      </c>
      <c r="T907">
        <v>6</v>
      </c>
      <c r="U907">
        <v>1</v>
      </c>
      <c r="V907" t="s">
        <v>135</v>
      </c>
      <c r="W907">
        <v>0</v>
      </c>
      <c r="X907">
        <v>565.77</v>
      </c>
      <c r="Y907">
        <v>50.77</v>
      </c>
      <c r="Z907">
        <v>3.8</v>
      </c>
      <c r="AA907">
        <v>620.34</v>
      </c>
      <c r="AB907" t="s">
        <v>54</v>
      </c>
      <c r="AC907" t="s">
        <v>143</v>
      </c>
      <c r="AD907" t="s">
        <v>48</v>
      </c>
      <c r="AE907">
        <v>0</v>
      </c>
      <c r="AF907">
        <v>1.87</v>
      </c>
      <c r="AG907" t="s">
        <v>59</v>
      </c>
      <c r="AH907">
        <v>876053</v>
      </c>
      <c r="AI907" t="s">
        <v>60</v>
      </c>
      <c r="AJ907" t="s">
        <v>60</v>
      </c>
      <c r="AK907" t="s">
        <v>54</v>
      </c>
      <c r="AL907">
        <v>2024</v>
      </c>
      <c r="AM907" s="6" t="s">
        <v>977</v>
      </c>
      <c r="AN907" s="7">
        <v>565.77</v>
      </c>
      <c r="AO907" s="8">
        <f t="shared" si="42"/>
        <v>1060.8187499999999</v>
      </c>
      <c r="AP907" s="8">
        <f t="shared" si="43"/>
        <v>1178.5696312499999</v>
      </c>
      <c r="AQ907" s="9">
        <f t="shared" si="44"/>
        <v>1718.4202931249997</v>
      </c>
    </row>
    <row r="908" spans="1:43" x14ac:dyDescent="0.25">
      <c r="A908">
        <v>19</v>
      </c>
      <c r="B908">
        <v>8</v>
      </c>
      <c r="C908">
        <v>2024</v>
      </c>
      <c r="D908" t="s">
        <v>43</v>
      </c>
      <c r="E908" t="s">
        <v>84</v>
      </c>
      <c r="F908" t="s">
        <v>85</v>
      </c>
      <c r="G908">
        <v>55</v>
      </c>
      <c r="H908">
        <v>1791882490001</v>
      </c>
      <c r="I908" t="s">
        <v>46</v>
      </c>
      <c r="J908" t="s">
        <v>48</v>
      </c>
      <c r="K908" t="s">
        <v>48</v>
      </c>
      <c r="L908" t="s">
        <v>49</v>
      </c>
      <c r="M908" t="s">
        <v>50</v>
      </c>
      <c r="N908" t="s">
        <v>51</v>
      </c>
      <c r="O908">
        <v>3926909000</v>
      </c>
      <c r="P908" t="s">
        <v>66</v>
      </c>
      <c r="Q908" t="s">
        <v>978</v>
      </c>
      <c r="R908" t="s">
        <v>54</v>
      </c>
      <c r="S908" t="s">
        <v>55</v>
      </c>
      <c r="T908">
        <v>6</v>
      </c>
      <c r="U908">
        <v>1</v>
      </c>
      <c r="V908" t="s">
        <v>135</v>
      </c>
      <c r="W908">
        <v>39.22</v>
      </c>
      <c r="X908">
        <v>172.65</v>
      </c>
      <c r="Y908">
        <v>22.28</v>
      </c>
      <c r="Z908">
        <v>1.18</v>
      </c>
      <c r="AA908">
        <v>196.1</v>
      </c>
      <c r="AB908" t="s">
        <v>57</v>
      </c>
      <c r="AC908" t="s">
        <v>58</v>
      </c>
      <c r="AD908" t="s">
        <v>48</v>
      </c>
      <c r="AE908">
        <v>0</v>
      </c>
      <c r="AF908">
        <v>1.39</v>
      </c>
      <c r="AG908" t="s">
        <v>59</v>
      </c>
      <c r="AH908">
        <v>144527</v>
      </c>
      <c r="AI908" t="s">
        <v>60</v>
      </c>
      <c r="AJ908" t="s">
        <v>60</v>
      </c>
      <c r="AK908" t="s">
        <v>54</v>
      </c>
      <c r="AL908">
        <v>2024</v>
      </c>
      <c r="AM908" s="6" t="s">
        <v>979</v>
      </c>
      <c r="AN908" s="7">
        <v>172.65</v>
      </c>
      <c r="AO908" s="8">
        <f t="shared" si="42"/>
        <v>323.71875</v>
      </c>
      <c r="AP908" s="8">
        <f t="shared" si="43"/>
        <v>359.65153125000001</v>
      </c>
      <c r="AQ908" s="9">
        <f t="shared" si="44"/>
        <v>524.39200312499997</v>
      </c>
    </row>
    <row r="909" spans="1:43" x14ac:dyDescent="0.25">
      <c r="A909">
        <v>13</v>
      </c>
      <c r="B909">
        <v>3</v>
      </c>
      <c r="C909">
        <v>2024</v>
      </c>
      <c r="D909" t="s">
        <v>43</v>
      </c>
      <c r="E909" t="s">
        <v>69</v>
      </c>
      <c r="F909" t="s">
        <v>70</v>
      </c>
      <c r="G909">
        <v>48</v>
      </c>
      <c r="H909">
        <v>1791882490001</v>
      </c>
      <c r="I909" t="s">
        <v>46</v>
      </c>
      <c r="J909" t="s">
        <v>48</v>
      </c>
      <c r="K909" t="s">
        <v>48</v>
      </c>
      <c r="L909" t="s">
        <v>49</v>
      </c>
      <c r="M909" t="s">
        <v>50</v>
      </c>
      <c r="N909" t="s">
        <v>51</v>
      </c>
      <c r="O909">
        <v>8481909090</v>
      </c>
      <c r="P909" t="s">
        <v>103</v>
      </c>
      <c r="Q909" t="s">
        <v>776</v>
      </c>
      <c r="R909" t="s">
        <v>54</v>
      </c>
      <c r="S909" t="s">
        <v>55</v>
      </c>
      <c r="T909">
        <v>11</v>
      </c>
      <c r="U909">
        <v>2</v>
      </c>
      <c r="V909" t="s">
        <v>135</v>
      </c>
      <c r="W909">
        <v>0</v>
      </c>
      <c r="X909">
        <v>547.80999999999995</v>
      </c>
      <c r="Y909">
        <v>71.739999999999995</v>
      </c>
      <c r="Z909">
        <v>3.69</v>
      </c>
      <c r="AA909">
        <v>623.24</v>
      </c>
      <c r="AB909" t="s">
        <v>54</v>
      </c>
      <c r="AC909" t="s">
        <v>71</v>
      </c>
      <c r="AD909" t="s">
        <v>48</v>
      </c>
      <c r="AE909">
        <v>0</v>
      </c>
      <c r="AF909">
        <v>4.08</v>
      </c>
      <c r="AG909" t="s">
        <v>59</v>
      </c>
      <c r="AH909">
        <v>895279</v>
      </c>
      <c r="AI909" t="s">
        <v>60</v>
      </c>
      <c r="AJ909" t="s">
        <v>60</v>
      </c>
      <c r="AK909" t="s">
        <v>54</v>
      </c>
      <c r="AL909">
        <v>2024</v>
      </c>
      <c r="AM909" s="6" t="s">
        <v>980</v>
      </c>
      <c r="AN909" s="7">
        <v>273.91000000000003</v>
      </c>
      <c r="AO909" s="8">
        <f t="shared" si="42"/>
        <v>513.58125000000007</v>
      </c>
      <c r="AP909" s="8">
        <f t="shared" si="43"/>
        <v>570.5887687500001</v>
      </c>
      <c r="AQ909" s="9">
        <f t="shared" si="44"/>
        <v>831.95026687500001</v>
      </c>
    </row>
    <row r="910" spans="1:43" x14ac:dyDescent="0.25">
      <c r="A910">
        <v>8</v>
      </c>
      <c r="B910">
        <v>4</v>
      </c>
      <c r="C910">
        <v>2024</v>
      </c>
      <c r="D910" t="s">
        <v>43</v>
      </c>
      <c r="E910" t="s">
        <v>355</v>
      </c>
      <c r="F910" t="s">
        <v>356</v>
      </c>
      <c r="G910">
        <v>15</v>
      </c>
      <c r="H910">
        <v>1791882490001</v>
      </c>
      <c r="I910" t="s">
        <v>46</v>
      </c>
      <c r="J910" t="s">
        <v>48</v>
      </c>
      <c r="K910" t="s">
        <v>48</v>
      </c>
      <c r="L910" t="s">
        <v>119</v>
      </c>
      <c r="M910" t="s">
        <v>120</v>
      </c>
      <c r="N910" t="s">
        <v>121</v>
      </c>
      <c r="O910">
        <v>8481909090</v>
      </c>
      <c r="P910" t="s">
        <v>103</v>
      </c>
      <c r="Q910" t="s">
        <v>702</v>
      </c>
      <c r="R910" t="s">
        <v>54</v>
      </c>
      <c r="S910" t="s">
        <v>55</v>
      </c>
      <c r="T910">
        <v>10</v>
      </c>
      <c r="U910">
        <v>3</v>
      </c>
      <c r="V910" t="s">
        <v>135</v>
      </c>
      <c r="W910">
        <v>0</v>
      </c>
      <c r="X910">
        <v>814.7</v>
      </c>
      <c r="Y910">
        <v>40.74</v>
      </c>
      <c r="Z910">
        <v>5.2</v>
      </c>
      <c r="AA910">
        <v>860.64</v>
      </c>
      <c r="AB910" t="s">
        <v>359</v>
      </c>
      <c r="AC910" t="s">
        <v>125</v>
      </c>
      <c r="AD910" t="s">
        <v>48</v>
      </c>
      <c r="AE910">
        <v>1</v>
      </c>
      <c r="AF910">
        <v>40.869999999999997</v>
      </c>
      <c r="AG910" t="s">
        <v>59</v>
      </c>
      <c r="AH910">
        <v>882904</v>
      </c>
      <c r="AI910" t="s">
        <v>60</v>
      </c>
      <c r="AJ910" t="s">
        <v>60</v>
      </c>
      <c r="AK910" t="s">
        <v>54</v>
      </c>
      <c r="AL910">
        <v>2024</v>
      </c>
      <c r="AM910" s="6" t="s">
        <v>980</v>
      </c>
      <c r="AN910" s="7">
        <v>271.57</v>
      </c>
      <c r="AO910" s="8">
        <f t="shared" si="42"/>
        <v>509.19374999999997</v>
      </c>
      <c r="AP910" s="8">
        <f t="shared" si="43"/>
        <v>565.71425624999995</v>
      </c>
      <c r="AQ910" s="9">
        <f t="shared" si="44"/>
        <v>824.84295562499995</v>
      </c>
    </row>
    <row r="911" spans="1:43" x14ac:dyDescent="0.25">
      <c r="A911">
        <v>8</v>
      </c>
      <c r="B911">
        <v>7</v>
      </c>
      <c r="C911">
        <v>2024</v>
      </c>
      <c r="D911" t="s">
        <v>43</v>
      </c>
      <c r="E911" t="s">
        <v>75</v>
      </c>
      <c r="F911" t="s">
        <v>76</v>
      </c>
      <c r="G911">
        <v>72</v>
      </c>
      <c r="H911">
        <v>1791882490001</v>
      </c>
      <c r="I911" t="s">
        <v>46</v>
      </c>
      <c r="J911" t="s">
        <v>48</v>
      </c>
      <c r="K911" t="s">
        <v>48</v>
      </c>
      <c r="L911" t="s">
        <v>49</v>
      </c>
      <c r="M911" t="s">
        <v>50</v>
      </c>
      <c r="N911" t="s">
        <v>51</v>
      </c>
      <c r="O911">
        <v>8421999000</v>
      </c>
      <c r="P911" t="s">
        <v>66</v>
      </c>
      <c r="Q911" t="s">
        <v>981</v>
      </c>
      <c r="R911" t="s">
        <v>54</v>
      </c>
      <c r="S911" t="s">
        <v>55</v>
      </c>
      <c r="T911">
        <v>8</v>
      </c>
      <c r="U911">
        <v>2</v>
      </c>
      <c r="V911" t="s">
        <v>135</v>
      </c>
      <c r="W911">
        <v>0</v>
      </c>
      <c r="X911">
        <v>194.14</v>
      </c>
      <c r="Y911">
        <v>16.59</v>
      </c>
      <c r="Z911">
        <v>1.26</v>
      </c>
      <c r="AA911">
        <v>211.99</v>
      </c>
      <c r="AB911" t="s">
        <v>57</v>
      </c>
      <c r="AC911" t="s">
        <v>77</v>
      </c>
      <c r="AD911" t="s">
        <v>48</v>
      </c>
      <c r="AE911">
        <v>0</v>
      </c>
      <c r="AF911">
        <v>1.28</v>
      </c>
      <c r="AG911" t="s">
        <v>59</v>
      </c>
      <c r="AH911">
        <v>107711</v>
      </c>
      <c r="AI911" t="s">
        <v>60</v>
      </c>
      <c r="AJ911" t="s">
        <v>78</v>
      </c>
      <c r="AK911" t="s">
        <v>54</v>
      </c>
      <c r="AL911">
        <v>2024</v>
      </c>
      <c r="AM911" s="6" t="s">
        <v>982</v>
      </c>
      <c r="AN911" s="7">
        <v>97.07</v>
      </c>
      <c r="AO911" s="8">
        <f t="shared" si="42"/>
        <v>182.00624999999999</v>
      </c>
      <c r="AP911" s="8">
        <f t="shared" si="43"/>
        <v>202.20894375</v>
      </c>
      <c r="AQ911" s="9">
        <f t="shared" si="44"/>
        <v>294.83192437499997</v>
      </c>
    </row>
    <row r="912" spans="1:43" x14ac:dyDescent="0.25">
      <c r="A912">
        <v>8</v>
      </c>
      <c r="B912">
        <v>7</v>
      </c>
      <c r="C912">
        <v>2024</v>
      </c>
      <c r="D912" t="s">
        <v>43</v>
      </c>
      <c r="E912" t="s">
        <v>75</v>
      </c>
      <c r="F912" t="s">
        <v>76</v>
      </c>
      <c r="G912">
        <v>72</v>
      </c>
      <c r="H912">
        <v>1791882490001</v>
      </c>
      <c r="I912" t="s">
        <v>46</v>
      </c>
      <c r="J912" t="s">
        <v>48</v>
      </c>
      <c r="K912" t="s">
        <v>48</v>
      </c>
      <c r="L912" t="s">
        <v>49</v>
      </c>
      <c r="M912" t="s">
        <v>50</v>
      </c>
      <c r="N912" t="s">
        <v>51</v>
      </c>
      <c r="O912">
        <v>8421999000</v>
      </c>
      <c r="P912" t="s">
        <v>66</v>
      </c>
      <c r="Q912" t="s">
        <v>981</v>
      </c>
      <c r="R912" t="s">
        <v>54</v>
      </c>
      <c r="S912" t="s">
        <v>55</v>
      </c>
      <c r="T912">
        <v>8</v>
      </c>
      <c r="U912">
        <v>2</v>
      </c>
      <c r="V912" t="s">
        <v>135</v>
      </c>
      <c r="W912">
        <v>0</v>
      </c>
      <c r="X912">
        <v>194.14</v>
      </c>
      <c r="Y912">
        <v>16.59</v>
      </c>
      <c r="Z912">
        <v>1.26</v>
      </c>
      <c r="AA912">
        <v>211.99</v>
      </c>
      <c r="AB912" t="s">
        <v>57</v>
      </c>
      <c r="AC912" t="s">
        <v>77</v>
      </c>
      <c r="AD912" t="s">
        <v>48</v>
      </c>
      <c r="AE912">
        <v>0</v>
      </c>
      <c r="AF912">
        <v>1.28</v>
      </c>
      <c r="AG912" t="s">
        <v>59</v>
      </c>
      <c r="AH912">
        <v>107711</v>
      </c>
      <c r="AI912" t="s">
        <v>60</v>
      </c>
      <c r="AJ912" t="s">
        <v>78</v>
      </c>
      <c r="AK912" t="s">
        <v>54</v>
      </c>
      <c r="AL912">
        <v>2024</v>
      </c>
      <c r="AM912" s="6" t="s">
        <v>982</v>
      </c>
      <c r="AN912" s="7">
        <v>97.07</v>
      </c>
      <c r="AO912" s="8">
        <f t="shared" si="42"/>
        <v>182.00624999999999</v>
      </c>
      <c r="AP912" s="8">
        <f t="shared" si="43"/>
        <v>202.20894375</v>
      </c>
      <c r="AQ912" s="9">
        <f t="shared" si="44"/>
        <v>294.83192437499997</v>
      </c>
    </row>
    <row r="913" spans="1:43" x14ac:dyDescent="0.25">
      <c r="A913">
        <v>12</v>
      </c>
      <c r="B913">
        <v>6</v>
      </c>
      <c r="C913">
        <v>2024</v>
      </c>
      <c r="D913" t="s">
        <v>43</v>
      </c>
      <c r="E913" t="s">
        <v>96</v>
      </c>
      <c r="F913" t="s">
        <v>97</v>
      </c>
      <c r="G913">
        <v>49</v>
      </c>
      <c r="H913">
        <v>1791882490001</v>
      </c>
      <c r="I913" t="s">
        <v>46</v>
      </c>
      <c r="J913" t="s">
        <v>48</v>
      </c>
      <c r="K913" t="s">
        <v>48</v>
      </c>
      <c r="L913" t="s">
        <v>49</v>
      </c>
      <c r="M913" t="s">
        <v>50</v>
      </c>
      <c r="N913" t="s">
        <v>51</v>
      </c>
      <c r="O913">
        <v>8421999000</v>
      </c>
      <c r="P913" t="s">
        <v>66</v>
      </c>
      <c r="Q913" t="s">
        <v>577</v>
      </c>
      <c r="R913" t="s">
        <v>54</v>
      </c>
      <c r="S913" t="s">
        <v>55</v>
      </c>
      <c r="T913">
        <v>7</v>
      </c>
      <c r="U913">
        <v>5</v>
      </c>
      <c r="V913" t="s">
        <v>135</v>
      </c>
      <c r="W913">
        <v>0</v>
      </c>
      <c r="X913">
        <v>465.42</v>
      </c>
      <c r="Y913">
        <v>40.369999999999997</v>
      </c>
      <c r="Z913">
        <v>3.13</v>
      </c>
      <c r="AA913">
        <v>508.92</v>
      </c>
      <c r="AB913" t="s">
        <v>57</v>
      </c>
      <c r="AC913" t="s">
        <v>94</v>
      </c>
      <c r="AD913" t="s">
        <v>48</v>
      </c>
      <c r="AE913">
        <v>0</v>
      </c>
      <c r="AF913">
        <v>9</v>
      </c>
      <c r="AG913" t="s">
        <v>59</v>
      </c>
      <c r="AH913" t="s">
        <v>98</v>
      </c>
      <c r="AI913" t="s">
        <v>60</v>
      </c>
      <c r="AJ913" t="s">
        <v>60</v>
      </c>
      <c r="AK913" t="s">
        <v>54</v>
      </c>
      <c r="AL913">
        <v>2024</v>
      </c>
      <c r="AM913" s="6" t="s">
        <v>983</v>
      </c>
      <c r="AN913" s="7">
        <v>93.08</v>
      </c>
      <c r="AO913" s="8">
        <f t="shared" si="42"/>
        <v>174.52500000000001</v>
      </c>
      <c r="AP913" s="8">
        <f t="shared" si="43"/>
        <v>193.89727500000001</v>
      </c>
      <c r="AQ913" s="9">
        <f t="shared" si="44"/>
        <v>282.71304750000002</v>
      </c>
    </row>
    <row r="914" spans="1:43" x14ac:dyDescent="0.25">
      <c r="A914">
        <v>28</v>
      </c>
      <c r="B914">
        <v>8</v>
      </c>
      <c r="C914">
        <v>2024</v>
      </c>
      <c r="D914" t="s">
        <v>43</v>
      </c>
      <c r="E914" t="s">
        <v>91</v>
      </c>
      <c r="F914" t="s">
        <v>92</v>
      </c>
      <c r="G914">
        <v>48</v>
      </c>
      <c r="H914">
        <v>1791882490001</v>
      </c>
      <c r="I914" t="s">
        <v>46</v>
      </c>
      <c r="J914" t="s">
        <v>48</v>
      </c>
      <c r="K914" t="s">
        <v>48</v>
      </c>
      <c r="L914" t="s">
        <v>49</v>
      </c>
      <c r="M914" t="s">
        <v>50</v>
      </c>
      <c r="N914" t="s">
        <v>51</v>
      </c>
      <c r="O914">
        <v>8421999000</v>
      </c>
      <c r="P914" t="s">
        <v>66</v>
      </c>
      <c r="Q914" t="s">
        <v>577</v>
      </c>
      <c r="R914" t="s">
        <v>54</v>
      </c>
      <c r="S914" t="s">
        <v>55</v>
      </c>
      <c r="T914">
        <v>8</v>
      </c>
      <c r="U914">
        <v>2</v>
      </c>
      <c r="V914" t="s">
        <v>135</v>
      </c>
      <c r="W914">
        <v>0</v>
      </c>
      <c r="X914">
        <v>184.19</v>
      </c>
      <c r="Y914">
        <v>20.350000000000001</v>
      </c>
      <c r="Z914">
        <v>1.24</v>
      </c>
      <c r="AA914">
        <v>205.78</v>
      </c>
      <c r="AB914" t="s">
        <v>57</v>
      </c>
      <c r="AC914" t="s">
        <v>94</v>
      </c>
      <c r="AD914" t="s">
        <v>48</v>
      </c>
      <c r="AE914">
        <v>0</v>
      </c>
      <c r="AF914">
        <v>2.12</v>
      </c>
      <c r="AG914" t="s">
        <v>59</v>
      </c>
      <c r="AH914">
        <v>150511</v>
      </c>
      <c r="AI914" t="s">
        <v>60</v>
      </c>
      <c r="AJ914" t="s">
        <v>60</v>
      </c>
      <c r="AK914" t="s">
        <v>54</v>
      </c>
      <c r="AL914">
        <v>2024</v>
      </c>
      <c r="AM914" s="6" t="s">
        <v>983</v>
      </c>
      <c r="AN914" s="7">
        <v>92.09</v>
      </c>
      <c r="AO914" s="8">
        <f t="shared" si="42"/>
        <v>172.66875000000002</v>
      </c>
      <c r="AP914" s="8">
        <f t="shared" si="43"/>
        <v>191.83498125000003</v>
      </c>
      <c r="AQ914" s="9">
        <f t="shared" si="44"/>
        <v>279.70610812500001</v>
      </c>
    </row>
    <row r="915" spans="1:43" x14ac:dyDescent="0.25">
      <c r="A915">
        <v>28</v>
      </c>
      <c r="B915">
        <v>8</v>
      </c>
      <c r="C915">
        <v>2024</v>
      </c>
      <c r="D915" t="s">
        <v>43</v>
      </c>
      <c r="E915" t="s">
        <v>91</v>
      </c>
      <c r="F915" t="s">
        <v>92</v>
      </c>
      <c r="G915">
        <v>49</v>
      </c>
      <c r="H915">
        <v>1791882490001</v>
      </c>
      <c r="I915" t="s">
        <v>46</v>
      </c>
      <c r="J915" t="s">
        <v>48</v>
      </c>
      <c r="K915" t="s">
        <v>48</v>
      </c>
      <c r="L915" t="s">
        <v>49</v>
      </c>
      <c r="M915" t="s">
        <v>50</v>
      </c>
      <c r="N915" t="s">
        <v>51</v>
      </c>
      <c r="O915">
        <v>8421999000</v>
      </c>
      <c r="P915" t="s">
        <v>66</v>
      </c>
      <c r="Q915" t="s">
        <v>577</v>
      </c>
      <c r="R915" t="s">
        <v>54</v>
      </c>
      <c r="S915" t="s">
        <v>55</v>
      </c>
      <c r="T915">
        <v>8</v>
      </c>
      <c r="U915">
        <v>2</v>
      </c>
      <c r="V915" t="s">
        <v>135</v>
      </c>
      <c r="W915">
        <v>0</v>
      </c>
      <c r="X915">
        <v>184.19</v>
      </c>
      <c r="Y915">
        <v>20.350000000000001</v>
      </c>
      <c r="Z915">
        <v>1.24</v>
      </c>
      <c r="AA915">
        <v>205.78</v>
      </c>
      <c r="AB915" t="s">
        <v>57</v>
      </c>
      <c r="AC915" t="s">
        <v>94</v>
      </c>
      <c r="AD915" t="s">
        <v>48</v>
      </c>
      <c r="AE915">
        <v>0</v>
      </c>
      <c r="AF915">
        <v>2.12</v>
      </c>
      <c r="AG915" t="s">
        <v>59</v>
      </c>
      <c r="AH915">
        <v>150511</v>
      </c>
      <c r="AI915" t="s">
        <v>60</v>
      </c>
      <c r="AJ915" t="s">
        <v>60</v>
      </c>
      <c r="AK915" t="s">
        <v>54</v>
      </c>
      <c r="AL915">
        <v>2024</v>
      </c>
      <c r="AM915" s="6" t="s">
        <v>983</v>
      </c>
      <c r="AN915" s="7">
        <v>92.09</v>
      </c>
      <c r="AO915" s="8">
        <f t="shared" si="42"/>
        <v>172.66875000000002</v>
      </c>
      <c r="AP915" s="8">
        <f t="shared" si="43"/>
        <v>191.83498125000003</v>
      </c>
      <c r="AQ915" s="9">
        <f t="shared" si="44"/>
        <v>279.70610812500001</v>
      </c>
    </row>
    <row r="916" spans="1:43" x14ac:dyDescent="0.25">
      <c r="A916">
        <v>8</v>
      </c>
      <c r="B916">
        <v>7</v>
      </c>
      <c r="C916">
        <v>2024</v>
      </c>
      <c r="D916" t="s">
        <v>43</v>
      </c>
      <c r="E916" t="s">
        <v>75</v>
      </c>
      <c r="F916" t="s">
        <v>76</v>
      </c>
      <c r="G916">
        <v>73</v>
      </c>
      <c r="H916">
        <v>1791882490001</v>
      </c>
      <c r="I916" t="s">
        <v>46</v>
      </c>
      <c r="J916" t="s">
        <v>48</v>
      </c>
      <c r="K916" t="s">
        <v>48</v>
      </c>
      <c r="L916" t="s">
        <v>49</v>
      </c>
      <c r="M916" t="s">
        <v>50</v>
      </c>
      <c r="N916" t="s">
        <v>51</v>
      </c>
      <c r="O916">
        <v>8481300000</v>
      </c>
      <c r="P916" t="s">
        <v>203</v>
      </c>
      <c r="Q916" t="s">
        <v>984</v>
      </c>
      <c r="R916" t="s">
        <v>54</v>
      </c>
      <c r="S916" t="s">
        <v>55</v>
      </c>
      <c r="T916">
        <v>8</v>
      </c>
      <c r="U916">
        <v>2</v>
      </c>
      <c r="V916" t="s">
        <v>135</v>
      </c>
      <c r="W916">
        <v>0</v>
      </c>
      <c r="X916">
        <v>33.76</v>
      </c>
      <c r="Y916">
        <v>2.88</v>
      </c>
      <c r="Z916">
        <v>0.22</v>
      </c>
      <c r="AA916">
        <v>36.86</v>
      </c>
      <c r="AB916" t="s">
        <v>57</v>
      </c>
      <c r="AC916" t="s">
        <v>77</v>
      </c>
      <c r="AD916" t="s">
        <v>48</v>
      </c>
      <c r="AE916">
        <v>0</v>
      </c>
      <c r="AF916">
        <v>0.22</v>
      </c>
      <c r="AG916" t="s">
        <v>59</v>
      </c>
      <c r="AH916">
        <v>107711</v>
      </c>
      <c r="AI916" t="s">
        <v>60</v>
      </c>
      <c r="AJ916" t="s">
        <v>78</v>
      </c>
      <c r="AK916" t="s">
        <v>54</v>
      </c>
      <c r="AL916">
        <v>2024</v>
      </c>
      <c r="AM916" s="6" t="s">
        <v>985</v>
      </c>
      <c r="AN916" s="7">
        <v>16.88</v>
      </c>
      <c r="AO916" s="8">
        <f t="shared" si="42"/>
        <v>31.65</v>
      </c>
      <c r="AP916" s="8">
        <f t="shared" si="43"/>
        <v>35.163149999999995</v>
      </c>
      <c r="AQ916" s="9">
        <f t="shared" si="44"/>
        <v>51.269834999999993</v>
      </c>
    </row>
    <row r="917" spans="1:43" x14ac:dyDescent="0.25">
      <c r="A917">
        <v>8</v>
      </c>
      <c r="B917">
        <v>7</v>
      </c>
      <c r="C917">
        <v>2024</v>
      </c>
      <c r="D917" t="s">
        <v>43</v>
      </c>
      <c r="E917" t="s">
        <v>75</v>
      </c>
      <c r="F917" t="s">
        <v>76</v>
      </c>
      <c r="G917">
        <v>73</v>
      </c>
      <c r="H917">
        <v>1791882490001</v>
      </c>
      <c r="I917" t="s">
        <v>46</v>
      </c>
      <c r="J917" t="s">
        <v>48</v>
      </c>
      <c r="K917" t="s">
        <v>48</v>
      </c>
      <c r="L917" t="s">
        <v>49</v>
      </c>
      <c r="M917" t="s">
        <v>50</v>
      </c>
      <c r="N917" t="s">
        <v>51</v>
      </c>
      <c r="O917">
        <v>8481300000</v>
      </c>
      <c r="P917" t="s">
        <v>203</v>
      </c>
      <c r="Q917" t="s">
        <v>984</v>
      </c>
      <c r="R917" t="s">
        <v>54</v>
      </c>
      <c r="S917" t="s">
        <v>55</v>
      </c>
      <c r="T917">
        <v>8</v>
      </c>
      <c r="U917">
        <v>2</v>
      </c>
      <c r="V917" t="s">
        <v>135</v>
      </c>
      <c r="W917">
        <v>0</v>
      </c>
      <c r="X917">
        <v>33.76</v>
      </c>
      <c r="Y917">
        <v>2.88</v>
      </c>
      <c r="Z917">
        <v>0.22</v>
      </c>
      <c r="AA917">
        <v>36.86</v>
      </c>
      <c r="AB917" t="s">
        <v>57</v>
      </c>
      <c r="AC917" t="s">
        <v>77</v>
      </c>
      <c r="AD917" t="s">
        <v>48</v>
      </c>
      <c r="AE917">
        <v>0</v>
      </c>
      <c r="AF917">
        <v>0.22</v>
      </c>
      <c r="AG917" t="s">
        <v>59</v>
      </c>
      <c r="AH917">
        <v>107711</v>
      </c>
      <c r="AI917" t="s">
        <v>60</v>
      </c>
      <c r="AJ917" t="s">
        <v>78</v>
      </c>
      <c r="AK917" t="s">
        <v>54</v>
      </c>
      <c r="AL917">
        <v>2024</v>
      </c>
      <c r="AM917" s="6" t="s">
        <v>985</v>
      </c>
      <c r="AN917" s="7">
        <v>16.88</v>
      </c>
      <c r="AO917" s="8">
        <f t="shared" si="42"/>
        <v>31.65</v>
      </c>
      <c r="AP917" s="8">
        <f t="shared" si="43"/>
        <v>35.163149999999995</v>
      </c>
      <c r="AQ917" s="9">
        <f t="shared" si="44"/>
        <v>51.269834999999993</v>
      </c>
    </row>
    <row r="918" spans="1:43" x14ac:dyDescent="0.25">
      <c r="A918">
        <v>8</v>
      </c>
      <c r="B918">
        <v>7</v>
      </c>
      <c r="C918">
        <v>2024</v>
      </c>
      <c r="D918" t="s">
        <v>43</v>
      </c>
      <c r="E918" t="s">
        <v>75</v>
      </c>
      <c r="F918" t="s">
        <v>76</v>
      </c>
      <c r="G918">
        <v>74</v>
      </c>
      <c r="H918">
        <v>1791882490001</v>
      </c>
      <c r="I918" t="s">
        <v>46</v>
      </c>
      <c r="J918" t="s">
        <v>48</v>
      </c>
      <c r="K918" t="s">
        <v>48</v>
      </c>
      <c r="L918" t="s">
        <v>49</v>
      </c>
      <c r="M918" t="s">
        <v>50</v>
      </c>
      <c r="N918" t="s">
        <v>51</v>
      </c>
      <c r="O918">
        <v>8481909090</v>
      </c>
      <c r="P918" t="s">
        <v>103</v>
      </c>
      <c r="Q918" t="s">
        <v>986</v>
      </c>
      <c r="R918" t="s">
        <v>54</v>
      </c>
      <c r="S918" t="s">
        <v>55</v>
      </c>
      <c r="T918">
        <v>8</v>
      </c>
      <c r="U918">
        <v>1</v>
      </c>
      <c r="V918" t="s">
        <v>135</v>
      </c>
      <c r="W918">
        <v>0</v>
      </c>
      <c r="X918">
        <v>586.34</v>
      </c>
      <c r="Y918">
        <v>50.08</v>
      </c>
      <c r="Z918">
        <v>3.81</v>
      </c>
      <c r="AA918">
        <v>640.23</v>
      </c>
      <c r="AB918" t="s">
        <v>57</v>
      </c>
      <c r="AC918" t="s">
        <v>77</v>
      </c>
      <c r="AD918" t="s">
        <v>48</v>
      </c>
      <c r="AE918">
        <v>0</v>
      </c>
      <c r="AF918">
        <v>3.88</v>
      </c>
      <c r="AG918" t="s">
        <v>59</v>
      </c>
      <c r="AH918">
        <v>107711</v>
      </c>
      <c r="AI918" t="s">
        <v>60</v>
      </c>
      <c r="AJ918" t="s">
        <v>78</v>
      </c>
      <c r="AK918" t="s">
        <v>54</v>
      </c>
      <c r="AL918">
        <v>2024</v>
      </c>
      <c r="AM918" s="6" t="s">
        <v>987</v>
      </c>
      <c r="AN918" s="7">
        <v>586.34</v>
      </c>
      <c r="AO918" s="8">
        <f t="shared" si="42"/>
        <v>1099.3875</v>
      </c>
      <c r="AP918" s="8">
        <f t="shared" si="43"/>
        <v>1221.4195125000001</v>
      </c>
      <c r="AQ918" s="9">
        <f t="shared" si="44"/>
        <v>1780.8978112499999</v>
      </c>
    </row>
    <row r="919" spans="1:43" x14ac:dyDescent="0.25">
      <c r="A919">
        <v>8</v>
      </c>
      <c r="B919">
        <v>7</v>
      </c>
      <c r="C919">
        <v>2024</v>
      </c>
      <c r="D919" t="s">
        <v>43</v>
      </c>
      <c r="E919" t="s">
        <v>75</v>
      </c>
      <c r="F919" t="s">
        <v>76</v>
      </c>
      <c r="G919">
        <v>74</v>
      </c>
      <c r="H919">
        <v>1791882490001</v>
      </c>
      <c r="I919" t="s">
        <v>46</v>
      </c>
      <c r="J919" t="s">
        <v>48</v>
      </c>
      <c r="K919" t="s">
        <v>48</v>
      </c>
      <c r="L919" t="s">
        <v>49</v>
      </c>
      <c r="M919" t="s">
        <v>50</v>
      </c>
      <c r="N919" t="s">
        <v>51</v>
      </c>
      <c r="O919">
        <v>8481909090</v>
      </c>
      <c r="P919" t="s">
        <v>103</v>
      </c>
      <c r="Q919" t="s">
        <v>986</v>
      </c>
      <c r="R919" t="s">
        <v>54</v>
      </c>
      <c r="S919" t="s">
        <v>55</v>
      </c>
      <c r="T919">
        <v>8</v>
      </c>
      <c r="U919">
        <v>1</v>
      </c>
      <c r="V919" t="s">
        <v>135</v>
      </c>
      <c r="W919">
        <v>0</v>
      </c>
      <c r="X919">
        <v>586.34</v>
      </c>
      <c r="Y919">
        <v>50.08</v>
      </c>
      <c r="Z919">
        <v>3.81</v>
      </c>
      <c r="AA919">
        <v>640.23</v>
      </c>
      <c r="AB919" t="s">
        <v>57</v>
      </c>
      <c r="AC919" t="s">
        <v>77</v>
      </c>
      <c r="AD919" t="s">
        <v>48</v>
      </c>
      <c r="AE919">
        <v>0</v>
      </c>
      <c r="AF919">
        <v>3.88</v>
      </c>
      <c r="AG919" t="s">
        <v>59</v>
      </c>
      <c r="AH919">
        <v>107711</v>
      </c>
      <c r="AI919" t="s">
        <v>60</v>
      </c>
      <c r="AJ919" t="s">
        <v>78</v>
      </c>
      <c r="AK919" t="s">
        <v>54</v>
      </c>
      <c r="AL919">
        <v>2024</v>
      </c>
      <c r="AM919" s="6" t="s">
        <v>987</v>
      </c>
      <c r="AN919" s="7">
        <v>586.34</v>
      </c>
      <c r="AO919" s="8">
        <f t="shared" si="42"/>
        <v>1099.3875</v>
      </c>
      <c r="AP919" s="8">
        <f t="shared" si="43"/>
        <v>1221.4195125000001</v>
      </c>
      <c r="AQ919" s="9">
        <f t="shared" si="44"/>
        <v>1780.8978112499999</v>
      </c>
    </row>
    <row r="920" spans="1:43" x14ac:dyDescent="0.25">
      <c r="A920">
        <v>16</v>
      </c>
      <c r="B920">
        <v>1</v>
      </c>
      <c r="C920">
        <v>2024</v>
      </c>
      <c r="D920" t="s">
        <v>43</v>
      </c>
      <c r="E920" t="s">
        <v>191</v>
      </c>
      <c r="F920" t="s">
        <v>192</v>
      </c>
      <c r="G920">
        <v>21</v>
      </c>
      <c r="H920">
        <v>1791882490001</v>
      </c>
      <c r="I920" t="s">
        <v>46</v>
      </c>
      <c r="J920" t="s">
        <v>48</v>
      </c>
      <c r="K920" t="s">
        <v>48</v>
      </c>
      <c r="L920" t="s">
        <v>49</v>
      </c>
      <c r="M920" t="s">
        <v>50</v>
      </c>
      <c r="N920" t="s">
        <v>51</v>
      </c>
      <c r="O920">
        <v>8484900000</v>
      </c>
      <c r="P920" t="s">
        <v>52</v>
      </c>
      <c r="Q920" t="s">
        <v>988</v>
      </c>
      <c r="R920" t="s">
        <v>54</v>
      </c>
      <c r="S920" t="s">
        <v>55</v>
      </c>
      <c r="T920">
        <v>11</v>
      </c>
      <c r="U920">
        <v>1</v>
      </c>
      <c r="V920" t="s">
        <v>135</v>
      </c>
      <c r="W920">
        <v>0</v>
      </c>
      <c r="X920">
        <v>69.760000000000005</v>
      </c>
      <c r="Y920">
        <v>4.58</v>
      </c>
      <c r="Z920">
        <v>0.45</v>
      </c>
      <c r="AA920">
        <v>74.790000000000006</v>
      </c>
      <c r="AB920" t="s">
        <v>57</v>
      </c>
      <c r="AC920" t="s">
        <v>81</v>
      </c>
      <c r="AD920" t="s">
        <v>48</v>
      </c>
      <c r="AE920">
        <v>0</v>
      </c>
      <c r="AF920">
        <v>2.86</v>
      </c>
      <c r="AG920" t="s">
        <v>59</v>
      </c>
      <c r="AH920">
        <v>850332</v>
      </c>
      <c r="AI920" t="s">
        <v>60</v>
      </c>
      <c r="AJ920" t="s">
        <v>60</v>
      </c>
      <c r="AK920" t="s">
        <v>54</v>
      </c>
      <c r="AL920">
        <v>2023</v>
      </c>
      <c r="AM920" s="6" t="s">
        <v>989</v>
      </c>
      <c r="AN920" s="7">
        <v>69.760000000000005</v>
      </c>
      <c r="AO920" s="8">
        <f t="shared" si="42"/>
        <v>130.80000000000001</v>
      </c>
      <c r="AP920" s="8">
        <f t="shared" si="43"/>
        <v>145.31880000000001</v>
      </c>
      <c r="AQ920" s="9">
        <f t="shared" si="44"/>
        <v>211.88292000000001</v>
      </c>
    </row>
    <row r="921" spans="1:43" x14ac:dyDescent="0.25">
      <c r="A921">
        <v>16</v>
      </c>
      <c r="B921">
        <v>1</v>
      </c>
      <c r="C921">
        <v>2024</v>
      </c>
      <c r="D921" t="s">
        <v>43</v>
      </c>
      <c r="E921" t="s">
        <v>191</v>
      </c>
      <c r="F921" t="s">
        <v>192</v>
      </c>
      <c r="G921">
        <v>22</v>
      </c>
      <c r="H921">
        <v>1791882490001</v>
      </c>
      <c r="I921" t="s">
        <v>46</v>
      </c>
      <c r="J921" t="s">
        <v>48</v>
      </c>
      <c r="K921" t="s">
        <v>48</v>
      </c>
      <c r="L921" t="s">
        <v>49</v>
      </c>
      <c r="M921" t="s">
        <v>50</v>
      </c>
      <c r="N921" t="s">
        <v>51</v>
      </c>
      <c r="O921">
        <v>3926904000</v>
      </c>
      <c r="P921" t="s">
        <v>184</v>
      </c>
      <c r="Q921" t="s">
        <v>990</v>
      </c>
      <c r="R921" t="s">
        <v>54</v>
      </c>
      <c r="S921" t="s">
        <v>55</v>
      </c>
      <c r="T921">
        <v>11</v>
      </c>
      <c r="U921">
        <v>1</v>
      </c>
      <c r="V921" t="s">
        <v>135</v>
      </c>
      <c r="W921">
        <v>2.92</v>
      </c>
      <c r="X921">
        <v>48.58</v>
      </c>
      <c r="Y921">
        <v>3.19</v>
      </c>
      <c r="Z921">
        <v>0.31</v>
      </c>
      <c r="AA921">
        <v>52.08</v>
      </c>
      <c r="AB921" t="s">
        <v>57</v>
      </c>
      <c r="AC921" t="s">
        <v>81</v>
      </c>
      <c r="AD921" t="s">
        <v>48</v>
      </c>
      <c r="AE921">
        <v>0</v>
      </c>
      <c r="AF921">
        <v>2.86</v>
      </c>
      <c r="AG921" t="s">
        <v>59</v>
      </c>
      <c r="AH921">
        <v>850332</v>
      </c>
      <c r="AI921" t="s">
        <v>60</v>
      </c>
      <c r="AJ921" t="s">
        <v>60</v>
      </c>
      <c r="AK921" t="s">
        <v>54</v>
      </c>
      <c r="AL921">
        <v>2023</v>
      </c>
      <c r="AM921" s="6" t="s">
        <v>991</v>
      </c>
      <c r="AN921" s="7">
        <v>48.58</v>
      </c>
      <c r="AO921" s="8">
        <f t="shared" si="42"/>
        <v>91.087499999999991</v>
      </c>
      <c r="AP921" s="8">
        <f t="shared" si="43"/>
        <v>101.19821249999998</v>
      </c>
      <c r="AQ921" s="9">
        <f t="shared" si="44"/>
        <v>147.55264124999997</v>
      </c>
    </row>
    <row r="922" spans="1:43" x14ac:dyDescent="0.25">
      <c r="A922">
        <v>3</v>
      </c>
      <c r="B922">
        <v>4</v>
      </c>
      <c r="C922">
        <v>2024</v>
      </c>
      <c r="D922" t="s">
        <v>43</v>
      </c>
      <c r="E922" t="s">
        <v>73</v>
      </c>
      <c r="F922" t="s">
        <v>74</v>
      </c>
      <c r="G922">
        <v>56</v>
      </c>
      <c r="H922">
        <v>1791882490001</v>
      </c>
      <c r="I922" t="s">
        <v>46</v>
      </c>
      <c r="J922" t="s">
        <v>48</v>
      </c>
      <c r="K922" t="s">
        <v>48</v>
      </c>
      <c r="L922" t="s">
        <v>49</v>
      </c>
      <c r="M922" t="s">
        <v>50</v>
      </c>
      <c r="N922" t="s">
        <v>51</v>
      </c>
      <c r="O922">
        <v>7326909090</v>
      </c>
      <c r="P922" t="s">
        <v>103</v>
      </c>
      <c r="Q922" t="s">
        <v>992</v>
      </c>
      <c r="R922" t="s">
        <v>54</v>
      </c>
      <c r="S922" t="s">
        <v>55</v>
      </c>
      <c r="T922">
        <v>6</v>
      </c>
      <c r="U922">
        <v>2</v>
      </c>
      <c r="V922" t="s">
        <v>135</v>
      </c>
      <c r="W922">
        <v>42.83</v>
      </c>
      <c r="X922">
        <v>680.77</v>
      </c>
      <c r="Y922">
        <v>79.52</v>
      </c>
      <c r="Z922">
        <v>4.45</v>
      </c>
      <c r="AA922">
        <v>764.74</v>
      </c>
      <c r="AB922" t="s">
        <v>57</v>
      </c>
      <c r="AC922" t="s">
        <v>58</v>
      </c>
      <c r="AD922" t="s">
        <v>48</v>
      </c>
      <c r="AE922">
        <v>0</v>
      </c>
      <c r="AF922">
        <v>2.67</v>
      </c>
      <c r="AG922" t="s">
        <v>59</v>
      </c>
      <c r="AH922">
        <v>438183</v>
      </c>
      <c r="AI922" t="s">
        <v>60</v>
      </c>
      <c r="AJ922" t="s">
        <v>60</v>
      </c>
      <c r="AK922" t="s">
        <v>54</v>
      </c>
      <c r="AL922">
        <v>2024</v>
      </c>
      <c r="AM922" s="6" t="s">
        <v>993</v>
      </c>
      <c r="AN922" s="7">
        <v>340.39</v>
      </c>
      <c r="AO922" s="8">
        <f t="shared" ref="AO922:AO985" si="45">SUM(AN922)*1.875</f>
        <v>638.23124999999993</v>
      </c>
      <c r="AP922" s="8">
        <f t="shared" ref="AP922:AP985" si="46">SUM(AO922)*1.111</f>
        <v>709.07491874999994</v>
      </c>
      <c r="AQ922" s="9">
        <f t="shared" si="44"/>
        <v>1033.8708018749999</v>
      </c>
    </row>
    <row r="923" spans="1:43" x14ac:dyDescent="0.25">
      <c r="A923">
        <v>1</v>
      </c>
      <c r="B923">
        <v>2</v>
      </c>
      <c r="C923">
        <v>2024</v>
      </c>
      <c r="D923" t="s">
        <v>43</v>
      </c>
      <c r="E923" t="s">
        <v>174</v>
      </c>
      <c r="F923" t="s">
        <v>175</v>
      </c>
      <c r="G923">
        <v>43</v>
      </c>
      <c r="H923">
        <v>1791882490001</v>
      </c>
      <c r="I923" t="s">
        <v>46</v>
      </c>
      <c r="J923" t="s">
        <v>48</v>
      </c>
      <c r="K923" t="s">
        <v>48</v>
      </c>
      <c r="L923" t="s">
        <v>49</v>
      </c>
      <c r="M923" t="s">
        <v>50</v>
      </c>
      <c r="N923" t="s">
        <v>51</v>
      </c>
      <c r="O923">
        <v>8481909090</v>
      </c>
      <c r="P923" t="s">
        <v>103</v>
      </c>
      <c r="Q923" t="s">
        <v>994</v>
      </c>
      <c r="R923" t="s">
        <v>54</v>
      </c>
      <c r="S923" t="s">
        <v>55</v>
      </c>
      <c r="T923">
        <v>5</v>
      </c>
      <c r="U923">
        <v>5</v>
      </c>
      <c r="V923" t="s">
        <v>135</v>
      </c>
      <c r="W923">
        <v>0</v>
      </c>
      <c r="X923">
        <v>696.69</v>
      </c>
      <c r="Y923">
        <v>51.79</v>
      </c>
      <c r="Z923">
        <v>4.16</v>
      </c>
      <c r="AA923">
        <v>752.64</v>
      </c>
      <c r="AB923" t="s">
        <v>54</v>
      </c>
      <c r="AC923" t="s">
        <v>94</v>
      </c>
      <c r="AD923" t="s">
        <v>48</v>
      </c>
      <c r="AE923">
        <v>0</v>
      </c>
      <c r="AF923">
        <v>9.92</v>
      </c>
      <c r="AG923" t="s">
        <v>59</v>
      </c>
      <c r="AH923">
        <v>863266</v>
      </c>
      <c r="AI923" t="s">
        <v>60</v>
      </c>
      <c r="AJ923" t="s">
        <v>60</v>
      </c>
      <c r="AK923" t="s">
        <v>54</v>
      </c>
      <c r="AL923">
        <v>2023</v>
      </c>
      <c r="AM923" s="6" t="s">
        <v>995</v>
      </c>
      <c r="AN923" s="7">
        <v>139.34</v>
      </c>
      <c r="AO923" s="8">
        <f t="shared" si="45"/>
        <v>261.26249999999999</v>
      </c>
      <c r="AP923" s="8">
        <f t="shared" si="46"/>
        <v>290.26263749999998</v>
      </c>
      <c r="AQ923" s="9">
        <f t="shared" si="44"/>
        <v>423.21912374999994</v>
      </c>
    </row>
    <row r="924" spans="1:43" x14ac:dyDescent="0.25">
      <c r="A924">
        <v>3</v>
      </c>
      <c r="B924">
        <v>4</v>
      </c>
      <c r="C924">
        <v>2024</v>
      </c>
      <c r="D924" t="s">
        <v>43</v>
      </c>
      <c r="E924" t="s">
        <v>73</v>
      </c>
      <c r="F924" t="s">
        <v>74</v>
      </c>
      <c r="G924">
        <v>57</v>
      </c>
      <c r="H924">
        <v>1791882490001</v>
      </c>
      <c r="I924" t="s">
        <v>46</v>
      </c>
      <c r="J924" t="s">
        <v>48</v>
      </c>
      <c r="K924" t="s">
        <v>48</v>
      </c>
      <c r="L924" t="s">
        <v>49</v>
      </c>
      <c r="M924" t="s">
        <v>50</v>
      </c>
      <c r="N924" t="s">
        <v>51</v>
      </c>
      <c r="O924">
        <v>8481809990</v>
      </c>
      <c r="P924" t="s">
        <v>103</v>
      </c>
      <c r="Q924" t="s">
        <v>784</v>
      </c>
      <c r="R924" t="s">
        <v>54</v>
      </c>
      <c r="S924" t="s">
        <v>55</v>
      </c>
      <c r="T924">
        <v>6</v>
      </c>
      <c r="U924">
        <v>1</v>
      </c>
      <c r="V924" t="s">
        <v>135</v>
      </c>
      <c r="W924">
        <v>0</v>
      </c>
      <c r="X924">
        <v>161.81</v>
      </c>
      <c r="Y924">
        <v>18.899999999999999</v>
      </c>
      <c r="Z924">
        <v>1.06</v>
      </c>
      <c r="AA924">
        <v>181.77</v>
      </c>
      <c r="AB924" t="s">
        <v>57</v>
      </c>
      <c r="AC924" t="s">
        <v>58</v>
      </c>
      <c r="AD924" t="s">
        <v>48</v>
      </c>
      <c r="AE924">
        <v>0</v>
      </c>
      <c r="AF924">
        <v>1.33</v>
      </c>
      <c r="AG924" t="s">
        <v>59</v>
      </c>
      <c r="AH924">
        <v>438183</v>
      </c>
      <c r="AI924" t="s">
        <v>60</v>
      </c>
      <c r="AJ924" t="s">
        <v>60</v>
      </c>
      <c r="AK924" t="s">
        <v>54</v>
      </c>
      <c r="AL924">
        <v>2024</v>
      </c>
      <c r="AM924" s="6" t="s">
        <v>995</v>
      </c>
      <c r="AN924" s="7">
        <v>161.81</v>
      </c>
      <c r="AO924" s="8">
        <f t="shared" si="45"/>
        <v>303.39375000000001</v>
      </c>
      <c r="AP924" s="8">
        <f t="shared" si="46"/>
        <v>337.07045625000001</v>
      </c>
      <c r="AQ924" s="9">
        <f t="shared" si="44"/>
        <v>491.46753562499998</v>
      </c>
    </row>
    <row r="925" spans="1:43" x14ac:dyDescent="0.25">
      <c r="A925">
        <v>15</v>
      </c>
      <c r="B925">
        <v>4</v>
      </c>
      <c r="C925">
        <v>2024</v>
      </c>
      <c r="D925" t="s">
        <v>43</v>
      </c>
      <c r="E925" t="s">
        <v>63</v>
      </c>
      <c r="F925" t="s">
        <v>64</v>
      </c>
      <c r="G925">
        <v>60</v>
      </c>
      <c r="H925">
        <v>1791882490001</v>
      </c>
      <c r="I925" t="s">
        <v>46</v>
      </c>
      <c r="J925" t="s">
        <v>48</v>
      </c>
      <c r="K925" t="s">
        <v>48</v>
      </c>
      <c r="L925" t="s">
        <v>49</v>
      </c>
      <c r="M925" t="s">
        <v>50</v>
      </c>
      <c r="N925" t="s">
        <v>51</v>
      </c>
      <c r="O925">
        <v>8481809990</v>
      </c>
      <c r="P925" t="s">
        <v>103</v>
      </c>
      <c r="Q925" t="s">
        <v>784</v>
      </c>
      <c r="R925" t="s">
        <v>54</v>
      </c>
      <c r="S925" t="s">
        <v>55</v>
      </c>
      <c r="T925">
        <v>6</v>
      </c>
      <c r="U925">
        <v>1</v>
      </c>
      <c r="V925" t="s">
        <v>135</v>
      </c>
      <c r="W925">
        <v>0</v>
      </c>
      <c r="X925">
        <v>157.09</v>
      </c>
      <c r="Y925">
        <v>16.54</v>
      </c>
      <c r="Z925">
        <v>1.05</v>
      </c>
      <c r="AA925">
        <v>174.68</v>
      </c>
      <c r="AB925" t="s">
        <v>57</v>
      </c>
      <c r="AC925" t="s">
        <v>58</v>
      </c>
      <c r="AD925" t="s">
        <v>48</v>
      </c>
      <c r="AE925">
        <v>0</v>
      </c>
      <c r="AF925">
        <v>1.5</v>
      </c>
      <c r="AG925" t="s">
        <v>59</v>
      </c>
      <c r="AH925">
        <v>443965</v>
      </c>
      <c r="AI925" t="s">
        <v>60</v>
      </c>
      <c r="AJ925" t="s">
        <v>60</v>
      </c>
      <c r="AK925" t="s">
        <v>54</v>
      </c>
      <c r="AL925">
        <v>2024</v>
      </c>
      <c r="AM925" s="6" t="s">
        <v>995</v>
      </c>
      <c r="AN925" s="7">
        <v>157.09</v>
      </c>
      <c r="AO925" s="8">
        <f t="shared" si="45"/>
        <v>294.54374999999999</v>
      </c>
      <c r="AP925" s="8">
        <f t="shared" si="46"/>
        <v>327.23810624999999</v>
      </c>
      <c r="AQ925" s="9">
        <f t="shared" si="44"/>
        <v>477.13142062499998</v>
      </c>
    </row>
    <row r="926" spans="1:43" x14ac:dyDescent="0.25">
      <c r="A926">
        <v>16</v>
      </c>
      <c r="B926">
        <v>12</v>
      </c>
      <c r="C926">
        <v>2024</v>
      </c>
      <c r="D926" t="s">
        <v>43</v>
      </c>
      <c r="E926" t="s">
        <v>128</v>
      </c>
      <c r="F926" t="s">
        <v>129</v>
      </c>
      <c r="G926">
        <v>60</v>
      </c>
      <c r="H926">
        <v>1791882490001</v>
      </c>
      <c r="I926" t="s">
        <v>46</v>
      </c>
      <c r="J926" t="s">
        <v>48</v>
      </c>
      <c r="K926" t="s">
        <v>48</v>
      </c>
      <c r="L926" t="s">
        <v>49</v>
      </c>
      <c r="M926" t="s">
        <v>50</v>
      </c>
      <c r="N926" t="s">
        <v>51</v>
      </c>
      <c r="O926">
        <v>8481809990</v>
      </c>
      <c r="P926" t="s">
        <v>232</v>
      </c>
      <c r="Q926" t="s">
        <v>784</v>
      </c>
      <c r="R926" t="s">
        <v>54</v>
      </c>
      <c r="S926" t="s">
        <v>55</v>
      </c>
      <c r="T926">
        <v>9</v>
      </c>
      <c r="U926">
        <v>5</v>
      </c>
      <c r="V926" t="s">
        <v>135</v>
      </c>
      <c r="W926">
        <v>0</v>
      </c>
      <c r="X926">
        <v>793.38</v>
      </c>
      <c r="Y926">
        <v>103.9</v>
      </c>
      <c r="Z926">
        <v>5.44</v>
      </c>
      <c r="AA926">
        <v>902.72</v>
      </c>
      <c r="AB926" t="s">
        <v>57</v>
      </c>
      <c r="AC926" t="s">
        <v>131</v>
      </c>
      <c r="AD926" t="s">
        <v>48</v>
      </c>
      <c r="AE926">
        <v>0</v>
      </c>
      <c r="AF926">
        <v>9.94</v>
      </c>
      <c r="AG926" t="s">
        <v>59</v>
      </c>
      <c r="AH926">
        <v>325395</v>
      </c>
      <c r="AI926" t="s">
        <v>60</v>
      </c>
      <c r="AJ926" t="s">
        <v>78</v>
      </c>
      <c r="AK926" t="s">
        <v>54</v>
      </c>
      <c r="AL926">
        <v>2024</v>
      </c>
      <c r="AM926" s="6" t="s">
        <v>995</v>
      </c>
      <c r="AN926" s="7">
        <v>158.68</v>
      </c>
      <c r="AO926" s="8">
        <f t="shared" si="45"/>
        <v>297.52500000000003</v>
      </c>
      <c r="AP926" s="8">
        <f t="shared" si="46"/>
        <v>330.55027500000006</v>
      </c>
      <c r="AQ926" s="9">
        <f t="shared" si="44"/>
        <v>481.96074750000002</v>
      </c>
    </row>
    <row r="927" spans="1:43" x14ac:dyDescent="0.25">
      <c r="A927">
        <v>26</v>
      </c>
      <c r="B927">
        <v>12</v>
      </c>
      <c r="C927">
        <v>2024</v>
      </c>
      <c r="D927" t="s">
        <v>43</v>
      </c>
      <c r="E927" t="s">
        <v>222</v>
      </c>
      <c r="F927" t="s">
        <v>223</v>
      </c>
      <c r="G927">
        <v>45</v>
      </c>
      <c r="H927">
        <v>1791882490001</v>
      </c>
      <c r="I927" t="s">
        <v>46</v>
      </c>
      <c r="J927" t="s">
        <v>48</v>
      </c>
      <c r="K927" t="s">
        <v>48</v>
      </c>
      <c r="L927" t="s">
        <v>49</v>
      </c>
      <c r="M927" t="s">
        <v>50</v>
      </c>
      <c r="N927" t="s">
        <v>224</v>
      </c>
      <c r="O927">
        <v>8481809990</v>
      </c>
      <c r="P927" t="s">
        <v>232</v>
      </c>
      <c r="Q927" t="s">
        <v>784</v>
      </c>
      <c r="R927" t="s">
        <v>54</v>
      </c>
      <c r="S927" t="s">
        <v>55</v>
      </c>
      <c r="T927">
        <v>8</v>
      </c>
      <c r="U927">
        <v>7</v>
      </c>
      <c r="V927" t="s">
        <v>135</v>
      </c>
      <c r="W927">
        <v>0</v>
      </c>
      <c r="X927">
        <v>1123.94</v>
      </c>
      <c r="Y927">
        <v>232.76</v>
      </c>
      <c r="Z927">
        <v>11.24</v>
      </c>
      <c r="AA927">
        <v>1367.94</v>
      </c>
      <c r="AB927" t="s">
        <v>57</v>
      </c>
      <c r="AC927" t="s">
        <v>225</v>
      </c>
      <c r="AD927" t="s">
        <v>48</v>
      </c>
      <c r="AE927">
        <v>0</v>
      </c>
      <c r="AF927">
        <v>14.42</v>
      </c>
      <c r="AG927" t="s">
        <v>59</v>
      </c>
      <c r="AH927">
        <v>341996</v>
      </c>
      <c r="AI927" t="s">
        <v>60</v>
      </c>
      <c r="AJ927" t="s">
        <v>60</v>
      </c>
      <c r="AK927" t="s">
        <v>54</v>
      </c>
      <c r="AL927">
        <v>2024</v>
      </c>
      <c r="AM927" s="6" t="s">
        <v>995</v>
      </c>
      <c r="AN927" s="7">
        <v>160.56</v>
      </c>
      <c r="AO927" s="8">
        <f t="shared" si="45"/>
        <v>301.05</v>
      </c>
      <c r="AP927" s="8">
        <f t="shared" si="46"/>
        <v>334.46654999999998</v>
      </c>
      <c r="AQ927" s="9">
        <f t="shared" si="44"/>
        <v>487.67089499999997</v>
      </c>
    </row>
    <row r="928" spans="1:43" x14ac:dyDescent="0.25">
      <c r="A928">
        <v>17</v>
      </c>
      <c r="B928">
        <v>5</v>
      </c>
      <c r="C928">
        <v>2024</v>
      </c>
      <c r="D928" t="s">
        <v>43</v>
      </c>
      <c r="E928" t="s">
        <v>79</v>
      </c>
      <c r="F928" t="s">
        <v>80</v>
      </c>
      <c r="G928">
        <v>57</v>
      </c>
      <c r="H928">
        <v>1791882490001</v>
      </c>
      <c r="I928" t="s">
        <v>46</v>
      </c>
      <c r="J928" t="s">
        <v>48</v>
      </c>
      <c r="K928" t="s">
        <v>48</v>
      </c>
      <c r="L928" t="s">
        <v>49</v>
      </c>
      <c r="M928" t="s">
        <v>50</v>
      </c>
      <c r="N928" t="s">
        <v>51</v>
      </c>
      <c r="O928">
        <v>8481909090</v>
      </c>
      <c r="P928" t="s">
        <v>103</v>
      </c>
      <c r="Q928" t="s">
        <v>776</v>
      </c>
      <c r="R928" t="s">
        <v>54</v>
      </c>
      <c r="S928" t="s">
        <v>55</v>
      </c>
      <c r="T928">
        <v>6</v>
      </c>
      <c r="U928">
        <v>1</v>
      </c>
      <c r="V928" t="s">
        <v>135</v>
      </c>
      <c r="W928">
        <v>0</v>
      </c>
      <c r="X928">
        <v>44.7</v>
      </c>
      <c r="Y928">
        <v>4.32</v>
      </c>
      <c r="Z928">
        <v>0.3</v>
      </c>
      <c r="AA928">
        <v>49.32</v>
      </c>
      <c r="AB928" t="s">
        <v>57</v>
      </c>
      <c r="AC928" t="s">
        <v>81</v>
      </c>
      <c r="AD928" t="s">
        <v>48</v>
      </c>
      <c r="AE928">
        <v>0</v>
      </c>
      <c r="AF928">
        <v>1.08</v>
      </c>
      <c r="AG928" t="s">
        <v>82</v>
      </c>
      <c r="AH928">
        <v>471463</v>
      </c>
      <c r="AI928" t="s">
        <v>60</v>
      </c>
      <c r="AJ928" t="s">
        <v>60</v>
      </c>
      <c r="AK928" t="s">
        <v>54</v>
      </c>
      <c r="AL928">
        <v>2024</v>
      </c>
      <c r="AM928" s="6" t="s">
        <v>996</v>
      </c>
      <c r="AN928" s="7">
        <v>44.7</v>
      </c>
      <c r="AO928" s="8">
        <f t="shared" si="45"/>
        <v>83.8125</v>
      </c>
      <c r="AP928" s="8">
        <f t="shared" si="46"/>
        <v>93.115687499999993</v>
      </c>
      <c r="AQ928" s="9">
        <f t="shared" si="44"/>
        <v>135.76786874999999</v>
      </c>
    </row>
    <row r="929" spans="1:43" x14ac:dyDescent="0.25">
      <c r="A929">
        <v>19</v>
      </c>
      <c r="B929">
        <v>8</v>
      </c>
      <c r="C929">
        <v>2024</v>
      </c>
      <c r="D929" t="s">
        <v>43</v>
      </c>
      <c r="E929" t="s">
        <v>84</v>
      </c>
      <c r="F929" t="s">
        <v>85</v>
      </c>
      <c r="G929">
        <v>56</v>
      </c>
      <c r="H929">
        <v>1791882490001</v>
      </c>
      <c r="I929" t="s">
        <v>46</v>
      </c>
      <c r="J929" t="s">
        <v>65</v>
      </c>
      <c r="K929" t="s">
        <v>48</v>
      </c>
      <c r="L929" t="s">
        <v>49</v>
      </c>
      <c r="M929" t="s">
        <v>50</v>
      </c>
      <c r="N929" t="s">
        <v>51</v>
      </c>
      <c r="O929">
        <v>8421299090</v>
      </c>
      <c r="P929" t="s">
        <v>303</v>
      </c>
      <c r="Q929" t="s">
        <v>305</v>
      </c>
      <c r="R929" t="s">
        <v>54</v>
      </c>
      <c r="S929" t="s">
        <v>55</v>
      </c>
      <c r="T929">
        <v>6</v>
      </c>
      <c r="U929">
        <v>10</v>
      </c>
      <c r="V929" t="s">
        <v>135</v>
      </c>
      <c r="W929">
        <v>0</v>
      </c>
      <c r="X929">
        <v>245.21</v>
      </c>
      <c r="Y929">
        <v>31.64</v>
      </c>
      <c r="Z929">
        <v>1.68</v>
      </c>
      <c r="AA929">
        <v>278.52999999999997</v>
      </c>
      <c r="AB929" t="s">
        <v>57</v>
      </c>
      <c r="AC929" t="s">
        <v>58</v>
      </c>
      <c r="AD929" t="s">
        <v>48</v>
      </c>
      <c r="AE929">
        <v>0</v>
      </c>
      <c r="AF929">
        <v>13.95</v>
      </c>
      <c r="AG929" t="s">
        <v>59</v>
      </c>
      <c r="AH929">
        <v>144527</v>
      </c>
      <c r="AI929" t="s">
        <v>60</v>
      </c>
      <c r="AJ929" t="s">
        <v>60</v>
      </c>
      <c r="AK929" t="s">
        <v>54</v>
      </c>
      <c r="AL929">
        <v>2024</v>
      </c>
      <c r="AM929" s="6" t="s">
        <v>997</v>
      </c>
      <c r="AN929" s="7">
        <v>24.52</v>
      </c>
      <c r="AO929" s="8">
        <f t="shared" si="45"/>
        <v>45.975000000000001</v>
      </c>
      <c r="AP929" s="8">
        <f t="shared" si="46"/>
        <v>51.078225000000003</v>
      </c>
      <c r="AQ929" s="9">
        <f t="shared" si="44"/>
        <v>74.474902499999999</v>
      </c>
    </row>
    <row r="930" spans="1:43" x14ac:dyDescent="0.25">
      <c r="A930">
        <v>28</v>
      </c>
      <c r="B930">
        <v>8</v>
      </c>
      <c r="C930">
        <v>2024</v>
      </c>
      <c r="D930" t="s">
        <v>43</v>
      </c>
      <c r="E930" t="s">
        <v>91</v>
      </c>
      <c r="F930" t="s">
        <v>92</v>
      </c>
      <c r="G930">
        <v>50</v>
      </c>
      <c r="H930">
        <v>1791882490001</v>
      </c>
      <c r="I930" t="s">
        <v>46</v>
      </c>
      <c r="J930" t="s">
        <v>65</v>
      </c>
      <c r="K930" t="s">
        <v>48</v>
      </c>
      <c r="L930" t="s">
        <v>49</v>
      </c>
      <c r="M930" t="s">
        <v>50</v>
      </c>
      <c r="N930" t="s">
        <v>51</v>
      </c>
      <c r="O930">
        <v>8421299090</v>
      </c>
      <c r="P930" t="s">
        <v>303</v>
      </c>
      <c r="Q930" t="s">
        <v>305</v>
      </c>
      <c r="R930" t="s">
        <v>54</v>
      </c>
      <c r="S930" t="s">
        <v>55</v>
      </c>
      <c r="T930">
        <v>8</v>
      </c>
      <c r="U930">
        <v>10</v>
      </c>
      <c r="V930" t="s">
        <v>135</v>
      </c>
      <c r="W930">
        <v>0</v>
      </c>
      <c r="X930">
        <v>244.67</v>
      </c>
      <c r="Y930">
        <v>27.03</v>
      </c>
      <c r="Z930">
        <v>1.65</v>
      </c>
      <c r="AA930">
        <v>273.35000000000002</v>
      </c>
      <c r="AB930" t="s">
        <v>57</v>
      </c>
      <c r="AC930" t="s">
        <v>94</v>
      </c>
      <c r="AD930" t="s">
        <v>48</v>
      </c>
      <c r="AE930">
        <v>0</v>
      </c>
      <c r="AF930">
        <v>2.82</v>
      </c>
      <c r="AG930" t="s">
        <v>59</v>
      </c>
      <c r="AH930">
        <v>150511</v>
      </c>
      <c r="AI930" t="s">
        <v>60</v>
      </c>
      <c r="AJ930" t="s">
        <v>60</v>
      </c>
      <c r="AK930" t="s">
        <v>54</v>
      </c>
      <c r="AL930">
        <v>2024</v>
      </c>
      <c r="AM930" s="6" t="s">
        <v>997</v>
      </c>
      <c r="AN930" s="7">
        <v>24.47</v>
      </c>
      <c r="AO930" s="8">
        <f t="shared" si="45"/>
        <v>45.881249999999994</v>
      </c>
      <c r="AP930" s="8">
        <f t="shared" si="46"/>
        <v>50.974068749999994</v>
      </c>
      <c r="AQ930" s="9">
        <f t="shared" si="44"/>
        <v>74.323036874999985</v>
      </c>
    </row>
    <row r="931" spans="1:43" x14ac:dyDescent="0.25">
      <c r="A931">
        <v>20</v>
      </c>
      <c r="B931">
        <v>2</v>
      </c>
      <c r="C931">
        <v>2024</v>
      </c>
      <c r="D931" t="s">
        <v>43</v>
      </c>
      <c r="E931" t="s">
        <v>140</v>
      </c>
      <c r="F931" t="s">
        <v>141</v>
      </c>
      <c r="G931">
        <v>61</v>
      </c>
      <c r="H931">
        <v>1791882490001</v>
      </c>
      <c r="I931" t="s">
        <v>46</v>
      </c>
      <c r="J931" t="s">
        <v>65</v>
      </c>
      <c r="K931" t="s">
        <v>48</v>
      </c>
      <c r="L931" t="s">
        <v>49</v>
      </c>
      <c r="M931" t="s">
        <v>50</v>
      </c>
      <c r="N931" t="s">
        <v>51</v>
      </c>
      <c r="O931">
        <v>8421392000</v>
      </c>
      <c r="P931" t="s">
        <v>253</v>
      </c>
      <c r="Q931" t="s">
        <v>268</v>
      </c>
      <c r="R931" t="s">
        <v>54</v>
      </c>
      <c r="S931" t="s">
        <v>55</v>
      </c>
      <c r="T931">
        <v>6</v>
      </c>
      <c r="U931">
        <v>5</v>
      </c>
      <c r="V931" t="s">
        <v>135</v>
      </c>
      <c r="W931">
        <v>0</v>
      </c>
      <c r="X931">
        <v>786.29</v>
      </c>
      <c r="Y931">
        <v>70.56</v>
      </c>
      <c r="Z931">
        <v>5.28</v>
      </c>
      <c r="AA931">
        <v>862.14</v>
      </c>
      <c r="AB931" t="s">
        <v>54</v>
      </c>
      <c r="AC931" t="s">
        <v>143</v>
      </c>
      <c r="AD931" t="s">
        <v>48</v>
      </c>
      <c r="AE931">
        <v>0</v>
      </c>
      <c r="AF931">
        <v>9.36</v>
      </c>
      <c r="AG931" t="s">
        <v>59</v>
      </c>
      <c r="AH931">
        <v>876053</v>
      </c>
      <c r="AI931" t="s">
        <v>60</v>
      </c>
      <c r="AJ931" t="s">
        <v>60</v>
      </c>
      <c r="AK931" t="s">
        <v>54</v>
      </c>
      <c r="AL931">
        <v>2024</v>
      </c>
      <c r="AM931" s="6" t="s">
        <v>998</v>
      </c>
      <c r="AN931" s="7">
        <v>157.26</v>
      </c>
      <c r="AO931" s="8">
        <f t="shared" si="45"/>
        <v>294.86249999999995</v>
      </c>
      <c r="AP931" s="8">
        <f t="shared" si="46"/>
        <v>327.59223749999995</v>
      </c>
      <c r="AQ931" s="9">
        <f t="shared" si="44"/>
        <v>477.64776374999991</v>
      </c>
    </row>
    <row r="932" spans="1:43" x14ac:dyDescent="0.25">
      <c r="A932">
        <v>15</v>
      </c>
      <c r="B932">
        <v>4</v>
      </c>
      <c r="C932">
        <v>2024</v>
      </c>
      <c r="D932" t="s">
        <v>43</v>
      </c>
      <c r="E932" t="s">
        <v>63</v>
      </c>
      <c r="F932" t="s">
        <v>64</v>
      </c>
      <c r="G932">
        <v>61</v>
      </c>
      <c r="H932">
        <v>1791882490001</v>
      </c>
      <c r="I932" t="s">
        <v>46</v>
      </c>
      <c r="J932" t="s">
        <v>65</v>
      </c>
      <c r="K932" t="s">
        <v>48</v>
      </c>
      <c r="L932" t="s">
        <v>49</v>
      </c>
      <c r="M932" t="s">
        <v>50</v>
      </c>
      <c r="N932" t="s">
        <v>51</v>
      </c>
      <c r="O932">
        <v>8421392000</v>
      </c>
      <c r="P932" t="s">
        <v>253</v>
      </c>
      <c r="Q932" t="s">
        <v>999</v>
      </c>
      <c r="R932" t="s">
        <v>54</v>
      </c>
      <c r="S932" t="s">
        <v>55</v>
      </c>
      <c r="T932">
        <v>6</v>
      </c>
      <c r="U932">
        <v>3</v>
      </c>
      <c r="V932" t="s">
        <v>135</v>
      </c>
      <c r="W932">
        <v>0</v>
      </c>
      <c r="X932">
        <v>483.68</v>
      </c>
      <c r="Y932">
        <v>50.91</v>
      </c>
      <c r="Z932">
        <v>3.25</v>
      </c>
      <c r="AA932">
        <v>537.84</v>
      </c>
      <c r="AB932" t="s">
        <v>57</v>
      </c>
      <c r="AC932" t="s">
        <v>58</v>
      </c>
      <c r="AD932" t="s">
        <v>48</v>
      </c>
      <c r="AE932">
        <v>0</v>
      </c>
      <c r="AF932">
        <v>4.6399999999999997</v>
      </c>
      <c r="AG932" t="s">
        <v>59</v>
      </c>
      <c r="AH932">
        <v>443965</v>
      </c>
      <c r="AI932" t="s">
        <v>60</v>
      </c>
      <c r="AJ932" t="s">
        <v>60</v>
      </c>
      <c r="AK932" t="s">
        <v>54</v>
      </c>
      <c r="AL932">
        <v>2024</v>
      </c>
      <c r="AM932" s="6" t="s">
        <v>998</v>
      </c>
      <c r="AN932" s="7">
        <v>161.22999999999999</v>
      </c>
      <c r="AO932" s="8">
        <f t="shared" si="45"/>
        <v>302.30624999999998</v>
      </c>
      <c r="AP932" s="8">
        <f t="shared" si="46"/>
        <v>335.86224374999995</v>
      </c>
      <c r="AQ932" s="9">
        <f t="shared" si="44"/>
        <v>489.70589437499996</v>
      </c>
    </row>
    <row r="933" spans="1:43" x14ac:dyDescent="0.25">
      <c r="A933">
        <v>28</v>
      </c>
      <c r="B933">
        <v>8</v>
      </c>
      <c r="C933">
        <v>2024</v>
      </c>
      <c r="D933" t="s">
        <v>43</v>
      </c>
      <c r="E933" t="s">
        <v>91</v>
      </c>
      <c r="F933" t="s">
        <v>92</v>
      </c>
      <c r="G933">
        <v>51</v>
      </c>
      <c r="H933">
        <v>1791882490001</v>
      </c>
      <c r="I933" t="s">
        <v>46</v>
      </c>
      <c r="J933" t="s">
        <v>65</v>
      </c>
      <c r="K933" t="s">
        <v>48</v>
      </c>
      <c r="L933" t="s">
        <v>49</v>
      </c>
      <c r="M933" t="s">
        <v>50</v>
      </c>
      <c r="N933" t="s">
        <v>51</v>
      </c>
      <c r="O933">
        <v>8421392000</v>
      </c>
      <c r="P933" t="s">
        <v>253</v>
      </c>
      <c r="Q933" t="s">
        <v>261</v>
      </c>
      <c r="R933" t="s">
        <v>54</v>
      </c>
      <c r="S933" t="s">
        <v>55</v>
      </c>
      <c r="T933">
        <v>8</v>
      </c>
      <c r="U933">
        <v>8</v>
      </c>
      <c r="V933" t="s">
        <v>135</v>
      </c>
      <c r="W933">
        <v>0</v>
      </c>
      <c r="X933">
        <v>1286.6500000000001</v>
      </c>
      <c r="Y933">
        <v>142.16</v>
      </c>
      <c r="Z933">
        <v>8.65</v>
      </c>
      <c r="AA933">
        <v>1437.46</v>
      </c>
      <c r="AB933" t="s">
        <v>57</v>
      </c>
      <c r="AC933" t="s">
        <v>94</v>
      </c>
      <c r="AD933" t="s">
        <v>48</v>
      </c>
      <c r="AE933">
        <v>0</v>
      </c>
      <c r="AF933">
        <v>14.81</v>
      </c>
      <c r="AG933" t="s">
        <v>59</v>
      </c>
      <c r="AH933">
        <v>150511</v>
      </c>
      <c r="AI933" t="s">
        <v>60</v>
      </c>
      <c r="AJ933" t="s">
        <v>60</v>
      </c>
      <c r="AK933" t="s">
        <v>54</v>
      </c>
      <c r="AL933">
        <v>2024</v>
      </c>
      <c r="AM933" s="6" t="s">
        <v>998</v>
      </c>
      <c r="AN933" s="7">
        <v>160.83000000000001</v>
      </c>
      <c r="AO933" s="8">
        <f t="shared" si="45"/>
        <v>301.55625000000003</v>
      </c>
      <c r="AP933" s="8">
        <f t="shared" si="46"/>
        <v>335.02899375000004</v>
      </c>
      <c r="AQ933" s="9">
        <f t="shared" si="44"/>
        <v>488.49096937500002</v>
      </c>
    </row>
    <row r="934" spans="1:43" x14ac:dyDescent="0.25">
      <c r="A934">
        <v>15</v>
      </c>
      <c r="B934">
        <v>4</v>
      </c>
      <c r="C934">
        <v>2024</v>
      </c>
      <c r="D934" t="s">
        <v>43</v>
      </c>
      <c r="E934" t="s">
        <v>63</v>
      </c>
      <c r="F934" t="s">
        <v>64</v>
      </c>
      <c r="G934">
        <v>62</v>
      </c>
      <c r="H934">
        <v>1791882490001</v>
      </c>
      <c r="I934" t="s">
        <v>46</v>
      </c>
      <c r="J934" t="s">
        <v>65</v>
      </c>
      <c r="K934" t="s">
        <v>48</v>
      </c>
      <c r="L934" t="s">
        <v>49</v>
      </c>
      <c r="M934" t="s">
        <v>50</v>
      </c>
      <c r="N934" t="s">
        <v>51</v>
      </c>
      <c r="O934">
        <v>8421999000</v>
      </c>
      <c r="P934" t="s">
        <v>66</v>
      </c>
      <c r="Q934" t="s">
        <v>320</v>
      </c>
      <c r="R934" t="s">
        <v>54</v>
      </c>
      <c r="S934" t="s">
        <v>55</v>
      </c>
      <c r="T934">
        <v>6</v>
      </c>
      <c r="U934">
        <v>5</v>
      </c>
      <c r="V934" t="s">
        <v>135</v>
      </c>
      <c r="W934">
        <v>0</v>
      </c>
      <c r="X934">
        <v>191.79</v>
      </c>
      <c r="Y934">
        <v>20.190000000000001</v>
      </c>
      <c r="Z934">
        <v>1.29</v>
      </c>
      <c r="AA934">
        <v>213.26</v>
      </c>
      <c r="AB934" t="s">
        <v>57</v>
      </c>
      <c r="AC934" t="s">
        <v>58</v>
      </c>
      <c r="AD934" t="s">
        <v>48</v>
      </c>
      <c r="AE934">
        <v>0</v>
      </c>
      <c r="AF934">
        <v>1.84</v>
      </c>
      <c r="AG934" t="s">
        <v>59</v>
      </c>
      <c r="AH934">
        <v>443965</v>
      </c>
      <c r="AI934" t="s">
        <v>60</v>
      </c>
      <c r="AJ934" t="s">
        <v>60</v>
      </c>
      <c r="AK934" t="s">
        <v>54</v>
      </c>
      <c r="AL934">
        <v>2024</v>
      </c>
      <c r="AM934" s="6" t="s">
        <v>1000</v>
      </c>
      <c r="AN934" s="7">
        <v>38.36</v>
      </c>
      <c r="AO934" s="8">
        <f t="shared" si="45"/>
        <v>71.924999999999997</v>
      </c>
      <c r="AP934" s="8">
        <f t="shared" si="46"/>
        <v>79.908675000000002</v>
      </c>
      <c r="AQ934" s="9">
        <f t="shared" si="44"/>
        <v>116.51130749999999</v>
      </c>
    </row>
    <row r="935" spans="1:43" x14ac:dyDescent="0.25">
      <c r="A935">
        <v>28</v>
      </c>
      <c r="B935">
        <v>8</v>
      </c>
      <c r="C935">
        <v>2024</v>
      </c>
      <c r="D935" t="s">
        <v>43</v>
      </c>
      <c r="E935" t="s">
        <v>91</v>
      </c>
      <c r="F935" t="s">
        <v>92</v>
      </c>
      <c r="G935">
        <v>52</v>
      </c>
      <c r="H935">
        <v>1791882490001</v>
      </c>
      <c r="I935" t="s">
        <v>46</v>
      </c>
      <c r="J935" t="s">
        <v>65</v>
      </c>
      <c r="K935" t="s">
        <v>48</v>
      </c>
      <c r="L935" t="s">
        <v>49</v>
      </c>
      <c r="M935" t="s">
        <v>50</v>
      </c>
      <c r="N935" t="s">
        <v>51</v>
      </c>
      <c r="O935">
        <v>8421999000</v>
      </c>
      <c r="P935" t="s">
        <v>66</v>
      </c>
      <c r="Q935" t="s">
        <v>312</v>
      </c>
      <c r="R935" t="s">
        <v>54</v>
      </c>
      <c r="S935" t="s">
        <v>55</v>
      </c>
      <c r="T935">
        <v>8</v>
      </c>
      <c r="U935">
        <v>4</v>
      </c>
      <c r="V935" t="s">
        <v>135</v>
      </c>
      <c r="W935">
        <v>0</v>
      </c>
      <c r="X935">
        <v>153.05000000000001</v>
      </c>
      <c r="Y935">
        <v>16.91</v>
      </c>
      <c r="Z935">
        <v>1.03</v>
      </c>
      <c r="AA935">
        <v>170.99</v>
      </c>
      <c r="AB935" t="s">
        <v>57</v>
      </c>
      <c r="AC935" t="s">
        <v>94</v>
      </c>
      <c r="AD935" t="s">
        <v>48</v>
      </c>
      <c r="AE935">
        <v>0</v>
      </c>
      <c r="AF935">
        <v>1.76</v>
      </c>
      <c r="AG935" t="s">
        <v>59</v>
      </c>
      <c r="AH935">
        <v>150511</v>
      </c>
      <c r="AI935" t="s">
        <v>60</v>
      </c>
      <c r="AJ935" t="s">
        <v>60</v>
      </c>
      <c r="AK935" t="s">
        <v>54</v>
      </c>
      <c r="AL935">
        <v>2024</v>
      </c>
      <c r="AM935" s="6" t="s">
        <v>1000</v>
      </c>
      <c r="AN935" s="7">
        <v>38.26</v>
      </c>
      <c r="AO935" s="8">
        <f t="shared" si="45"/>
        <v>71.737499999999997</v>
      </c>
      <c r="AP935" s="8">
        <f t="shared" si="46"/>
        <v>79.700362499999997</v>
      </c>
      <c r="AQ935" s="9">
        <f t="shared" si="44"/>
        <v>116.20757624999999</v>
      </c>
    </row>
    <row r="936" spans="1:43" x14ac:dyDescent="0.25">
      <c r="A936">
        <v>16</v>
      </c>
      <c r="B936">
        <v>12</v>
      </c>
      <c r="C936">
        <v>2024</v>
      </c>
      <c r="D936" t="s">
        <v>43</v>
      </c>
      <c r="E936" t="s">
        <v>128</v>
      </c>
      <c r="F936" t="s">
        <v>129</v>
      </c>
      <c r="G936">
        <v>61</v>
      </c>
      <c r="H936">
        <v>1791882490001</v>
      </c>
      <c r="I936" t="s">
        <v>46</v>
      </c>
      <c r="J936" t="s">
        <v>65</v>
      </c>
      <c r="K936" t="s">
        <v>48</v>
      </c>
      <c r="L936" t="s">
        <v>49</v>
      </c>
      <c r="M936" t="s">
        <v>50</v>
      </c>
      <c r="N936" t="s">
        <v>51</v>
      </c>
      <c r="O936">
        <v>8421999000</v>
      </c>
      <c r="P936" t="s">
        <v>52</v>
      </c>
      <c r="Q936" t="s">
        <v>312</v>
      </c>
      <c r="R936" t="s">
        <v>54</v>
      </c>
      <c r="S936" t="s">
        <v>55</v>
      </c>
      <c r="T936">
        <v>9</v>
      </c>
      <c r="U936">
        <v>3</v>
      </c>
      <c r="V936" t="s">
        <v>135</v>
      </c>
      <c r="W936">
        <v>0</v>
      </c>
      <c r="X936">
        <v>116.23</v>
      </c>
      <c r="Y936">
        <v>15.22</v>
      </c>
      <c r="Z936">
        <v>0.8</v>
      </c>
      <c r="AA936">
        <v>132.25</v>
      </c>
      <c r="AB936" t="s">
        <v>57</v>
      </c>
      <c r="AC936" t="s">
        <v>131</v>
      </c>
      <c r="AD936" t="s">
        <v>48</v>
      </c>
      <c r="AE936">
        <v>0</v>
      </c>
      <c r="AF936">
        <v>5.97</v>
      </c>
      <c r="AG936" t="s">
        <v>59</v>
      </c>
      <c r="AH936">
        <v>325395</v>
      </c>
      <c r="AI936" t="s">
        <v>60</v>
      </c>
      <c r="AJ936" t="s">
        <v>78</v>
      </c>
      <c r="AK936" t="s">
        <v>54</v>
      </c>
      <c r="AL936">
        <v>2024</v>
      </c>
      <c r="AM936" s="6" t="s">
        <v>1000</v>
      </c>
      <c r="AN936" s="7">
        <v>38.74</v>
      </c>
      <c r="AO936" s="8">
        <f t="shared" si="45"/>
        <v>72.637500000000003</v>
      </c>
      <c r="AP936" s="8">
        <f t="shared" si="46"/>
        <v>80.700262500000008</v>
      </c>
      <c r="AQ936" s="9">
        <f t="shared" si="44"/>
        <v>117.66548625</v>
      </c>
    </row>
    <row r="937" spans="1:43" x14ac:dyDescent="0.25">
      <c r="A937">
        <v>28</v>
      </c>
      <c r="B937">
        <v>8</v>
      </c>
      <c r="C937">
        <v>2024</v>
      </c>
      <c r="D937" t="s">
        <v>43</v>
      </c>
      <c r="E937" t="s">
        <v>91</v>
      </c>
      <c r="F937" t="s">
        <v>92</v>
      </c>
      <c r="G937">
        <v>53</v>
      </c>
      <c r="H937">
        <v>1791882490001</v>
      </c>
      <c r="I937" t="s">
        <v>46</v>
      </c>
      <c r="J937" t="s">
        <v>118</v>
      </c>
      <c r="K937" t="s">
        <v>48</v>
      </c>
      <c r="L937" t="s">
        <v>49</v>
      </c>
      <c r="M937" t="s">
        <v>50</v>
      </c>
      <c r="N937" t="s">
        <v>51</v>
      </c>
      <c r="O937">
        <v>4010320000</v>
      </c>
      <c r="P937" t="s">
        <v>122</v>
      </c>
      <c r="Q937" t="s">
        <v>123</v>
      </c>
      <c r="R937" t="s">
        <v>54</v>
      </c>
      <c r="S937" t="s">
        <v>55</v>
      </c>
      <c r="T937">
        <v>8</v>
      </c>
      <c r="U937">
        <v>2</v>
      </c>
      <c r="V937" t="s">
        <v>56</v>
      </c>
      <c r="W937">
        <v>0</v>
      </c>
      <c r="X937">
        <v>34.5</v>
      </c>
      <c r="Y937">
        <v>3.81</v>
      </c>
      <c r="Z937">
        <v>0.23</v>
      </c>
      <c r="AA937">
        <v>38.54</v>
      </c>
      <c r="AB937" t="s">
        <v>57</v>
      </c>
      <c r="AC937" t="s">
        <v>94</v>
      </c>
      <c r="AD937" t="s">
        <v>48</v>
      </c>
      <c r="AE937">
        <v>0</v>
      </c>
      <c r="AF937">
        <v>0.4</v>
      </c>
      <c r="AG937" t="s">
        <v>59</v>
      </c>
      <c r="AH937">
        <v>150511</v>
      </c>
      <c r="AI937" t="s">
        <v>60</v>
      </c>
      <c r="AJ937" t="s">
        <v>60</v>
      </c>
      <c r="AK937" t="s">
        <v>54</v>
      </c>
      <c r="AL937">
        <v>2024</v>
      </c>
      <c r="AM937" s="6" t="s">
        <v>1001</v>
      </c>
      <c r="AN937" s="7">
        <v>17.25</v>
      </c>
      <c r="AO937" s="8">
        <f t="shared" si="45"/>
        <v>32.34375</v>
      </c>
      <c r="AP937" s="8">
        <f t="shared" si="46"/>
        <v>35.93390625</v>
      </c>
      <c r="AQ937" s="9">
        <f t="shared" si="44"/>
        <v>52.393640624999996</v>
      </c>
    </row>
    <row r="938" spans="1:43" x14ac:dyDescent="0.25">
      <c r="A938">
        <v>26</v>
      </c>
      <c r="B938">
        <v>12</v>
      </c>
      <c r="C938">
        <v>2024</v>
      </c>
      <c r="D938" t="s">
        <v>43</v>
      </c>
      <c r="E938" t="s">
        <v>222</v>
      </c>
      <c r="F938" t="s">
        <v>223</v>
      </c>
      <c r="G938">
        <v>46</v>
      </c>
      <c r="H938">
        <v>1791882490001</v>
      </c>
      <c r="I938" t="s">
        <v>46</v>
      </c>
      <c r="J938" t="s">
        <v>118</v>
      </c>
      <c r="K938" t="s">
        <v>48</v>
      </c>
      <c r="L938" t="s">
        <v>49</v>
      </c>
      <c r="M938" t="s">
        <v>50</v>
      </c>
      <c r="N938" t="s">
        <v>224</v>
      </c>
      <c r="O938">
        <v>4010320000</v>
      </c>
      <c r="P938" t="s">
        <v>130</v>
      </c>
      <c r="Q938" t="s">
        <v>123</v>
      </c>
      <c r="R938" t="s">
        <v>54</v>
      </c>
      <c r="S938" t="s">
        <v>55</v>
      </c>
      <c r="T938">
        <v>8</v>
      </c>
      <c r="U938">
        <v>2</v>
      </c>
      <c r="V938" t="s">
        <v>56</v>
      </c>
      <c r="W938">
        <v>0</v>
      </c>
      <c r="X938">
        <v>26.25</v>
      </c>
      <c r="Y938">
        <v>5.44</v>
      </c>
      <c r="Z938">
        <v>0.26</v>
      </c>
      <c r="AA938">
        <v>31.95</v>
      </c>
      <c r="AB938" t="s">
        <v>57</v>
      </c>
      <c r="AC938" t="s">
        <v>225</v>
      </c>
      <c r="AD938" t="s">
        <v>48</v>
      </c>
      <c r="AE938">
        <v>0</v>
      </c>
      <c r="AF938">
        <v>4.12</v>
      </c>
      <c r="AG938" t="s">
        <v>59</v>
      </c>
      <c r="AH938">
        <v>341996</v>
      </c>
      <c r="AI938" t="s">
        <v>60</v>
      </c>
      <c r="AJ938" t="s">
        <v>60</v>
      </c>
      <c r="AK938" t="s">
        <v>54</v>
      </c>
      <c r="AL938">
        <v>2024</v>
      </c>
      <c r="AM938" s="6" t="s">
        <v>1002</v>
      </c>
      <c r="AN938" s="7">
        <v>13.12</v>
      </c>
      <c r="AO938" s="8">
        <f t="shared" si="45"/>
        <v>24.599999999999998</v>
      </c>
      <c r="AP938" s="8">
        <f t="shared" si="46"/>
        <v>27.330599999999997</v>
      </c>
      <c r="AQ938" s="9">
        <f t="shared" si="44"/>
        <v>39.849539999999998</v>
      </c>
    </row>
    <row r="939" spans="1:43" x14ac:dyDescent="0.25">
      <c r="A939">
        <v>10</v>
      </c>
      <c r="B939">
        <v>10</v>
      </c>
      <c r="C939">
        <v>2024</v>
      </c>
      <c r="D939" t="s">
        <v>43</v>
      </c>
      <c r="E939" t="s">
        <v>44</v>
      </c>
      <c r="F939" t="s">
        <v>45</v>
      </c>
      <c r="G939">
        <v>58</v>
      </c>
      <c r="H939">
        <v>1791882490001</v>
      </c>
      <c r="I939" t="s">
        <v>46</v>
      </c>
      <c r="J939" t="s">
        <v>118</v>
      </c>
      <c r="K939" t="s">
        <v>48</v>
      </c>
      <c r="L939" t="s">
        <v>49</v>
      </c>
      <c r="M939" t="s">
        <v>50</v>
      </c>
      <c r="N939" t="s">
        <v>51</v>
      </c>
      <c r="O939">
        <v>4010320000</v>
      </c>
      <c r="P939" t="s">
        <v>130</v>
      </c>
      <c r="Q939" t="s">
        <v>123</v>
      </c>
      <c r="R939" t="s">
        <v>54</v>
      </c>
      <c r="S939" t="s">
        <v>55</v>
      </c>
      <c r="T939">
        <v>7</v>
      </c>
      <c r="U939">
        <v>6</v>
      </c>
      <c r="V939" t="s">
        <v>56</v>
      </c>
      <c r="W939">
        <v>0</v>
      </c>
      <c r="X939">
        <v>119.93</v>
      </c>
      <c r="Y939">
        <v>20.95</v>
      </c>
      <c r="Z939">
        <v>0.87</v>
      </c>
      <c r="AA939">
        <v>141.75</v>
      </c>
      <c r="AB939" t="s">
        <v>57</v>
      </c>
      <c r="AC939" t="s">
        <v>58</v>
      </c>
      <c r="AD939" t="s">
        <v>48</v>
      </c>
      <c r="AE939">
        <v>0</v>
      </c>
      <c r="AF939">
        <v>1.29</v>
      </c>
      <c r="AG939" t="s">
        <v>59</v>
      </c>
      <c r="AH939">
        <v>179772</v>
      </c>
      <c r="AI939" t="s">
        <v>60</v>
      </c>
      <c r="AJ939" t="s">
        <v>60</v>
      </c>
      <c r="AK939" t="s">
        <v>54</v>
      </c>
      <c r="AL939">
        <v>2024</v>
      </c>
      <c r="AM939" s="6" t="s">
        <v>1003</v>
      </c>
      <c r="AN939" s="7">
        <v>19.989999999999998</v>
      </c>
      <c r="AO939" s="8">
        <f t="shared" si="45"/>
        <v>37.481249999999996</v>
      </c>
      <c r="AP939" s="8">
        <f t="shared" si="46"/>
        <v>41.641668749999994</v>
      </c>
      <c r="AQ939" s="9">
        <f t="shared" si="44"/>
        <v>60.715876874999992</v>
      </c>
    </row>
    <row r="940" spans="1:43" x14ac:dyDescent="0.25">
      <c r="A940">
        <v>19</v>
      </c>
      <c r="B940">
        <v>8</v>
      </c>
      <c r="C940">
        <v>2024</v>
      </c>
      <c r="D940" t="s">
        <v>43</v>
      </c>
      <c r="E940" t="s">
        <v>84</v>
      </c>
      <c r="F940" t="s">
        <v>85</v>
      </c>
      <c r="G940">
        <v>57</v>
      </c>
      <c r="H940">
        <v>1791882490001</v>
      </c>
      <c r="I940" t="s">
        <v>46</v>
      </c>
      <c r="J940" t="s">
        <v>118</v>
      </c>
      <c r="K940" t="s">
        <v>48</v>
      </c>
      <c r="L940" t="s">
        <v>49</v>
      </c>
      <c r="M940" t="s">
        <v>50</v>
      </c>
      <c r="N940" t="s">
        <v>51</v>
      </c>
      <c r="O940">
        <v>4010320000</v>
      </c>
      <c r="P940" t="s">
        <v>122</v>
      </c>
      <c r="Q940" t="s">
        <v>123</v>
      </c>
      <c r="R940" t="s">
        <v>54</v>
      </c>
      <c r="S940" t="s">
        <v>55</v>
      </c>
      <c r="T940">
        <v>6</v>
      </c>
      <c r="U940">
        <v>1</v>
      </c>
      <c r="V940" t="s">
        <v>56</v>
      </c>
      <c r="W940">
        <v>0</v>
      </c>
      <c r="X940">
        <v>20.56</v>
      </c>
      <c r="Y940">
        <v>2.65</v>
      </c>
      <c r="Z940">
        <v>0.14000000000000001</v>
      </c>
      <c r="AA940">
        <v>23.36</v>
      </c>
      <c r="AB940" t="s">
        <v>57</v>
      </c>
      <c r="AC940" t="s">
        <v>58</v>
      </c>
      <c r="AD940" t="s">
        <v>48</v>
      </c>
      <c r="AE940">
        <v>0</v>
      </c>
      <c r="AF940">
        <v>1.39</v>
      </c>
      <c r="AG940" t="s">
        <v>59</v>
      </c>
      <c r="AH940">
        <v>144527</v>
      </c>
      <c r="AI940" t="s">
        <v>60</v>
      </c>
      <c r="AJ940" t="s">
        <v>60</v>
      </c>
      <c r="AK940" t="s">
        <v>54</v>
      </c>
      <c r="AL940">
        <v>2024</v>
      </c>
      <c r="AM940" s="6" t="s">
        <v>1004</v>
      </c>
      <c r="AN940" s="7">
        <v>20.56</v>
      </c>
      <c r="AO940" s="8">
        <f t="shared" si="45"/>
        <v>38.549999999999997</v>
      </c>
      <c r="AP940" s="8">
        <f t="shared" si="46"/>
        <v>42.829049999999995</v>
      </c>
      <c r="AQ940" s="9">
        <f t="shared" si="44"/>
        <v>62.447144999999992</v>
      </c>
    </row>
    <row r="941" spans="1:43" x14ac:dyDescent="0.25">
      <c r="A941">
        <v>17</v>
      </c>
      <c r="B941">
        <v>5</v>
      </c>
      <c r="C941">
        <v>2024</v>
      </c>
      <c r="D941" t="s">
        <v>43</v>
      </c>
      <c r="E941" t="s">
        <v>79</v>
      </c>
      <c r="F941" t="s">
        <v>80</v>
      </c>
      <c r="G941">
        <v>58</v>
      </c>
      <c r="H941">
        <v>1791882490001</v>
      </c>
      <c r="I941" t="s">
        <v>46</v>
      </c>
      <c r="J941" t="s">
        <v>118</v>
      </c>
      <c r="K941" t="s">
        <v>48</v>
      </c>
      <c r="L941" t="s">
        <v>49</v>
      </c>
      <c r="M941" t="s">
        <v>50</v>
      </c>
      <c r="N941" t="s">
        <v>51</v>
      </c>
      <c r="O941">
        <v>4010320000</v>
      </c>
      <c r="P941" t="s">
        <v>122</v>
      </c>
      <c r="Q941" t="s">
        <v>123</v>
      </c>
      <c r="R941" t="s">
        <v>54</v>
      </c>
      <c r="S941" t="s">
        <v>55</v>
      </c>
      <c r="T941">
        <v>6</v>
      </c>
      <c r="U941">
        <v>1</v>
      </c>
      <c r="V941" t="s">
        <v>56</v>
      </c>
      <c r="W941">
        <v>0</v>
      </c>
      <c r="X941">
        <v>24.88</v>
      </c>
      <c r="Y941">
        <v>2.4</v>
      </c>
      <c r="Z941">
        <v>0.17</v>
      </c>
      <c r="AA941">
        <v>27.45</v>
      </c>
      <c r="AB941" t="s">
        <v>57</v>
      </c>
      <c r="AC941" t="s">
        <v>81</v>
      </c>
      <c r="AD941" t="s">
        <v>48</v>
      </c>
      <c r="AE941">
        <v>0</v>
      </c>
      <c r="AF941">
        <v>1.08</v>
      </c>
      <c r="AG941" t="s">
        <v>82</v>
      </c>
      <c r="AH941">
        <v>471463</v>
      </c>
      <c r="AI941" t="s">
        <v>60</v>
      </c>
      <c r="AJ941" t="s">
        <v>60</v>
      </c>
      <c r="AK941" t="s">
        <v>54</v>
      </c>
      <c r="AL941">
        <v>2024</v>
      </c>
      <c r="AM941" s="6" t="s">
        <v>1005</v>
      </c>
      <c r="AN941" s="7">
        <v>24.88</v>
      </c>
      <c r="AO941" s="8">
        <f t="shared" si="45"/>
        <v>46.65</v>
      </c>
      <c r="AP941" s="8">
        <f t="shared" si="46"/>
        <v>51.828150000000001</v>
      </c>
      <c r="AQ941" s="9">
        <f t="shared" si="44"/>
        <v>75.56833499999999</v>
      </c>
    </row>
    <row r="942" spans="1:43" x14ac:dyDescent="0.25">
      <c r="A942">
        <v>15</v>
      </c>
      <c r="B942">
        <v>4</v>
      </c>
      <c r="C942">
        <v>2024</v>
      </c>
      <c r="D942" t="s">
        <v>43</v>
      </c>
      <c r="E942" t="s">
        <v>63</v>
      </c>
      <c r="F942" t="s">
        <v>64</v>
      </c>
      <c r="G942">
        <v>63</v>
      </c>
      <c r="H942">
        <v>1791882490001</v>
      </c>
      <c r="I942" t="s">
        <v>46</v>
      </c>
      <c r="J942" t="s">
        <v>118</v>
      </c>
      <c r="K942" t="s">
        <v>48</v>
      </c>
      <c r="L942" t="s">
        <v>49</v>
      </c>
      <c r="M942" t="s">
        <v>50</v>
      </c>
      <c r="N942" t="s">
        <v>51</v>
      </c>
      <c r="O942">
        <v>4010320000</v>
      </c>
      <c r="P942" t="s">
        <v>122</v>
      </c>
      <c r="Q942" t="s">
        <v>123</v>
      </c>
      <c r="R942" t="s">
        <v>54</v>
      </c>
      <c r="S942" t="s">
        <v>55</v>
      </c>
      <c r="T942">
        <v>6</v>
      </c>
      <c r="U942">
        <v>2</v>
      </c>
      <c r="V942" t="s">
        <v>56</v>
      </c>
      <c r="W942">
        <v>0</v>
      </c>
      <c r="X942">
        <v>57.01</v>
      </c>
      <c r="Y942">
        <v>6</v>
      </c>
      <c r="Z942">
        <v>0.38</v>
      </c>
      <c r="AA942">
        <v>63.4</v>
      </c>
      <c r="AB942" t="s">
        <v>57</v>
      </c>
      <c r="AC942" t="s">
        <v>58</v>
      </c>
      <c r="AD942" t="s">
        <v>48</v>
      </c>
      <c r="AE942">
        <v>0</v>
      </c>
      <c r="AF942">
        <v>0.55000000000000004</v>
      </c>
      <c r="AG942" t="s">
        <v>59</v>
      </c>
      <c r="AH942">
        <v>443965</v>
      </c>
      <c r="AI942" t="s">
        <v>60</v>
      </c>
      <c r="AJ942" t="s">
        <v>60</v>
      </c>
      <c r="AK942" t="s">
        <v>54</v>
      </c>
      <c r="AL942">
        <v>2024</v>
      </c>
      <c r="AM942" s="6" t="s">
        <v>1006</v>
      </c>
      <c r="AN942" s="7">
        <v>28.51</v>
      </c>
      <c r="AO942" s="8">
        <f t="shared" si="45"/>
        <v>53.456250000000004</v>
      </c>
      <c r="AP942" s="8">
        <f t="shared" si="46"/>
        <v>59.389893750000006</v>
      </c>
      <c r="AQ942" s="9">
        <f t="shared" si="44"/>
        <v>86.593779374999997</v>
      </c>
    </row>
    <row r="943" spans="1:43" x14ac:dyDescent="0.25">
      <c r="A943">
        <v>28</v>
      </c>
      <c r="B943">
        <v>8</v>
      </c>
      <c r="C943">
        <v>2024</v>
      </c>
      <c r="D943" t="s">
        <v>43</v>
      </c>
      <c r="E943" t="s">
        <v>91</v>
      </c>
      <c r="F943" t="s">
        <v>92</v>
      </c>
      <c r="G943">
        <v>54</v>
      </c>
      <c r="H943">
        <v>1791882490001</v>
      </c>
      <c r="I943" t="s">
        <v>46</v>
      </c>
      <c r="J943" t="s">
        <v>118</v>
      </c>
      <c r="K943" t="s">
        <v>48</v>
      </c>
      <c r="L943" t="s">
        <v>49</v>
      </c>
      <c r="M943" t="s">
        <v>50</v>
      </c>
      <c r="N943" t="s">
        <v>51</v>
      </c>
      <c r="O943">
        <v>4010320000</v>
      </c>
      <c r="P943" t="s">
        <v>122</v>
      </c>
      <c r="Q943" t="s">
        <v>123</v>
      </c>
      <c r="R943" t="s">
        <v>54</v>
      </c>
      <c r="S943" t="s">
        <v>55</v>
      </c>
      <c r="T943">
        <v>8</v>
      </c>
      <c r="U943">
        <v>2</v>
      </c>
      <c r="V943" t="s">
        <v>56</v>
      </c>
      <c r="W943">
        <v>0</v>
      </c>
      <c r="X943">
        <v>56.88</v>
      </c>
      <c r="Y943">
        <v>6.28</v>
      </c>
      <c r="Z943">
        <v>0.38</v>
      </c>
      <c r="AA943">
        <v>63.54</v>
      </c>
      <c r="AB943" t="s">
        <v>57</v>
      </c>
      <c r="AC943" t="s">
        <v>94</v>
      </c>
      <c r="AD943" t="s">
        <v>48</v>
      </c>
      <c r="AE943">
        <v>0</v>
      </c>
      <c r="AF943">
        <v>0.65</v>
      </c>
      <c r="AG943" t="s">
        <v>59</v>
      </c>
      <c r="AH943">
        <v>150511</v>
      </c>
      <c r="AI943" t="s">
        <v>60</v>
      </c>
      <c r="AJ943" t="s">
        <v>60</v>
      </c>
      <c r="AK943" t="s">
        <v>54</v>
      </c>
      <c r="AL943">
        <v>2024</v>
      </c>
      <c r="AM943" s="6" t="s">
        <v>1006</v>
      </c>
      <c r="AN943" s="7">
        <v>28.44</v>
      </c>
      <c r="AO943" s="8">
        <f t="shared" si="45"/>
        <v>53.325000000000003</v>
      </c>
      <c r="AP943" s="8">
        <f t="shared" si="46"/>
        <v>59.244075000000002</v>
      </c>
      <c r="AQ943" s="9">
        <f t="shared" si="44"/>
        <v>86.381167500000004</v>
      </c>
    </row>
    <row r="944" spans="1:43" x14ac:dyDescent="0.25">
      <c r="A944">
        <v>11</v>
      </c>
      <c r="B944">
        <v>7</v>
      </c>
      <c r="C944">
        <v>2024</v>
      </c>
      <c r="D944" t="s">
        <v>43</v>
      </c>
      <c r="E944" t="s">
        <v>116</v>
      </c>
      <c r="F944" t="s">
        <v>117</v>
      </c>
      <c r="G944">
        <v>30</v>
      </c>
      <c r="H944">
        <v>1791882490001</v>
      </c>
      <c r="I944" t="s">
        <v>46</v>
      </c>
      <c r="J944" t="s">
        <v>65</v>
      </c>
      <c r="K944" t="s">
        <v>48</v>
      </c>
      <c r="L944" t="s">
        <v>119</v>
      </c>
      <c r="M944" t="s">
        <v>120</v>
      </c>
      <c r="N944" t="s">
        <v>121</v>
      </c>
      <c r="O944">
        <v>8421999000</v>
      </c>
      <c r="P944" t="s">
        <v>66</v>
      </c>
      <c r="Q944" t="s">
        <v>320</v>
      </c>
      <c r="R944" t="s">
        <v>54</v>
      </c>
      <c r="S944" t="s">
        <v>55</v>
      </c>
      <c r="T944">
        <v>9</v>
      </c>
      <c r="U944">
        <v>5</v>
      </c>
      <c r="V944" t="s">
        <v>135</v>
      </c>
      <c r="W944">
        <v>0</v>
      </c>
      <c r="X944">
        <v>320.04000000000002</v>
      </c>
      <c r="Y944">
        <v>28.83</v>
      </c>
      <c r="Z944">
        <v>2.15</v>
      </c>
      <c r="AA944">
        <v>351.02</v>
      </c>
      <c r="AB944" t="s">
        <v>124</v>
      </c>
      <c r="AC944" t="s">
        <v>125</v>
      </c>
      <c r="AD944" t="s">
        <v>48</v>
      </c>
      <c r="AE944">
        <v>0</v>
      </c>
      <c r="AF944">
        <v>10.09</v>
      </c>
      <c r="AG944" t="s">
        <v>59</v>
      </c>
      <c r="AH944">
        <v>486256</v>
      </c>
      <c r="AI944" t="s">
        <v>60</v>
      </c>
      <c r="AJ944" t="s">
        <v>78</v>
      </c>
      <c r="AK944" t="s">
        <v>54</v>
      </c>
      <c r="AL944">
        <v>2024</v>
      </c>
      <c r="AM944" s="6" t="s">
        <v>1007</v>
      </c>
      <c r="AN944" s="7">
        <v>64.010000000000005</v>
      </c>
      <c r="AO944" s="8">
        <f t="shared" si="45"/>
        <v>120.01875000000001</v>
      </c>
      <c r="AP944" s="8">
        <f t="shared" si="46"/>
        <v>133.34083125000001</v>
      </c>
      <c r="AQ944" s="9">
        <f t="shared" si="44"/>
        <v>194.41837312500002</v>
      </c>
    </row>
    <row r="945" spans="1:43" x14ac:dyDescent="0.25">
      <c r="A945">
        <v>8</v>
      </c>
      <c r="B945">
        <v>4</v>
      </c>
      <c r="C945">
        <v>2024</v>
      </c>
      <c r="D945" t="s">
        <v>43</v>
      </c>
      <c r="E945" t="s">
        <v>355</v>
      </c>
      <c r="F945" t="s">
        <v>356</v>
      </c>
      <c r="G945">
        <v>16</v>
      </c>
      <c r="H945">
        <v>1791882490001</v>
      </c>
      <c r="I945" t="s">
        <v>46</v>
      </c>
      <c r="J945" t="s">
        <v>65</v>
      </c>
      <c r="K945" t="s">
        <v>48</v>
      </c>
      <c r="L945" t="s">
        <v>119</v>
      </c>
      <c r="M945" t="s">
        <v>120</v>
      </c>
      <c r="N945" t="s">
        <v>121</v>
      </c>
      <c r="O945">
        <v>8421299090</v>
      </c>
      <c r="P945" t="s">
        <v>303</v>
      </c>
      <c r="Q945" t="s">
        <v>301</v>
      </c>
      <c r="R945" t="s">
        <v>54</v>
      </c>
      <c r="S945" t="s">
        <v>55</v>
      </c>
      <c r="T945">
        <v>10</v>
      </c>
      <c r="U945">
        <v>10</v>
      </c>
      <c r="V945" t="s">
        <v>135</v>
      </c>
      <c r="W945">
        <v>0</v>
      </c>
      <c r="X945">
        <v>550.79999999999995</v>
      </c>
      <c r="Y945">
        <v>27.54</v>
      </c>
      <c r="Z945">
        <v>3.52</v>
      </c>
      <c r="AA945">
        <v>581.86</v>
      </c>
      <c r="AB945" t="s">
        <v>359</v>
      </c>
      <c r="AC945" t="s">
        <v>125</v>
      </c>
      <c r="AD945" t="s">
        <v>48</v>
      </c>
      <c r="AE945">
        <v>1</v>
      </c>
      <c r="AF945">
        <v>136.22999999999999</v>
      </c>
      <c r="AG945" t="s">
        <v>59</v>
      </c>
      <c r="AH945">
        <v>882904</v>
      </c>
      <c r="AI945" t="s">
        <v>60</v>
      </c>
      <c r="AJ945" t="s">
        <v>60</v>
      </c>
      <c r="AK945" t="s">
        <v>54</v>
      </c>
      <c r="AL945">
        <v>2024</v>
      </c>
      <c r="AM945" s="6" t="s">
        <v>1008</v>
      </c>
      <c r="AN945" s="7">
        <v>55.08</v>
      </c>
      <c r="AO945" s="8">
        <f t="shared" si="45"/>
        <v>103.27499999999999</v>
      </c>
      <c r="AP945" s="8">
        <f t="shared" si="46"/>
        <v>114.738525</v>
      </c>
      <c r="AQ945" s="9">
        <f t="shared" si="44"/>
        <v>167.29517249999998</v>
      </c>
    </row>
    <row r="946" spans="1:43" x14ac:dyDescent="0.25">
      <c r="A946">
        <v>11</v>
      </c>
      <c r="B946">
        <v>7</v>
      </c>
      <c r="C946">
        <v>2024</v>
      </c>
      <c r="D946" t="s">
        <v>43</v>
      </c>
      <c r="E946" t="s">
        <v>116</v>
      </c>
      <c r="F946" t="s">
        <v>117</v>
      </c>
      <c r="G946">
        <v>31</v>
      </c>
      <c r="H946">
        <v>1791882490001</v>
      </c>
      <c r="I946" t="s">
        <v>46</v>
      </c>
      <c r="J946" t="s">
        <v>65</v>
      </c>
      <c r="K946" t="s">
        <v>48</v>
      </c>
      <c r="L946" t="s">
        <v>119</v>
      </c>
      <c r="M946" t="s">
        <v>120</v>
      </c>
      <c r="N946" t="s">
        <v>121</v>
      </c>
      <c r="O946">
        <v>8421299090</v>
      </c>
      <c r="P946" t="s">
        <v>303</v>
      </c>
      <c r="Q946" t="s">
        <v>305</v>
      </c>
      <c r="R946" t="s">
        <v>54</v>
      </c>
      <c r="S946" t="s">
        <v>55</v>
      </c>
      <c r="T946">
        <v>9</v>
      </c>
      <c r="U946">
        <v>10</v>
      </c>
      <c r="V946" t="s">
        <v>135</v>
      </c>
      <c r="W946">
        <v>0</v>
      </c>
      <c r="X946">
        <v>583.67999999999995</v>
      </c>
      <c r="Y946">
        <v>52.56</v>
      </c>
      <c r="Z946">
        <v>3.92</v>
      </c>
      <c r="AA946">
        <v>640.16</v>
      </c>
      <c r="AB946" t="s">
        <v>124</v>
      </c>
      <c r="AC946" t="s">
        <v>125</v>
      </c>
      <c r="AD946" t="s">
        <v>48</v>
      </c>
      <c r="AE946">
        <v>0</v>
      </c>
      <c r="AF946">
        <v>20.170000000000002</v>
      </c>
      <c r="AG946" t="s">
        <v>59</v>
      </c>
      <c r="AH946">
        <v>486256</v>
      </c>
      <c r="AI946" t="s">
        <v>60</v>
      </c>
      <c r="AJ946" t="s">
        <v>78</v>
      </c>
      <c r="AK946" t="s">
        <v>54</v>
      </c>
      <c r="AL946">
        <v>2024</v>
      </c>
      <c r="AM946" s="6" t="s">
        <v>1008</v>
      </c>
      <c r="AN946" s="7">
        <v>58.37</v>
      </c>
      <c r="AO946" s="8">
        <f t="shared" si="45"/>
        <v>109.44374999999999</v>
      </c>
      <c r="AP946" s="8">
        <f t="shared" si="46"/>
        <v>121.59200625</v>
      </c>
      <c r="AQ946" s="9">
        <f t="shared" si="44"/>
        <v>177.28793062499997</v>
      </c>
    </row>
    <row r="947" spans="1:43" x14ac:dyDescent="0.25">
      <c r="A947">
        <v>10</v>
      </c>
      <c r="B947">
        <v>10</v>
      </c>
      <c r="C947">
        <v>2024</v>
      </c>
      <c r="D947" t="s">
        <v>43</v>
      </c>
      <c r="E947" t="s">
        <v>44</v>
      </c>
      <c r="F947" t="s">
        <v>45</v>
      </c>
      <c r="G947">
        <v>59</v>
      </c>
      <c r="H947">
        <v>1791882490001</v>
      </c>
      <c r="I947" t="s">
        <v>46</v>
      </c>
      <c r="J947" t="s">
        <v>65</v>
      </c>
      <c r="K947" t="s">
        <v>48</v>
      </c>
      <c r="L947" t="s">
        <v>49</v>
      </c>
      <c r="M947" t="s">
        <v>50</v>
      </c>
      <c r="N947" t="s">
        <v>51</v>
      </c>
      <c r="O947">
        <v>8421299090</v>
      </c>
      <c r="P947" t="s">
        <v>52</v>
      </c>
      <c r="Q947" t="s">
        <v>305</v>
      </c>
      <c r="R947" t="s">
        <v>54</v>
      </c>
      <c r="S947" t="s">
        <v>55</v>
      </c>
      <c r="T947">
        <v>7</v>
      </c>
      <c r="U947">
        <v>10</v>
      </c>
      <c r="V947" t="s">
        <v>135</v>
      </c>
      <c r="W947">
        <v>0</v>
      </c>
      <c r="X947">
        <v>586.98</v>
      </c>
      <c r="Y947">
        <v>102.56</v>
      </c>
      <c r="Z947">
        <v>4.2300000000000004</v>
      </c>
      <c r="AA947">
        <v>693.77</v>
      </c>
      <c r="AB947" t="s">
        <v>57</v>
      </c>
      <c r="AC947" t="s">
        <v>58</v>
      </c>
      <c r="AD947" t="s">
        <v>48</v>
      </c>
      <c r="AE947">
        <v>0</v>
      </c>
      <c r="AF947">
        <v>6.33</v>
      </c>
      <c r="AG947" t="s">
        <v>59</v>
      </c>
      <c r="AH947">
        <v>179772</v>
      </c>
      <c r="AI947" t="s">
        <v>60</v>
      </c>
      <c r="AJ947" t="s">
        <v>60</v>
      </c>
      <c r="AK947" t="s">
        <v>54</v>
      </c>
      <c r="AL947">
        <v>2024</v>
      </c>
      <c r="AM947" s="6" t="s">
        <v>1008</v>
      </c>
      <c r="AN947" s="7">
        <v>58.7</v>
      </c>
      <c r="AO947" s="8">
        <f t="shared" si="45"/>
        <v>110.0625</v>
      </c>
      <c r="AP947" s="8">
        <f t="shared" si="46"/>
        <v>122.2794375</v>
      </c>
      <c r="AQ947" s="9">
        <f t="shared" si="44"/>
        <v>178.29024375</v>
      </c>
    </row>
    <row r="948" spans="1:43" x14ac:dyDescent="0.25">
      <c r="A948">
        <v>1</v>
      </c>
      <c r="B948">
        <v>2</v>
      </c>
      <c r="C948">
        <v>2024</v>
      </c>
      <c r="D948" t="s">
        <v>43</v>
      </c>
      <c r="E948" t="s">
        <v>174</v>
      </c>
      <c r="F948" t="s">
        <v>175</v>
      </c>
      <c r="G948">
        <v>44</v>
      </c>
      <c r="H948">
        <v>1791882490001</v>
      </c>
      <c r="I948" t="s">
        <v>46</v>
      </c>
      <c r="J948" t="s">
        <v>65</v>
      </c>
      <c r="K948" t="s">
        <v>48</v>
      </c>
      <c r="L948" t="s">
        <v>49</v>
      </c>
      <c r="M948" t="s">
        <v>50</v>
      </c>
      <c r="N948" t="s">
        <v>51</v>
      </c>
      <c r="O948">
        <v>8421299090</v>
      </c>
      <c r="P948" t="s">
        <v>303</v>
      </c>
      <c r="Q948" t="s">
        <v>477</v>
      </c>
      <c r="R948" t="s">
        <v>54</v>
      </c>
      <c r="S948" t="s">
        <v>55</v>
      </c>
      <c r="T948">
        <v>5</v>
      </c>
      <c r="U948">
        <v>6</v>
      </c>
      <c r="V948" t="s">
        <v>135</v>
      </c>
      <c r="W948">
        <v>0</v>
      </c>
      <c r="X948">
        <v>316.64999999999998</v>
      </c>
      <c r="Y948">
        <v>23.54</v>
      </c>
      <c r="Z948">
        <v>1.89</v>
      </c>
      <c r="AA948">
        <v>342.09</v>
      </c>
      <c r="AB948" t="s">
        <v>54</v>
      </c>
      <c r="AC948" t="s">
        <v>94</v>
      </c>
      <c r="AD948" t="s">
        <v>48</v>
      </c>
      <c r="AE948">
        <v>0</v>
      </c>
      <c r="AF948">
        <v>11.91</v>
      </c>
      <c r="AG948" t="s">
        <v>59</v>
      </c>
      <c r="AH948">
        <v>863266</v>
      </c>
      <c r="AI948" t="s">
        <v>60</v>
      </c>
      <c r="AJ948" t="s">
        <v>60</v>
      </c>
      <c r="AK948" t="s">
        <v>54</v>
      </c>
      <c r="AL948">
        <v>2023</v>
      </c>
      <c r="AM948" s="6" t="s">
        <v>1009</v>
      </c>
      <c r="AN948" s="7">
        <v>52.78</v>
      </c>
      <c r="AO948" s="8">
        <f t="shared" si="45"/>
        <v>98.962500000000006</v>
      </c>
      <c r="AP948" s="8">
        <f t="shared" si="46"/>
        <v>109.9473375</v>
      </c>
      <c r="AQ948" s="9">
        <f t="shared" si="44"/>
        <v>160.30935374999999</v>
      </c>
    </row>
    <row r="949" spans="1:43" x14ac:dyDescent="0.25">
      <c r="A949">
        <v>3</v>
      </c>
      <c r="B949">
        <v>4</v>
      </c>
      <c r="C949">
        <v>2024</v>
      </c>
      <c r="D949" t="s">
        <v>43</v>
      </c>
      <c r="E949" t="s">
        <v>73</v>
      </c>
      <c r="F949" t="s">
        <v>74</v>
      </c>
      <c r="G949">
        <v>58</v>
      </c>
      <c r="H949">
        <v>1791882490001</v>
      </c>
      <c r="I949" t="s">
        <v>46</v>
      </c>
      <c r="J949" t="s">
        <v>65</v>
      </c>
      <c r="K949" t="s">
        <v>48</v>
      </c>
      <c r="L949" t="s">
        <v>49</v>
      </c>
      <c r="M949" t="s">
        <v>50</v>
      </c>
      <c r="N949" t="s">
        <v>51</v>
      </c>
      <c r="O949">
        <v>8421299090</v>
      </c>
      <c r="P949" t="s">
        <v>303</v>
      </c>
      <c r="Q949" t="s">
        <v>477</v>
      </c>
      <c r="R949" t="s">
        <v>54</v>
      </c>
      <c r="S949" t="s">
        <v>55</v>
      </c>
      <c r="T949">
        <v>6</v>
      </c>
      <c r="U949">
        <v>10</v>
      </c>
      <c r="V949" t="s">
        <v>135</v>
      </c>
      <c r="W949">
        <v>0</v>
      </c>
      <c r="X949">
        <v>612.19000000000005</v>
      </c>
      <c r="Y949">
        <v>71.5</v>
      </c>
      <c r="Z949">
        <v>4.01</v>
      </c>
      <c r="AA949">
        <v>687.7</v>
      </c>
      <c r="AB949" t="s">
        <v>57</v>
      </c>
      <c r="AC949" t="s">
        <v>58</v>
      </c>
      <c r="AD949" t="s">
        <v>48</v>
      </c>
      <c r="AE949">
        <v>0</v>
      </c>
      <c r="AF949">
        <v>13.33</v>
      </c>
      <c r="AG949" t="s">
        <v>59</v>
      </c>
      <c r="AH949">
        <v>438183</v>
      </c>
      <c r="AI949" t="s">
        <v>60</v>
      </c>
      <c r="AJ949" t="s">
        <v>60</v>
      </c>
      <c r="AK949" t="s">
        <v>54</v>
      </c>
      <c r="AL949">
        <v>2024</v>
      </c>
      <c r="AM949" s="6" t="s">
        <v>1009</v>
      </c>
      <c r="AN949" s="7">
        <v>61.22</v>
      </c>
      <c r="AO949" s="8">
        <f t="shared" si="45"/>
        <v>114.78749999999999</v>
      </c>
      <c r="AP949" s="8">
        <f t="shared" si="46"/>
        <v>127.52891249999999</v>
      </c>
      <c r="AQ949" s="9">
        <f t="shared" si="44"/>
        <v>185.94427124999999</v>
      </c>
    </row>
    <row r="950" spans="1:43" x14ac:dyDescent="0.25">
      <c r="A950">
        <v>8</v>
      </c>
      <c r="B950">
        <v>4</v>
      </c>
      <c r="C950">
        <v>2024</v>
      </c>
      <c r="D950" t="s">
        <v>43</v>
      </c>
      <c r="E950" t="s">
        <v>355</v>
      </c>
      <c r="F950" t="s">
        <v>356</v>
      </c>
      <c r="G950">
        <v>17</v>
      </c>
      <c r="H950">
        <v>1791882490001</v>
      </c>
      <c r="I950" t="s">
        <v>46</v>
      </c>
      <c r="J950" t="s">
        <v>65</v>
      </c>
      <c r="K950" t="s">
        <v>48</v>
      </c>
      <c r="L950" t="s">
        <v>119</v>
      </c>
      <c r="M950" t="s">
        <v>120</v>
      </c>
      <c r="N950" t="s">
        <v>121</v>
      </c>
      <c r="O950">
        <v>8421299090</v>
      </c>
      <c r="P950" t="s">
        <v>303</v>
      </c>
      <c r="Q950" t="s">
        <v>477</v>
      </c>
      <c r="R950" t="s">
        <v>54</v>
      </c>
      <c r="S950" t="s">
        <v>55</v>
      </c>
      <c r="T950">
        <v>10</v>
      </c>
      <c r="U950">
        <v>10</v>
      </c>
      <c r="V950" t="s">
        <v>135</v>
      </c>
      <c r="W950">
        <v>0</v>
      </c>
      <c r="X950">
        <v>525.22</v>
      </c>
      <c r="Y950">
        <v>26.26</v>
      </c>
      <c r="Z950">
        <v>3.35</v>
      </c>
      <c r="AA950">
        <v>554.84</v>
      </c>
      <c r="AB950" t="s">
        <v>359</v>
      </c>
      <c r="AC950" t="s">
        <v>125</v>
      </c>
      <c r="AD950" t="s">
        <v>48</v>
      </c>
      <c r="AE950">
        <v>1</v>
      </c>
      <c r="AF950">
        <v>136.22999999999999</v>
      </c>
      <c r="AG950" t="s">
        <v>59</v>
      </c>
      <c r="AH950">
        <v>882904</v>
      </c>
      <c r="AI950" t="s">
        <v>60</v>
      </c>
      <c r="AJ950" t="s">
        <v>60</v>
      </c>
      <c r="AK950" t="s">
        <v>54</v>
      </c>
      <c r="AL950">
        <v>2024</v>
      </c>
      <c r="AM950" s="6" t="s">
        <v>1009</v>
      </c>
      <c r="AN950" s="7">
        <v>52.52</v>
      </c>
      <c r="AO950" s="8">
        <f t="shared" si="45"/>
        <v>98.475000000000009</v>
      </c>
      <c r="AP950" s="8">
        <f t="shared" si="46"/>
        <v>109.405725</v>
      </c>
      <c r="AQ950" s="9">
        <f t="shared" si="44"/>
        <v>159.51965250000001</v>
      </c>
    </row>
    <row r="951" spans="1:43" x14ac:dyDescent="0.25">
      <c r="A951">
        <v>15</v>
      </c>
      <c r="B951">
        <v>4</v>
      </c>
      <c r="C951">
        <v>2024</v>
      </c>
      <c r="D951" t="s">
        <v>43</v>
      </c>
      <c r="E951" t="s">
        <v>63</v>
      </c>
      <c r="F951" t="s">
        <v>64</v>
      </c>
      <c r="G951">
        <v>64</v>
      </c>
      <c r="H951">
        <v>1791882490001</v>
      </c>
      <c r="I951" t="s">
        <v>46</v>
      </c>
      <c r="J951" t="s">
        <v>65</v>
      </c>
      <c r="K951" t="s">
        <v>48</v>
      </c>
      <c r="L951" t="s">
        <v>49</v>
      </c>
      <c r="M951" t="s">
        <v>50</v>
      </c>
      <c r="N951" t="s">
        <v>51</v>
      </c>
      <c r="O951">
        <v>8421299090</v>
      </c>
      <c r="P951" t="s">
        <v>303</v>
      </c>
      <c r="Q951" t="s">
        <v>477</v>
      </c>
      <c r="R951" t="s">
        <v>54</v>
      </c>
      <c r="S951" t="s">
        <v>55</v>
      </c>
      <c r="T951">
        <v>6</v>
      </c>
      <c r="U951">
        <v>8</v>
      </c>
      <c r="V951" t="s">
        <v>135</v>
      </c>
      <c r="W951">
        <v>0</v>
      </c>
      <c r="X951">
        <v>475.48</v>
      </c>
      <c r="Y951">
        <v>50.05</v>
      </c>
      <c r="Z951">
        <v>3.19</v>
      </c>
      <c r="AA951">
        <v>528.72</v>
      </c>
      <c r="AB951" t="s">
        <v>57</v>
      </c>
      <c r="AC951" t="s">
        <v>58</v>
      </c>
      <c r="AD951" t="s">
        <v>48</v>
      </c>
      <c r="AE951">
        <v>0</v>
      </c>
      <c r="AF951">
        <v>4.5599999999999996</v>
      </c>
      <c r="AG951" t="s">
        <v>59</v>
      </c>
      <c r="AH951">
        <v>443965</v>
      </c>
      <c r="AI951" t="s">
        <v>60</v>
      </c>
      <c r="AJ951" t="s">
        <v>60</v>
      </c>
      <c r="AK951" t="s">
        <v>54</v>
      </c>
      <c r="AL951">
        <v>2024</v>
      </c>
      <c r="AM951" s="6" t="s">
        <v>1009</v>
      </c>
      <c r="AN951" s="7">
        <v>59.43</v>
      </c>
      <c r="AO951" s="8">
        <f t="shared" si="45"/>
        <v>111.43125000000001</v>
      </c>
      <c r="AP951" s="8">
        <f t="shared" si="46"/>
        <v>123.80011875000001</v>
      </c>
      <c r="AQ951" s="9">
        <f t="shared" si="44"/>
        <v>180.507481875</v>
      </c>
    </row>
    <row r="952" spans="1:43" x14ac:dyDescent="0.25">
      <c r="A952">
        <v>11</v>
      </c>
      <c r="B952">
        <v>7</v>
      </c>
      <c r="C952">
        <v>2024</v>
      </c>
      <c r="D952" t="s">
        <v>43</v>
      </c>
      <c r="E952" t="s">
        <v>116</v>
      </c>
      <c r="F952" t="s">
        <v>117</v>
      </c>
      <c r="G952">
        <v>32</v>
      </c>
      <c r="H952">
        <v>1791882490001</v>
      </c>
      <c r="I952" t="s">
        <v>46</v>
      </c>
      <c r="J952" t="s">
        <v>65</v>
      </c>
      <c r="K952" t="s">
        <v>48</v>
      </c>
      <c r="L952" t="s">
        <v>119</v>
      </c>
      <c r="M952" t="s">
        <v>120</v>
      </c>
      <c r="N952" t="s">
        <v>121</v>
      </c>
      <c r="O952">
        <v>8421299090</v>
      </c>
      <c r="P952" t="s">
        <v>303</v>
      </c>
      <c r="Q952" t="s">
        <v>305</v>
      </c>
      <c r="R952" t="s">
        <v>54</v>
      </c>
      <c r="S952" t="s">
        <v>55</v>
      </c>
      <c r="T952">
        <v>9</v>
      </c>
      <c r="U952">
        <v>15</v>
      </c>
      <c r="V952" t="s">
        <v>135</v>
      </c>
      <c r="W952">
        <v>0</v>
      </c>
      <c r="X952">
        <v>895.83</v>
      </c>
      <c r="Y952">
        <v>80.680000000000007</v>
      </c>
      <c r="Z952">
        <v>6.01</v>
      </c>
      <c r="AA952">
        <v>982.52</v>
      </c>
      <c r="AB952" t="s">
        <v>124</v>
      </c>
      <c r="AC952" t="s">
        <v>125</v>
      </c>
      <c r="AD952" t="s">
        <v>48</v>
      </c>
      <c r="AE952">
        <v>0</v>
      </c>
      <c r="AF952">
        <v>30.25</v>
      </c>
      <c r="AG952" t="s">
        <v>59</v>
      </c>
      <c r="AH952">
        <v>486256</v>
      </c>
      <c r="AI952" t="s">
        <v>60</v>
      </c>
      <c r="AJ952" t="s">
        <v>78</v>
      </c>
      <c r="AK952" t="s">
        <v>54</v>
      </c>
      <c r="AL952">
        <v>2024</v>
      </c>
      <c r="AM952" s="6" t="s">
        <v>1009</v>
      </c>
      <c r="AN952" s="7">
        <v>59.72</v>
      </c>
      <c r="AO952" s="8">
        <f t="shared" si="45"/>
        <v>111.97499999999999</v>
      </c>
      <c r="AP952" s="8">
        <f t="shared" si="46"/>
        <v>124.404225</v>
      </c>
      <c r="AQ952" s="9">
        <f t="shared" si="44"/>
        <v>181.38830249999998</v>
      </c>
    </row>
    <row r="953" spans="1:43" x14ac:dyDescent="0.25">
      <c r="A953">
        <v>10</v>
      </c>
      <c r="B953">
        <v>10</v>
      </c>
      <c r="C953">
        <v>2024</v>
      </c>
      <c r="D953" t="s">
        <v>43</v>
      </c>
      <c r="E953" t="s">
        <v>44</v>
      </c>
      <c r="F953" t="s">
        <v>45</v>
      </c>
      <c r="G953">
        <v>60</v>
      </c>
      <c r="H953">
        <v>1791882490001</v>
      </c>
      <c r="I953" t="s">
        <v>46</v>
      </c>
      <c r="J953" t="s">
        <v>48</v>
      </c>
      <c r="K953" t="s">
        <v>48</v>
      </c>
      <c r="L953" t="s">
        <v>49</v>
      </c>
      <c r="M953" t="s">
        <v>50</v>
      </c>
      <c r="N953" t="s">
        <v>51</v>
      </c>
      <c r="O953">
        <v>8421299090</v>
      </c>
      <c r="P953" t="s">
        <v>52</v>
      </c>
      <c r="Q953" t="s">
        <v>477</v>
      </c>
      <c r="R953" t="s">
        <v>54</v>
      </c>
      <c r="S953" t="s">
        <v>55</v>
      </c>
      <c r="T953">
        <v>7</v>
      </c>
      <c r="U953">
        <v>10</v>
      </c>
      <c r="V953" t="s">
        <v>135</v>
      </c>
      <c r="W953">
        <v>0</v>
      </c>
      <c r="X953">
        <v>600.6</v>
      </c>
      <c r="Y953">
        <v>104.94</v>
      </c>
      <c r="Z953">
        <v>4.33</v>
      </c>
      <c r="AA953">
        <v>709.86</v>
      </c>
      <c r="AB953" t="s">
        <v>57</v>
      </c>
      <c r="AC953" t="s">
        <v>58</v>
      </c>
      <c r="AD953" t="s">
        <v>48</v>
      </c>
      <c r="AE953">
        <v>0</v>
      </c>
      <c r="AF953">
        <v>6.48</v>
      </c>
      <c r="AG953" t="s">
        <v>59</v>
      </c>
      <c r="AH953">
        <v>179772</v>
      </c>
      <c r="AI953" t="s">
        <v>60</v>
      </c>
      <c r="AJ953" t="s">
        <v>60</v>
      </c>
      <c r="AK953" t="s">
        <v>54</v>
      </c>
      <c r="AL953">
        <v>2024</v>
      </c>
      <c r="AM953" s="6" t="s">
        <v>1009</v>
      </c>
      <c r="AN953" s="7">
        <v>60.06</v>
      </c>
      <c r="AO953" s="8">
        <f t="shared" si="45"/>
        <v>112.61250000000001</v>
      </c>
      <c r="AP953" s="8">
        <f t="shared" si="46"/>
        <v>125.11248750000001</v>
      </c>
      <c r="AQ953" s="9">
        <f t="shared" si="44"/>
        <v>182.42098875000002</v>
      </c>
    </row>
    <row r="954" spans="1:43" x14ac:dyDescent="0.25">
      <c r="A954">
        <v>16</v>
      </c>
      <c r="B954">
        <v>12</v>
      </c>
      <c r="C954">
        <v>2024</v>
      </c>
      <c r="D954" t="s">
        <v>43</v>
      </c>
      <c r="E954" t="s">
        <v>128</v>
      </c>
      <c r="F954" t="s">
        <v>129</v>
      </c>
      <c r="G954">
        <v>62</v>
      </c>
      <c r="H954">
        <v>1791882490001</v>
      </c>
      <c r="I954" t="s">
        <v>46</v>
      </c>
      <c r="J954" t="s">
        <v>65</v>
      </c>
      <c r="K954" t="s">
        <v>48</v>
      </c>
      <c r="L954" t="s">
        <v>49</v>
      </c>
      <c r="M954" t="s">
        <v>50</v>
      </c>
      <c r="N954" t="s">
        <v>51</v>
      </c>
      <c r="O954">
        <v>8421299090</v>
      </c>
      <c r="P954" t="s">
        <v>52</v>
      </c>
      <c r="Q954" t="s">
        <v>786</v>
      </c>
      <c r="R954" t="s">
        <v>54</v>
      </c>
      <c r="S954" t="s">
        <v>55</v>
      </c>
      <c r="T954">
        <v>9</v>
      </c>
      <c r="U954">
        <v>2</v>
      </c>
      <c r="V954" t="s">
        <v>135</v>
      </c>
      <c r="W954">
        <v>0</v>
      </c>
      <c r="X954">
        <v>338.98</v>
      </c>
      <c r="Y954">
        <v>44.4</v>
      </c>
      <c r="Z954">
        <v>2.33</v>
      </c>
      <c r="AA954">
        <v>385.7</v>
      </c>
      <c r="AB954" t="s">
        <v>57</v>
      </c>
      <c r="AC954" t="s">
        <v>131</v>
      </c>
      <c r="AD954" t="s">
        <v>48</v>
      </c>
      <c r="AE954">
        <v>0</v>
      </c>
      <c r="AF954">
        <v>3.98</v>
      </c>
      <c r="AG954" t="s">
        <v>59</v>
      </c>
      <c r="AH954">
        <v>325395</v>
      </c>
      <c r="AI954" t="s">
        <v>60</v>
      </c>
      <c r="AJ954" t="s">
        <v>78</v>
      </c>
      <c r="AK954" t="s">
        <v>54</v>
      </c>
      <c r="AL954">
        <v>2024</v>
      </c>
      <c r="AM954" s="6" t="s">
        <v>1010</v>
      </c>
      <c r="AN954" s="7">
        <v>169.49</v>
      </c>
      <c r="AO954" s="8">
        <f t="shared" si="45"/>
        <v>317.79375000000005</v>
      </c>
      <c r="AP954" s="8">
        <f t="shared" si="46"/>
        <v>353.06885625000007</v>
      </c>
      <c r="AQ954" s="9">
        <f t="shared" si="44"/>
        <v>514.79409562500007</v>
      </c>
    </row>
    <row r="955" spans="1:43" x14ac:dyDescent="0.25">
      <c r="A955">
        <v>17</v>
      </c>
      <c r="B955">
        <v>5</v>
      </c>
      <c r="C955">
        <v>2024</v>
      </c>
      <c r="D955" t="s">
        <v>43</v>
      </c>
      <c r="E955" t="s">
        <v>79</v>
      </c>
      <c r="F955" t="s">
        <v>80</v>
      </c>
      <c r="G955">
        <v>59</v>
      </c>
      <c r="H955">
        <v>1791882490001</v>
      </c>
      <c r="I955" t="s">
        <v>46</v>
      </c>
      <c r="J955" t="s">
        <v>48</v>
      </c>
      <c r="K955" t="s">
        <v>48</v>
      </c>
      <c r="L955" t="s">
        <v>49</v>
      </c>
      <c r="M955" t="s">
        <v>50</v>
      </c>
      <c r="N955" t="s">
        <v>51</v>
      </c>
      <c r="O955">
        <v>8484900000</v>
      </c>
      <c r="P955" t="s">
        <v>66</v>
      </c>
      <c r="Q955" t="s">
        <v>959</v>
      </c>
      <c r="R955" t="s">
        <v>54</v>
      </c>
      <c r="S955" t="s">
        <v>55</v>
      </c>
      <c r="T955">
        <v>6</v>
      </c>
      <c r="U955">
        <v>2</v>
      </c>
      <c r="V955" t="s">
        <v>135</v>
      </c>
      <c r="W955">
        <v>0</v>
      </c>
      <c r="X955">
        <v>406.81</v>
      </c>
      <c r="Y955">
        <v>39.270000000000003</v>
      </c>
      <c r="Z955">
        <v>2.71</v>
      </c>
      <c r="AA955">
        <v>448.8</v>
      </c>
      <c r="AB955" t="s">
        <v>57</v>
      </c>
      <c r="AC955" t="s">
        <v>81</v>
      </c>
      <c r="AD955" t="s">
        <v>48</v>
      </c>
      <c r="AE955">
        <v>0</v>
      </c>
      <c r="AF955">
        <v>2.16</v>
      </c>
      <c r="AG955" t="s">
        <v>82</v>
      </c>
      <c r="AH955">
        <v>471463</v>
      </c>
      <c r="AI955" t="s">
        <v>60</v>
      </c>
      <c r="AJ955" t="s">
        <v>60</v>
      </c>
      <c r="AK955" t="s">
        <v>54</v>
      </c>
      <c r="AL955">
        <v>2024</v>
      </c>
      <c r="AM955" s="6" t="s">
        <v>1011</v>
      </c>
      <c r="AN955" s="7">
        <v>203.41</v>
      </c>
      <c r="AO955" s="8">
        <f t="shared" si="45"/>
        <v>381.39375000000001</v>
      </c>
      <c r="AP955" s="8">
        <f t="shared" si="46"/>
        <v>423.72845625000002</v>
      </c>
      <c r="AQ955" s="9">
        <f t="shared" si="44"/>
        <v>617.81973562500002</v>
      </c>
    </row>
    <row r="956" spans="1:43" x14ac:dyDescent="0.25">
      <c r="A956">
        <v>15</v>
      </c>
      <c r="B956">
        <v>4</v>
      </c>
      <c r="C956">
        <v>2024</v>
      </c>
      <c r="D956" t="s">
        <v>43</v>
      </c>
      <c r="E956" t="s">
        <v>63</v>
      </c>
      <c r="F956" t="s">
        <v>64</v>
      </c>
      <c r="G956">
        <v>65</v>
      </c>
      <c r="H956">
        <v>1791882490001</v>
      </c>
      <c r="I956" t="s">
        <v>46</v>
      </c>
      <c r="J956" t="s">
        <v>48</v>
      </c>
      <c r="K956" t="s">
        <v>48</v>
      </c>
      <c r="L956" t="s">
        <v>49</v>
      </c>
      <c r="M956" t="s">
        <v>50</v>
      </c>
      <c r="N956" t="s">
        <v>51</v>
      </c>
      <c r="O956">
        <v>8481809990</v>
      </c>
      <c r="P956" t="s">
        <v>103</v>
      </c>
      <c r="Q956" t="s">
        <v>971</v>
      </c>
      <c r="R956" t="s">
        <v>54</v>
      </c>
      <c r="S956" t="s">
        <v>55</v>
      </c>
      <c r="T956">
        <v>6</v>
      </c>
      <c r="U956">
        <v>10</v>
      </c>
      <c r="V956" t="s">
        <v>135</v>
      </c>
      <c r="W956">
        <v>0</v>
      </c>
      <c r="X956">
        <v>708.05</v>
      </c>
      <c r="Y956">
        <v>74.53</v>
      </c>
      <c r="Z956">
        <v>4.75</v>
      </c>
      <c r="AA956">
        <v>787.33</v>
      </c>
      <c r="AB956" t="s">
        <v>57</v>
      </c>
      <c r="AC956" t="s">
        <v>58</v>
      </c>
      <c r="AD956" t="s">
        <v>48</v>
      </c>
      <c r="AE956">
        <v>0</v>
      </c>
      <c r="AF956">
        <v>6.78</v>
      </c>
      <c r="AG956" t="s">
        <v>59</v>
      </c>
      <c r="AH956">
        <v>443965</v>
      </c>
      <c r="AI956" t="s">
        <v>60</v>
      </c>
      <c r="AJ956" t="s">
        <v>60</v>
      </c>
      <c r="AK956" t="s">
        <v>54</v>
      </c>
      <c r="AL956">
        <v>2024</v>
      </c>
      <c r="AM956" s="6" t="s">
        <v>1012</v>
      </c>
      <c r="AN956" s="7">
        <v>70.8</v>
      </c>
      <c r="AO956" s="8">
        <f t="shared" si="45"/>
        <v>132.75</v>
      </c>
      <c r="AP956" s="8">
        <f t="shared" si="46"/>
        <v>147.48525000000001</v>
      </c>
      <c r="AQ956" s="9">
        <f t="shared" si="44"/>
        <v>215.04172499999999</v>
      </c>
    </row>
    <row r="957" spans="1:43" x14ac:dyDescent="0.25">
      <c r="A957">
        <v>12</v>
      </c>
      <c r="B957">
        <v>6</v>
      </c>
      <c r="C957">
        <v>2024</v>
      </c>
      <c r="D957" t="s">
        <v>43</v>
      </c>
      <c r="E957" t="s">
        <v>96</v>
      </c>
      <c r="F957" t="s">
        <v>97</v>
      </c>
      <c r="G957">
        <v>50</v>
      </c>
      <c r="H957">
        <v>1791882490001</v>
      </c>
      <c r="I957" t="s">
        <v>46</v>
      </c>
      <c r="J957" t="s">
        <v>48</v>
      </c>
      <c r="K957" t="s">
        <v>48</v>
      </c>
      <c r="L957" t="s">
        <v>49</v>
      </c>
      <c r="M957" t="s">
        <v>50</v>
      </c>
      <c r="N957" t="s">
        <v>51</v>
      </c>
      <c r="O957">
        <v>8481809990</v>
      </c>
      <c r="P957" t="s">
        <v>103</v>
      </c>
      <c r="Q957" t="s">
        <v>711</v>
      </c>
      <c r="R957" t="s">
        <v>54</v>
      </c>
      <c r="S957" t="s">
        <v>55</v>
      </c>
      <c r="T957">
        <v>7</v>
      </c>
      <c r="U957">
        <v>5</v>
      </c>
      <c r="V957" t="s">
        <v>135</v>
      </c>
      <c r="W957">
        <v>0</v>
      </c>
      <c r="X957">
        <v>357.03</v>
      </c>
      <c r="Y957">
        <v>30.96</v>
      </c>
      <c r="Z957">
        <v>2.4</v>
      </c>
      <c r="AA957">
        <v>390.4</v>
      </c>
      <c r="AB957" t="s">
        <v>57</v>
      </c>
      <c r="AC957" t="s">
        <v>94</v>
      </c>
      <c r="AD957" t="s">
        <v>48</v>
      </c>
      <c r="AE957">
        <v>0</v>
      </c>
      <c r="AF957">
        <v>9</v>
      </c>
      <c r="AG957" t="s">
        <v>59</v>
      </c>
      <c r="AH957" t="s">
        <v>98</v>
      </c>
      <c r="AI957" t="s">
        <v>60</v>
      </c>
      <c r="AJ957" t="s">
        <v>60</v>
      </c>
      <c r="AK957" t="s">
        <v>54</v>
      </c>
      <c r="AL957">
        <v>2024</v>
      </c>
      <c r="AM957" s="6" t="s">
        <v>1012</v>
      </c>
      <c r="AN957" s="7">
        <v>71.41</v>
      </c>
      <c r="AO957" s="8">
        <f t="shared" si="45"/>
        <v>133.89374999999998</v>
      </c>
      <c r="AP957" s="8">
        <f t="shared" si="46"/>
        <v>148.75595624999997</v>
      </c>
      <c r="AQ957" s="9">
        <f t="shared" si="44"/>
        <v>216.89448562499996</v>
      </c>
    </row>
    <row r="958" spans="1:43" x14ac:dyDescent="0.25">
      <c r="A958">
        <v>20</v>
      </c>
      <c r="B958">
        <v>2</v>
      </c>
      <c r="C958">
        <v>2024</v>
      </c>
      <c r="D958" t="s">
        <v>43</v>
      </c>
      <c r="E958" t="s">
        <v>140</v>
      </c>
      <c r="F958" t="s">
        <v>141</v>
      </c>
      <c r="G958">
        <v>62</v>
      </c>
      <c r="H958">
        <v>1791882490001</v>
      </c>
      <c r="I958" t="s">
        <v>46</v>
      </c>
      <c r="J958" t="s">
        <v>48</v>
      </c>
      <c r="K958" t="s">
        <v>48</v>
      </c>
      <c r="L958" t="s">
        <v>49</v>
      </c>
      <c r="M958" t="s">
        <v>50</v>
      </c>
      <c r="N958" t="s">
        <v>51</v>
      </c>
      <c r="O958">
        <v>8481809990</v>
      </c>
      <c r="P958" t="s">
        <v>103</v>
      </c>
      <c r="Q958" t="s">
        <v>1013</v>
      </c>
      <c r="R958" t="s">
        <v>54</v>
      </c>
      <c r="S958" t="s">
        <v>55</v>
      </c>
      <c r="T958">
        <v>6</v>
      </c>
      <c r="U958">
        <v>1</v>
      </c>
      <c r="V958" t="s">
        <v>135</v>
      </c>
      <c r="W958">
        <v>0</v>
      </c>
      <c r="X958">
        <v>1695.23</v>
      </c>
      <c r="Y958">
        <v>152.13</v>
      </c>
      <c r="Z958">
        <v>11.39</v>
      </c>
      <c r="AA958">
        <v>1858.75</v>
      </c>
      <c r="AB958" t="s">
        <v>54</v>
      </c>
      <c r="AC958" t="s">
        <v>143</v>
      </c>
      <c r="AD958" t="s">
        <v>48</v>
      </c>
      <c r="AE958">
        <v>0</v>
      </c>
      <c r="AF958">
        <v>1.87</v>
      </c>
      <c r="AG958" t="s">
        <v>59</v>
      </c>
      <c r="AH958">
        <v>876053</v>
      </c>
      <c r="AI958" t="s">
        <v>60</v>
      </c>
      <c r="AJ958" t="s">
        <v>60</v>
      </c>
      <c r="AK958" t="s">
        <v>54</v>
      </c>
      <c r="AL958">
        <v>2024</v>
      </c>
      <c r="AM958" s="6" t="s">
        <v>1014</v>
      </c>
      <c r="AN958" s="7">
        <v>1695.23</v>
      </c>
      <c r="AO958" s="8">
        <f t="shared" si="45"/>
        <v>3178.5562500000001</v>
      </c>
      <c r="AP958" s="8">
        <f t="shared" si="46"/>
        <v>3531.3759937499999</v>
      </c>
      <c r="AQ958" s="9">
        <f t="shared" si="44"/>
        <v>5148.9432693749995</v>
      </c>
    </row>
    <row r="959" spans="1:43" x14ac:dyDescent="0.25">
      <c r="A959">
        <v>10</v>
      </c>
      <c r="B959">
        <v>10</v>
      </c>
      <c r="C959">
        <v>2024</v>
      </c>
      <c r="D959" t="s">
        <v>43</v>
      </c>
      <c r="E959" t="s">
        <v>44</v>
      </c>
      <c r="F959" t="s">
        <v>45</v>
      </c>
      <c r="G959">
        <v>61</v>
      </c>
      <c r="H959">
        <v>1791882490001</v>
      </c>
      <c r="I959" t="s">
        <v>46</v>
      </c>
      <c r="J959" t="s">
        <v>48</v>
      </c>
      <c r="K959" t="s">
        <v>48</v>
      </c>
      <c r="L959" t="s">
        <v>49</v>
      </c>
      <c r="M959" t="s">
        <v>50</v>
      </c>
      <c r="N959" t="s">
        <v>51</v>
      </c>
      <c r="O959">
        <v>8481809990</v>
      </c>
      <c r="P959" t="s">
        <v>232</v>
      </c>
      <c r="Q959" t="s">
        <v>960</v>
      </c>
      <c r="R959" t="s">
        <v>54</v>
      </c>
      <c r="S959" t="s">
        <v>55</v>
      </c>
      <c r="T959">
        <v>7</v>
      </c>
      <c r="U959">
        <v>1</v>
      </c>
      <c r="V959" t="s">
        <v>135</v>
      </c>
      <c r="W959">
        <v>0</v>
      </c>
      <c r="X959">
        <v>1398.32</v>
      </c>
      <c r="Y959">
        <v>244.32</v>
      </c>
      <c r="Z959">
        <v>10.08</v>
      </c>
      <c r="AA959">
        <v>1652.72</v>
      </c>
      <c r="AB959" t="s">
        <v>57</v>
      </c>
      <c r="AC959" t="s">
        <v>58</v>
      </c>
      <c r="AD959" t="s">
        <v>48</v>
      </c>
      <c r="AE959">
        <v>0</v>
      </c>
      <c r="AF959">
        <v>15.09</v>
      </c>
      <c r="AG959" t="s">
        <v>59</v>
      </c>
      <c r="AH959">
        <v>179772</v>
      </c>
      <c r="AI959" t="s">
        <v>60</v>
      </c>
      <c r="AJ959" t="s">
        <v>60</v>
      </c>
      <c r="AK959" t="s">
        <v>54</v>
      </c>
      <c r="AL959">
        <v>2024</v>
      </c>
      <c r="AM959" s="6" t="s">
        <v>1015</v>
      </c>
      <c r="AN959" s="7">
        <v>1398.32</v>
      </c>
      <c r="AO959" s="8">
        <f t="shared" si="45"/>
        <v>2621.85</v>
      </c>
      <c r="AP959" s="8">
        <f t="shared" si="46"/>
        <v>2912.8753499999998</v>
      </c>
      <c r="AQ959" s="9">
        <f t="shared" si="44"/>
        <v>4247.1348149999994</v>
      </c>
    </row>
    <row r="960" spans="1:43" x14ac:dyDescent="0.25">
      <c r="A960">
        <v>13</v>
      </c>
      <c r="B960">
        <v>3</v>
      </c>
      <c r="C960">
        <v>2024</v>
      </c>
      <c r="D960" t="s">
        <v>43</v>
      </c>
      <c r="E960" t="s">
        <v>69</v>
      </c>
      <c r="F960" t="s">
        <v>70</v>
      </c>
      <c r="G960">
        <v>49</v>
      </c>
      <c r="H960">
        <v>1791882490001</v>
      </c>
      <c r="I960" t="s">
        <v>46</v>
      </c>
      <c r="J960" t="s">
        <v>48</v>
      </c>
      <c r="K960" t="s">
        <v>48</v>
      </c>
      <c r="L960" t="s">
        <v>49</v>
      </c>
      <c r="M960" t="s">
        <v>50</v>
      </c>
      <c r="N960" t="s">
        <v>51</v>
      </c>
      <c r="O960">
        <v>8421999000</v>
      </c>
      <c r="P960" t="s">
        <v>66</v>
      </c>
      <c r="Q960" t="s">
        <v>819</v>
      </c>
      <c r="R960" t="s">
        <v>54</v>
      </c>
      <c r="S960" t="s">
        <v>55</v>
      </c>
      <c r="T960">
        <v>11</v>
      </c>
      <c r="U960">
        <v>1</v>
      </c>
      <c r="V960" t="s">
        <v>135</v>
      </c>
      <c r="W960">
        <v>0</v>
      </c>
      <c r="X960">
        <v>1219.67</v>
      </c>
      <c r="Y960">
        <v>159.71</v>
      </c>
      <c r="Z960">
        <v>8.2100000000000009</v>
      </c>
      <c r="AA960">
        <v>1387.59</v>
      </c>
      <c r="AB960" t="s">
        <v>54</v>
      </c>
      <c r="AC960" t="s">
        <v>71</v>
      </c>
      <c r="AD960" t="s">
        <v>48</v>
      </c>
      <c r="AE960">
        <v>0</v>
      </c>
      <c r="AF960">
        <v>2.04</v>
      </c>
      <c r="AG960" t="s">
        <v>59</v>
      </c>
      <c r="AH960">
        <v>895279</v>
      </c>
      <c r="AI960" t="s">
        <v>60</v>
      </c>
      <c r="AJ960" t="s">
        <v>60</v>
      </c>
      <c r="AK960" t="s">
        <v>54</v>
      </c>
      <c r="AL960">
        <v>2024</v>
      </c>
      <c r="AM960" s="6" t="s">
        <v>1016</v>
      </c>
      <c r="AN960" s="7">
        <v>1219.67</v>
      </c>
      <c r="AO960" s="8">
        <f t="shared" si="45"/>
        <v>2286.8812500000004</v>
      </c>
      <c r="AP960" s="8">
        <f t="shared" si="46"/>
        <v>2540.7250687500004</v>
      </c>
      <c r="AQ960" s="9">
        <f t="shared" si="44"/>
        <v>3704.5189368750002</v>
      </c>
    </row>
    <row r="961" spans="1:43" x14ac:dyDescent="0.25">
      <c r="A961">
        <v>10</v>
      </c>
      <c r="B961">
        <v>10</v>
      </c>
      <c r="C961">
        <v>2024</v>
      </c>
      <c r="D961" t="s">
        <v>43</v>
      </c>
      <c r="E961" t="s">
        <v>44</v>
      </c>
      <c r="F961" t="s">
        <v>45</v>
      </c>
      <c r="G961">
        <v>62</v>
      </c>
      <c r="H961">
        <v>1791882490001</v>
      </c>
      <c r="I961" t="s">
        <v>46</v>
      </c>
      <c r="J961" t="s">
        <v>48</v>
      </c>
      <c r="K961" t="s">
        <v>48</v>
      </c>
      <c r="L961" t="s">
        <v>49</v>
      </c>
      <c r="M961" t="s">
        <v>50</v>
      </c>
      <c r="N961" t="s">
        <v>51</v>
      </c>
      <c r="O961">
        <v>8421999000</v>
      </c>
      <c r="P961" t="s">
        <v>52</v>
      </c>
      <c r="Q961" t="s">
        <v>819</v>
      </c>
      <c r="R961" t="s">
        <v>54</v>
      </c>
      <c r="S961" t="s">
        <v>55</v>
      </c>
      <c r="T961">
        <v>7</v>
      </c>
      <c r="U961">
        <v>1</v>
      </c>
      <c r="V961" t="s">
        <v>135</v>
      </c>
      <c r="W961">
        <v>0</v>
      </c>
      <c r="X961">
        <v>1326.02</v>
      </c>
      <c r="Y961">
        <v>231.68</v>
      </c>
      <c r="Z961">
        <v>9.56</v>
      </c>
      <c r="AA961">
        <v>1567.26</v>
      </c>
      <c r="AB961" t="s">
        <v>57</v>
      </c>
      <c r="AC961" t="s">
        <v>58</v>
      </c>
      <c r="AD961" t="s">
        <v>48</v>
      </c>
      <c r="AE961">
        <v>0</v>
      </c>
      <c r="AF961">
        <v>14.31</v>
      </c>
      <c r="AG961" t="s">
        <v>59</v>
      </c>
      <c r="AH961">
        <v>179772</v>
      </c>
      <c r="AI961" t="s">
        <v>60</v>
      </c>
      <c r="AJ961" t="s">
        <v>60</v>
      </c>
      <c r="AK961" t="s">
        <v>54</v>
      </c>
      <c r="AL961">
        <v>2024</v>
      </c>
      <c r="AM961" s="6" t="s">
        <v>1016</v>
      </c>
      <c r="AN961" s="7">
        <v>1326.02</v>
      </c>
      <c r="AO961" s="8">
        <f t="shared" si="45"/>
        <v>2486.2874999999999</v>
      </c>
      <c r="AP961" s="8">
        <f t="shared" si="46"/>
        <v>2762.2654124999999</v>
      </c>
      <c r="AQ961" s="9">
        <f t="shared" si="44"/>
        <v>4027.5371212499995</v>
      </c>
    </row>
    <row r="962" spans="1:43" x14ac:dyDescent="0.25">
      <c r="A962">
        <v>10</v>
      </c>
      <c r="B962">
        <v>10</v>
      </c>
      <c r="C962">
        <v>2024</v>
      </c>
      <c r="D962" t="s">
        <v>43</v>
      </c>
      <c r="E962" t="s">
        <v>44</v>
      </c>
      <c r="F962" t="s">
        <v>45</v>
      </c>
      <c r="G962">
        <v>63</v>
      </c>
      <c r="H962">
        <v>1791882490001</v>
      </c>
      <c r="I962" t="s">
        <v>46</v>
      </c>
      <c r="J962" t="s">
        <v>48</v>
      </c>
      <c r="K962" t="s">
        <v>48</v>
      </c>
      <c r="L962" t="s">
        <v>49</v>
      </c>
      <c r="M962" t="s">
        <v>50</v>
      </c>
      <c r="N962" t="s">
        <v>51</v>
      </c>
      <c r="O962">
        <v>8421999000</v>
      </c>
      <c r="P962" t="s">
        <v>52</v>
      </c>
      <c r="Q962" t="s">
        <v>819</v>
      </c>
      <c r="R962" t="s">
        <v>54</v>
      </c>
      <c r="S962" t="s">
        <v>55</v>
      </c>
      <c r="T962">
        <v>7</v>
      </c>
      <c r="U962">
        <v>1</v>
      </c>
      <c r="V962" t="s">
        <v>135</v>
      </c>
      <c r="W962">
        <v>0</v>
      </c>
      <c r="X962">
        <v>1326.02</v>
      </c>
      <c r="Y962">
        <v>231.68</v>
      </c>
      <c r="Z962">
        <v>9.56</v>
      </c>
      <c r="AA962">
        <v>1567.26</v>
      </c>
      <c r="AB962" t="s">
        <v>57</v>
      </c>
      <c r="AC962" t="s">
        <v>58</v>
      </c>
      <c r="AD962" t="s">
        <v>48</v>
      </c>
      <c r="AE962">
        <v>0</v>
      </c>
      <c r="AF962">
        <v>14.31</v>
      </c>
      <c r="AG962" t="s">
        <v>59</v>
      </c>
      <c r="AH962">
        <v>179772</v>
      </c>
      <c r="AI962" t="s">
        <v>60</v>
      </c>
      <c r="AJ962" t="s">
        <v>60</v>
      </c>
      <c r="AK962" t="s">
        <v>54</v>
      </c>
      <c r="AL962">
        <v>2024</v>
      </c>
      <c r="AM962" s="6" t="s">
        <v>1016</v>
      </c>
      <c r="AN962" s="7">
        <v>1326.02</v>
      </c>
      <c r="AO962" s="8">
        <f t="shared" si="45"/>
        <v>2486.2874999999999</v>
      </c>
      <c r="AP962" s="8">
        <f t="shared" si="46"/>
        <v>2762.2654124999999</v>
      </c>
      <c r="AQ962" s="9">
        <f t="shared" si="44"/>
        <v>4027.5371212499995</v>
      </c>
    </row>
    <row r="963" spans="1:43" x14ac:dyDescent="0.25">
      <c r="A963">
        <v>26</v>
      </c>
      <c r="B963">
        <v>12</v>
      </c>
      <c r="C963">
        <v>2024</v>
      </c>
      <c r="D963" t="s">
        <v>43</v>
      </c>
      <c r="E963" t="s">
        <v>222</v>
      </c>
      <c r="F963" t="s">
        <v>223</v>
      </c>
      <c r="G963">
        <v>47</v>
      </c>
      <c r="H963">
        <v>1791882490001</v>
      </c>
      <c r="I963" t="s">
        <v>46</v>
      </c>
      <c r="J963" t="s">
        <v>48</v>
      </c>
      <c r="K963" t="s">
        <v>48</v>
      </c>
      <c r="L963" t="s">
        <v>49</v>
      </c>
      <c r="M963" t="s">
        <v>50</v>
      </c>
      <c r="N963" t="s">
        <v>224</v>
      </c>
      <c r="O963">
        <v>8421999000</v>
      </c>
      <c r="P963" t="s">
        <v>52</v>
      </c>
      <c r="Q963" t="s">
        <v>819</v>
      </c>
      <c r="R963" t="s">
        <v>54</v>
      </c>
      <c r="S963" t="s">
        <v>55</v>
      </c>
      <c r="T963">
        <v>8</v>
      </c>
      <c r="U963">
        <v>1</v>
      </c>
      <c r="V963" t="s">
        <v>135</v>
      </c>
      <c r="W963">
        <v>0</v>
      </c>
      <c r="X963">
        <v>1341.19</v>
      </c>
      <c r="Y963">
        <v>277.75</v>
      </c>
      <c r="Z963">
        <v>13.41</v>
      </c>
      <c r="AA963">
        <v>1632.36</v>
      </c>
      <c r="AB963" t="s">
        <v>57</v>
      </c>
      <c r="AC963" t="s">
        <v>225</v>
      </c>
      <c r="AD963" t="s">
        <v>48</v>
      </c>
      <c r="AE963">
        <v>0</v>
      </c>
      <c r="AF963">
        <v>2.06</v>
      </c>
      <c r="AG963" t="s">
        <v>59</v>
      </c>
      <c r="AH963">
        <v>341996</v>
      </c>
      <c r="AI963" t="s">
        <v>60</v>
      </c>
      <c r="AJ963" t="s">
        <v>60</v>
      </c>
      <c r="AK963" t="s">
        <v>54</v>
      </c>
      <c r="AL963">
        <v>2024</v>
      </c>
      <c r="AM963" s="6" t="s">
        <v>1016</v>
      </c>
      <c r="AN963" s="7">
        <v>1341.19</v>
      </c>
      <c r="AO963" s="8">
        <f t="shared" si="45"/>
        <v>2514.7312500000003</v>
      </c>
      <c r="AP963" s="8">
        <f t="shared" si="46"/>
        <v>2793.8664187500003</v>
      </c>
      <c r="AQ963" s="9">
        <f t="shared" ref="AQ963:AQ1026" si="47">SUM(AO963)*1.6199</f>
        <v>4073.6131518750003</v>
      </c>
    </row>
    <row r="964" spans="1:43" x14ac:dyDescent="0.25">
      <c r="A964">
        <v>26</v>
      </c>
      <c r="B964">
        <v>12</v>
      </c>
      <c r="C964">
        <v>2024</v>
      </c>
      <c r="D964" t="s">
        <v>43</v>
      </c>
      <c r="E964" t="s">
        <v>222</v>
      </c>
      <c r="F964" t="s">
        <v>223</v>
      </c>
      <c r="G964">
        <v>48</v>
      </c>
      <c r="H964">
        <v>1791882490001</v>
      </c>
      <c r="I964" t="s">
        <v>46</v>
      </c>
      <c r="J964" t="s">
        <v>48</v>
      </c>
      <c r="K964" t="s">
        <v>48</v>
      </c>
      <c r="L964" t="s">
        <v>49</v>
      </c>
      <c r="M964" t="s">
        <v>50</v>
      </c>
      <c r="N964" t="s">
        <v>224</v>
      </c>
      <c r="O964">
        <v>8421999000</v>
      </c>
      <c r="P964" t="s">
        <v>52</v>
      </c>
      <c r="Q964" t="s">
        <v>819</v>
      </c>
      <c r="R964" t="s">
        <v>54</v>
      </c>
      <c r="S964" t="s">
        <v>55</v>
      </c>
      <c r="T964">
        <v>8</v>
      </c>
      <c r="U964">
        <v>1</v>
      </c>
      <c r="V964" t="s">
        <v>135</v>
      </c>
      <c r="W964">
        <v>0</v>
      </c>
      <c r="X964">
        <v>1341.19</v>
      </c>
      <c r="Y964">
        <v>277.75</v>
      </c>
      <c r="Z964">
        <v>13.41</v>
      </c>
      <c r="AA964">
        <v>1632.36</v>
      </c>
      <c r="AB964" t="s">
        <v>57</v>
      </c>
      <c r="AC964" t="s">
        <v>225</v>
      </c>
      <c r="AD964" t="s">
        <v>48</v>
      </c>
      <c r="AE964">
        <v>0</v>
      </c>
      <c r="AF964">
        <v>2.06</v>
      </c>
      <c r="AG964" t="s">
        <v>59</v>
      </c>
      <c r="AH964">
        <v>341996</v>
      </c>
      <c r="AI964" t="s">
        <v>60</v>
      </c>
      <c r="AJ964" t="s">
        <v>60</v>
      </c>
      <c r="AK964" t="s">
        <v>54</v>
      </c>
      <c r="AL964">
        <v>2024</v>
      </c>
      <c r="AM964" s="6" t="s">
        <v>1016</v>
      </c>
      <c r="AN964" s="7">
        <v>1341.19</v>
      </c>
      <c r="AO964" s="8">
        <f t="shared" si="45"/>
        <v>2514.7312500000003</v>
      </c>
      <c r="AP964" s="8">
        <f t="shared" si="46"/>
        <v>2793.8664187500003</v>
      </c>
      <c r="AQ964" s="9">
        <f t="shared" si="47"/>
        <v>4073.6131518750003</v>
      </c>
    </row>
    <row r="965" spans="1:43" x14ac:dyDescent="0.25">
      <c r="A965">
        <v>26</v>
      </c>
      <c r="B965">
        <v>12</v>
      </c>
      <c r="C965">
        <v>2024</v>
      </c>
      <c r="D965" t="s">
        <v>43</v>
      </c>
      <c r="E965" t="s">
        <v>222</v>
      </c>
      <c r="F965" t="s">
        <v>223</v>
      </c>
      <c r="G965">
        <v>49</v>
      </c>
      <c r="H965">
        <v>1791882490001</v>
      </c>
      <c r="I965" t="s">
        <v>46</v>
      </c>
      <c r="J965" t="s">
        <v>48</v>
      </c>
      <c r="K965" t="s">
        <v>48</v>
      </c>
      <c r="L965" t="s">
        <v>49</v>
      </c>
      <c r="M965" t="s">
        <v>50</v>
      </c>
      <c r="N965" t="s">
        <v>224</v>
      </c>
      <c r="O965">
        <v>8421999000</v>
      </c>
      <c r="P965" t="s">
        <v>52</v>
      </c>
      <c r="Q965" t="s">
        <v>819</v>
      </c>
      <c r="R965" t="s">
        <v>54</v>
      </c>
      <c r="S965" t="s">
        <v>55</v>
      </c>
      <c r="T965">
        <v>8</v>
      </c>
      <c r="U965">
        <v>1</v>
      </c>
      <c r="V965" t="s">
        <v>135</v>
      </c>
      <c r="W965">
        <v>0</v>
      </c>
      <c r="X965">
        <v>1341.19</v>
      </c>
      <c r="Y965">
        <v>277.75</v>
      </c>
      <c r="Z965">
        <v>13.41</v>
      </c>
      <c r="AA965">
        <v>1632.36</v>
      </c>
      <c r="AB965" t="s">
        <v>57</v>
      </c>
      <c r="AC965" t="s">
        <v>225</v>
      </c>
      <c r="AD965" t="s">
        <v>48</v>
      </c>
      <c r="AE965">
        <v>0</v>
      </c>
      <c r="AF965">
        <v>2.06</v>
      </c>
      <c r="AG965" t="s">
        <v>59</v>
      </c>
      <c r="AH965">
        <v>341996</v>
      </c>
      <c r="AI965" t="s">
        <v>60</v>
      </c>
      <c r="AJ965" t="s">
        <v>60</v>
      </c>
      <c r="AK965" t="s">
        <v>54</v>
      </c>
      <c r="AL965">
        <v>2024</v>
      </c>
      <c r="AM965" s="6" t="s">
        <v>1016</v>
      </c>
      <c r="AN965" s="7">
        <v>1341.19</v>
      </c>
      <c r="AO965" s="8">
        <f t="shared" si="45"/>
        <v>2514.7312500000003</v>
      </c>
      <c r="AP965" s="8">
        <f t="shared" si="46"/>
        <v>2793.8664187500003</v>
      </c>
      <c r="AQ965" s="9">
        <f t="shared" si="47"/>
        <v>4073.6131518750003</v>
      </c>
    </row>
    <row r="966" spans="1:43" x14ac:dyDescent="0.25">
      <c r="A966">
        <v>13</v>
      </c>
      <c r="B966">
        <v>3</v>
      </c>
      <c r="C966">
        <v>2024</v>
      </c>
      <c r="D966" t="s">
        <v>43</v>
      </c>
      <c r="E966" t="s">
        <v>69</v>
      </c>
      <c r="F966" t="s">
        <v>70</v>
      </c>
      <c r="G966">
        <v>50</v>
      </c>
      <c r="H966">
        <v>1791882490001</v>
      </c>
      <c r="I966" t="s">
        <v>46</v>
      </c>
      <c r="J966" t="s">
        <v>65</v>
      </c>
      <c r="K966" t="s">
        <v>48</v>
      </c>
      <c r="L966" t="s">
        <v>49</v>
      </c>
      <c r="M966" t="s">
        <v>50</v>
      </c>
      <c r="N966" t="s">
        <v>51</v>
      </c>
      <c r="O966">
        <v>8421999000</v>
      </c>
      <c r="P966" t="s">
        <v>66</v>
      </c>
      <c r="Q966" t="s">
        <v>837</v>
      </c>
      <c r="R966" t="s">
        <v>54</v>
      </c>
      <c r="S966" t="s">
        <v>55</v>
      </c>
      <c r="T966">
        <v>11</v>
      </c>
      <c r="U966">
        <v>1</v>
      </c>
      <c r="V966" t="s">
        <v>135</v>
      </c>
      <c r="W966">
        <v>0</v>
      </c>
      <c r="X966">
        <v>592.21</v>
      </c>
      <c r="Y966">
        <v>77.55</v>
      </c>
      <c r="Z966">
        <v>3.98</v>
      </c>
      <c r="AA966">
        <v>673.75</v>
      </c>
      <c r="AB966" t="s">
        <v>54</v>
      </c>
      <c r="AC966" t="s">
        <v>71</v>
      </c>
      <c r="AD966" t="s">
        <v>48</v>
      </c>
      <c r="AE966">
        <v>0</v>
      </c>
      <c r="AF966">
        <v>2.04</v>
      </c>
      <c r="AG966" t="s">
        <v>59</v>
      </c>
      <c r="AH966">
        <v>895279</v>
      </c>
      <c r="AI966" t="s">
        <v>60</v>
      </c>
      <c r="AJ966" t="s">
        <v>60</v>
      </c>
      <c r="AK966" t="s">
        <v>54</v>
      </c>
      <c r="AL966">
        <v>2024</v>
      </c>
      <c r="AM966" s="6" t="s">
        <v>1017</v>
      </c>
      <c r="AN966" s="7">
        <v>592.21</v>
      </c>
      <c r="AO966" s="8">
        <f t="shared" si="45"/>
        <v>1110.3937500000002</v>
      </c>
      <c r="AP966" s="8">
        <f t="shared" si="46"/>
        <v>1233.6474562500002</v>
      </c>
      <c r="AQ966" s="9">
        <f t="shared" si="47"/>
        <v>1798.7268356250001</v>
      </c>
    </row>
    <row r="967" spans="1:43" x14ac:dyDescent="0.25">
      <c r="A967">
        <v>8</v>
      </c>
      <c r="B967">
        <v>7</v>
      </c>
      <c r="C967">
        <v>2024</v>
      </c>
      <c r="D967" t="s">
        <v>43</v>
      </c>
      <c r="E967" t="s">
        <v>75</v>
      </c>
      <c r="F967" t="s">
        <v>76</v>
      </c>
      <c r="G967">
        <v>75</v>
      </c>
      <c r="H967">
        <v>1791882490001</v>
      </c>
      <c r="I967" t="s">
        <v>46</v>
      </c>
      <c r="J967" t="s">
        <v>48</v>
      </c>
      <c r="K967" t="s">
        <v>48</v>
      </c>
      <c r="L967" t="s">
        <v>49</v>
      </c>
      <c r="M967" t="s">
        <v>50</v>
      </c>
      <c r="N967" t="s">
        <v>51</v>
      </c>
      <c r="O967">
        <v>8481909090</v>
      </c>
      <c r="P967" t="s">
        <v>103</v>
      </c>
      <c r="Q967" t="s">
        <v>1018</v>
      </c>
      <c r="R967" t="s">
        <v>54</v>
      </c>
      <c r="S967" t="s">
        <v>55</v>
      </c>
      <c r="T967">
        <v>8</v>
      </c>
      <c r="U967">
        <v>1</v>
      </c>
      <c r="V967" t="s">
        <v>135</v>
      </c>
      <c r="W967">
        <v>0</v>
      </c>
      <c r="X967">
        <v>174.98</v>
      </c>
      <c r="Y967">
        <v>14.94</v>
      </c>
      <c r="Z967">
        <v>1.1399999999999999</v>
      </c>
      <c r="AA967">
        <v>191.06</v>
      </c>
      <c r="AB967" t="s">
        <v>57</v>
      </c>
      <c r="AC967" t="s">
        <v>77</v>
      </c>
      <c r="AD967" t="s">
        <v>48</v>
      </c>
      <c r="AE967">
        <v>0</v>
      </c>
      <c r="AF967">
        <v>1.1599999999999999</v>
      </c>
      <c r="AG967" t="s">
        <v>59</v>
      </c>
      <c r="AH967">
        <v>107711</v>
      </c>
      <c r="AI967" t="s">
        <v>60</v>
      </c>
      <c r="AJ967" t="s">
        <v>78</v>
      </c>
      <c r="AK967" t="s">
        <v>54</v>
      </c>
      <c r="AL967">
        <v>2024</v>
      </c>
      <c r="AM967" s="6" t="s">
        <v>1019</v>
      </c>
      <c r="AN967" s="7">
        <v>174.98</v>
      </c>
      <c r="AO967" s="8">
        <f t="shared" si="45"/>
        <v>328.08749999999998</v>
      </c>
      <c r="AP967" s="8">
        <f t="shared" si="46"/>
        <v>364.50521249999997</v>
      </c>
      <c r="AQ967" s="9">
        <f t="shared" si="47"/>
        <v>531.46894124999994</v>
      </c>
    </row>
    <row r="968" spans="1:43" x14ac:dyDescent="0.25">
      <c r="A968">
        <v>8</v>
      </c>
      <c r="B968">
        <v>7</v>
      </c>
      <c r="C968">
        <v>2024</v>
      </c>
      <c r="D968" t="s">
        <v>43</v>
      </c>
      <c r="E968" t="s">
        <v>75</v>
      </c>
      <c r="F968" t="s">
        <v>76</v>
      </c>
      <c r="G968">
        <v>75</v>
      </c>
      <c r="H968">
        <v>1791882490001</v>
      </c>
      <c r="I968" t="s">
        <v>46</v>
      </c>
      <c r="J968" t="s">
        <v>48</v>
      </c>
      <c r="K968" t="s">
        <v>48</v>
      </c>
      <c r="L968" t="s">
        <v>49</v>
      </c>
      <c r="M968" t="s">
        <v>50</v>
      </c>
      <c r="N968" t="s">
        <v>51</v>
      </c>
      <c r="O968">
        <v>8481909090</v>
      </c>
      <c r="P968" t="s">
        <v>103</v>
      </c>
      <c r="Q968" t="s">
        <v>1018</v>
      </c>
      <c r="R968" t="s">
        <v>54</v>
      </c>
      <c r="S968" t="s">
        <v>55</v>
      </c>
      <c r="T968">
        <v>8</v>
      </c>
      <c r="U968">
        <v>1</v>
      </c>
      <c r="V968" t="s">
        <v>135</v>
      </c>
      <c r="W968">
        <v>0</v>
      </c>
      <c r="X968">
        <v>174.98</v>
      </c>
      <c r="Y968">
        <v>14.94</v>
      </c>
      <c r="Z968">
        <v>1.1399999999999999</v>
      </c>
      <c r="AA968">
        <v>191.06</v>
      </c>
      <c r="AB968" t="s">
        <v>57</v>
      </c>
      <c r="AC968" t="s">
        <v>77</v>
      </c>
      <c r="AD968" t="s">
        <v>48</v>
      </c>
      <c r="AE968">
        <v>0</v>
      </c>
      <c r="AF968">
        <v>1.1599999999999999</v>
      </c>
      <c r="AG968" t="s">
        <v>59</v>
      </c>
      <c r="AH968">
        <v>107711</v>
      </c>
      <c r="AI968" t="s">
        <v>60</v>
      </c>
      <c r="AJ968" t="s">
        <v>78</v>
      </c>
      <c r="AK968" t="s">
        <v>54</v>
      </c>
      <c r="AL968">
        <v>2024</v>
      </c>
      <c r="AM968" s="6" t="s">
        <v>1019</v>
      </c>
      <c r="AN968" s="7">
        <v>174.98</v>
      </c>
      <c r="AO968" s="8">
        <f t="shared" si="45"/>
        <v>328.08749999999998</v>
      </c>
      <c r="AP968" s="8">
        <f t="shared" si="46"/>
        <v>364.50521249999997</v>
      </c>
      <c r="AQ968" s="9">
        <f t="shared" si="47"/>
        <v>531.46894124999994</v>
      </c>
    </row>
    <row r="969" spans="1:43" x14ac:dyDescent="0.25">
      <c r="A969">
        <v>10</v>
      </c>
      <c r="B969">
        <v>10</v>
      </c>
      <c r="C969">
        <v>2024</v>
      </c>
      <c r="D969" t="s">
        <v>43</v>
      </c>
      <c r="E969" t="s">
        <v>44</v>
      </c>
      <c r="F969" t="s">
        <v>45</v>
      </c>
      <c r="G969">
        <v>64</v>
      </c>
      <c r="H969">
        <v>1791882490001</v>
      </c>
      <c r="I969" t="s">
        <v>46</v>
      </c>
      <c r="J969" t="s">
        <v>48</v>
      </c>
      <c r="K969" t="s">
        <v>48</v>
      </c>
      <c r="L969" t="s">
        <v>49</v>
      </c>
      <c r="M969" t="s">
        <v>50</v>
      </c>
      <c r="N969" t="s">
        <v>51</v>
      </c>
      <c r="O969">
        <v>8484900000</v>
      </c>
      <c r="P969" t="s">
        <v>221</v>
      </c>
      <c r="Q969" t="s">
        <v>1020</v>
      </c>
      <c r="R969" t="s">
        <v>54</v>
      </c>
      <c r="S969" t="s">
        <v>55</v>
      </c>
      <c r="T969">
        <v>7</v>
      </c>
      <c r="U969">
        <v>1</v>
      </c>
      <c r="V969" t="s">
        <v>135</v>
      </c>
      <c r="W969">
        <v>0</v>
      </c>
      <c r="X969">
        <v>15.82</v>
      </c>
      <c r="Y969">
        <v>2.76</v>
      </c>
      <c r="Z969">
        <v>0.11</v>
      </c>
      <c r="AA969">
        <v>18.7</v>
      </c>
      <c r="AB969" t="s">
        <v>57</v>
      </c>
      <c r="AC969" t="s">
        <v>58</v>
      </c>
      <c r="AD969" t="s">
        <v>48</v>
      </c>
      <c r="AE969">
        <v>0</v>
      </c>
      <c r="AF969">
        <v>0.17</v>
      </c>
      <c r="AG969" t="s">
        <v>59</v>
      </c>
      <c r="AH969">
        <v>179772</v>
      </c>
      <c r="AI969" t="s">
        <v>60</v>
      </c>
      <c r="AJ969" t="s">
        <v>60</v>
      </c>
      <c r="AK969" t="s">
        <v>54</v>
      </c>
      <c r="AL969">
        <v>2024</v>
      </c>
      <c r="AM969" s="6" t="s">
        <v>1021</v>
      </c>
      <c r="AN969" s="7">
        <v>15.82</v>
      </c>
      <c r="AO969" s="8">
        <f t="shared" si="45"/>
        <v>29.662500000000001</v>
      </c>
      <c r="AP969" s="8">
        <f t="shared" si="46"/>
        <v>32.955037500000003</v>
      </c>
      <c r="AQ969" s="9">
        <f t="shared" si="47"/>
        <v>48.050283749999998</v>
      </c>
    </row>
    <row r="970" spans="1:43" x14ac:dyDescent="0.25">
      <c r="A970">
        <v>20</v>
      </c>
      <c r="B970">
        <v>2</v>
      </c>
      <c r="C970">
        <v>2024</v>
      </c>
      <c r="D970" t="s">
        <v>43</v>
      </c>
      <c r="E970" t="s">
        <v>140</v>
      </c>
      <c r="F970" t="s">
        <v>141</v>
      </c>
      <c r="G970">
        <v>63</v>
      </c>
      <c r="H970">
        <v>1791882490001</v>
      </c>
      <c r="I970" t="s">
        <v>46</v>
      </c>
      <c r="J970" t="s">
        <v>65</v>
      </c>
      <c r="K970" t="s">
        <v>48</v>
      </c>
      <c r="L970" t="s">
        <v>49</v>
      </c>
      <c r="M970" t="s">
        <v>50</v>
      </c>
      <c r="N970" t="s">
        <v>51</v>
      </c>
      <c r="O970">
        <v>8421999000</v>
      </c>
      <c r="P970" t="s">
        <v>66</v>
      </c>
      <c r="Q970" t="s">
        <v>1022</v>
      </c>
      <c r="R970" t="s">
        <v>54</v>
      </c>
      <c r="S970" t="s">
        <v>55</v>
      </c>
      <c r="T970">
        <v>6</v>
      </c>
      <c r="U970">
        <v>1</v>
      </c>
      <c r="V970" t="s">
        <v>135</v>
      </c>
      <c r="W970">
        <v>0</v>
      </c>
      <c r="X970">
        <v>1095.73</v>
      </c>
      <c r="Y970">
        <v>98.33</v>
      </c>
      <c r="Z970">
        <v>7.36</v>
      </c>
      <c r="AA970">
        <v>1201.42</v>
      </c>
      <c r="AB970" t="s">
        <v>54</v>
      </c>
      <c r="AC970" t="s">
        <v>143</v>
      </c>
      <c r="AD970" t="s">
        <v>48</v>
      </c>
      <c r="AE970">
        <v>0</v>
      </c>
      <c r="AF970">
        <v>1.87</v>
      </c>
      <c r="AG970" t="s">
        <v>59</v>
      </c>
      <c r="AH970">
        <v>876053</v>
      </c>
      <c r="AI970" t="s">
        <v>60</v>
      </c>
      <c r="AJ970" t="s">
        <v>60</v>
      </c>
      <c r="AK970" t="s">
        <v>54</v>
      </c>
      <c r="AL970">
        <v>2024</v>
      </c>
      <c r="AM970" s="6" t="s">
        <v>1023</v>
      </c>
      <c r="AN970" s="7">
        <v>1095.73</v>
      </c>
      <c r="AO970" s="8">
        <f t="shared" si="45"/>
        <v>2054.4937500000001</v>
      </c>
      <c r="AP970" s="8">
        <f t="shared" si="46"/>
        <v>2282.54255625</v>
      </c>
      <c r="AQ970" s="9">
        <f t="shared" si="47"/>
        <v>3328.074425625</v>
      </c>
    </row>
    <row r="971" spans="1:43" x14ac:dyDescent="0.25">
      <c r="A971">
        <v>26</v>
      </c>
      <c r="B971">
        <v>12</v>
      </c>
      <c r="C971">
        <v>2024</v>
      </c>
      <c r="D971" t="s">
        <v>43</v>
      </c>
      <c r="E971" t="s">
        <v>222</v>
      </c>
      <c r="F971" t="s">
        <v>223</v>
      </c>
      <c r="G971">
        <v>50</v>
      </c>
      <c r="H971">
        <v>1791882490001</v>
      </c>
      <c r="I971" t="s">
        <v>46</v>
      </c>
      <c r="J971" t="s">
        <v>48</v>
      </c>
      <c r="K971" t="s">
        <v>48</v>
      </c>
      <c r="L971" t="s">
        <v>49</v>
      </c>
      <c r="M971" t="s">
        <v>50</v>
      </c>
      <c r="N971" t="s">
        <v>224</v>
      </c>
      <c r="O971">
        <v>7415290000</v>
      </c>
      <c r="P971" t="s">
        <v>52</v>
      </c>
      <c r="Q971" t="s">
        <v>1024</v>
      </c>
      <c r="R971" t="s">
        <v>54</v>
      </c>
      <c r="S971" t="s">
        <v>55</v>
      </c>
      <c r="T971">
        <v>8</v>
      </c>
      <c r="U971">
        <v>1</v>
      </c>
      <c r="V971" t="s">
        <v>56</v>
      </c>
      <c r="W971">
        <v>14.39</v>
      </c>
      <c r="X971">
        <v>78.790000000000006</v>
      </c>
      <c r="Y971">
        <v>16.32</v>
      </c>
      <c r="Z971">
        <v>0.79</v>
      </c>
      <c r="AA971">
        <v>95.9</v>
      </c>
      <c r="AB971" t="s">
        <v>57</v>
      </c>
      <c r="AC971" t="s">
        <v>225</v>
      </c>
      <c r="AD971" t="s">
        <v>48</v>
      </c>
      <c r="AE971">
        <v>0</v>
      </c>
      <c r="AF971">
        <v>2.06</v>
      </c>
      <c r="AG971" t="s">
        <v>59</v>
      </c>
      <c r="AH971">
        <v>341996</v>
      </c>
      <c r="AI971" t="s">
        <v>60</v>
      </c>
      <c r="AJ971" t="s">
        <v>60</v>
      </c>
      <c r="AK971" t="s">
        <v>54</v>
      </c>
      <c r="AL971">
        <v>2024</v>
      </c>
      <c r="AM971" s="6" t="s">
        <v>1025</v>
      </c>
      <c r="AN971" s="7">
        <v>78.790000000000006</v>
      </c>
      <c r="AO971" s="8">
        <f t="shared" si="45"/>
        <v>147.73125000000002</v>
      </c>
      <c r="AP971" s="8">
        <f t="shared" si="46"/>
        <v>164.12941875000001</v>
      </c>
      <c r="AQ971" s="9">
        <f t="shared" si="47"/>
        <v>239.30985187500002</v>
      </c>
    </row>
    <row r="972" spans="1:43" x14ac:dyDescent="0.25">
      <c r="A972">
        <v>8</v>
      </c>
      <c r="B972">
        <v>4</v>
      </c>
      <c r="C972">
        <v>2024</v>
      </c>
      <c r="D972" t="s">
        <v>43</v>
      </c>
      <c r="E972" t="s">
        <v>355</v>
      </c>
      <c r="F972" t="s">
        <v>356</v>
      </c>
      <c r="G972">
        <v>18</v>
      </c>
      <c r="H972">
        <v>1791882490001</v>
      </c>
      <c r="I972" t="s">
        <v>46</v>
      </c>
      <c r="J972" t="s">
        <v>65</v>
      </c>
      <c r="K972" t="s">
        <v>48</v>
      </c>
      <c r="L972" t="s">
        <v>119</v>
      </c>
      <c r="M972" t="s">
        <v>120</v>
      </c>
      <c r="N972" t="s">
        <v>121</v>
      </c>
      <c r="O972">
        <v>8421999000</v>
      </c>
      <c r="P972" t="s">
        <v>66</v>
      </c>
      <c r="Q972" t="s">
        <v>594</v>
      </c>
      <c r="R972" t="s">
        <v>54</v>
      </c>
      <c r="S972" t="s">
        <v>55</v>
      </c>
      <c r="T972">
        <v>10</v>
      </c>
      <c r="U972">
        <v>1</v>
      </c>
      <c r="V972" t="s">
        <v>135</v>
      </c>
      <c r="W972">
        <v>0</v>
      </c>
      <c r="X972">
        <v>1104.0899999999999</v>
      </c>
      <c r="Y972">
        <v>55.21</v>
      </c>
      <c r="Z972">
        <v>7.05</v>
      </c>
      <c r="AA972">
        <v>1166.3499999999999</v>
      </c>
      <c r="AB972" t="s">
        <v>359</v>
      </c>
      <c r="AC972" t="s">
        <v>125</v>
      </c>
      <c r="AD972" t="s">
        <v>48</v>
      </c>
      <c r="AE972">
        <v>1</v>
      </c>
      <c r="AF972">
        <v>13.62</v>
      </c>
      <c r="AG972" t="s">
        <v>59</v>
      </c>
      <c r="AH972">
        <v>882904</v>
      </c>
      <c r="AI972" t="s">
        <v>60</v>
      </c>
      <c r="AJ972" t="s">
        <v>60</v>
      </c>
      <c r="AK972" t="s">
        <v>54</v>
      </c>
      <c r="AL972">
        <v>2024</v>
      </c>
      <c r="AM972" s="6" t="s">
        <v>1026</v>
      </c>
      <c r="AN972" s="7">
        <v>1104.0899999999999</v>
      </c>
      <c r="AO972" s="8">
        <f t="shared" si="45"/>
        <v>2070.1687499999998</v>
      </c>
      <c r="AP972" s="8">
        <f t="shared" si="46"/>
        <v>2299.9574812499995</v>
      </c>
      <c r="AQ972" s="9">
        <f t="shared" si="47"/>
        <v>3353.4663581249997</v>
      </c>
    </row>
    <row r="973" spans="1:43" x14ac:dyDescent="0.25">
      <c r="A973">
        <v>13</v>
      </c>
      <c r="B973">
        <v>3</v>
      </c>
      <c r="C973">
        <v>2024</v>
      </c>
      <c r="D973" t="s">
        <v>43</v>
      </c>
      <c r="E973" t="s">
        <v>69</v>
      </c>
      <c r="F973" t="s">
        <v>70</v>
      </c>
      <c r="G973">
        <v>51</v>
      </c>
      <c r="H973">
        <v>1791882490001</v>
      </c>
      <c r="I973" t="s">
        <v>46</v>
      </c>
      <c r="J973" t="s">
        <v>65</v>
      </c>
      <c r="K973" t="s">
        <v>48</v>
      </c>
      <c r="L973" t="s">
        <v>49</v>
      </c>
      <c r="M973" t="s">
        <v>50</v>
      </c>
      <c r="N973" t="s">
        <v>51</v>
      </c>
      <c r="O973">
        <v>8421999000</v>
      </c>
      <c r="P973" t="s">
        <v>66</v>
      </c>
      <c r="Q973" t="s">
        <v>960</v>
      </c>
      <c r="R973" t="s">
        <v>54</v>
      </c>
      <c r="S973" t="s">
        <v>55</v>
      </c>
      <c r="T973">
        <v>11</v>
      </c>
      <c r="U973">
        <v>1</v>
      </c>
      <c r="V973" t="s">
        <v>135</v>
      </c>
      <c r="W973">
        <v>0</v>
      </c>
      <c r="X973">
        <v>870.61</v>
      </c>
      <c r="Y973">
        <v>114</v>
      </c>
      <c r="Z973">
        <v>5.86</v>
      </c>
      <c r="AA973">
        <v>990.47</v>
      </c>
      <c r="AB973" t="s">
        <v>54</v>
      </c>
      <c r="AC973" t="s">
        <v>71</v>
      </c>
      <c r="AD973" t="s">
        <v>48</v>
      </c>
      <c r="AE973">
        <v>0</v>
      </c>
      <c r="AF973">
        <v>2.04</v>
      </c>
      <c r="AG973" t="s">
        <v>59</v>
      </c>
      <c r="AH973">
        <v>895279</v>
      </c>
      <c r="AI973" t="s">
        <v>60</v>
      </c>
      <c r="AJ973" t="s">
        <v>60</v>
      </c>
      <c r="AK973" t="s">
        <v>54</v>
      </c>
      <c r="AL973">
        <v>2024</v>
      </c>
      <c r="AM973" s="6" t="s">
        <v>1027</v>
      </c>
      <c r="AN973" s="7">
        <v>870.61</v>
      </c>
      <c r="AO973" s="8">
        <f t="shared" si="45"/>
        <v>1632.39375</v>
      </c>
      <c r="AP973" s="8">
        <f t="shared" si="46"/>
        <v>1813.58945625</v>
      </c>
      <c r="AQ973" s="9">
        <f t="shared" si="47"/>
        <v>2644.3146356249999</v>
      </c>
    </row>
    <row r="974" spans="1:43" x14ac:dyDescent="0.25">
      <c r="A974">
        <v>8</v>
      </c>
      <c r="B974">
        <v>4</v>
      </c>
      <c r="C974">
        <v>2024</v>
      </c>
      <c r="D974" t="s">
        <v>43</v>
      </c>
      <c r="E974" t="s">
        <v>355</v>
      </c>
      <c r="F974" t="s">
        <v>356</v>
      </c>
      <c r="G974">
        <v>19</v>
      </c>
      <c r="H974">
        <v>1791882490001</v>
      </c>
      <c r="I974" t="s">
        <v>46</v>
      </c>
      <c r="J974" t="s">
        <v>65</v>
      </c>
      <c r="K974" t="s">
        <v>48</v>
      </c>
      <c r="L974" t="s">
        <v>119</v>
      </c>
      <c r="M974" t="s">
        <v>120</v>
      </c>
      <c r="N974" t="s">
        <v>121</v>
      </c>
      <c r="O974">
        <v>8421999000</v>
      </c>
      <c r="P974" t="s">
        <v>66</v>
      </c>
      <c r="Q974" t="s">
        <v>1028</v>
      </c>
      <c r="R974" t="s">
        <v>54</v>
      </c>
      <c r="S974" t="s">
        <v>55</v>
      </c>
      <c r="T974">
        <v>10</v>
      </c>
      <c r="U974">
        <v>2</v>
      </c>
      <c r="V974" t="s">
        <v>135</v>
      </c>
      <c r="W974">
        <v>0</v>
      </c>
      <c r="X974">
        <v>1726.33</v>
      </c>
      <c r="Y974">
        <v>86.32</v>
      </c>
      <c r="Z974">
        <v>11.02</v>
      </c>
      <c r="AA974">
        <v>1823.68</v>
      </c>
      <c r="AB974" t="s">
        <v>359</v>
      </c>
      <c r="AC974" t="s">
        <v>125</v>
      </c>
      <c r="AD974" t="s">
        <v>48</v>
      </c>
      <c r="AE974">
        <v>1</v>
      </c>
      <c r="AF974">
        <v>27.25</v>
      </c>
      <c r="AG974" t="s">
        <v>59</v>
      </c>
      <c r="AH974">
        <v>882904</v>
      </c>
      <c r="AI974" t="s">
        <v>60</v>
      </c>
      <c r="AJ974" t="s">
        <v>60</v>
      </c>
      <c r="AK974" t="s">
        <v>54</v>
      </c>
      <c r="AL974">
        <v>2024</v>
      </c>
      <c r="AM974" s="6" t="s">
        <v>1027</v>
      </c>
      <c r="AN974" s="7">
        <v>863.16</v>
      </c>
      <c r="AO974" s="8">
        <f t="shared" si="45"/>
        <v>1618.425</v>
      </c>
      <c r="AP974" s="8">
        <f t="shared" si="46"/>
        <v>1798.0701749999998</v>
      </c>
      <c r="AQ974" s="9">
        <f t="shared" si="47"/>
        <v>2621.6866574999999</v>
      </c>
    </row>
    <row r="975" spans="1:43" x14ac:dyDescent="0.25">
      <c r="A975">
        <v>20</v>
      </c>
      <c r="B975">
        <v>2</v>
      </c>
      <c r="C975">
        <v>2024</v>
      </c>
      <c r="D975" t="s">
        <v>43</v>
      </c>
      <c r="E975" t="s">
        <v>140</v>
      </c>
      <c r="F975" t="s">
        <v>141</v>
      </c>
      <c r="G975">
        <v>64</v>
      </c>
      <c r="H975">
        <v>1791882490001</v>
      </c>
      <c r="I975" t="s">
        <v>46</v>
      </c>
      <c r="J975" t="s">
        <v>48</v>
      </c>
      <c r="K975" t="s">
        <v>48</v>
      </c>
      <c r="L975" t="s">
        <v>49</v>
      </c>
      <c r="M975" t="s">
        <v>50</v>
      </c>
      <c r="N975" t="s">
        <v>51</v>
      </c>
      <c r="O975">
        <v>8421999000</v>
      </c>
      <c r="P975" t="s">
        <v>66</v>
      </c>
      <c r="Q975" t="s">
        <v>1029</v>
      </c>
      <c r="R975" t="s">
        <v>54</v>
      </c>
      <c r="S975" t="s">
        <v>55</v>
      </c>
      <c r="T975">
        <v>6</v>
      </c>
      <c r="U975">
        <v>2</v>
      </c>
      <c r="V975" t="s">
        <v>135</v>
      </c>
      <c r="W975">
        <v>0</v>
      </c>
      <c r="X975">
        <v>637.53</v>
      </c>
      <c r="Y975">
        <v>57.21</v>
      </c>
      <c r="Z975">
        <v>4.28</v>
      </c>
      <c r="AA975">
        <v>699.02</v>
      </c>
      <c r="AB975" t="s">
        <v>54</v>
      </c>
      <c r="AC975" t="s">
        <v>143</v>
      </c>
      <c r="AD975" t="s">
        <v>48</v>
      </c>
      <c r="AE975">
        <v>0</v>
      </c>
      <c r="AF975">
        <v>3.74</v>
      </c>
      <c r="AG975" t="s">
        <v>59</v>
      </c>
      <c r="AH975">
        <v>876053</v>
      </c>
      <c r="AI975" t="s">
        <v>60</v>
      </c>
      <c r="AJ975" t="s">
        <v>60</v>
      </c>
      <c r="AK975" t="s">
        <v>54</v>
      </c>
      <c r="AL975">
        <v>2024</v>
      </c>
      <c r="AM975" s="6" t="s">
        <v>1030</v>
      </c>
      <c r="AN975" s="7">
        <v>318.76</v>
      </c>
      <c r="AO975" s="8">
        <f t="shared" si="45"/>
        <v>597.67499999999995</v>
      </c>
      <c r="AP975" s="8">
        <f t="shared" si="46"/>
        <v>664.0169249999999</v>
      </c>
      <c r="AQ975" s="9">
        <f t="shared" si="47"/>
        <v>968.17373249999991</v>
      </c>
    </row>
    <row r="976" spans="1:43" x14ac:dyDescent="0.25">
      <c r="A976">
        <v>13</v>
      </c>
      <c r="B976">
        <v>3</v>
      </c>
      <c r="C976">
        <v>2024</v>
      </c>
      <c r="D976" t="s">
        <v>43</v>
      </c>
      <c r="E976" t="s">
        <v>69</v>
      </c>
      <c r="F976" t="s">
        <v>70</v>
      </c>
      <c r="G976">
        <v>52</v>
      </c>
      <c r="H976">
        <v>1791882490001</v>
      </c>
      <c r="I976" t="s">
        <v>46</v>
      </c>
      <c r="J976" t="s">
        <v>48</v>
      </c>
      <c r="K976" t="s">
        <v>48</v>
      </c>
      <c r="L976" t="s">
        <v>49</v>
      </c>
      <c r="M976" t="s">
        <v>50</v>
      </c>
      <c r="N976" t="s">
        <v>51</v>
      </c>
      <c r="O976">
        <v>8413919099</v>
      </c>
      <c r="P976" t="s">
        <v>103</v>
      </c>
      <c r="Q976" t="s">
        <v>1031</v>
      </c>
      <c r="R976" t="s">
        <v>54</v>
      </c>
      <c r="S976" t="s">
        <v>55</v>
      </c>
      <c r="T976">
        <v>11</v>
      </c>
      <c r="U976">
        <v>1</v>
      </c>
      <c r="V976" t="s">
        <v>135</v>
      </c>
      <c r="W976">
        <v>9.15</v>
      </c>
      <c r="X976">
        <v>574.41</v>
      </c>
      <c r="Y976">
        <v>75.22</v>
      </c>
      <c r="Z976">
        <v>3.87</v>
      </c>
      <c r="AA976">
        <v>653.49</v>
      </c>
      <c r="AB976" t="s">
        <v>54</v>
      </c>
      <c r="AC976" t="s">
        <v>71</v>
      </c>
      <c r="AD976" t="s">
        <v>48</v>
      </c>
      <c r="AE976">
        <v>0</v>
      </c>
      <c r="AF976">
        <v>2.04</v>
      </c>
      <c r="AG976" t="s">
        <v>59</v>
      </c>
      <c r="AH976">
        <v>895279</v>
      </c>
      <c r="AI976" t="s">
        <v>60</v>
      </c>
      <c r="AJ976" t="s">
        <v>60</v>
      </c>
      <c r="AK976" t="s">
        <v>54</v>
      </c>
      <c r="AL976">
        <v>2024</v>
      </c>
      <c r="AM976" s="6" t="s">
        <v>1032</v>
      </c>
      <c r="AN976" s="7">
        <v>574.41</v>
      </c>
      <c r="AO976" s="8">
        <f t="shared" si="45"/>
        <v>1077.01875</v>
      </c>
      <c r="AP976" s="8">
        <f t="shared" si="46"/>
        <v>1196.5678312499999</v>
      </c>
      <c r="AQ976" s="9">
        <f t="shared" si="47"/>
        <v>1744.6626731249999</v>
      </c>
    </row>
    <row r="977" spans="1:43" x14ac:dyDescent="0.25">
      <c r="A977">
        <v>26</v>
      </c>
      <c r="B977">
        <v>12</v>
      </c>
      <c r="C977">
        <v>2024</v>
      </c>
      <c r="D977" t="s">
        <v>43</v>
      </c>
      <c r="E977" t="s">
        <v>222</v>
      </c>
      <c r="F977" t="s">
        <v>223</v>
      </c>
      <c r="G977">
        <v>51</v>
      </c>
      <c r="H977">
        <v>1791882490001</v>
      </c>
      <c r="I977" t="s">
        <v>46</v>
      </c>
      <c r="J977" t="s">
        <v>48</v>
      </c>
      <c r="K977" t="s">
        <v>48</v>
      </c>
      <c r="L977" t="s">
        <v>49</v>
      </c>
      <c r="M977" t="s">
        <v>50</v>
      </c>
      <c r="N977" t="s">
        <v>224</v>
      </c>
      <c r="O977">
        <v>8484900000</v>
      </c>
      <c r="P977" t="s">
        <v>221</v>
      </c>
      <c r="Q977" t="s">
        <v>1033</v>
      </c>
      <c r="R977" t="s">
        <v>54</v>
      </c>
      <c r="S977" t="s">
        <v>55</v>
      </c>
      <c r="T977">
        <v>8</v>
      </c>
      <c r="U977">
        <v>2</v>
      </c>
      <c r="V977" t="s">
        <v>135</v>
      </c>
      <c r="W977">
        <v>0</v>
      </c>
      <c r="X977">
        <v>286.41000000000003</v>
      </c>
      <c r="Y977">
        <v>59.31</v>
      </c>
      <c r="Z977">
        <v>2.86</v>
      </c>
      <c r="AA977">
        <v>348.58</v>
      </c>
      <c r="AB977" t="s">
        <v>57</v>
      </c>
      <c r="AC977" t="s">
        <v>225</v>
      </c>
      <c r="AD977" t="s">
        <v>48</v>
      </c>
      <c r="AE977">
        <v>0</v>
      </c>
      <c r="AF977">
        <v>4.12</v>
      </c>
      <c r="AG977" t="s">
        <v>59</v>
      </c>
      <c r="AH977">
        <v>341996</v>
      </c>
      <c r="AI977" t="s">
        <v>60</v>
      </c>
      <c r="AJ977" t="s">
        <v>60</v>
      </c>
      <c r="AK977" t="s">
        <v>54</v>
      </c>
      <c r="AL977">
        <v>2024</v>
      </c>
      <c r="AM977" s="6" t="s">
        <v>1034</v>
      </c>
      <c r="AN977" s="7">
        <v>143.19999999999999</v>
      </c>
      <c r="AO977" s="8">
        <f t="shared" si="45"/>
        <v>268.5</v>
      </c>
      <c r="AP977" s="8">
        <f t="shared" si="46"/>
        <v>298.30349999999999</v>
      </c>
      <c r="AQ977" s="9">
        <f t="shared" si="47"/>
        <v>434.94314999999995</v>
      </c>
    </row>
    <row r="978" spans="1:43" x14ac:dyDescent="0.25">
      <c r="A978">
        <v>16</v>
      </c>
      <c r="B978">
        <v>1</v>
      </c>
      <c r="C978">
        <v>2024</v>
      </c>
      <c r="D978" t="s">
        <v>43</v>
      </c>
      <c r="E978" t="s">
        <v>191</v>
      </c>
      <c r="F978" t="s">
        <v>192</v>
      </c>
      <c r="G978">
        <v>23</v>
      </c>
      <c r="H978">
        <v>1791882490001</v>
      </c>
      <c r="I978" t="s">
        <v>46</v>
      </c>
      <c r="J978" t="s">
        <v>65</v>
      </c>
      <c r="K978" t="s">
        <v>48</v>
      </c>
      <c r="L978" t="s">
        <v>49</v>
      </c>
      <c r="M978" t="s">
        <v>50</v>
      </c>
      <c r="N978" t="s">
        <v>51</v>
      </c>
      <c r="O978">
        <v>8421999000</v>
      </c>
      <c r="P978" t="s">
        <v>52</v>
      </c>
      <c r="Q978" t="s">
        <v>261</v>
      </c>
      <c r="R978" t="s">
        <v>54</v>
      </c>
      <c r="S978" t="s">
        <v>55</v>
      </c>
      <c r="T978">
        <v>11</v>
      </c>
      <c r="U978">
        <v>1</v>
      </c>
      <c r="V978" t="s">
        <v>135</v>
      </c>
      <c r="W978">
        <v>0</v>
      </c>
      <c r="X978">
        <v>888.77</v>
      </c>
      <c r="Y978">
        <v>58.31</v>
      </c>
      <c r="Z978">
        <v>5.74</v>
      </c>
      <c r="AA978">
        <v>952.82</v>
      </c>
      <c r="AB978" t="s">
        <v>57</v>
      </c>
      <c r="AC978" t="s">
        <v>81</v>
      </c>
      <c r="AD978" t="s">
        <v>48</v>
      </c>
      <c r="AE978">
        <v>0</v>
      </c>
      <c r="AF978">
        <v>2.86</v>
      </c>
      <c r="AG978" t="s">
        <v>59</v>
      </c>
      <c r="AH978">
        <v>850332</v>
      </c>
      <c r="AI978" t="s">
        <v>60</v>
      </c>
      <c r="AJ978" t="s">
        <v>60</v>
      </c>
      <c r="AK978" t="s">
        <v>54</v>
      </c>
      <c r="AL978">
        <v>2023</v>
      </c>
      <c r="AM978" s="6" t="s">
        <v>1035</v>
      </c>
      <c r="AN978" s="7">
        <v>888.77</v>
      </c>
      <c r="AO978" s="8">
        <f t="shared" si="45"/>
        <v>1666.4437499999999</v>
      </c>
      <c r="AP978" s="8">
        <f t="shared" si="46"/>
        <v>1851.4190062499999</v>
      </c>
      <c r="AQ978" s="9">
        <f t="shared" si="47"/>
        <v>2699.4722306249996</v>
      </c>
    </row>
    <row r="979" spans="1:43" x14ac:dyDescent="0.25">
      <c r="A979">
        <v>20</v>
      </c>
      <c r="B979">
        <v>2</v>
      </c>
      <c r="C979">
        <v>2024</v>
      </c>
      <c r="D979" t="s">
        <v>43</v>
      </c>
      <c r="E979" t="s">
        <v>140</v>
      </c>
      <c r="F979" t="s">
        <v>141</v>
      </c>
      <c r="G979">
        <v>65</v>
      </c>
      <c r="H979">
        <v>1791882490001</v>
      </c>
      <c r="I979" t="s">
        <v>46</v>
      </c>
      <c r="J979" t="s">
        <v>48</v>
      </c>
      <c r="K979" t="s">
        <v>48</v>
      </c>
      <c r="L979" t="s">
        <v>49</v>
      </c>
      <c r="M979" t="s">
        <v>50</v>
      </c>
      <c r="N979" t="s">
        <v>51</v>
      </c>
      <c r="O979">
        <v>8421999000</v>
      </c>
      <c r="P979" t="s">
        <v>66</v>
      </c>
      <c r="Q979" t="s">
        <v>1029</v>
      </c>
      <c r="R979" t="s">
        <v>54</v>
      </c>
      <c r="S979" t="s">
        <v>55</v>
      </c>
      <c r="T979">
        <v>6</v>
      </c>
      <c r="U979">
        <v>1</v>
      </c>
      <c r="V979" t="s">
        <v>135</v>
      </c>
      <c r="W979">
        <v>0</v>
      </c>
      <c r="X979">
        <v>2372.41</v>
      </c>
      <c r="Y979">
        <v>212.89</v>
      </c>
      <c r="Z979">
        <v>15.94</v>
      </c>
      <c r="AA979">
        <v>2601.25</v>
      </c>
      <c r="AB979" t="s">
        <v>54</v>
      </c>
      <c r="AC979" t="s">
        <v>143</v>
      </c>
      <c r="AD979" t="s">
        <v>48</v>
      </c>
      <c r="AE979">
        <v>0</v>
      </c>
      <c r="AF979">
        <v>1.87</v>
      </c>
      <c r="AG979" t="s">
        <v>59</v>
      </c>
      <c r="AH979">
        <v>876053</v>
      </c>
      <c r="AI979" t="s">
        <v>60</v>
      </c>
      <c r="AJ979" t="s">
        <v>60</v>
      </c>
      <c r="AK979" t="s">
        <v>54</v>
      </c>
      <c r="AL979">
        <v>2024</v>
      </c>
      <c r="AM979" s="6" t="s">
        <v>1036</v>
      </c>
      <c r="AN979" s="7">
        <v>2372.41</v>
      </c>
      <c r="AO979" s="8">
        <f t="shared" si="45"/>
        <v>4448.2687499999993</v>
      </c>
      <c r="AP979" s="8">
        <f t="shared" si="46"/>
        <v>4942.0265812499993</v>
      </c>
      <c r="AQ979" s="9">
        <f t="shared" si="47"/>
        <v>7205.7505481249982</v>
      </c>
    </row>
    <row r="980" spans="1:43" x14ac:dyDescent="0.25">
      <c r="A980">
        <v>16</v>
      </c>
      <c r="B980">
        <v>1</v>
      </c>
      <c r="C980">
        <v>2024</v>
      </c>
      <c r="D980" t="s">
        <v>43</v>
      </c>
      <c r="E980" t="s">
        <v>191</v>
      </c>
      <c r="F980" t="s">
        <v>192</v>
      </c>
      <c r="G980">
        <v>24</v>
      </c>
      <c r="H980">
        <v>1791882490001</v>
      </c>
      <c r="I980" t="s">
        <v>46</v>
      </c>
      <c r="J980" t="s">
        <v>48</v>
      </c>
      <c r="K980" t="s">
        <v>48</v>
      </c>
      <c r="L980" t="s">
        <v>49</v>
      </c>
      <c r="M980" t="s">
        <v>50</v>
      </c>
      <c r="N980" t="s">
        <v>51</v>
      </c>
      <c r="O980">
        <v>8421299090</v>
      </c>
      <c r="P980" t="s">
        <v>213</v>
      </c>
      <c r="Q980" t="s">
        <v>301</v>
      </c>
      <c r="R980" t="s">
        <v>54</v>
      </c>
      <c r="S980" t="s">
        <v>55</v>
      </c>
      <c r="T980">
        <v>11</v>
      </c>
      <c r="U980">
        <v>8</v>
      </c>
      <c r="V980" t="s">
        <v>135</v>
      </c>
      <c r="W980">
        <v>0</v>
      </c>
      <c r="X980">
        <v>2398.1</v>
      </c>
      <c r="Y980">
        <v>157.35</v>
      </c>
      <c r="Z980">
        <v>15.48</v>
      </c>
      <c r="AA980">
        <v>2570.92</v>
      </c>
      <c r="AB980" t="s">
        <v>57</v>
      </c>
      <c r="AC980" t="s">
        <v>81</v>
      </c>
      <c r="AD980" t="s">
        <v>48</v>
      </c>
      <c r="AE980">
        <v>0</v>
      </c>
      <c r="AF980">
        <v>22.84</v>
      </c>
      <c r="AG980" t="s">
        <v>59</v>
      </c>
      <c r="AH980">
        <v>850332</v>
      </c>
      <c r="AI980" t="s">
        <v>60</v>
      </c>
      <c r="AJ980" t="s">
        <v>60</v>
      </c>
      <c r="AK980" t="s">
        <v>54</v>
      </c>
      <c r="AL980">
        <v>2023</v>
      </c>
      <c r="AM980" s="6" t="s">
        <v>1037</v>
      </c>
      <c r="AN980" s="7">
        <v>299.76</v>
      </c>
      <c r="AO980" s="8">
        <f t="shared" si="45"/>
        <v>562.04999999999995</v>
      </c>
      <c r="AP980" s="8">
        <f t="shared" si="46"/>
        <v>624.43754999999999</v>
      </c>
      <c r="AQ980" s="9">
        <f t="shared" si="47"/>
        <v>910.46479499999987</v>
      </c>
    </row>
    <row r="981" spans="1:43" x14ac:dyDescent="0.25">
      <c r="A981">
        <v>1</v>
      </c>
      <c r="B981">
        <v>2</v>
      </c>
      <c r="C981">
        <v>2024</v>
      </c>
      <c r="D981" t="s">
        <v>43</v>
      </c>
      <c r="E981" t="s">
        <v>174</v>
      </c>
      <c r="F981" t="s">
        <v>175</v>
      </c>
      <c r="G981">
        <v>45</v>
      </c>
      <c r="H981">
        <v>1791882490001</v>
      </c>
      <c r="I981" t="s">
        <v>46</v>
      </c>
      <c r="J981" t="s">
        <v>48</v>
      </c>
      <c r="K981" t="s">
        <v>48</v>
      </c>
      <c r="L981" t="s">
        <v>49</v>
      </c>
      <c r="M981" t="s">
        <v>50</v>
      </c>
      <c r="N981" t="s">
        <v>51</v>
      </c>
      <c r="O981">
        <v>8421299090</v>
      </c>
      <c r="P981" t="s">
        <v>303</v>
      </c>
      <c r="Q981" t="s">
        <v>301</v>
      </c>
      <c r="R981" t="s">
        <v>54</v>
      </c>
      <c r="S981" t="s">
        <v>55</v>
      </c>
      <c r="T981">
        <v>5</v>
      </c>
      <c r="U981">
        <v>4</v>
      </c>
      <c r="V981" t="s">
        <v>135</v>
      </c>
      <c r="W981">
        <v>0</v>
      </c>
      <c r="X981">
        <v>1203.98</v>
      </c>
      <c r="Y981">
        <v>89.5</v>
      </c>
      <c r="Z981">
        <v>7.19</v>
      </c>
      <c r="AA981">
        <v>1300.68</v>
      </c>
      <c r="AB981" t="s">
        <v>54</v>
      </c>
      <c r="AC981" t="s">
        <v>94</v>
      </c>
      <c r="AD981" t="s">
        <v>48</v>
      </c>
      <c r="AE981">
        <v>0</v>
      </c>
      <c r="AF981">
        <v>7.94</v>
      </c>
      <c r="AG981" t="s">
        <v>59</v>
      </c>
      <c r="AH981">
        <v>863266</v>
      </c>
      <c r="AI981" t="s">
        <v>60</v>
      </c>
      <c r="AJ981" t="s">
        <v>60</v>
      </c>
      <c r="AK981" t="s">
        <v>54</v>
      </c>
      <c r="AL981">
        <v>2023</v>
      </c>
      <c r="AM981" s="6" t="s">
        <v>1037</v>
      </c>
      <c r="AN981" s="7">
        <v>301</v>
      </c>
      <c r="AO981" s="8">
        <f t="shared" si="45"/>
        <v>564.375</v>
      </c>
      <c r="AP981" s="8">
        <f t="shared" si="46"/>
        <v>627.020625</v>
      </c>
      <c r="AQ981" s="9">
        <f t="shared" si="47"/>
        <v>914.23106249999989</v>
      </c>
    </row>
    <row r="982" spans="1:43" x14ac:dyDescent="0.25">
      <c r="A982">
        <v>26</v>
      </c>
      <c r="B982">
        <v>12</v>
      </c>
      <c r="C982">
        <v>2024</v>
      </c>
      <c r="D982" t="s">
        <v>43</v>
      </c>
      <c r="E982" t="s">
        <v>222</v>
      </c>
      <c r="F982" t="s">
        <v>223</v>
      </c>
      <c r="G982">
        <v>52</v>
      </c>
      <c r="H982">
        <v>1791882490001</v>
      </c>
      <c r="I982" t="s">
        <v>46</v>
      </c>
      <c r="J982" t="s">
        <v>48</v>
      </c>
      <c r="K982" t="s">
        <v>48</v>
      </c>
      <c r="L982" t="s">
        <v>49</v>
      </c>
      <c r="M982" t="s">
        <v>50</v>
      </c>
      <c r="N982" t="s">
        <v>224</v>
      </c>
      <c r="O982">
        <v>8421299090</v>
      </c>
      <c r="P982" t="s">
        <v>52</v>
      </c>
      <c r="Q982" t="s">
        <v>301</v>
      </c>
      <c r="R982" t="s">
        <v>54</v>
      </c>
      <c r="S982" t="s">
        <v>55</v>
      </c>
      <c r="T982">
        <v>8</v>
      </c>
      <c r="U982">
        <v>4</v>
      </c>
      <c r="V982" t="s">
        <v>135</v>
      </c>
      <c r="W982">
        <v>0</v>
      </c>
      <c r="X982">
        <v>1320.68</v>
      </c>
      <c r="Y982">
        <v>273.51</v>
      </c>
      <c r="Z982">
        <v>13.21</v>
      </c>
      <c r="AA982">
        <v>1607.39</v>
      </c>
      <c r="AB982" t="s">
        <v>57</v>
      </c>
      <c r="AC982" t="s">
        <v>225</v>
      </c>
      <c r="AD982" t="s">
        <v>48</v>
      </c>
      <c r="AE982">
        <v>0</v>
      </c>
      <c r="AF982">
        <v>8.24</v>
      </c>
      <c r="AG982" t="s">
        <v>59</v>
      </c>
      <c r="AH982">
        <v>341996</v>
      </c>
      <c r="AI982" t="s">
        <v>60</v>
      </c>
      <c r="AJ982" t="s">
        <v>60</v>
      </c>
      <c r="AK982" t="s">
        <v>54</v>
      </c>
      <c r="AL982">
        <v>2024</v>
      </c>
      <c r="AM982" s="6" t="s">
        <v>1037</v>
      </c>
      <c r="AN982" s="7">
        <v>330.17</v>
      </c>
      <c r="AO982" s="8">
        <f t="shared" si="45"/>
        <v>619.06875000000002</v>
      </c>
      <c r="AP982" s="8">
        <f t="shared" si="46"/>
        <v>687.78538125</v>
      </c>
      <c r="AQ982" s="9">
        <f t="shared" si="47"/>
        <v>1002.8294681249999</v>
      </c>
    </row>
    <row r="983" spans="1:43" x14ac:dyDescent="0.25">
      <c r="A983">
        <v>16</v>
      </c>
      <c r="B983">
        <v>1</v>
      </c>
      <c r="C983">
        <v>2024</v>
      </c>
      <c r="D983" t="s">
        <v>43</v>
      </c>
      <c r="E983" t="s">
        <v>191</v>
      </c>
      <c r="F983" t="s">
        <v>192</v>
      </c>
      <c r="G983">
        <v>25</v>
      </c>
      <c r="H983">
        <v>1791882490001</v>
      </c>
      <c r="I983" t="s">
        <v>46</v>
      </c>
      <c r="J983" t="s">
        <v>48</v>
      </c>
      <c r="K983" t="s">
        <v>48</v>
      </c>
      <c r="L983" t="s">
        <v>49</v>
      </c>
      <c r="M983" t="s">
        <v>50</v>
      </c>
      <c r="N983" t="s">
        <v>51</v>
      </c>
      <c r="O983">
        <v>8421999000</v>
      </c>
      <c r="P983" t="s">
        <v>52</v>
      </c>
      <c r="Q983" t="s">
        <v>594</v>
      </c>
      <c r="R983" t="s">
        <v>54</v>
      </c>
      <c r="S983" t="s">
        <v>55</v>
      </c>
      <c r="T983">
        <v>11</v>
      </c>
      <c r="U983">
        <v>2</v>
      </c>
      <c r="V983" t="s">
        <v>135</v>
      </c>
      <c r="W983">
        <v>0</v>
      </c>
      <c r="X983">
        <v>1708.14</v>
      </c>
      <c r="Y983">
        <v>112.07</v>
      </c>
      <c r="Z983">
        <v>11.03</v>
      </c>
      <c r="AA983">
        <v>1831.24</v>
      </c>
      <c r="AB983" t="s">
        <v>57</v>
      </c>
      <c r="AC983" t="s">
        <v>81</v>
      </c>
      <c r="AD983" t="s">
        <v>48</v>
      </c>
      <c r="AE983">
        <v>0</v>
      </c>
      <c r="AF983">
        <v>5.71</v>
      </c>
      <c r="AG983" t="s">
        <v>59</v>
      </c>
      <c r="AH983">
        <v>850332</v>
      </c>
      <c r="AI983" t="s">
        <v>60</v>
      </c>
      <c r="AJ983" t="s">
        <v>60</v>
      </c>
      <c r="AK983" t="s">
        <v>54</v>
      </c>
      <c r="AL983">
        <v>2023</v>
      </c>
      <c r="AM983" s="6" t="s">
        <v>1038</v>
      </c>
      <c r="AN983" s="7">
        <v>854.07</v>
      </c>
      <c r="AO983" s="8">
        <f t="shared" si="45"/>
        <v>1601.3812500000001</v>
      </c>
      <c r="AP983" s="8">
        <f t="shared" si="46"/>
        <v>1779.1345687500002</v>
      </c>
      <c r="AQ983" s="9">
        <f t="shared" si="47"/>
        <v>2594.077486875</v>
      </c>
    </row>
    <row r="984" spans="1:43" x14ac:dyDescent="0.25">
      <c r="A984">
        <v>8</v>
      </c>
      <c r="B984">
        <v>4</v>
      </c>
      <c r="C984">
        <v>2024</v>
      </c>
      <c r="D984" t="s">
        <v>43</v>
      </c>
      <c r="E984" t="s">
        <v>355</v>
      </c>
      <c r="F984" t="s">
        <v>356</v>
      </c>
      <c r="G984">
        <v>20</v>
      </c>
      <c r="H984">
        <v>1791882490001</v>
      </c>
      <c r="I984" t="s">
        <v>46</v>
      </c>
      <c r="J984" t="s">
        <v>48</v>
      </c>
      <c r="K984" t="s">
        <v>48</v>
      </c>
      <c r="L984" t="s">
        <v>119</v>
      </c>
      <c r="M984" t="s">
        <v>120</v>
      </c>
      <c r="N984" t="s">
        <v>121</v>
      </c>
      <c r="O984">
        <v>8421999000</v>
      </c>
      <c r="P984" t="s">
        <v>66</v>
      </c>
      <c r="Q984" t="s">
        <v>594</v>
      </c>
      <c r="R984" t="s">
        <v>54</v>
      </c>
      <c r="S984" t="s">
        <v>55</v>
      </c>
      <c r="T984">
        <v>10</v>
      </c>
      <c r="U984">
        <v>1</v>
      </c>
      <c r="V984" t="s">
        <v>135</v>
      </c>
      <c r="W984">
        <v>0</v>
      </c>
      <c r="X984">
        <v>917.7</v>
      </c>
      <c r="Y984">
        <v>45.89</v>
      </c>
      <c r="Z984">
        <v>5.86</v>
      </c>
      <c r="AA984">
        <v>969.45</v>
      </c>
      <c r="AB984" t="s">
        <v>359</v>
      </c>
      <c r="AC984" t="s">
        <v>125</v>
      </c>
      <c r="AD984" t="s">
        <v>48</v>
      </c>
      <c r="AE984">
        <v>1</v>
      </c>
      <c r="AF984">
        <v>13.62</v>
      </c>
      <c r="AG984" t="s">
        <v>59</v>
      </c>
      <c r="AH984">
        <v>882904</v>
      </c>
      <c r="AI984" t="s">
        <v>60</v>
      </c>
      <c r="AJ984" t="s">
        <v>60</v>
      </c>
      <c r="AK984" t="s">
        <v>54</v>
      </c>
      <c r="AL984">
        <v>2024</v>
      </c>
      <c r="AM984" s="6" t="s">
        <v>1038</v>
      </c>
      <c r="AN984" s="7">
        <v>917.7</v>
      </c>
      <c r="AO984" s="8">
        <f t="shared" si="45"/>
        <v>1720.6875</v>
      </c>
      <c r="AP984" s="8">
        <f t="shared" si="46"/>
        <v>1911.6838124999999</v>
      </c>
      <c r="AQ984" s="9">
        <f t="shared" si="47"/>
        <v>2787.34168125</v>
      </c>
    </row>
    <row r="985" spans="1:43" x14ac:dyDescent="0.25">
      <c r="A985">
        <v>15</v>
      </c>
      <c r="B985">
        <v>4</v>
      </c>
      <c r="C985">
        <v>2024</v>
      </c>
      <c r="D985" t="s">
        <v>43</v>
      </c>
      <c r="E985" t="s">
        <v>63</v>
      </c>
      <c r="F985" t="s">
        <v>64</v>
      </c>
      <c r="G985">
        <v>66</v>
      </c>
      <c r="H985">
        <v>1791882490001</v>
      </c>
      <c r="I985" t="s">
        <v>46</v>
      </c>
      <c r="J985" t="s">
        <v>48</v>
      </c>
      <c r="K985" t="s">
        <v>48</v>
      </c>
      <c r="L985" t="s">
        <v>49</v>
      </c>
      <c r="M985" t="s">
        <v>50</v>
      </c>
      <c r="N985" t="s">
        <v>51</v>
      </c>
      <c r="O985">
        <v>8421999000</v>
      </c>
      <c r="P985" t="s">
        <v>66</v>
      </c>
      <c r="Q985" t="s">
        <v>594</v>
      </c>
      <c r="R985" t="s">
        <v>54</v>
      </c>
      <c r="S985" t="s">
        <v>55</v>
      </c>
      <c r="T985">
        <v>6</v>
      </c>
      <c r="U985">
        <v>1</v>
      </c>
      <c r="V985" t="s">
        <v>135</v>
      </c>
      <c r="W985">
        <v>0</v>
      </c>
      <c r="X985">
        <v>986.52</v>
      </c>
      <c r="Y985">
        <v>103.84</v>
      </c>
      <c r="Z985">
        <v>6.62</v>
      </c>
      <c r="AA985">
        <v>1096.99</v>
      </c>
      <c r="AB985" t="s">
        <v>57</v>
      </c>
      <c r="AC985" t="s">
        <v>58</v>
      </c>
      <c r="AD985" t="s">
        <v>48</v>
      </c>
      <c r="AE985">
        <v>0</v>
      </c>
      <c r="AF985">
        <v>9.4499999999999993</v>
      </c>
      <c r="AG985" t="s">
        <v>59</v>
      </c>
      <c r="AH985">
        <v>443965</v>
      </c>
      <c r="AI985" t="s">
        <v>60</v>
      </c>
      <c r="AJ985" t="s">
        <v>60</v>
      </c>
      <c r="AK985" t="s">
        <v>54</v>
      </c>
      <c r="AL985">
        <v>2024</v>
      </c>
      <c r="AM985" s="6" t="s">
        <v>1038</v>
      </c>
      <c r="AN985" s="7">
        <v>986.52</v>
      </c>
      <c r="AO985" s="8">
        <f t="shared" si="45"/>
        <v>1849.7249999999999</v>
      </c>
      <c r="AP985" s="8">
        <f t="shared" si="46"/>
        <v>2055.0444749999997</v>
      </c>
      <c r="AQ985" s="9">
        <f t="shared" si="47"/>
        <v>2996.3695274999995</v>
      </c>
    </row>
    <row r="986" spans="1:43" x14ac:dyDescent="0.25">
      <c r="A986">
        <v>11</v>
      </c>
      <c r="B986">
        <v>7</v>
      </c>
      <c r="C986">
        <v>2024</v>
      </c>
      <c r="D986" t="s">
        <v>43</v>
      </c>
      <c r="E986" t="s">
        <v>116</v>
      </c>
      <c r="F986" t="s">
        <v>117</v>
      </c>
      <c r="G986">
        <v>33</v>
      </c>
      <c r="H986">
        <v>1791882490001</v>
      </c>
      <c r="I986" t="s">
        <v>46</v>
      </c>
      <c r="J986" t="s">
        <v>48</v>
      </c>
      <c r="K986" t="s">
        <v>48</v>
      </c>
      <c r="L986" t="s">
        <v>119</v>
      </c>
      <c r="M986" t="s">
        <v>120</v>
      </c>
      <c r="N986" t="s">
        <v>121</v>
      </c>
      <c r="O986">
        <v>8421999000</v>
      </c>
      <c r="P986" t="s">
        <v>66</v>
      </c>
      <c r="Q986" t="s">
        <v>594</v>
      </c>
      <c r="R986" t="s">
        <v>54</v>
      </c>
      <c r="S986" t="s">
        <v>55</v>
      </c>
      <c r="T986">
        <v>9</v>
      </c>
      <c r="U986">
        <v>2</v>
      </c>
      <c r="V986" t="s">
        <v>135</v>
      </c>
      <c r="W986">
        <v>0</v>
      </c>
      <c r="X986">
        <v>1982.58</v>
      </c>
      <c r="Y986">
        <v>178.55</v>
      </c>
      <c r="Z986">
        <v>13.31</v>
      </c>
      <c r="AA986">
        <v>2174.44</v>
      </c>
      <c r="AB986" t="s">
        <v>124</v>
      </c>
      <c r="AC986" t="s">
        <v>125</v>
      </c>
      <c r="AD986" t="s">
        <v>48</v>
      </c>
      <c r="AE986">
        <v>0</v>
      </c>
      <c r="AF986">
        <v>4.04</v>
      </c>
      <c r="AG986" t="s">
        <v>59</v>
      </c>
      <c r="AH986">
        <v>486256</v>
      </c>
      <c r="AI986" t="s">
        <v>60</v>
      </c>
      <c r="AJ986" t="s">
        <v>78</v>
      </c>
      <c r="AK986" t="s">
        <v>54</v>
      </c>
      <c r="AL986">
        <v>2024</v>
      </c>
      <c r="AM986" s="6" t="s">
        <v>1038</v>
      </c>
      <c r="AN986" s="7">
        <v>991.29</v>
      </c>
      <c r="AO986" s="8">
        <f t="shared" ref="AO986:AO1049" si="48">SUM(AN986)*1.875</f>
        <v>1858.6687499999998</v>
      </c>
      <c r="AP986" s="8">
        <f t="shared" ref="AP986:AP1049" si="49">SUM(AO986)*1.111</f>
        <v>2064.9809812499998</v>
      </c>
      <c r="AQ986" s="9">
        <f t="shared" si="47"/>
        <v>3010.8575081249996</v>
      </c>
    </row>
    <row r="987" spans="1:43" x14ac:dyDescent="0.25">
      <c r="A987">
        <v>16</v>
      </c>
      <c r="B987">
        <v>12</v>
      </c>
      <c r="C987">
        <v>2024</v>
      </c>
      <c r="D987" t="s">
        <v>43</v>
      </c>
      <c r="E987" t="s">
        <v>128</v>
      </c>
      <c r="F987" t="s">
        <v>129</v>
      </c>
      <c r="G987">
        <v>63</v>
      </c>
      <c r="H987">
        <v>1791882490001</v>
      </c>
      <c r="I987" t="s">
        <v>46</v>
      </c>
      <c r="J987" t="s">
        <v>48</v>
      </c>
      <c r="K987" t="s">
        <v>48</v>
      </c>
      <c r="L987" t="s">
        <v>49</v>
      </c>
      <c r="M987" t="s">
        <v>50</v>
      </c>
      <c r="N987" t="s">
        <v>51</v>
      </c>
      <c r="O987">
        <v>8421999000</v>
      </c>
      <c r="P987" t="s">
        <v>52</v>
      </c>
      <c r="Q987" t="s">
        <v>594</v>
      </c>
      <c r="R987" t="s">
        <v>54</v>
      </c>
      <c r="S987" t="s">
        <v>55</v>
      </c>
      <c r="T987">
        <v>9</v>
      </c>
      <c r="U987">
        <v>1</v>
      </c>
      <c r="V987" t="s">
        <v>135</v>
      </c>
      <c r="W987">
        <v>0</v>
      </c>
      <c r="X987">
        <v>996.46</v>
      </c>
      <c r="Y987">
        <v>130.5</v>
      </c>
      <c r="Z987">
        <v>6.83</v>
      </c>
      <c r="AA987">
        <v>1133.79</v>
      </c>
      <c r="AB987" t="s">
        <v>57</v>
      </c>
      <c r="AC987" t="s">
        <v>131</v>
      </c>
      <c r="AD987" t="s">
        <v>48</v>
      </c>
      <c r="AE987">
        <v>0</v>
      </c>
      <c r="AF987">
        <v>1.99</v>
      </c>
      <c r="AG987" t="s">
        <v>59</v>
      </c>
      <c r="AH987">
        <v>325395</v>
      </c>
      <c r="AI987" t="s">
        <v>60</v>
      </c>
      <c r="AJ987" t="s">
        <v>78</v>
      </c>
      <c r="AK987" t="s">
        <v>54</v>
      </c>
      <c r="AL987">
        <v>2024</v>
      </c>
      <c r="AM987" s="6" t="s">
        <v>1038</v>
      </c>
      <c r="AN987" s="7">
        <v>996.46</v>
      </c>
      <c r="AO987" s="8">
        <f t="shared" si="48"/>
        <v>1868.3625000000002</v>
      </c>
      <c r="AP987" s="8">
        <f t="shared" si="49"/>
        <v>2075.7507375</v>
      </c>
      <c r="AQ987" s="9">
        <f t="shared" si="47"/>
        <v>3026.56041375</v>
      </c>
    </row>
    <row r="988" spans="1:43" x14ac:dyDescent="0.25">
      <c r="A988">
        <v>2</v>
      </c>
      <c r="B988">
        <v>1</v>
      </c>
      <c r="C988">
        <v>2024</v>
      </c>
      <c r="D988" t="s">
        <v>43</v>
      </c>
      <c r="E988" t="s">
        <v>181</v>
      </c>
      <c r="F988" t="s">
        <v>182</v>
      </c>
      <c r="G988">
        <v>40</v>
      </c>
      <c r="H988">
        <v>1791882490001</v>
      </c>
      <c r="I988" t="s">
        <v>46</v>
      </c>
      <c r="J988" t="s">
        <v>48</v>
      </c>
      <c r="K988" t="s">
        <v>48</v>
      </c>
      <c r="L988" t="s">
        <v>49</v>
      </c>
      <c r="M988" t="s">
        <v>50</v>
      </c>
      <c r="N988" t="s">
        <v>51</v>
      </c>
      <c r="O988">
        <v>8481400090</v>
      </c>
      <c r="P988" t="s">
        <v>232</v>
      </c>
      <c r="Q988" t="s">
        <v>1039</v>
      </c>
      <c r="R988" t="s">
        <v>54</v>
      </c>
      <c r="S988" t="s">
        <v>55</v>
      </c>
      <c r="T988">
        <v>8</v>
      </c>
      <c r="U988">
        <v>1</v>
      </c>
      <c r="V988" t="s">
        <v>135</v>
      </c>
      <c r="W988">
        <v>0</v>
      </c>
      <c r="X988">
        <v>244.54</v>
      </c>
      <c r="Y988">
        <v>49.69</v>
      </c>
      <c r="Z988">
        <v>1.57</v>
      </c>
      <c r="AA988">
        <v>295.81</v>
      </c>
      <c r="AB988" t="s">
        <v>57</v>
      </c>
      <c r="AC988" t="s">
        <v>81</v>
      </c>
      <c r="AD988" t="s">
        <v>48</v>
      </c>
      <c r="AE988">
        <v>0</v>
      </c>
      <c r="AF988">
        <v>3.24</v>
      </c>
      <c r="AG988" t="s">
        <v>59</v>
      </c>
      <c r="AH988">
        <v>413505</v>
      </c>
      <c r="AI988" t="s">
        <v>60</v>
      </c>
      <c r="AJ988" t="s">
        <v>60</v>
      </c>
      <c r="AK988" t="s">
        <v>54</v>
      </c>
      <c r="AL988">
        <v>2023</v>
      </c>
      <c r="AM988" s="6" t="s">
        <v>1040</v>
      </c>
      <c r="AN988" s="7">
        <v>244.54</v>
      </c>
      <c r="AO988" s="8">
        <f t="shared" si="48"/>
        <v>458.51249999999999</v>
      </c>
      <c r="AP988" s="8">
        <f t="shared" si="49"/>
        <v>509.40738749999997</v>
      </c>
      <c r="AQ988" s="9">
        <f t="shared" si="47"/>
        <v>742.74439874999996</v>
      </c>
    </row>
    <row r="989" spans="1:43" x14ac:dyDescent="0.25">
      <c r="A989">
        <v>16</v>
      </c>
      <c r="B989">
        <v>12</v>
      </c>
      <c r="C989">
        <v>2024</v>
      </c>
      <c r="D989" t="s">
        <v>43</v>
      </c>
      <c r="E989" t="s">
        <v>128</v>
      </c>
      <c r="F989" t="s">
        <v>129</v>
      </c>
      <c r="G989">
        <v>64</v>
      </c>
      <c r="H989">
        <v>1791882490001</v>
      </c>
      <c r="I989" t="s">
        <v>46</v>
      </c>
      <c r="J989" t="s">
        <v>48</v>
      </c>
      <c r="K989" t="s">
        <v>48</v>
      </c>
      <c r="L989" t="s">
        <v>49</v>
      </c>
      <c r="M989" t="s">
        <v>50</v>
      </c>
      <c r="N989" t="s">
        <v>51</v>
      </c>
      <c r="O989">
        <v>8481400090</v>
      </c>
      <c r="P989" t="s">
        <v>232</v>
      </c>
      <c r="Q989" t="s">
        <v>1039</v>
      </c>
      <c r="R989" t="s">
        <v>54</v>
      </c>
      <c r="S989" t="s">
        <v>55</v>
      </c>
      <c r="T989">
        <v>9</v>
      </c>
      <c r="U989">
        <v>2</v>
      </c>
      <c r="V989" t="s">
        <v>135</v>
      </c>
      <c r="W989">
        <v>0</v>
      </c>
      <c r="X989">
        <v>537.28</v>
      </c>
      <c r="Y989">
        <v>70.36</v>
      </c>
      <c r="Z989">
        <v>3.68</v>
      </c>
      <c r="AA989">
        <v>611.33000000000004</v>
      </c>
      <c r="AB989" t="s">
        <v>57</v>
      </c>
      <c r="AC989" t="s">
        <v>131</v>
      </c>
      <c r="AD989" t="s">
        <v>48</v>
      </c>
      <c r="AE989">
        <v>0</v>
      </c>
      <c r="AF989">
        <v>3.98</v>
      </c>
      <c r="AG989" t="s">
        <v>59</v>
      </c>
      <c r="AH989">
        <v>325395</v>
      </c>
      <c r="AI989" t="s">
        <v>60</v>
      </c>
      <c r="AJ989" t="s">
        <v>78</v>
      </c>
      <c r="AK989" t="s">
        <v>54</v>
      </c>
      <c r="AL989">
        <v>2024</v>
      </c>
      <c r="AM989" s="6" t="s">
        <v>1040</v>
      </c>
      <c r="AN989" s="7">
        <v>268.64</v>
      </c>
      <c r="AO989" s="8">
        <f t="shared" si="48"/>
        <v>503.7</v>
      </c>
      <c r="AP989" s="8">
        <f t="shared" si="49"/>
        <v>559.61069999999995</v>
      </c>
      <c r="AQ989" s="9">
        <f t="shared" si="47"/>
        <v>815.94362999999998</v>
      </c>
    </row>
    <row r="990" spans="1:43" x14ac:dyDescent="0.25">
      <c r="A990">
        <v>11</v>
      </c>
      <c r="B990">
        <v>7</v>
      </c>
      <c r="C990">
        <v>2024</v>
      </c>
      <c r="D990" t="s">
        <v>43</v>
      </c>
      <c r="E990" t="s">
        <v>116</v>
      </c>
      <c r="F990" t="s">
        <v>117</v>
      </c>
      <c r="G990">
        <v>34</v>
      </c>
      <c r="H990">
        <v>1791882490001</v>
      </c>
      <c r="I990" t="s">
        <v>46</v>
      </c>
      <c r="J990" t="s">
        <v>48</v>
      </c>
      <c r="K990" t="s">
        <v>48</v>
      </c>
      <c r="L990" t="s">
        <v>119</v>
      </c>
      <c r="M990" t="s">
        <v>120</v>
      </c>
      <c r="N990" t="s">
        <v>121</v>
      </c>
      <c r="O990">
        <v>8481809990</v>
      </c>
      <c r="P990" t="s">
        <v>103</v>
      </c>
      <c r="Q990" t="s">
        <v>785</v>
      </c>
      <c r="R990" t="s">
        <v>54</v>
      </c>
      <c r="S990" t="s">
        <v>55</v>
      </c>
      <c r="T990">
        <v>9</v>
      </c>
      <c r="U990">
        <v>1</v>
      </c>
      <c r="V990" t="s">
        <v>135</v>
      </c>
      <c r="W990">
        <v>0</v>
      </c>
      <c r="X990">
        <v>500.94</v>
      </c>
      <c r="Y990">
        <v>45.12</v>
      </c>
      <c r="Z990">
        <v>3.36</v>
      </c>
      <c r="AA990">
        <v>549.41999999999996</v>
      </c>
      <c r="AB990" t="s">
        <v>124</v>
      </c>
      <c r="AC990" t="s">
        <v>125</v>
      </c>
      <c r="AD990" t="s">
        <v>48</v>
      </c>
      <c r="AE990">
        <v>0</v>
      </c>
      <c r="AF990">
        <v>2.02</v>
      </c>
      <c r="AG990" t="s">
        <v>59</v>
      </c>
      <c r="AH990">
        <v>486256</v>
      </c>
      <c r="AI990" t="s">
        <v>60</v>
      </c>
      <c r="AJ990" t="s">
        <v>78</v>
      </c>
      <c r="AK990" t="s">
        <v>54</v>
      </c>
      <c r="AL990">
        <v>2024</v>
      </c>
      <c r="AM990" s="6" t="s">
        <v>1041</v>
      </c>
      <c r="AN990" s="7">
        <v>500.94</v>
      </c>
      <c r="AO990" s="8">
        <f t="shared" si="48"/>
        <v>939.26250000000005</v>
      </c>
      <c r="AP990" s="8">
        <f t="shared" si="49"/>
        <v>1043.5206375</v>
      </c>
      <c r="AQ990" s="9">
        <f t="shared" si="47"/>
        <v>1521.51132375</v>
      </c>
    </row>
    <row r="991" spans="1:43" x14ac:dyDescent="0.25">
      <c r="A991">
        <v>11</v>
      </c>
      <c r="B991">
        <v>7</v>
      </c>
      <c r="C991">
        <v>2024</v>
      </c>
      <c r="D991" t="s">
        <v>43</v>
      </c>
      <c r="E991" t="s">
        <v>116</v>
      </c>
      <c r="F991" t="s">
        <v>117</v>
      </c>
      <c r="G991">
        <v>35</v>
      </c>
      <c r="H991">
        <v>1791882490001</v>
      </c>
      <c r="I991" t="s">
        <v>46</v>
      </c>
      <c r="J991" t="s">
        <v>48</v>
      </c>
      <c r="K991" t="s">
        <v>48</v>
      </c>
      <c r="L991" t="s">
        <v>119</v>
      </c>
      <c r="M991" t="s">
        <v>120</v>
      </c>
      <c r="N991" t="s">
        <v>121</v>
      </c>
      <c r="O991">
        <v>8484900000</v>
      </c>
      <c r="P991" t="s">
        <v>66</v>
      </c>
      <c r="Q991" t="s">
        <v>971</v>
      </c>
      <c r="R991" t="s">
        <v>54</v>
      </c>
      <c r="S991" t="s">
        <v>55</v>
      </c>
      <c r="T991">
        <v>9</v>
      </c>
      <c r="U991">
        <v>1</v>
      </c>
      <c r="V991" t="s">
        <v>135</v>
      </c>
      <c r="W991">
        <v>0</v>
      </c>
      <c r="X991">
        <v>420.86</v>
      </c>
      <c r="Y991">
        <v>37.9</v>
      </c>
      <c r="Z991">
        <v>2.83</v>
      </c>
      <c r="AA991">
        <v>461.59</v>
      </c>
      <c r="AB991" t="s">
        <v>124</v>
      </c>
      <c r="AC991" t="s">
        <v>125</v>
      </c>
      <c r="AD991" t="s">
        <v>48</v>
      </c>
      <c r="AE991">
        <v>0</v>
      </c>
      <c r="AF991">
        <v>2.02</v>
      </c>
      <c r="AG991" t="s">
        <v>59</v>
      </c>
      <c r="AH991">
        <v>486256</v>
      </c>
      <c r="AI991" t="s">
        <v>60</v>
      </c>
      <c r="AJ991" t="s">
        <v>78</v>
      </c>
      <c r="AK991" t="s">
        <v>54</v>
      </c>
      <c r="AL991">
        <v>2024</v>
      </c>
      <c r="AM991" s="6" t="s">
        <v>1042</v>
      </c>
      <c r="AN991" s="7">
        <v>420.86</v>
      </c>
      <c r="AO991" s="8">
        <f t="shared" si="48"/>
        <v>789.11250000000007</v>
      </c>
      <c r="AP991" s="8">
        <f t="shared" si="49"/>
        <v>876.70398750000004</v>
      </c>
      <c r="AQ991" s="9">
        <f t="shared" si="47"/>
        <v>1278.28333875</v>
      </c>
    </row>
    <row r="992" spans="1:43" x14ac:dyDescent="0.25">
      <c r="A992">
        <v>16</v>
      </c>
      <c r="B992">
        <v>12</v>
      </c>
      <c r="C992">
        <v>2024</v>
      </c>
      <c r="D992" t="s">
        <v>43</v>
      </c>
      <c r="E992" t="s">
        <v>128</v>
      </c>
      <c r="F992" t="s">
        <v>129</v>
      </c>
      <c r="G992">
        <v>65</v>
      </c>
      <c r="H992">
        <v>1791882490001</v>
      </c>
      <c r="I992" t="s">
        <v>46</v>
      </c>
      <c r="J992" t="s">
        <v>48</v>
      </c>
      <c r="K992" t="s">
        <v>48</v>
      </c>
      <c r="L992" t="s">
        <v>49</v>
      </c>
      <c r="M992" t="s">
        <v>50</v>
      </c>
      <c r="N992" t="s">
        <v>51</v>
      </c>
      <c r="O992">
        <v>8484900000</v>
      </c>
      <c r="P992" t="s">
        <v>221</v>
      </c>
      <c r="Q992" t="s">
        <v>1043</v>
      </c>
      <c r="R992" t="s">
        <v>54</v>
      </c>
      <c r="S992" t="s">
        <v>55</v>
      </c>
      <c r="T992">
        <v>9</v>
      </c>
      <c r="U992">
        <v>1</v>
      </c>
      <c r="V992" t="s">
        <v>135</v>
      </c>
      <c r="W992">
        <v>0</v>
      </c>
      <c r="X992">
        <v>423.06</v>
      </c>
      <c r="Y992">
        <v>55.41</v>
      </c>
      <c r="Z992">
        <v>2.9</v>
      </c>
      <c r="AA992">
        <v>481.36</v>
      </c>
      <c r="AB992" t="s">
        <v>57</v>
      </c>
      <c r="AC992" t="s">
        <v>131</v>
      </c>
      <c r="AD992" t="s">
        <v>48</v>
      </c>
      <c r="AE992">
        <v>0</v>
      </c>
      <c r="AF992">
        <v>1.99</v>
      </c>
      <c r="AG992" t="s">
        <v>59</v>
      </c>
      <c r="AH992">
        <v>325395</v>
      </c>
      <c r="AI992" t="s">
        <v>60</v>
      </c>
      <c r="AJ992" t="s">
        <v>78</v>
      </c>
      <c r="AK992" t="s">
        <v>54</v>
      </c>
      <c r="AL992">
        <v>2024</v>
      </c>
      <c r="AM992" s="6" t="s">
        <v>1042</v>
      </c>
      <c r="AN992" s="7">
        <v>423.06</v>
      </c>
      <c r="AO992" s="8">
        <f t="shared" si="48"/>
        <v>793.23749999999995</v>
      </c>
      <c r="AP992" s="8">
        <f t="shared" si="49"/>
        <v>881.28686249999998</v>
      </c>
      <c r="AQ992" s="9">
        <f t="shared" si="47"/>
        <v>1284.9654262499998</v>
      </c>
    </row>
    <row r="993" spans="1:43" x14ac:dyDescent="0.25">
      <c r="A993">
        <v>16</v>
      </c>
      <c r="B993">
        <v>12</v>
      </c>
      <c r="C993">
        <v>2024</v>
      </c>
      <c r="D993" t="s">
        <v>43</v>
      </c>
      <c r="E993" t="s">
        <v>128</v>
      </c>
      <c r="F993" t="s">
        <v>129</v>
      </c>
      <c r="G993">
        <v>66</v>
      </c>
      <c r="H993">
        <v>1791882490001</v>
      </c>
      <c r="I993" t="s">
        <v>46</v>
      </c>
      <c r="J993" t="s">
        <v>48</v>
      </c>
      <c r="K993" t="s">
        <v>48</v>
      </c>
      <c r="L993" t="s">
        <v>49</v>
      </c>
      <c r="M993" t="s">
        <v>50</v>
      </c>
      <c r="N993" t="s">
        <v>51</v>
      </c>
      <c r="O993">
        <v>8481909090</v>
      </c>
      <c r="P993" t="s">
        <v>284</v>
      </c>
      <c r="Q993" t="s">
        <v>1044</v>
      </c>
      <c r="R993" t="s">
        <v>54</v>
      </c>
      <c r="S993" t="s">
        <v>55</v>
      </c>
      <c r="T993">
        <v>9</v>
      </c>
      <c r="U993">
        <v>1</v>
      </c>
      <c r="V993" t="s">
        <v>135</v>
      </c>
      <c r="W993">
        <v>0</v>
      </c>
      <c r="X993">
        <v>216.79</v>
      </c>
      <c r="Y993">
        <v>28.39</v>
      </c>
      <c r="Z993">
        <v>1.49</v>
      </c>
      <c r="AA993">
        <v>246.67</v>
      </c>
      <c r="AB993" t="s">
        <v>57</v>
      </c>
      <c r="AC993" t="s">
        <v>131</v>
      </c>
      <c r="AD993" t="s">
        <v>48</v>
      </c>
      <c r="AE993">
        <v>0</v>
      </c>
      <c r="AF993">
        <v>1.99</v>
      </c>
      <c r="AG993" t="s">
        <v>59</v>
      </c>
      <c r="AH993">
        <v>325395</v>
      </c>
      <c r="AI993" t="s">
        <v>60</v>
      </c>
      <c r="AJ993" t="s">
        <v>78</v>
      </c>
      <c r="AK993" t="s">
        <v>54</v>
      </c>
      <c r="AL993">
        <v>2024</v>
      </c>
      <c r="AM993" s="6" t="s">
        <v>1045</v>
      </c>
      <c r="AN993" s="7">
        <v>216.79</v>
      </c>
      <c r="AO993" s="8">
        <f t="shared" si="48"/>
        <v>406.48124999999999</v>
      </c>
      <c r="AP993" s="8">
        <f t="shared" si="49"/>
        <v>451.60066874999995</v>
      </c>
      <c r="AQ993" s="9">
        <f t="shared" si="47"/>
        <v>658.45897687499996</v>
      </c>
    </row>
    <row r="994" spans="1:43" x14ac:dyDescent="0.25">
      <c r="A994">
        <v>16</v>
      </c>
      <c r="B994">
        <v>12</v>
      </c>
      <c r="C994">
        <v>2024</v>
      </c>
      <c r="D994" t="s">
        <v>43</v>
      </c>
      <c r="E994" t="s">
        <v>128</v>
      </c>
      <c r="F994" t="s">
        <v>129</v>
      </c>
      <c r="G994">
        <v>67</v>
      </c>
      <c r="H994">
        <v>1791882490001</v>
      </c>
      <c r="I994" t="s">
        <v>46</v>
      </c>
      <c r="J994" t="s">
        <v>48</v>
      </c>
      <c r="K994" t="s">
        <v>48</v>
      </c>
      <c r="L994" t="s">
        <v>49</v>
      </c>
      <c r="M994" t="s">
        <v>50</v>
      </c>
      <c r="N994" t="s">
        <v>51</v>
      </c>
      <c r="O994">
        <v>7320209090</v>
      </c>
      <c r="P994" t="s">
        <v>52</v>
      </c>
      <c r="Q994" t="s">
        <v>1046</v>
      </c>
      <c r="R994" t="s">
        <v>54</v>
      </c>
      <c r="S994" t="s">
        <v>55</v>
      </c>
      <c r="T994">
        <v>9</v>
      </c>
      <c r="U994">
        <v>2</v>
      </c>
      <c r="V994" t="s">
        <v>56</v>
      </c>
      <c r="W994">
        <v>0</v>
      </c>
      <c r="X994">
        <v>107.24</v>
      </c>
      <c r="Y994">
        <v>14.05</v>
      </c>
      <c r="Z994">
        <v>0.74</v>
      </c>
      <c r="AA994">
        <v>122.02</v>
      </c>
      <c r="AB994" t="s">
        <v>57</v>
      </c>
      <c r="AC994" t="s">
        <v>131</v>
      </c>
      <c r="AD994" t="s">
        <v>48</v>
      </c>
      <c r="AE994">
        <v>0</v>
      </c>
      <c r="AF994">
        <v>3.98</v>
      </c>
      <c r="AG994" t="s">
        <v>59</v>
      </c>
      <c r="AH994">
        <v>325395</v>
      </c>
      <c r="AI994" t="s">
        <v>60</v>
      </c>
      <c r="AJ994" t="s">
        <v>78</v>
      </c>
      <c r="AK994" t="s">
        <v>54</v>
      </c>
      <c r="AL994">
        <v>2024</v>
      </c>
      <c r="AM994" s="6" t="s">
        <v>1047</v>
      </c>
      <c r="AN994" s="7">
        <v>53.62</v>
      </c>
      <c r="AO994" s="8">
        <f t="shared" si="48"/>
        <v>100.53749999999999</v>
      </c>
      <c r="AP994" s="8">
        <f t="shared" si="49"/>
        <v>111.69716249999999</v>
      </c>
      <c r="AQ994" s="9">
        <f t="shared" si="47"/>
        <v>162.86069624999999</v>
      </c>
    </row>
    <row r="995" spans="1:43" x14ac:dyDescent="0.25">
      <c r="A995">
        <v>11</v>
      </c>
      <c r="B995">
        <v>7</v>
      </c>
      <c r="C995">
        <v>2024</v>
      </c>
      <c r="D995" t="s">
        <v>43</v>
      </c>
      <c r="E995" t="s">
        <v>116</v>
      </c>
      <c r="F995" t="s">
        <v>117</v>
      </c>
      <c r="G995">
        <v>36</v>
      </c>
      <c r="H995">
        <v>1791882490001</v>
      </c>
      <c r="I995" t="s">
        <v>46</v>
      </c>
      <c r="J995" t="s">
        <v>48</v>
      </c>
      <c r="K995" t="s">
        <v>48</v>
      </c>
      <c r="L995" t="s">
        <v>119</v>
      </c>
      <c r="M995" t="s">
        <v>120</v>
      </c>
      <c r="N995" t="s">
        <v>121</v>
      </c>
      <c r="O995">
        <v>8481805900</v>
      </c>
      <c r="P995" t="s">
        <v>103</v>
      </c>
      <c r="Q995" t="s">
        <v>623</v>
      </c>
      <c r="R995" t="s">
        <v>54</v>
      </c>
      <c r="S995" t="s">
        <v>55</v>
      </c>
      <c r="T995">
        <v>9</v>
      </c>
      <c r="U995">
        <v>2</v>
      </c>
      <c r="V995" t="s">
        <v>135</v>
      </c>
      <c r="W995">
        <v>0</v>
      </c>
      <c r="X995">
        <v>365.98</v>
      </c>
      <c r="Y995">
        <v>32.96</v>
      </c>
      <c r="Z995">
        <v>2.46</v>
      </c>
      <c r="AA995">
        <v>401.4</v>
      </c>
      <c r="AB995" t="s">
        <v>124</v>
      </c>
      <c r="AC995" t="s">
        <v>125</v>
      </c>
      <c r="AD995" t="s">
        <v>48</v>
      </c>
      <c r="AE995">
        <v>0</v>
      </c>
      <c r="AF995">
        <v>4.03</v>
      </c>
      <c r="AG995" t="s">
        <v>59</v>
      </c>
      <c r="AH995">
        <v>486256</v>
      </c>
      <c r="AI995" t="s">
        <v>60</v>
      </c>
      <c r="AJ995" t="s">
        <v>78</v>
      </c>
      <c r="AK995" t="s">
        <v>54</v>
      </c>
      <c r="AL995">
        <v>2024</v>
      </c>
      <c r="AM995" s="6" t="s">
        <v>1048</v>
      </c>
      <c r="AN995" s="7">
        <v>182.99</v>
      </c>
      <c r="AO995" s="8">
        <f t="shared" si="48"/>
        <v>343.10625000000005</v>
      </c>
      <c r="AP995" s="8">
        <f t="shared" si="49"/>
        <v>381.19104375000006</v>
      </c>
      <c r="AQ995" s="9">
        <f t="shared" si="47"/>
        <v>555.79781437500003</v>
      </c>
    </row>
    <row r="996" spans="1:43" x14ac:dyDescent="0.25">
      <c r="A996">
        <v>8</v>
      </c>
      <c r="B996">
        <v>4</v>
      </c>
      <c r="C996">
        <v>2024</v>
      </c>
      <c r="D996" t="s">
        <v>43</v>
      </c>
      <c r="E996" t="s">
        <v>536</v>
      </c>
      <c r="F996" t="s">
        <v>537</v>
      </c>
      <c r="G996">
        <v>11</v>
      </c>
      <c r="H996">
        <v>1791882490001</v>
      </c>
      <c r="I996" t="s">
        <v>46</v>
      </c>
      <c r="J996" t="s">
        <v>118</v>
      </c>
      <c r="K996" t="s">
        <v>48</v>
      </c>
      <c r="L996" t="s">
        <v>119</v>
      </c>
      <c r="M996" t="s">
        <v>120</v>
      </c>
      <c r="N996" t="s">
        <v>121</v>
      </c>
      <c r="O996">
        <v>2710193900</v>
      </c>
      <c r="P996" t="s">
        <v>66</v>
      </c>
      <c r="Q996" t="s">
        <v>544</v>
      </c>
      <c r="R996" t="s">
        <v>54</v>
      </c>
      <c r="S996" t="s">
        <v>55</v>
      </c>
      <c r="T996">
        <v>8</v>
      </c>
      <c r="U996">
        <v>1</v>
      </c>
      <c r="V996" t="s">
        <v>545</v>
      </c>
      <c r="W996">
        <v>0</v>
      </c>
      <c r="X996">
        <v>2405.9499999999998</v>
      </c>
      <c r="Y996">
        <v>148.21</v>
      </c>
      <c r="Z996">
        <v>15.53</v>
      </c>
      <c r="AA996">
        <v>2569.69</v>
      </c>
      <c r="AB996" t="s">
        <v>359</v>
      </c>
      <c r="AC996" t="s">
        <v>125</v>
      </c>
      <c r="AD996" t="s">
        <v>48</v>
      </c>
      <c r="AE996">
        <v>1</v>
      </c>
      <c r="AF996">
        <v>240.36</v>
      </c>
      <c r="AG996" t="s">
        <v>59</v>
      </c>
      <c r="AH996">
        <v>887430</v>
      </c>
      <c r="AI996" t="s">
        <v>544</v>
      </c>
      <c r="AJ996" t="s">
        <v>538</v>
      </c>
      <c r="AK996" t="s">
        <v>54</v>
      </c>
      <c r="AL996">
        <v>2024</v>
      </c>
      <c r="AM996" s="6" t="s">
        <v>1049</v>
      </c>
      <c r="AN996" s="7">
        <v>2405.9499999999998</v>
      </c>
      <c r="AO996" s="8">
        <f t="shared" si="48"/>
        <v>4511.15625</v>
      </c>
      <c r="AP996" s="8">
        <f t="shared" si="49"/>
        <v>5011.8945937500002</v>
      </c>
      <c r="AQ996" s="9">
        <f t="shared" si="47"/>
        <v>7307.6220093749998</v>
      </c>
    </row>
    <row r="997" spans="1:43" x14ac:dyDescent="0.25">
      <c r="A997">
        <v>10</v>
      </c>
      <c r="B997">
        <v>9</v>
      </c>
      <c r="C997">
        <v>2024</v>
      </c>
      <c r="D997" t="s">
        <v>43</v>
      </c>
      <c r="E997" t="s">
        <v>539</v>
      </c>
      <c r="F997" t="s">
        <v>540</v>
      </c>
      <c r="G997">
        <v>11</v>
      </c>
      <c r="H997">
        <v>1791882490001</v>
      </c>
      <c r="I997" t="s">
        <v>46</v>
      </c>
      <c r="J997" t="s">
        <v>118</v>
      </c>
      <c r="K997" t="s">
        <v>48</v>
      </c>
      <c r="L997" t="s">
        <v>119</v>
      </c>
      <c r="M997" t="s">
        <v>120</v>
      </c>
      <c r="N997" t="s">
        <v>121</v>
      </c>
      <c r="O997">
        <v>2710193900</v>
      </c>
      <c r="P997" t="s">
        <v>66</v>
      </c>
      <c r="Q997" t="s">
        <v>544</v>
      </c>
      <c r="R997" t="s">
        <v>54</v>
      </c>
      <c r="S997" t="s">
        <v>55</v>
      </c>
      <c r="T997">
        <v>12</v>
      </c>
      <c r="U997">
        <v>1</v>
      </c>
      <c r="V997" t="s">
        <v>545</v>
      </c>
      <c r="W997">
        <v>0</v>
      </c>
      <c r="X997">
        <v>2430.94</v>
      </c>
      <c r="Y997">
        <v>223.95</v>
      </c>
      <c r="Z997">
        <v>15.94</v>
      </c>
      <c r="AA997">
        <v>2670.83</v>
      </c>
      <c r="AB997" t="s">
        <v>124</v>
      </c>
      <c r="AC997" t="s">
        <v>541</v>
      </c>
      <c r="AD997" t="s">
        <v>48</v>
      </c>
      <c r="AE997">
        <v>0</v>
      </c>
      <c r="AF997">
        <v>198</v>
      </c>
      <c r="AG997" t="s">
        <v>59</v>
      </c>
      <c r="AH997">
        <v>123588</v>
      </c>
      <c r="AI997" t="s">
        <v>544</v>
      </c>
      <c r="AJ997" t="s">
        <v>544</v>
      </c>
      <c r="AK997" t="s">
        <v>54</v>
      </c>
      <c r="AL997">
        <v>2024</v>
      </c>
      <c r="AM997" s="6" t="s">
        <v>1049</v>
      </c>
      <c r="AN997" s="7">
        <v>2430.94</v>
      </c>
      <c r="AO997" s="8">
        <f t="shared" si="48"/>
        <v>4558.0124999999998</v>
      </c>
      <c r="AP997" s="8">
        <f t="shared" si="49"/>
        <v>5063.9518874999994</v>
      </c>
      <c r="AQ997" s="9">
        <f t="shared" si="47"/>
        <v>7383.5244487499995</v>
      </c>
    </row>
    <row r="998" spans="1:43" x14ac:dyDescent="0.25">
      <c r="A998">
        <v>10</v>
      </c>
      <c r="B998">
        <v>9</v>
      </c>
      <c r="C998">
        <v>2024</v>
      </c>
      <c r="D998" t="s">
        <v>43</v>
      </c>
      <c r="E998" t="s">
        <v>539</v>
      </c>
      <c r="F998" t="s">
        <v>540</v>
      </c>
      <c r="G998">
        <v>12</v>
      </c>
      <c r="H998">
        <v>1791882490001</v>
      </c>
      <c r="I998" t="s">
        <v>46</v>
      </c>
      <c r="J998" t="s">
        <v>118</v>
      </c>
      <c r="K998" t="s">
        <v>48</v>
      </c>
      <c r="L998" t="s">
        <v>119</v>
      </c>
      <c r="M998" t="s">
        <v>120</v>
      </c>
      <c r="N998" t="s">
        <v>121</v>
      </c>
      <c r="O998">
        <v>2710193900</v>
      </c>
      <c r="P998" t="s">
        <v>66</v>
      </c>
      <c r="Q998" t="s">
        <v>544</v>
      </c>
      <c r="R998" t="s">
        <v>54</v>
      </c>
      <c r="S998" t="s">
        <v>55</v>
      </c>
      <c r="T998">
        <v>12</v>
      </c>
      <c r="U998">
        <v>1</v>
      </c>
      <c r="V998" t="s">
        <v>545</v>
      </c>
      <c r="W998">
        <v>0</v>
      </c>
      <c r="X998">
        <v>2430.94</v>
      </c>
      <c r="Y998">
        <v>223.95</v>
      </c>
      <c r="Z998">
        <v>15.94</v>
      </c>
      <c r="AA998">
        <v>2670.83</v>
      </c>
      <c r="AB998" t="s">
        <v>124</v>
      </c>
      <c r="AC998" t="s">
        <v>541</v>
      </c>
      <c r="AD998" t="s">
        <v>48</v>
      </c>
      <c r="AE998">
        <v>0</v>
      </c>
      <c r="AF998">
        <v>198</v>
      </c>
      <c r="AG998" t="s">
        <v>59</v>
      </c>
      <c r="AH998">
        <v>123588</v>
      </c>
      <c r="AI998" t="s">
        <v>544</v>
      </c>
      <c r="AJ998" t="s">
        <v>544</v>
      </c>
      <c r="AK998" t="s">
        <v>54</v>
      </c>
      <c r="AL998">
        <v>2024</v>
      </c>
      <c r="AM998" s="6" t="s">
        <v>1049</v>
      </c>
      <c r="AN998" s="7">
        <v>2430.94</v>
      </c>
      <c r="AO998" s="8">
        <f t="shared" si="48"/>
        <v>4558.0124999999998</v>
      </c>
      <c r="AP998" s="8">
        <f t="shared" si="49"/>
        <v>5063.9518874999994</v>
      </c>
      <c r="AQ998" s="9">
        <f t="shared" si="47"/>
        <v>7383.5244487499995</v>
      </c>
    </row>
    <row r="999" spans="1:43" x14ac:dyDescent="0.25">
      <c r="A999">
        <v>19</v>
      </c>
      <c r="B999">
        <v>8</v>
      </c>
      <c r="C999">
        <v>2024</v>
      </c>
      <c r="D999" t="s">
        <v>43</v>
      </c>
      <c r="E999" t="s">
        <v>84</v>
      </c>
      <c r="F999" t="s">
        <v>85</v>
      </c>
      <c r="G999">
        <v>58</v>
      </c>
      <c r="H999">
        <v>1791882490001</v>
      </c>
      <c r="I999" t="s">
        <v>46</v>
      </c>
      <c r="J999" t="s">
        <v>533</v>
      </c>
      <c r="K999" t="s">
        <v>48</v>
      </c>
      <c r="L999" t="s">
        <v>49</v>
      </c>
      <c r="M999" t="s">
        <v>50</v>
      </c>
      <c r="N999" t="s">
        <v>51</v>
      </c>
      <c r="O999">
        <v>2710193900</v>
      </c>
      <c r="P999" t="s">
        <v>66</v>
      </c>
      <c r="Q999" t="s">
        <v>544</v>
      </c>
      <c r="R999" t="s">
        <v>54</v>
      </c>
      <c r="S999" t="s">
        <v>55</v>
      </c>
      <c r="T999">
        <v>6</v>
      </c>
      <c r="U999">
        <v>3</v>
      </c>
      <c r="V999" t="s">
        <v>545</v>
      </c>
      <c r="W999">
        <v>10.3</v>
      </c>
      <c r="X999">
        <v>90.71</v>
      </c>
      <c r="Y999">
        <v>11.7</v>
      </c>
      <c r="Z999">
        <v>0.62</v>
      </c>
      <c r="AA999">
        <v>103.03</v>
      </c>
      <c r="AB999" t="s">
        <v>57</v>
      </c>
      <c r="AC999" t="s">
        <v>58</v>
      </c>
      <c r="AD999" t="s">
        <v>48</v>
      </c>
      <c r="AE999">
        <v>0</v>
      </c>
      <c r="AF999">
        <v>4.1900000000000004</v>
      </c>
      <c r="AG999" t="s">
        <v>59</v>
      </c>
      <c r="AH999">
        <v>144527</v>
      </c>
      <c r="AI999" t="s">
        <v>60</v>
      </c>
      <c r="AJ999" t="s">
        <v>60</v>
      </c>
      <c r="AK999" t="s">
        <v>54</v>
      </c>
      <c r="AL999">
        <v>2024</v>
      </c>
      <c r="AM999" s="6" t="s">
        <v>1050</v>
      </c>
      <c r="AN999" s="7">
        <v>30.24</v>
      </c>
      <c r="AO999" s="8">
        <f t="shared" si="48"/>
        <v>56.699999999999996</v>
      </c>
      <c r="AP999" s="8">
        <f t="shared" si="49"/>
        <v>62.993699999999997</v>
      </c>
      <c r="AQ999" s="9">
        <f t="shared" si="47"/>
        <v>91.84832999999999</v>
      </c>
    </row>
    <row r="1000" spans="1:43" x14ac:dyDescent="0.25">
      <c r="A1000">
        <v>7</v>
      </c>
      <c r="B1000">
        <v>11</v>
      </c>
      <c r="C1000">
        <v>2024</v>
      </c>
      <c r="D1000" t="s">
        <v>43</v>
      </c>
      <c r="E1000" t="s">
        <v>1051</v>
      </c>
      <c r="F1000" t="s">
        <v>1052</v>
      </c>
      <c r="G1000">
        <v>3</v>
      </c>
      <c r="H1000">
        <v>1791882490001</v>
      </c>
      <c r="I1000" t="s">
        <v>46</v>
      </c>
      <c r="J1000" t="s">
        <v>259</v>
      </c>
      <c r="K1000" t="s">
        <v>48</v>
      </c>
      <c r="L1000" t="s">
        <v>119</v>
      </c>
      <c r="M1000" t="s">
        <v>120</v>
      </c>
      <c r="N1000" t="s">
        <v>121</v>
      </c>
      <c r="O1000">
        <v>8421392000</v>
      </c>
      <c r="P1000" t="s">
        <v>480</v>
      </c>
      <c r="Q1000" t="s">
        <v>268</v>
      </c>
      <c r="R1000" t="s">
        <v>54</v>
      </c>
      <c r="S1000" t="s">
        <v>55</v>
      </c>
      <c r="T1000">
        <v>3</v>
      </c>
      <c r="U1000">
        <v>1</v>
      </c>
      <c r="V1000" t="s">
        <v>135</v>
      </c>
      <c r="W1000">
        <v>58.28</v>
      </c>
      <c r="X1000">
        <v>1103.08</v>
      </c>
      <c r="Y1000">
        <v>55.44</v>
      </c>
      <c r="Z1000">
        <v>7.15</v>
      </c>
      <c r="AA1000">
        <v>1165.68</v>
      </c>
      <c r="AB1000" t="s">
        <v>57</v>
      </c>
      <c r="AC1000" t="s">
        <v>125</v>
      </c>
      <c r="AD1000" t="s">
        <v>48</v>
      </c>
      <c r="AE1000">
        <v>0</v>
      </c>
      <c r="AF1000">
        <v>6.63</v>
      </c>
      <c r="AG1000" t="s">
        <v>59</v>
      </c>
      <c r="AH1000">
        <v>177909</v>
      </c>
      <c r="AI1000" t="s">
        <v>268</v>
      </c>
      <c r="AJ1000" t="s">
        <v>268</v>
      </c>
      <c r="AK1000" t="s">
        <v>54</v>
      </c>
      <c r="AL1000">
        <v>2024</v>
      </c>
      <c r="AM1000" s="6" t="s">
        <v>1053</v>
      </c>
      <c r="AN1000" s="7">
        <v>1103.08</v>
      </c>
      <c r="AO1000" s="8">
        <f t="shared" si="48"/>
        <v>2068.2749999999996</v>
      </c>
      <c r="AP1000" s="8">
        <f t="shared" si="49"/>
        <v>2297.8535249999995</v>
      </c>
      <c r="AQ1000" s="9">
        <f t="shared" si="47"/>
        <v>3350.3986724999991</v>
      </c>
    </row>
    <row r="1001" spans="1:43" x14ac:dyDescent="0.25">
      <c r="A1001">
        <v>13</v>
      </c>
      <c r="B1001">
        <v>3</v>
      </c>
      <c r="C1001">
        <v>2024</v>
      </c>
      <c r="D1001" t="s">
        <v>43</v>
      </c>
      <c r="E1001" t="s">
        <v>69</v>
      </c>
      <c r="F1001" t="s">
        <v>70</v>
      </c>
      <c r="G1001">
        <v>53</v>
      </c>
      <c r="H1001">
        <v>1791882490001</v>
      </c>
      <c r="I1001" t="s">
        <v>46</v>
      </c>
      <c r="J1001" t="s">
        <v>48</v>
      </c>
      <c r="K1001" t="s">
        <v>48</v>
      </c>
      <c r="L1001" t="s">
        <v>49</v>
      </c>
      <c r="M1001" t="s">
        <v>50</v>
      </c>
      <c r="N1001" t="s">
        <v>51</v>
      </c>
      <c r="O1001">
        <v>8482500000</v>
      </c>
      <c r="P1001" t="s">
        <v>454</v>
      </c>
      <c r="Q1001" t="s">
        <v>723</v>
      </c>
      <c r="R1001" t="s">
        <v>54</v>
      </c>
      <c r="S1001" t="s">
        <v>55</v>
      </c>
      <c r="T1001">
        <v>11</v>
      </c>
      <c r="U1001">
        <v>2</v>
      </c>
      <c r="V1001" t="s">
        <v>135</v>
      </c>
      <c r="W1001">
        <v>0</v>
      </c>
      <c r="X1001">
        <v>1278.74</v>
      </c>
      <c r="Y1001">
        <v>167.45</v>
      </c>
      <c r="Z1001">
        <v>8.6</v>
      </c>
      <c r="AA1001">
        <v>1454.79</v>
      </c>
      <c r="AB1001" t="s">
        <v>54</v>
      </c>
      <c r="AC1001" t="s">
        <v>71</v>
      </c>
      <c r="AD1001" t="s">
        <v>48</v>
      </c>
      <c r="AE1001">
        <v>0</v>
      </c>
      <c r="AF1001">
        <v>4.08</v>
      </c>
      <c r="AG1001" t="s">
        <v>59</v>
      </c>
      <c r="AH1001">
        <v>895279</v>
      </c>
      <c r="AI1001" t="s">
        <v>60</v>
      </c>
      <c r="AJ1001" t="s">
        <v>60</v>
      </c>
      <c r="AK1001" t="s">
        <v>54</v>
      </c>
      <c r="AL1001">
        <v>2024</v>
      </c>
      <c r="AM1001" s="6" t="s">
        <v>1054</v>
      </c>
      <c r="AN1001" s="7">
        <v>639.37</v>
      </c>
      <c r="AO1001" s="8">
        <f t="shared" si="48"/>
        <v>1198.8187499999999</v>
      </c>
      <c r="AP1001" s="8">
        <f t="shared" si="49"/>
        <v>1331.8876312499999</v>
      </c>
      <c r="AQ1001" s="9">
        <f t="shared" si="47"/>
        <v>1941.9664931249997</v>
      </c>
    </row>
    <row r="1002" spans="1:43" x14ac:dyDescent="0.25">
      <c r="A1002">
        <v>10</v>
      </c>
      <c r="B1002">
        <v>10</v>
      </c>
      <c r="C1002">
        <v>2024</v>
      </c>
      <c r="D1002" t="s">
        <v>43</v>
      </c>
      <c r="E1002" t="s">
        <v>44</v>
      </c>
      <c r="F1002" t="s">
        <v>45</v>
      </c>
      <c r="G1002">
        <v>65</v>
      </c>
      <c r="H1002">
        <v>1791882490001</v>
      </c>
      <c r="I1002" t="s">
        <v>46</v>
      </c>
      <c r="J1002" t="s">
        <v>48</v>
      </c>
      <c r="K1002" t="s">
        <v>48</v>
      </c>
      <c r="L1002" t="s">
        <v>49</v>
      </c>
      <c r="M1002" t="s">
        <v>50</v>
      </c>
      <c r="N1002" t="s">
        <v>51</v>
      </c>
      <c r="O1002">
        <v>8487909000</v>
      </c>
      <c r="P1002" t="s">
        <v>66</v>
      </c>
      <c r="Q1002" t="s">
        <v>1055</v>
      </c>
      <c r="R1002" t="s">
        <v>54</v>
      </c>
      <c r="S1002" t="s">
        <v>55</v>
      </c>
      <c r="T1002">
        <v>7</v>
      </c>
      <c r="U1002">
        <v>1</v>
      </c>
      <c r="V1002" t="s">
        <v>135</v>
      </c>
      <c r="W1002">
        <v>0</v>
      </c>
      <c r="X1002">
        <v>1237.98</v>
      </c>
      <c r="Y1002">
        <v>216.3</v>
      </c>
      <c r="Z1002">
        <v>8.93</v>
      </c>
      <c r="AA1002">
        <v>1463.2</v>
      </c>
      <c r="AB1002" t="s">
        <v>57</v>
      </c>
      <c r="AC1002" t="s">
        <v>58</v>
      </c>
      <c r="AD1002" t="s">
        <v>48</v>
      </c>
      <c r="AE1002">
        <v>0</v>
      </c>
      <c r="AF1002">
        <v>13.36</v>
      </c>
      <c r="AG1002" t="s">
        <v>59</v>
      </c>
      <c r="AH1002">
        <v>179772</v>
      </c>
      <c r="AI1002" t="s">
        <v>60</v>
      </c>
      <c r="AJ1002" t="s">
        <v>60</v>
      </c>
      <c r="AK1002" t="s">
        <v>54</v>
      </c>
      <c r="AL1002">
        <v>2024</v>
      </c>
      <c r="AM1002" s="6" t="s">
        <v>1056</v>
      </c>
      <c r="AN1002" s="7">
        <v>1237.98</v>
      </c>
      <c r="AO1002" s="8">
        <f t="shared" si="48"/>
        <v>2321.2125000000001</v>
      </c>
      <c r="AP1002" s="8">
        <f t="shared" si="49"/>
        <v>2578.8670875000003</v>
      </c>
      <c r="AQ1002" s="9">
        <f t="shared" si="47"/>
        <v>3760.13212875</v>
      </c>
    </row>
    <row r="1003" spans="1:43" x14ac:dyDescent="0.25">
      <c r="A1003">
        <v>3</v>
      </c>
      <c r="B1003">
        <v>4</v>
      </c>
      <c r="C1003">
        <v>2024</v>
      </c>
      <c r="D1003" t="s">
        <v>43</v>
      </c>
      <c r="E1003" t="s">
        <v>73</v>
      </c>
      <c r="F1003" t="s">
        <v>74</v>
      </c>
      <c r="G1003">
        <v>59</v>
      </c>
      <c r="H1003">
        <v>1791882490001</v>
      </c>
      <c r="I1003" t="s">
        <v>46</v>
      </c>
      <c r="J1003" t="s">
        <v>48</v>
      </c>
      <c r="K1003" t="s">
        <v>48</v>
      </c>
      <c r="L1003" t="s">
        <v>49</v>
      </c>
      <c r="M1003" t="s">
        <v>50</v>
      </c>
      <c r="N1003" t="s">
        <v>51</v>
      </c>
      <c r="O1003">
        <v>8412390000</v>
      </c>
      <c r="P1003" t="s">
        <v>66</v>
      </c>
      <c r="Q1003" t="s">
        <v>1057</v>
      </c>
      <c r="R1003" t="s">
        <v>54</v>
      </c>
      <c r="S1003" t="s">
        <v>55</v>
      </c>
      <c r="T1003">
        <v>6</v>
      </c>
      <c r="U1003">
        <v>1</v>
      </c>
      <c r="V1003" t="s">
        <v>135</v>
      </c>
      <c r="W1003">
        <v>0</v>
      </c>
      <c r="X1003">
        <v>484.39</v>
      </c>
      <c r="Y1003">
        <v>56.58</v>
      </c>
      <c r="Z1003">
        <v>3.17</v>
      </c>
      <c r="AA1003">
        <v>544.13</v>
      </c>
      <c r="AB1003" t="s">
        <v>57</v>
      </c>
      <c r="AC1003" t="s">
        <v>58</v>
      </c>
      <c r="AD1003" t="s">
        <v>48</v>
      </c>
      <c r="AE1003">
        <v>0</v>
      </c>
      <c r="AF1003">
        <v>1.33</v>
      </c>
      <c r="AG1003" t="s">
        <v>59</v>
      </c>
      <c r="AH1003">
        <v>438183</v>
      </c>
      <c r="AI1003" t="s">
        <v>60</v>
      </c>
      <c r="AJ1003" t="s">
        <v>60</v>
      </c>
      <c r="AK1003" t="s">
        <v>54</v>
      </c>
      <c r="AL1003">
        <v>2024</v>
      </c>
      <c r="AM1003" s="6" t="s">
        <v>1058</v>
      </c>
      <c r="AN1003" s="7">
        <v>484.39</v>
      </c>
      <c r="AO1003" s="8">
        <f t="shared" si="48"/>
        <v>908.23124999999993</v>
      </c>
      <c r="AP1003" s="8">
        <f t="shared" si="49"/>
        <v>1009.04491875</v>
      </c>
      <c r="AQ1003" s="9">
        <f t="shared" si="47"/>
        <v>1471.2438018749997</v>
      </c>
    </row>
    <row r="1004" spans="1:43" x14ac:dyDescent="0.25">
      <c r="A1004">
        <v>10</v>
      </c>
      <c r="B1004">
        <v>10</v>
      </c>
      <c r="C1004">
        <v>2024</v>
      </c>
      <c r="D1004" t="s">
        <v>43</v>
      </c>
      <c r="E1004" t="s">
        <v>44</v>
      </c>
      <c r="F1004" t="s">
        <v>45</v>
      </c>
      <c r="G1004">
        <v>66</v>
      </c>
      <c r="H1004">
        <v>1791882490001</v>
      </c>
      <c r="I1004" t="s">
        <v>46</v>
      </c>
      <c r="J1004" t="s">
        <v>48</v>
      </c>
      <c r="K1004" t="s">
        <v>48</v>
      </c>
      <c r="L1004" t="s">
        <v>49</v>
      </c>
      <c r="M1004" t="s">
        <v>50</v>
      </c>
      <c r="N1004" t="s">
        <v>51</v>
      </c>
      <c r="O1004">
        <v>8412390000</v>
      </c>
      <c r="P1004" t="s">
        <v>52</v>
      </c>
      <c r="Q1004" t="s">
        <v>1059</v>
      </c>
      <c r="R1004" t="s">
        <v>54</v>
      </c>
      <c r="S1004" t="s">
        <v>55</v>
      </c>
      <c r="T1004">
        <v>7</v>
      </c>
      <c r="U1004">
        <v>1</v>
      </c>
      <c r="V1004" t="s">
        <v>135</v>
      </c>
      <c r="W1004">
        <v>0</v>
      </c>
      <c r="X1004">
        <v>475.22</v>
      </c>
      <c r="Y1004">
        <v>83.03</v>
      </c>
      <c r="Z1004">
        <v>3.43</v>
      </c>
      <c r="AA1004">
        <v>561.66999999999996</v>
      </c>
      <c r="AB1004" t="s">
        <v>57</v>
      </c>
      <c r="AC1004" t="s">
        <v>58</v>
      </c>
      <c r="AD1004" t="s">
        <v>48</v>
      </c>
      <c r="AE1004">
        <v>0</v>
      </c>
      <c r="AF1004">
        <v>5.13</v>
      </c>
      <c r="AG1004" t="s">
        <v>59</v>
      </c>
      <c r="AH1004">
        <v>179772</v>
      </c>
      <c r="AI1004" t="s">
        <v>60</v>
      </c>
      <c r="AJ1004" t="s">
        <v>60</v>
      </c>
      <c r="AK1004" t="s">
        <v>54</v>
      </c>
      <c r="AL1004">
        <v>2024</v>
      </c>
      <c r="AM1004" s="6" t="s">
        <v>1058</v>
      </c>
      <c r="AN1004" s="7">
        <v>475.22</v>
      </c>
      <c r="AO1004" s="8">
        <f t="shared" si="48"/>
        <v>891.03750000000002</v>
      </c>
      <c r="AP1004" s="8">
        <f t="shared" si="49"/>
        <v>989.94266249999998</v>
      </c>
      <c r="AQ1004" s="9">
        <f t="shared" si="47"/>
        <v>1443.3916462499999</v>
      </c>
    </row>
    <row r="1005" spans="1:43" x14ac:dyDescent="0.25">
      <c r="A1005">
        <v>17</v>
      </c>
      <c r="B1005">
        <v>5</v>
      </c>
      <c r="C1005">
        <v>2024</v>
      </c>
      <c r="D1005" t="s">
        <v>43</v>
      </c>
      <c r="E1005" t="s">
        <v>79</v>
      </c>
      <c r="F1005" t="s">
        <v>80</v>
      </c>
      <c r="G1005">
        <v>60</v>
      </c>
      <c r="H1005">
        <v>1791882490001</v>
      </c>
      <c r="I1005" t="s">
        <v>46</v>
      </c>
      <c r="J1005" t="s">
        <v>48</v>
      </c>
      <c r="K1005" t="s">
        <v>48</v>
      </c>
      <c r="L1005" t="s">
        <v>49</v>
      </c>
      <c r="M1005" t="s">
        <v>50</v>
      </c>
      <c r="N1005" t="s">
        <v>51</v>
      </c>
      <c r="O1005">
        <v>8412390000</v>
      </c>
      <c r="P1005" t="s">
        <v>66</v>
      </c>
      <c r="Q1005" t="s">
        <v>1060</v>
      </c>
      <c r="R1005" t="s">
        <v>54</v>
      </c>
      <c r="S1005" t="s">
        <v>55</v>
      </c>
      <c r="T1005">
        <v>6</v>
      </c>
      <c r="U1005">
        <v>1</v>
      </c>
      <c r="V1005" t="s">
        <v>135</v>
      </c>
      <c r="W1005">
        <v>0</v>
      </c>
      <c r="X1005">
        <v>1771.42</v>
      </c>
      <c r="Y1005">
        <v>171.01</v>
      </c>
      <c r="Z1005">
        <v>11.8</v>
      </c>
      <c r="AA1005">
        <v>1954.23</v>
      </c>
      <c r="AB1005" t="s">
        <v>57</v>
      </c>
      <c r="AC1005" t="s">
        <v>81</v>
      </c>
      <c r="AD1005" t="s">
        <v>48</v>
      </c>
      <c r="AE1005">
        <v>0</v>
      </c>
      <c r="AF1005">
        <v>1.08</v>
      </c>
      <c r="AG1005" t="s">
        <v>82</v>
      </c>
      <c r="AH1005">
        <v>471463</v>
      </c>
      <c r="AI1005" t="s">
        <v>60</v>
      </c>
      <c r="AJ1005" t="s">
        <v>60</v>
      </c>
      <c r="AK1005" t="s">
        <v>54</v>
      </c>
      <c r="AL1005">
        <v>2024</v>
      </c>
      <c r="AM1005" s="6" t="s">
        <v>1061</v>
      </c>
      <c r="AN1005" s="7">
        <v>1771.42</v>
      </c>
      <c r="AO1005" s="8">
        <f t="shared" si="48"/>
        <v>3321.4125000000004</v>
      </c>
      <c r="AP1005" s="8">
        <f t="shared" si="49"/>
        <v>3690.0892875000004</v>
      </c>
      <c r="AQ1005" s="9">
        <f t="shared" si="47"/>
        <v>5380.3561087500002</v>
      </c>
    </row>
    <row r="1006" spans="1:43" x14ac:dyDescent="0.25">
      <c r="A1006">
        <v>12</v>
      </c>
      <c r="B1006">
        <v>6</v>
      </c>
      <c r="C1006">
        <v>2024</v>
      </c>
      <c r="D1006" t="s">
        <v>43</v>
      </c>
      <c r="E1006" t="s">
        <v>96</v>
      </c>
      <c r="F1006" t="s">
        <v>97</v>
      </c>
      <c r="G1006">
        <v>51</v>
      </c>
      <c r="H1006">
        <v>1791882490001</v>
      </c>
      <c r="I1006" t="s">
        <v>46</v>
      </c>
      <c r="J1006" t="s">
        <v>48</v>
      </c>
      <c r="K1006" t="s">
        <v>48</v>
      </c>
      <c r="L1006" t="s">
        <v>49</v>
      </c>
      <c r="M1006" t="s">
        <v>50</v>
      </c>
      <c r="N1006" t="s">
        <v>51</v>
      </c>
      <c r="O1006">
        <v>8412390000</v>
      </c>
      <c r="P1006" t="s">
        <v>66</v>
      </c>
      <c r="Q1006" t="s">
        <v>1062</v>
      </c>
      <c r="R1006" t="s">
        <v>54</v>
      </c>
      <c r="S1006" t="s">
        <v>55</v>
      </c>
      <c r="T1006">
        <v>7</v>
      </c>
      <c r="U1006">
        <v>1</v>
      </c>
      <c r="V1006" t="s">
        <v>135</v>
      </c>
      <c r="W1006">
        <v>0</v>
      </c>
      <c r="X1006">
        <v>2930.21</v>
      </c>
      <c r="Y1006">
        <v>254.13</v>
      </c>
      <c r="Z1006">
        <v>19.72</v>
      </c>
      <c r="AA1006">
        <v>3204.06</v>
      </c>
      <c r="AB1006" t="s">
        <v>57</v>
      </c>
      <c r="AC1006" t="s">
        <v>94</v>
      </c>
      <c r="AD1006" t="s">
        <v>48</v>
      </c>
      <c r="AE1006">
        <v>0</v>
      </c>
      <c r="AF1006">
        <v>1.8</v>
      </c>
      <c r="AG1006" t="s">
        <v>59</v>
      </c>
      <c r="AH1006" t="s">
        <v>98</v>
      </c>
      <c r="AI1006" t="s">
        <v>60</v>
      </c>
      <c r="AJ1006" t="s">
        <v>60</v>
      </c>
      <c r="AK1006" t="s">
        <v>54</v>
      </c>
      <c r="AL1006">
        <v>2024</v>
      </c>
      <c r="AM1006" s="6" t="s">
        <v>1063</v>
      </c>
      <c r="AN1006" s="7">
        <v>2930.21</v>
      </c>
      <c r="AO1006" s="8">
        <f t="shared" si="48"/>
        <v>5494.1437500000002</v>
      </c>
      <c r="AP1006" s="8">
        <f t="shared" si="49"/>
        <v>6103.9937062500003</v>
      </c>
      <c r="AQ1006" s="9">
        <f t="shared" si="47"/>
        <v>8899.9634606250002</v>
      </c>
    </row>
    <row r="1007" spans="1:43" x14ac:dyDescent="0.25">
      <c r="A1007">
        <v>12</v>
      </c>
      <c r="B1007">
        <v>6</v>
      </c>
      <c r="C1007">
        <v>2024</v>
      </c>
      <c r="D1007" t="s">
        <v>43</v>
      </c>
      <c r="E1007" t="s">
        <v>96</v>
      </c>
      <c r="F1007" t="s">
        <v>97</v>
      </c>
      <c r="G1007">
        <v>52</v>
      </c>
      <c r="H1007">
        <v>1791882490001</v>
      </c>
      <c r="I1007" t="s">
        <v>46</v>
      </c>
      <c r="J1007" t="s">
        <v>48</v>
      </c>
      <c r="K1007" t="s">
        <v>48</v>
      </c>
      <c r="L1007" t="s">
        <v>49</v>
      </c>
      <c r="M1007" t="s">
        <v>50</v>
      </c>
      <c r="N1007" t="s">
        <v>51</v>
      </c>
      <c r="O1007">
        <v>8481200000</v>
      </c>
      <c r="P1007" t="s">
        <v>377</v>
      </c>
      <c r="Q1007" t="s">
        <v>1064</v>
      </c>
      <c r="R1007" t="s">
        <v>54</v>
      </c>
      <c r="S1007" t="s">
        <v>55</v>
      </c>
      <c r="T1007">
        <v>7</v>
      </c>
      <c r="U1007">
        <v>1</v>
      </c>
      <c r="V1007" t="s">
        <v>135</v>
      </c>
      <c r="W1007">
        <v>0</v>
      </c>
      <c r="X1007">
        <v>4850.3500000000004</v>
      </c>
      <c r="Y1007">
        <v>420.65</v>
      </c>
      <c r="Z1007">
        <v>32.65</v>
      </c>
      <c r="AA1007">
        <v>5303.65</v>
      </c>
      <c r="AB1007" t="s">
        <v>57</v>
      </c>
      <c r="AC1007" t="s">
        <v>94</v>
      </c>
      <c r="AD1007" t="s">
        <v>48</v>
      </c>
      <c r="AE1007">
        <v>0</v>
      </c>
      <c r="AF1007">
        <v>1.8</v>
      </c>
      <c r="AG1007" t="s">
        <v>59</v>
      </c>
      <c r="AH1007" t="s">
        <v>98</v>
      </c>
      <c r="AI1007" t="s">
        <v>60</v>
      </c>
      <c r="AJ1007" t="s">
        <v>60</v>
      </c>
      <c r="AK1007" t="s">
        <v>54</v>
      </c>
      <c r="AL1007">
        <v>2024</v>
      </c>
      <c r="AM1007" s="6" t="s">
        <v>1065</v>
      </c>
      <c r="AN1007" s="7">
        <v>4850.3500000000004</v>
      </c>
      <c r="AO1007" s="8">
        <f t="shared" si="48"/>
        <v>9094.40625</v>
      </c>
      <c r="AP1007" s="8">
        <f t="shared" si="49"/>
        <v>10103.88534375</v>
      </c>
      <c r="AQ1007" s="9">
        <f t="shared" si="47"/>
        <v>14732.028684374998</v>
      </c>
    </row>
    <row r="1008" spans="1:43" x14ac:dyDescent="0.25">
      <c r="A1008">
        <v>28</v>
      </c>
      <c r="B1008">
        <v>8</v>
      </c>
      <c r="C1008">
        <v>2024</v>
      </c>
      <c r="D1008" t="s">
        <v>43</v>
      </c>
      <c r="E1008" t="s">
        <v>91</v>
      </c>
      <c r="F1008" t="s">
        <v>92</v>
      </c>
      <c r="G1008">
        <v>55</v>
      </c>
      <c r="H1008">
        <v>1791882490001</v>
      </c>
      <c r="I1008" t="s">
        <v>46</v>
      </c>
      <c r="J1008" t="s">
        <v>48</v>
      </c>
      <c r="K1008" t="s">
        <v>48</v>
      </c>
      <c r="L1008" t="s">
        <v>49</v>
      </c>
      <c r="M1008" t="s">
        <v>50</v>
      </c>
      <c r="N1008" t="s">
        <v>51</v>
      </c>
      <c r="O1008">
        <v>9027101000</v>
      </c>
      <c r="P1008" t="s">
        <v>1066</v>
      </c>
      <c r="Q1008" t="s">
        <v>1067</v>
      </c>
      <c r="R1008" t="s">
        <v>54</v>
      </c>
      <c r="S1008" t="s">
        <v>55</v>
      </c>
      <c r="T1008">
        <v>8</v>
      </c>
      <c r="U1008">
        <v>1</v>
      </c>
      <c r="V1008" t="s">
        <v>135</v>
      </c>
      <c r="W1008">
        <v>0</v>
      </c>
      <c r="X1008">
        <v>4113.93</v>
      </c>
      <c r="Y1008">
        <v>454.54</v>
      </c>
      <c r="Z1008">
        <v>27.67</v>
      </c>
      <c r="AA1008">
        <v>4596.1400000000003</v>
      </c>
      <c r="AB1008" t="s">
        <v>57</v>
      </c>
      <c r="AC1008" t="s">
        <v>94</v>
      </c>
      <c r="AD1008" t="s">
        <v>48</v>
      </c>
      <c r="AE1008">
        <v>0</v>
      </c>
      <c r="AF1008">
        <v>47.34</v>
      </c>
      <c r="AG1008" t="s">
        <v>59</v>
      </c>
      <c r="AH1008">
        <v>150511</v>
      </c>
      <c r="AI1008" t="s">
        <v>60</v>
      </c>
      <c r="AJ1008" t="s">
        <v>60</v>
      </c>
      <c r="AK1008" t="s">
        <v>54</v>
      </c>
      <c r="AL1008">
        <v>2024</v>
      </c>
      <c r="AM1008" s="6" t="s">
        <v>1068</v>
      </c>
      <c r="AN1008" s="7">
        <v>4113.93</v>
      </c>
      <c r="AO1008" s="8">
        <f t="shared" si="48"/>
        <v>7713.6187500000005</v>
      </c>
      <c r="AP1008" s="8">
        <f t="shared" si="49"/>
        <v>8569.8304312500004</v>
      </c>
      <c r="AQ1008" s="9">
        <f t="shared" si="47"/>
        <v>12495.291013125001</v>
      </c>
    </row>
    <row r="1009" spans="1:43" x14ac:dyDescent="0.25">
      <c r="A1009">
        <v>16</v>
      </c>
      <c r="B1009">
        <v>12</v>
      </c>
      <c r="C1009">
        <v>2024</v>
      </c>
      <c r="D1009" t="s">
        <v>43</v>
      </c>
      <c r="E1009" t="s">
        <v>128</v>
      </c>
      <c r="F1009" t="s">
        <v>129</v>
      </c>
      <c r="G1009">
        <v>68</v>
      </c>
      <c r="H1009">
        <v>1791882490001</v>
      </c>
      <c r="I1009" t="s">
        <v>46</v>
      </c>
      <c r="J1009" t="s">
        <v>48</v>
      </c>
      <c r="K1009" t="s">
        <v>48</v>
      </c>
      <c r="L1009" t="s">
        <v>49</v>
      </c>
      <c r="M1009" t="s">
        <v>50</v>
      </c>
      <c r="N1009" t="s">
        <v>51</v>
      </c>
      <c r="O1009">
        <v>8421999000</v>
      </c>
      <c r="P1009" t="s">
        <v>52</v>
      </c>
      <c r="Q1009" t="s">
        <v>577</v>
      </c>
      <c r="R1009" t="s">
        <v>54</v>
      </c>
      <c r="S1009" t="s">
        <v>55</v>
      </c>
      <c r="T1009">
        <v>9</v>
      </c>
      <c r="U1009">
        <v>8</v>
      </c>
      <c r="V1009" t="s">
        <v>135</v>
      </c>
      <c r="W1009">
        <v>0</v>
      </c>
      <c r="X1009">
        <v>681.18</v>
      </c>
      <c r="Y1009">
        <v>89.21</v>
      </c>
      <c r="Z1009">
        <v>4.67</v>
      </c>
      <c r="AA1009">
        <v>775.06</v>
      </c>
      <c r="AB1009" t="s">
        <v>57</v>
      </c>
      <c r="AC1009" t="s">
        <v>131</v>
      </c>
      <c r="AD1009" t="s">
        <v>48</v>
      </c>
      <c r="AE1009">
        <v>0</v>
      </c>
      <c r="AF1009">
        <v>15.91</v>
      </c>
      <c r="AG1009" t="s">
        <v>59</v>
      </c>
      <c r="AH1009">
        <v>325395</v>
      </c>
      <c r="AI1009" t="s">
        <v>60</v>
      </c>
      <c r="AJ1009" t="s">
        <v>78</v>
      </c>
      <c r="AK1009" t="s">
        <v>54</v>
      </c>
      <c r="AL1009">
        <v>2024</v>
      </c>
      <c r="AM1009" s="6" t="s">
        <v>1069</v>
      </c>
      <c r="AN1009" s="7">
        <v>85.15</v>
      </c>
      <c r="AO1009" s="8">
        <f t="shared" si="48"/>
        <v>159.65625</v>
      </c>
      <c r="AP1009" s="8">
        <f t="shared" si="49"/>
        <v>177.37809375000001</v>
      </c>
      <c r="AQ1009" s="9">
        <f t="shared" si="47"/>
        <v>258.62715937499996</v>
      </c>
    </row>
    <row r="1010" spans="1:43" x14ac:dyDescent="0.25">
      <c r="A1010">
        <v>15</v>
      </c>
      <c r="B1010">
        <v>4</v>
      </c>
      <c r="C1010">
        <v>2024</v>
      </c>
      <c r="D1010" t="s">
        <v>43</v>
      </c>
      <c r="E1010" t="s">
        <v>63</v>
      </c>
      <c r="F1010" t="s">
        <v>64</v>
      </c>
      <c r="G1010">
        <v>68</v>
      </c>
      <c r="H1010">
        <v>1791882490001</v>
      </c>
      <c r="I1010" t="s">
        <v>46</v>
      </c>
      <c r="J1010" t="s">
        <v>48</v>
      </c>
      <c r="K1010" t="s">
        <v>48</v>
      </c>
      <c r="L1010" t="s">
        <v>49</v>
      </c>
      <c r="M1010" t="s">
        <v>50</v>
      </c>
      <c r="N1010" t="s">
        <v>51</v>
      </c>
      <c r="O1010">
        <v>8481909090</v>
      </c>
      <c r="P1010" t="s">
        <v>103</v>
      </c>
      <c r="Q1010" t="s">
        <v>956</v>
      </c>
      <c r="R1010" t="s">
        <v>54</v>
      </c>
      <c r="S1010" t="s">
        <v>55</v>
      </c>
      <c r="T1010">
        <v>6</v>
      </c>
      <c r="U1010">
        <v>1</v>
      </c>
      <c r="V1010" t="s">
        <v>135</v>
      </c>
      <c r="W1010">
        <v>0</v>
      </c>
      <c r="X1010">
        <v>563.24</v>
      </c>
      <c r="Y1010">
        <v>59.29</v>
      </c>
      <c r="Z1010">
        <v>3.78</v>
      </c>
      <c r="AA1010">
        <v>626.32000000000005</v>
      </c>
      <c r="AB1010" t="s">
        <v>57</v>
      </c>
      <c r="AC1010" t="s">
        <v>58</v>
      </c>
      <c r="AD1010" t="s">
        <v>48</v>
      </c>
      <c r="AE1010">
        <v>0</v>
      </c>
      <c r="AF1010">
        <v>5.4</v>
      </c>
      <c r="AG1010" t="s">
        <v>59</v>
      </c>
      <c r="AH1010">
        <v>443965</v>
      </c>
      <c r="AI1010" t="s">
        <v>60</v>
      </c>
      <c r="AJ1010" t="s">
        <v>60</v>
      </c>
      <c r="AK1010" t="s">
        <v>54</v>
      </c>
      <c r="AL1010">
        <v>2024</v>
      </c>
      <c r="AM1010" s="6" t="s">
        <v>1070</v>
      </c>
      <c r="AN1010" s="7">
        <v>563.24</v>
      </c>
      <c r="AO1010" s="8">
        <f t="shared" si="48"/>
        <v>1056.075</v>
      </c>
      <c r="AP1010" s="8">
        <f t="shared" si="49"/>
        <v>1173.299325</v>
      </c>
      <c r="AQ1010" s="9">
        <f t="shared" si="47"/>
        <v>1710.7358924999999</v>
      </c>
    </row>
    <row r="1011" spans="1:43" x14ac:dyDescent="0.25">
      <c r="A1011">
        <v>11</v>
      </c>
      <c r="B1011">
        <v>7</v>
      </c>
      <c r="C1011">
        <v>2024</v>
      </c>
      <c r="D1011" t="s">
        <v>43</v>
      </c>
      <c r="E1011" t="s">
        <v>116</v>
      </c>
      <c r="F1011" t="s">
        <v>117</v>
      </c>
      <c r="G1011">
        <v>37</v>
      </c>
      <c r="H1011">
        <v>1791882490001</v>
      </c>
      <c r="I1011" t="s">
        <v>46</v>
      </c>
      <c r="J1011" t="s">
        <v>48</v>
      </c>
      <c r="K1011" t="s">
        <v>48</v>
      </c>
      <c r="L1011" t="s">
        <v>119</v>
      </c>
      <c r="M1011" t="s">
        <v>120</v>
      </c>
      <c r="N1011" t="s">
        <v>121</v>
      </c>
      <c r="O1011">
        <v>8421999000</v>
      </c>
      <c r="P1011" t="s">
        <v>66</v>
      </c>
      <c r="Q1011" t="s">
        <v>577</v>
      </c>
      <c r="R1011" t="s">
        <v>54</v>
      </c>
      <c r="S1011" t="s">
        <v>55</v>
      </c>
      <c r="T1011">
        <v>9</v>
      </c>
      <c r="U1011">
        <v>2</v>
      </c>
      <c r="V1011" t="s">
        <v>135</v>
      </c>
      <c r="W1011">
        <v>0</v>
      </c>
      <c r="X1011">
        <v>268.58999999999997</v>
      </c>
      <c r="Y1011">
        <v>24.19</v>
      </c>
      <c r="Z1011">
        <v>1.8</v>
      </c>
      <c r="AA1011">
        <v>294.58</v>
      </c>
      <c r="AB1011" t="s">
        <v>124</v>
      </c>
      <c r="AC1011" t="s">
        <v>125</v>
      </c>
      <c r="AD1011" t="s">
        <v>48</v>
      </c>
      <c r="AE1011">
        <v>0</v>
      </c>
      <c r="AF1011">
        <v>4.03</v>
      </c>
      <c r="AG1011" t="s">
        <v>59</v>
      </c>
      <c r="AH1011">
        <v>486256</v>
      </c>
      <c r="AI1011" t="s">
        <v>60</v>
      </c>
      <c r="AJ1011" t="s">
        <v>78</v>
      </c>
      <c r="AK1011" t="s">
        <v>54</v>
      </c>
      <c r="AL1011">
        <v>2024</v>
      </c>
      <c r="AM1011" s="6" t="s">
        <v>1071</v>
      </c>
      <c r="AN1011" s="7">
        <v>134.29</v>
      </c>
      <c r="AO1011" s="8">
        <f t="shared" si="48"/>
        <v>251.79374999999999</v>
      </c>
      <c r="AP1011" s="8">
        <f t="shared" si="49"/>
        <v>279.74285624999999</v>
      </c>
      <c r="AQ1011" s="9">
        <f t="shared" si="47"/>
        <v>407.88069562499993</v>
      </c>
    </row>
    <row r="1012" spans="1:43" x14ac:dyDescent="0.25">
      <c r="A1012">
        <v>16</v>
      </c>
      <c r="B1012">
        <v>12</v>
      </c>
      <c r="C1012">
        <v>2024</v>
      </c>
      <c r="D1012" t="s">
        <v>43</v>
      </c>
      <c r="E1012" t="s">
        <v>128</v>
      </c>
      <c r="F1012" t="s">
        <v>129</v>
      </c>
      <c r="G1012">
        <v>69</v>
      </c>
      <c r="H1012">
        <v>1791882490001</v>
      </c>
      <c r="I1012" t="s">
        <v>46</v>
      </c>
      <c r="J1012" t="s">
        <v>48</v>
      </c>
      <c r="K1012" t="s">
        <v>48</v>
      </c>
      <c r="L1012" t="s">
        <v>49</v>
      </c>
      <c r="M1012" t="s">
        <v>50</v>
      </c>
      <c r="N1012" t="s">
        <v>51</v>
      </c>
      <c r="O1012">
        <v>8421999000</v>
      </c>
      <c r="P1012" t="s">
        <v>52</v>
      </c>
      <c r="Q1012" t="s">
        <v>577</v>
      </c>
      <c r="R1012" t="s">
        <v>54</v>
      </c>
      <c r="S1012" t="s">
        <v>55</v>
      </c>
      <c r="T1012">
        <v>9</v>
      </c>
      <c r="U1012">
        <v>2</v>
      </c>
      <c r="V1012" t="s">
        <v>135</v>
      </c>
      <c r="W1012">
        <v>0</v>
      </c>
      <c r="X1012">
        <v>269.99</v>
      </c>
      <c r="Y1012">
        <v>35.36</v>
      </c>
      <c r="Z1012">
        <v>1.85</v>
      </c>
      <c r="AA1012">
        <v>307.2</v>
      </c>
      <c r="AB1012" t="s">
        <v>57</v>
      </c>
      <c r="AC1012" t="s">
        <v>131</v>
      </c>
      <c r="AD1012" t="s">
        <v>48</v>
      </c>
      <c r="AE1012">
        <v>0</v>
      </c>
      <c r="AF1012">
        <v>3.98</v>
      </c>
      <c r="AG1012" t="s">
        <v>59</v>
      </c>
      <c r="AH1012">
        <v>325395</v>
      </c>
      <c r="AI1012" t="s">
        <v>60</v>
      </c>
      <c r="AJ1012" t="s">
        <v>78</v>
      </c>
      <c r="AK1012" t="s">
        <v>54</v>
      </c>
      <c r="AL1012">
        <v>2024</v>
      </c>
      <c r="AM1012" s="6" t="s">
        <v>1071</v>
      </c>
      <c r="AN1012" s="7">
        <v>134.99</v>
      </c>
      <c r="AO1012" s="8">
        <f t="shared" si="48"/>
        <v>253.10625000000002</v>
      </c>
      <c r="AP1012" s="8">
        <f t="shared" si="49"/>
        <v>281.20104375</v>
      </c>
      <c r="AQ1012" s="9">
        <f t="shared" si="47"/>
        <v>410.00681437499998</v>
      </c>
    </row>
    <row r="1013" spans="1:43" x14ac:dyDescent="0.25">
      <c r="A1013">
        <v>26</v>
      </c>
      <c r="B1013">
        <v>12</v>
      </c>
      <c r="C1013">
        <v>2024</v>
      </c>
      <c r="D1013" t="s">
        <v>43</v>
      </c>
      <c r="E1013" t="s">
        <v>222</v>
      </c>
      <c r="F1013" t="s">
        <v>223</v>
      </c>
      <c r="G1013">
        <v>53</v>
      </c>
      <c r="H1013">
        <v>1791882490001</v>
      </c>
      <c r="I1013" t="s">
        <v>46</v>
      </c>
      <c r="J1013" t="s">
        <v>48</v>
      </c>
      <c r="K1013" t="s">
        <v>48</v>
      </c>
      <c r="L1013" t="s">
        <v>49</v>
      </c>
      <c r="M1013" t="s">
        <v>50</v>
      </c>
      <c r="N1013" t="s">
        <v>224</v>
      </c>
      <c r="O1013">
        <v>8421999000</v>
      </c>
      <c r="P1013" t="s">
        <v>52</v>
      </c>
      <c r="Q1013" t="s">
        <v>577</v>
      </c>
      <c r="R1013" t="s">
        <v>54</v>
      </c>
      <c r="S1013" t="s">
        <v>55</v>
      </c>
      <c r="T1013">
        <v>8</v>
      </c>
      <c r="U1013">
        <v>1</v>
      </c>
      <c r="V1013" t="s">
        <v>135</v>
      </c>
      <c r="W1013">
        <v>0</v>
      </c>
      <c r="X1013">
        <v>136.6</v>
      </c>
      <c r="Y1013">
        <v>28.29</v>
      </c>
      <c r="Z1013">
        <v>1.37</v>
      </c>
      <c r="AA1013">
        <v>166.26</v>
      </c>
      <c r="AB1013" t="s">
        <v>57</v>
      </c>
      <c r="AC1013" t="s">
        <v>225</v>
      </c>
      <c r="AD1013" t="s">
        <v>48</v>
      </c>
      <c r="AE1013">
        <v>0</v>
      </c>
      <c r="AF1013">
        <v>2.06</v>
      </c>
      <c r="AG1013" t="s">
        <v>59</v>
      </c>
      <c r="AH1013">
        <v>341996</v>
      </c>
      <c r="AI1013" t="s">
        <v>60</v>
      </c>
      <c r="AJ1013" t="s">
        <v>60</v>
      </c>
      <c r="AK1013" t="s">
        <v>54</v>
      </c>
      <c r="AL1013">
        <v>2024</v>
      </c>
      <c r="AM1013" s="6" t="s">
        <v>1071</v>
      </c>
      <c r="AN1013" s="7">
        <v>136.6</v>
      </c>
      <c r="AO1013" s="8">
        <f t="shared" si="48"/>
        <v>256.125</v>
      </c>
      <c r="AP1013" s="8">
        <f t="shared" si="49"/>
        <v>284.55487499999998</v>
      </c>
      <c r="AQ1013" s="9">
        <f t="shared" si="47"/>
        <v>414.89688749999999</v>
      </c>
    </row>
    <row r="1014" spans="1:43" x14ac:dyDescent="0.25">
      <c r="A1014">
        <v>13</v>
      </c>
      <c r="B1014">
        <v>3</v>
      </c>
      <c r="C1014">
        <v>2024</v>
      </c>
      <c r="D1014" t="s">
        <v>43</v>
      </c>
      <c r="E1014" t="s">
        <v>69</v>
      </c>
      <c r="F1014" t="s">
        <v>70</v>
      </c>
      <c r="G1014">
        <v>54</v>
      </c>
      <c r="H1014">
        <v>1791882490001</v>
      </c>
      <c r="I1014" t="s">
        <v>46</v>
      </c>
      <c r="J1014" t="s">
        <v>48</v>
      </c>
      <c r="K1014" t="s">
        <v>48</v>
      </c>
      <c r="L1014" t="s">
        <v>49</v>
      </c>
      <c r="M1014" t="s">
        <v>50</v>
      </c>
      <c r="N1014" t="s">
        <v>51</v>
      </c>
      <c r="O1014">
        <v>8482100000</v>
      </c>
      <c r="P1014" t="s">
        <v>831</v>
      </c>
      <c r="Q1014" t="s">
        <v>723</v>
      </c>
      <c r="R1014" t="s">
        <v>54</v>
      </c>
      <c r="S1014" t="s">
        <v>55</v>
      </c>
      <c r="T1014">
        <v>11</v>
      </c>
      <c r="U1014">
        <v>3</v>
      </c>
      <c r="V1014" t="s">
        <v>135</v>
      </c>
      <c r="W1014">
        <v>0</v>
      </c>
      <c r="X1014">
        <v>918.23</v>
      </c>
      <c r="Y1014">
        <v>120.24</v>
      </c>
      <c r="Z1014">
        <v>6.18</v>
      </c>
      <c r="AA1014">
        <v>1044.6500000000001</v>
      </c>
      <c r="AB1014" t="s">
        <v>54</v>
      </c>
      <c r="AC1014" t="s">
        <v>71</v>
      </c>
      <c r="AD1014" t="s">
        <v>48</v>
      </c>
      <c r="AE1014">
        <v>0</v>
      </c>
      <c r="AF1014">
        <v>6.12</v>
      </c>
      <c r="AG1014" t="s">
        <v>59</v>
      </c>
      <c r="AH1014">
        <v>895279</v>
      </c>
      <c r="AI1014" t="s">
        <v>60</v>
      </c>
      <c r="AJ1014" t="s">
        <v>60</v>
      </c>
      <c r="AK1014" t="s">
        <v>54</v>
      </c>
      <c r="AL1014">
        <v>2024</v>
      </c>
      <c r="AM1014" s="6" t="s">
        <v>1072</v>
      </c>
      <c r="AN1014" s="7">
        <v>306.08</v>
      </c>
      <c r="AO1014" s="8">
        <f t="shared" si="48"/>
        <v>573.9</v>
      </c>
      <c r="AP1014" s="8">
        <f t="shared" si="49"/>
        <v>637.60289999999998</v>
      </c>
      <c r="AQ1014" s="9">
        <f t="shared" si="47"/>
        <v>929.66060999999991</v>
      </c>
    </row>
    <row r="1015" spans="1:43" x14ac:dyDescent="0.25">
      <c r="A1015">
        <v>11</v>
      </c>
      <c r="B1015">
        <v>7</v>
      </c>
      <c r="C1015">
        <v>2024</v>
      </c>
      <c r="D1015" t="s">
        <v>43</v>
      </c>
      <c r="E1015" t="s">
        <v>116</v>
      </c>
      <c r="F1015" t="s">
        <v>117</v>
      </c>
      <c r="G1015">
        <v>38</v>
      </c>
      <c r="H1015">
        <v>1791882490001</v>
      </c>
      <c r="I1015" t="s">
        <v>46</v>
      </c>
      <c r="J1015" t="s">
        <v>48</v>
      </c>
      <c r="K1015" t="s">
        <v>48</v>
      </c>
      <c r="L1015" t="s">
        <v>119</v>
      </c>
      <c r="M1015" t="s">
        <v>120</v>
      </c>
      <c r="N1015" t="s">
        <v>121</v>
      </c>
      <c r="O1015">
        <v>8482100000</v>
      </c>
      <c r="P1015" t="s">
        <v>831</v>
      </c>
      <c r="Q1015" t="s">
        <v>455</v>
      </c>
      <c r="R1015" t="s">
        <v>54</v>
      </c>
      <c r="S1015" t="s">
        <v>55</v>
      </c>
      <c r="T1015">
        <v>9</v>
      </c>
      <c r="U1015">
        <v>3</v>
      </c>
      <c r="V1015" t="s">
        <v>135</v>
      </c>
      <c r="W1015">
        <v>0</v>
      </c>
      <c r="X1015">
        <v>912.5</v>
      </c>
      <c r="Y1015">
        <v>82.18</v>
      </c>
      <c r="Z1015">
        <v>6.13</v>
      </c>
      <c r="AA1015">
        <v>1000.81</v>
      </c>
      <c r="AB1015" t="s">
        <v>124</v>
      </c>
      <c r="AC1015" t="s">
        <v>125</v>
      </c>
      <c r="AD1015" t="s">
        <v>48</v>
      </c>
      <c r="AE1015">
        <v>0</v>
      </c>
      <c r="AF1015">
        <v>6.05</v>
      </c>
      <c r="AG1015" t="s">
        <v>59</v>
      </c>
      <c r="AH1015">
        <v>486256</v>
      </c>
      <c r="AI1015" t="s">
        <v>60</v>
      </c>
      <c r="AJ1015" t="s">
        <v>78</v>
      </c>
      <c r="AK1015" t="s">
        <v>54</v>
      </c>
      <c r="AL1015">
        <v>2024</v>
      </c>
      <c r="AM1015" s="6" t="s">
        <v>1072</v>
      </c>
      <c r="AN1015" s="7">
        <v>304.17</v>
      </c>
      <c r="AO1015" s="8">
        <f t="shared" si="48"/>
        <v>570.31875000000002</v>
      </c>
      <c r="AP1015" s="8">
        <f t="shared" si="49"/>
        <v>633.62413125</v>
      </c>
      <c r="AQ1015" s="9">
        <f t="shared" si="47"/>
        <v>923.85934312500001</v>
      </c>
    </row>
    <row r="1016" spans="1:43" x14ac:dyDescent="0.25">
      <c r="A1016">
        <v>13</v>
      </c>
      <c r="B1016">
        <v>3</v>
      </c>
      <c r="C1016">
        <v>2024</v>
      </c>
      <c r="D1016" t="s">
        <v>43</v>
      </c>
      <c r="E1016" t="s">
        <v>69</v>
      </c>
      <c r="F1016" t="s">
        <v>70</v>
      </c>
      <c r="G1016">
        <v>59</v>
      </c>
      <c r="H1016">
        <v>1791882490001</v>
      </c>
      <c r="I1016" t="s">
        <v>46</v>
      </c>
      <c r="J1016" t="s">
        <v>48</v>
      </c>
      <c r="K1016" t="s">
        <v>48</v>
      </c>
      <c r="L1016" t="s">
        <v>49</v>
      </c>
      <c r="M1016" t="s">
        <v>50</v>
      </c>
      <c r="N1016" t="s">
        <v>51</v>
      </c>
      <c r="O1016">
        <v>8481909090</v>
      </c>
      <c r="P1016" t="s">
        <v>103</v>
      </c>
      <c r="Q1016" t="s">
        <v>968</v>
      </c>
      <c r="R1016" t="s">
        <v>54</v>
      </c>
      <c r="S1016" t="s">
        <v>55</v>
      </c>
      <c r="T1016">
        <v>11</v>
      </c>
      <c r="U1016">
        <v>1</v>
      </c>
      <c r="V1016" t="s">
        <v>135</v>
      </c>
      <c r="W1016">
        <v>0</v>
      </c>
      <c r="X1016">
        <v>453.86</v>
      </c>
      <c r="Y1016">
        <v>59.43</v>
      </c>
      <c r="Z1016">
        <v>3.05</v>
      </c>
      <c r="AA1016">
        <v>516.34</v>
      </c>
      <c r="AB1016" t="s">
        <v>54</v>
      </c>
      <c r="AC1016" t="s">
        <v>71</v>
      </c>
      <c r="AD1016" t="s">
        <v>48</v>
      </c>
      <c r="AE1016">
        <v>0</v>
      </c>
      <c r="AF1016">
        <v>2.04</v>
      </c>
      <c r="AG1016" t="s">
        <v>59</v>
      </c>
      <c r="AH1016">
        <v>895279</v>
      </c>
      <c r="AI1016" t="s">
        <v>60</v>
      </c>
      <c r="AJ1016" t="s">
        <v>60</v>
      </c>
      <c r="AK1016" t="s">
        <v>54</v>
      </c>
      <c r="AL1016">
        <v>2024</v>
      </c>
      <c r="AM1016" s="6" t="s">
        <v>1073</v>
      </c>
      <c r="AN1016" s="7">
        <v>453.86</v>
      </c>
      <c r="AO1016" s="8">
        <f t="shared" si="48"/>
        <v>850.98750000000007</v>
      </c>
      <c r="AP1016" s="8">
        <f t="shared" si="49"/>
        <v>945.44711250000012</v>
      </c>
      <c r="AQ1016" s="9">
        <f t="shared" si="47"/>
        <v>1378.51465125</v>
      </c>
    </row>
    <row r="1017" spans="1:43" x14ac:dyDescent="0.25">
      <c r="A1017">
        <v>13</v>
      </c>
      <c r="B1017">
        <v>3</v>
      </c>
      <c r="C1017">
        <v>2024</v>
      </c>
      <c r="D1017" t="s">
        <v>43</v>
      </c>
      <c r="E1017" t="s">
        <v>69</v>
      </c>
      <c r="F1017" t="s">
        <v>70</v>
      </c>
      <c r="G1017">
        <v>60</v>
      </c>
      <c r="H1017">
        <v>1791882490001</v>
      </c>
      <c r="I1017" t="s">
        <v>46</v>
      </c>
      <c r="J1017" t="s">
        <v>48</v>
      </c>
      <c r="K1017" t="s">
        <v>48</v>
      </c>
      <c r="L1017" t="s">
        <v>49</v>
      </c>
      <c r="M1017" t="s">
        <v>50</v>
      </c>
      <c r="N1017" t="s">
        <v>51</v>
      </c>
      <c r="O1017">
        <v>8481909090</v>
      </c>
      <c r="P1017" t="s">
        <v>103</v>
      </c>
      <c r="Q1017" t="s">
        <v>968</v>
      </c>
      <c r="R1017" t="s">
        <v>54</v>
      </c>
      <c r="S1017" t="s">
        <v>55</v>
      </c>
      <c r="T1017">
        <v>11</v>
      </c>
      <c r="U1017">
        <v>1</v>
      </c>
      <c r="V1017" t="s">
        <v>135</v>
      </c>
      <c r="W1017">
        <v>0</v>
      </c>
      <c r="X1017">
        <v>453.86</v>
      </c>
      <c r="Y1017">
        <v>59.43</v>
      </c>
      <c r="Z1017">
        <v>3.05</v>
      </c>
      <c r="AA1017">
        <v>516.34</v>
      </c>
      <c r="AB1017" t="s">
        <v>54</v>
      </c>
      <c r="AC1017" t="s">
        <v>71</v>
      </c>
      <c r="AD1017" t="s">
        <v>48</v>
      </c>
      <c r="AE1017">
        <v>0</v>
      </c>
      <c r="AF1017">
        <v>2.04</v>
      </c>
      <c r="AG1017" t="s">
        <v>59</v>
      </c>
      <c r="AH1017">
        <v>895279</v>
      </c>
      <c r="AI1017" t="s">
        <v>60</v>
      </c>
      <c r="AJ1017" t="s">
        <v>60</v>
      </c>
      <c r="AK1017" t="s">
        <v>54</v>
      </c>
      <c r="AL1017">
        <v>2024</v>
      </c>
      <c r="AM1017" s="6" t="s">
        <v>1073</v>
      </c>
      <c r="AN1017" s="7">
        <v>453.86</v>
      </c>
      <c r="AO1017" s="8">
        <f t="shared" si="48"/>
        <v>850.98750000000007</v>
      </c>
      <c r="AP1017" s="8">
        <f t="shared" si="49"/>
        <v>945.44711250000012</v>
      </c>
      <c r="AQ1017" s="9">
        <f t="shared" si="47"/>
        <v>1378.51465125</v>
      </c>
    </row>
    <row r="1018" spans="1:43" x14ac:dyDescent="0.25">
      <c r="A1018">
        <v>11</v>
      </c>
      <c r="B1018">
        <v>7</v>
      </c>
      <c r="C1018">
        <v>2024</v>
      </c>
      <c r="D1018" t="s">
        <v>43</v>
      </c>
      <c r="E1018" t="s">
        <v>116</v>
      </c>
      <c r="F1018" t="s">
        <v>117</v>
      </c>
      <c r="G1018">
        <v>39</v>
      </c>
      <c r="H1018">
        <v>1791882490001</v>
      </c>
      <c r="I1018" t="s">
        <v>46</v>
      </c>
      <c r="J1018" t="s">
        <v>48</v>
      </c>
      <c r="K1018" t="s">
        <v>48</v>
      </c>
      <c r="L1018" t="s">
        <v>119</v>
      </c>
      <c r="M1018" t="s">
        <v>120</v>
      </c>
      <c r="N1018" t="s">
        <v>121</v>
      </c>
      <c r="O1018">
        <v>8481909090</v>
      </c>
      <c r="P1018" t="s">
        <v>103</v>
      </c>
      <c r="Q1018" t="s">
        <v>968</v>
      </c>
      <c r="R1018" t="s">
        <v>54</v>
      </c>
      <c r="S1018" t="s">
        <v>55</v>
      </c>
      <c r="T1018">
        <v>9</v>
      </c>
      <c r="U1018">
        <v>2</v>
      </c>
      <c r="V1018" t="s">
        <v>135</v>
      </c>
      <c r="W1018">
        <v>0</v>
      </c>
      <c r="X1018">
        <v>1079.96</v>
      </c>
      <c r="Y1018">
        <v>97.25</v>
      </c>
      <c r="Z1018">
        <v>7.25</v>
      </c>
      <c r="AA1018">
        <v>1184.46</v>
      </c>
      <c r="AB1018" t="s">
        <v>124</v>
      </c>
      <c r="AC1018" t="s">
        <v>125</v>
      </c>
      <c r="AD1018" t="s">
        <v>48</v>
      </c>
      <c r="AE1018">
        <v>0</v>
      </c>
      <c r="AF1018">
        <v>4.03</v>
      </c>
      <c r="AG1018" t="s">
        <v>59</v>
      </c>
      <c r="AH1018">
        <v>486256</v>
      </c>
      <c r="AI1018" t="s">
        <v>60</v>
      </c>
      <c r="AJ1018" t="s">
        <v>78</v>
      </c>
      <c r="AK1018" t="s">
        <v>54</v>
      </c>
      <c r="AL1018">
        <v>2024</v>
      </c>
      <c r="AM1018" s="6" t="s">
        <v>1073</v>
      </c>
      <c r="AN1018" s="7">
        <v>539.98</v>
      </c>
      <c r="AO1018" s="8">
        <f t="shared" si="48"/>
        <v>1012.4625000000001</v>
      </c>
      <c r="AP1018" s="8">
        <f t="shared" si="49"/>
        <v>1124.8458375</v>
      </c>
      <c r="AQ1018" s="9">
        <f t="shared" si="47"/>
        <v>1640.0880037500001</v>
      </c>
    </row>
    <row r="1019" spans="1:43" x14ac:dyDescent="0.25">
      <c r="A1019">
        <v>11</v>
      </c>
      <c r="B1019">
        <v>7</v>
      </c>
      <c r="C1019">
        <v>2024</v>
      </c>
      <c r="D1019" t="s">
        <v>43</v>
      </c>
      <c r="E1019" t="s">
        <v>116</v>
      </c>
      <c r="F1019" t="s">
        <v>117</v>
      </c>
      <c r="G1019">
        <v>40</v>
      </c>
      <c r="H1019">
        <v>1791882490001</v>
      </c>
      <c r="I1019" t="s">
        <v>46</v>
      </c>
      <c r="J1019" t="s">
        <v>48</v>
      </c>
      <c r="K1019" t="s">
        <v>48</v>
      </c>
      <c r="L1019" t="s">
        <v>119</v>
      </c>
      <c r="M1019" t="s">
        <v>120</v>
      </c>
      <c r="N1019" t="s">
        <v>121</v>
      </c>
      <c r="O1019">
        <v>8481909090</v>
      </c>
      <c r="P1019" t="s">
        <v>103</v>
      </c>
      <c r="Q1019" t="s">
        <v>968</v>
      </c>
      <c r="R1019" t="s">
        <v>54</v>
      </c>
      <c r="S1019" t="s">
        <v>55</v>
      </c>
      <c r="T1019">
        <v>9</v>
      </c>
      <c r="U1019">
        <v>1</v>
      </c>
      <c r="V1019" t="s">
        <v>135</v>
      </c>
      <c r="W1019">
        <v>0</v>
      </c>
      <c r="X1019">
        <v>539.98</v>
      </c>
      <c r="Y1019">
        <v>48.62</v>
      </c>
      <c r="Z1019">
        <v>3.63</v>
      </c>
      <c r="AA1019">
        <v>592.23</v>
      </c>
      <c r="AB1019" t="s">
        <v>124</v>
      </c>
      <c r="AC1019" t="s">
        <v>125</v>
      </c>
      <c r="AD1019" t="s">
        <v>48</v>
      </c>
      <c r="AE1019">
        <v>0</v>
      </c>
      <c r="AF1019">
        <v>2.02</v>
      </c>
      <c r="AG1019" t="s">
        <v>59</v>
      </c>
      <c r="AH1019">
        <v>486256</v>
      </c>
      <c r="AI1019" t="s">
        <v>60</v>
      </c>
      <c r="AJ1019" t="s">
        <v>78</v>
      </c>
      <c r="AK1019" t="s">
        <v>54</v>
      </c>
      <c r="AL1019">
        <v>2024</v>
      </c>
      <c r="AM1019" s="6" t="s">
        <v>1073</v>
      </c>
      <c r="AN1019" s="7">
        <v>539.98</v>
      </c>
      <c r="AO1019" s="8">
        <f t="shared" si="48"/>
        <v>1012.4625000000001</v>
      </c>
      <c r="AP1019" s="8">
        <f t="shared" si="49"/>
        <v>1124.8458375</v>
      </c>
      <c r="AQ1019" s="9">
        <f t="shared" si="47"/>
        <v>1640.0880037500001</v>
      </c>
    </row>
    <row r="1020" spans="1:43" x14ac:dyDescent="0.25">
      <c r="A1020">
        <v>15</v>
      </c>
      <c r="B1020">
        <v>4</v>
      </c>
      <c r="C1020">
        <v>2024</v>
      </c>
      <c r="D1020" t="s">
        <v>43</v>
      </c>
      <c r="E1020" t="s">
        <v>63</v>
      </c>
      <c r="F1020" t="s">
        <v>64</v>
      </c>
      <c r="G1020">
        <v>67</v>
      </c>
      <c r="H1020">
        <v>1791882490001</v>
      </c>
      <c r="I1020" t="s">
        <v>46</v>
      </c>
      <c r="J1020" t="s">
        <v>48</v>
      </c>
      <c r="K1020" t="s">
        <v>48</v>
      </c>
      <c r="L1020" t="s">
        <v>49</v>
      </c>
      <c r="M1020" t="s">
        <v>50</v>
      </c>
      <c r="N1020" t="s">
        <v>51</v>
      </c>
      <c r="O1020">
        <v>8481909090</v>
      </c>
      <c r="P1020" t="s">
        <v>103</v>
      </c>
      <c r="Q1020" t="s">
        <v>1074</v>
      </c>
      <c r="R1020" t="s">
        <v>54</v>
      </c>
      <c r="S1020" t="s">
        <v>55</v>
      </c>
      <c r="T1020">
        <v>6</v>
      </c>
      <c r="U1020">
        <v>1</v>
      </c>
      <c r="V1020" t="s">
        <v>135</v>
      </c>
      <c r="W1020">
        <v>0</v>
      </c>
      <c r="X1020">
        <v>397.52</v>
      </c>
      <c r="Y1020">
        <v>41.84</v>
      </c>
      <c r="Z1020">
        <v>2.67</v>
      </c>
      <c r="AA1020">
        <v>442.03</v>
      </c>
      <c r="AB1020" t="s">
        <v>57</v>
      </c>
      <c r="AC1020" t="s">
        <v>58</v>
      </c>
      <c r="AD1020" t="s">
        <v>48</v>
      </c>
      <c r="AE1020">
        <v>0</v>
      </c>
      <c r="AF1020">
        <v>3.81</v>
      </c>
      <c r="AG1020" t="s">
        <v>59</v>
      </c>
      <c r="AH1020">
        <v>443965</v>
      </c>
      <c r="AI1020" t="s">
        <v>60</v>
      </c>
      <c r="AJ1020" t="s">
        <v>60</v>
      </c>
      <c r="AK1020" t="s">
        <v>54</v>
      </c>
      <c r="AL1020">
        <v>2024</v>
      </c>
      <c r="AM1020" s="6" t="s">
        <v>1075</v>
      </c>
      <c r="AN1020" s="7">
        <v>397.52</v>
      </c>
      <c r="AO1020" s="8">
        <f t="shared" si="48"/>
        <v>745.34999999999991</v>
      </c>
      <c r="AP1020" s="8">
        <f t="shared" si="49"/>
        <v>828.08384999999987</v>
      </c>
      <c r="AQ1020" s="9">
        <f t="shared" si="47"/>
        <v>1207.3924649999997</v>
      </c>
    </row>
    <row r="1021" spans="1:43" x14ac:dyDescent="0.25">
      <c r="A1021">
        <v>3</v>
      </c>
      <c r="B1021">
        <v>4</v>
      </c>
      <c r="C1021">
        <v>2024</v>
      </c>
      <c r="D1021" t="s">
        <v>43</v>
      </c>
      <c r="E1021" t="s">
        <v>73</v>
      </c>
      <c r="F1021" t="s">
        <v>74</v>
      </c>
      <c r="G1021">
        <v>60</v>
      </c>
      <c r="H1021">
        <v>1791882490001</v>
      </c>
      <c r="I1021" t="s">
        <v>46</v>
      </c>
      <c r="J1021" t="s">
        <v>48</v>
      </c>
      <c r="K1021" t="s">
        <v>48</v>
      </c>
      <c r="L1021" t="s">
        <v>49</v>
      </c>
      <c r="M1021" t="s">
        <v>50</v>
      </c>
      <c r="N1021" t="s">
        <v>51</v>
      </c>
      <c r="O1021">
        <v>8487909000</v>
      </c>
      <c r="P1021" t="s">
        <v>66</v>
      </c>
      <c r="Q1021" t="s">
        <v>960</v>
      </c>
      <c r="R1021" t="s">
        <v>54</v>
      </c>
      <c r="S1021" t="s">
        <v>55</v>
      </c>
      <c r="T1021">
        <v>6</v>
      </c>
      <c r="U1021">
        <v>1</v>
      </c>
      <c r="V1021" t="s">
        <v>135</v>
      </c>
      <c r="W1021">
        <v>0</v>
      </c>
      <c r="X1021">
        <v>449.48</v>
      </c>
      <c r="Y1021">
        <v>52.5</v>
      </c>
      <c r="Z1021">
        <v>2.94</v>
      </c>
      <c r="AA1021">
        <v>504.92</v>
      </c>
      <c r="AB1021" t="s">
        <v>57</v>
      </c>
      <c r="AC1021" t="s">
        <v>58</v>
      </c>
      <c r="AD1021" t="s">
        <v>48</v>
      </c>
      <c r="AE1021">
        <v>0</v>
      </c>
      <c r="AF1021">
        <v>1.33</v>
      </c>
      <c r="AG1021" t="s">
        <v>59</v>
      </c>
      <c r="AH1021">
        <v>438183</v>
      </c>
      <c r="AI1021" t="s">
        <v>60</v>
      </c>
      <c r="AJ1021" t="s">
        <v>60</v>
      </c>
      <c r="AK1021" t="s">
        <v>54</v>
      </c>
      <c r="AL1021">
        <v>2024</v>
      </c>
      <c r="AM1021" s="6" t="s">
        <v>1076</v>
      </c>
      <c r="AN1021" s="7">
        <v>449.48</v>
      </c>
      <c r="AO1021" s="8">
        <f t="shared" si="48"/>
        <v>842.77500000000009</v>
      </c>
      <c r="AP1021" s="8">
        <f t="shared" si="49"/>
        <v>936.32302500000014</v>
      </c>
      <c r="AQ1021" s="9">
        <f t="shared" si="47"/>
        <v>1365.2112225000001</v>
      </c>
    </row>
    <row r="1022" spans="1:43" x14ac:dyDescent="0.25">
      <c r="A1022">
        <v>3</v>
      </c>
      <c r="B1022">
        <v>4</v>
      </c>
      <c r="C1022">
        <v>2024</v>
      </c>
      <c r="D1022" t="s">
        <v>43</v>
      </c>
      <c r="E1022" t="s">
        <v>73</v>
      </c>
      <c r="F1022" t="s">
        <v>74</v>
      </c>
      <c r="G1022">
        <v>61</v>
      </c>
      <c r="H1022">
        <v>1791882490001</v>
      </c>
      <c r="I1022" t="s">
        <v>46</v>
      </c>
      <c r="J1022" t="s">
        <v>48</v>
      </c>
      <c r="K1022" t="s">
        <v>48</v>
      </c>
      <c r="L1022" t="s">
        <v>49</v>
      </c>
      <c r="M1022" t="s">
        <v>50</v>
      </c>
      <c r="N1022" t="s">
        <v>51</v>
      </c>
      <c r="O1022">
        <v>8487909000</v>
      </c>
      <c r="P1022" t="s">
        <v>66</v>
      </c>
      <c r="Q1022" t="s">
        <v>960</v>
      </c>
      <c r="R1022" t="s">
        <v>54</v>
      </c>
      <c r="S1022" t="s">
        <v>55</v>
      </c>
      <c r="T1022">
        <v>6</v>
      </c>
      <c r="U1022">
        <v>1</v>
      </c>
      <c r="V1022" t="s">
        <v>135</v>
      </c>
      <c r="W1022">
        <v>0</v>
      </c>
      <c r="X1022">
        <v>1030.31</v>
      </c>
      <c r="Y1022">
        <v>120.34</v>
      </c>
      <c r="Z1022">
        <v>6.74</v>
      </c>
      <c r="AA1022">
        <v>1157.3900000000001</v>
      </c>
      <c r="AB1022" t="s">
        <v>57</v>
      </c>
      <c r="AC1022" t="s">
        <v>58</v>
      </c>
      <c r="AD1022" t="s">
        <v>48</v>
      </c>
      <c r="AE1022">
        <v>0</v>
      </c>
      <c r="AF1022">
        <v>1.33</v>
      </c>
      <c r="AG1022" t="s">
        <v>59</v>
      </c>
      <c r="AH1022">
        <v>438183</v>
      </c>
      <c r="AI1022" t="s">
        <v>60</v>
      </c>
      <c r="AJ1022" t="s">
        <v>60</v>
      </c>
      <c r="AK1022" t="s">
        <v>54</v>
      </c>
      <c r="AL1022">
        <v>2024</v>
      </c>
      <c r="AM1022" s="6" t="s">
        <v>1077</v>
      </c>
      <c r="AN1022" s="7">
        <v>1030.31</v>
      </c>
      <c r="AO1022" s="8">
        <f t="shared" si="48"/>
        <v>1931.83125</v>
      </c>
      <c r="AP1022" s="8">
        <f t="shared" si="49"/>
        <v>2146.2645187499998</v>
      </c>
      <c r="AQ1022" s="9">
        <f t="shared" si="47"/>
        <v>3129.3734418749996</v>
      </c>
    </row>
    <row r="1023" spans="1:43" x14ac:dyDescent="0.25">
      <c r="A1023">
        <v>2</v>
      </c>
      <c r="B1023">
        <v>1</v>
      </c>
      <c r="C1023">
        <v>2024</v>
      </c>
      <c r="D1023" t="s">
        <v>43</v>
      </c>
      <c r="E1023" t="s">
        <v>181</v>
      </c>
      <c r="F1023" t="s">
        <v>182</v>
      </c>
      <c r="G1023">
        <v>41</v>
      </c>
      <c r="H1023">
        <v>1791882490001</v>
      </c>
      <c r="I1023" t="s">
        <v>46</v>
      </c>
      <c r="J1023" t="s">
        <v>259</v>
      </c>
      <c r="K1023" t="s">
        <v>48</v>
      </c>
      <c r="L1023" t="s">
        <v>49</v>
      </c>
      <c r="M1023" t="s">
        <v>50</v>
      </c>
      <c r="N1023" t="s">
        <v>51</v>
      </c>
      <c r="O1023">
        <v>3802100000</v>
      </c>
      <c r="P1023" t="s">
        <v>1078</v>
      </c>
      <c r="Q1023" t="s">
        <v>1079</v>
      </c>
      <c r="R1023" t="s">
        <v>54</v>
      </c>
      <c r="S1023" t="s">
        <v>55</v>
      </c>
      <c r="T1023">
        <v>8</v>
      </c>
      <c r="U1023">
        <v>3</v>
      </c>
      <c r="V1023" t="s">
        <v>56</v>
      </c>
      <c r="W1023">
        <v>0</v>
      </c>
      <c r="X1023">
        <v>192.1</v>
      </c>
      <c r="Y1023">
        <v>39.03</v>
      </c>
      <c r="Z1023">
        <v>1.24</v>
      </c>
      <c r="AA1023">
        <v>232.37</v>
      </c>
      <c r="AB1023" t="s">
        <v>57</v>
      </c>
      <c r="AC1023" t="s">
        <v>81</v>
      </c>
      <c r="AD1023" t="s">
        <v>48</v>
      </c>
      <c r="AE1023">
        <v>0</v>
      </c>
      <c r="AF1023">
        <v>9.7200000000000006</v>
      </c>
      <c r="AG1023" t="s">
        <v>59</v>
      </c>
      <c r="AH1023">
        <v>413505</v>
      </c>
      <c r="AI1023" t="s">
        <v>60</v>
      </c>
      <c r="AJ1023" t="s">
        <v>60</v>
      </c>
      <c r="AK1023" t="s">
        <v>54</v>
      </c>
      <c r="AL1023">
        <v>2023</v>
      </c>
      <c r="AM1023" s="6" t="s">
        <v>1080</v>
      </c>
      <c r="AN1023" s="7">
        <v>64.040000000000006</v>
      </c>
      <c r="AO1023" s="8">
        <f t="shared" si="48"/>
        <v>120.07500000000002</v>
      </c>
      <c r="AP1023" s="8">
        <f t="shared" si="49"/>
        <v>133.40332500000002</v>
      </c>
      <c r="AQ1023" s="9">
        <f t="shared" si="47"/>
        <v>194.50949250000002</v>
      </c>
    </row>
    <row r="1024" spans="1:43" x14ac:dyDescent="0.25">
      <c r="A1024">
        <v>20</v>
      </c>
      <c r="B1024">
        <v>2</v>
      </c>
      <c r="C1024">
        <v>2024</v>
      </c>
      <c r="D1024" t="s">
        <v>43</v>
      </c>
      <c r="E1024" t="s">
        <v>140</v>
      </c>
      <c r="F1024" t="s">
        <v>141</v>
      </c>
      <c r="G1024">
        <v>66</v>
      </c>
      <c r="H1024">
        <v>1791882490001</v>
      </c>
      <c r="I1024" t="s">
        <v>46</v>
      </c>
      <c r="J1024" t="s">
        <v>65</v>
      </c>
      <c r="K1024" t="s">
        <v>48</v>
      </c>
      <c r="L1024" t="s">
        <v>49</v>
      </c>
      <c r="M1024" t="s">
        <v>50</v>
      </c>
      <c r="N1024" t="s">
        <v>51</v>
      </c>
      <c r="O1024">
        <v>3802100000</v>
      </c>
      <c r="P1024" t="s">
        <v>771</v>
      </c>
      <c r="Q1024" t="s">
        <v>1079</v>
      </c>
      <c r="R1024" t="s">
        <v>54</v>
      </c>
      <c r="S1024" t="s">
        <v>55</v>
      </c>
      <c r="T1024">
        <v>6</v>
      </c>
      <c r="U1024">
        <v>1</v>
      </c>
      <c r="V1024" t="s">
        <v>56</v>
      </c>
      <c r="W1024">
        <v>0</v>
      </c>
      <c r="X1024">
        <v>63.65</v>
      </c>
      <c r="Y1024">
        <v>5.71</v>
      </c>
      <c r="Z1024">
        <v>0.43</v>
      </c>
      <c r="AA1024">
        <v>69.790000000000006</v>
      </c>
      <c r="AB1024" t="s">
        <v>54</v>
      </c>
      <c r="AC1024" t="s">
        <v>143</v>
      </c>
      <c r="AD1024" t="s">
        <v>48</v>
      </c>
      <c r="AE1024">
        <v>0</v>
      </c>
      <c r="AF1024">
        <v>1.87</v>
      </c>
      <c r="AG1024" t="s">
        <v>59</v>
      </c>
      <c r="AH1024">
        <v>876053</v>
      </c>
      <c r="AI1024" t="s">
        <v>60</v>
      </c>
      <c r="AJ1024" t="s">
        <v>60</v>
      </c>
      <c r="AK1024" t="s">
        <v>54</v>
      </c>
      <c r="AL1024">
        <v>2024</v>
      </c>
      <c r="AM1024" s="6" t="s">
        <v>1080</v>
      </c>
      <c r="AN1024" s="7">
        <v>63.65</v>
      </c>
      <c r="AO1024" s="8">
        <f t="shared" si="48"/>
        <v>119.34375</v>
      </c>
      <c r="AP1024" s="8">
        <f t="shared" si="49"/>
        <v>132.59090624999999</v>
      </c>
      <c r="AQ1024" s="9">
        <f t="shared" si="47"/>
        <v>193.32494062499998</v>
      </c>
    </row>
    <row r="1025" spans="1:43" x14ac:dyDescent="0.25">
      <c r="A1025">
        <v>17</v>
      </c>
      <c r="B1025">
        <v>5</v>
      </c>
      <c r="C1025">
        <v>2024</v>
      </c>
      <c r="D1025" t="s">
        <v>43</v>
      </c>
      <c r="E1025" t="s">
        <v>79</v>
      </c>
      <c r="F1025" t="s">
        <v>80</v>
      </c>
      <c r="G1025">
        <v>61</v>
      </c>
      <c r="H1025">
        <v>1791882490001</v>
      </c>
      <c r="I1025" t="s">
        <v>46</v>
      </c>
      <c r="J1025" t="s">
        <v>48</v>
      </c>
      <c r="K1025" t="s">
        <v>48</v>
      </c>
      <c r="L1025" t="s">
        <v>49</v>
      </c>
      <c r="M1025" t="s">
        <v>50</v>
      </c>
      <c r="N1025" t="s">
        <v>51</v>
      </c>
      <c r="O1025">
        <v>3802100000</v>
      </c>
      <c r="P1025" t="s">
        <v>771</v>
      </c>
      <c r="Q1025" t="s">
        <v>1081</v>
      </c>
      <c r="R1025" t="s">
        <v>54</v>
      </c>
      <c r="S1025" t="s">
        <v>55</v>
      </c>
      <c r="T1025">
        <v>6</v>
      </c>
      <c r="U1025">
        <v>1</v>
      </c>
      <c r="V1025" t="s">
        <v>56</v>
      </c>
      <c r="W1025">
        <v>0</v>
      </c>
      <c r="X1025">
        <v>118.6</v>
      </c>
      <c r="Y1025">
        <v>11.45</v>
      </c>
      <c r="Z1025">
        <v>0.79</v>
      </c>
      <c r="AA1025">
        <v>130.84</v>
      </c>
      <c r="AB1025" t="s">
        <v>57</v>
      </c>
      <c r="AC1025" t="s">
        <v>81</v>
      </c>
      <c r="AD1025" t="s">
        <v>48</v>
      </c>
      <c r="AE1025">
        <v>0</v>
      </c>
      <c r="AF1025">
        <v>1.08</v>
      </c>
      <c r="AG1025" t="s">
        <v>82</v>
      </c>
      <c r="AH1025">
        <v>471463</v>
      </c>
      <c r="AI1025" t="s">
        <v>60</v>
      </c>
      <c r="AJ1025" t="s">
        <v>60</v>
      </c>
      <c r="AK1025" t="s">
        <v>54</v>
      </c>
      <c r="AL1025">
        <v>2024</v>
      </c>
      <c r="AM1025" s="6" t="s">
        <v>1082</v>
      </c>
      <c r="AN1025" s="7">
        <v>118.6</v>
      </c>
      <c r="AO1025" s="8">
        <f t="shared" si="48"/>
        <v>222.375</v>
      </c>
      <c r="AP1025" s="8">
        <f t="shared" si="49"/>
        <v>247.05862500000001</v>
      </c>
      <c r="AQ1025" s="9">
        <f t="shared" si="47"/>
        <v>360.22526249999999</v>
      </c>
    </row>
    <row r="1026" spans="1:43" x14ac:dyDescent="0.25">
      <c r="A1026">
        <v>8</v>
      </c>
      <c r="B1026">
        <v>7</v>
      </c>
      <c r="C1026">
        <v>2024</v>
      </c>
      <c r="D1026" t="s">
        <v>43</v>
      </c>
      <c r="E1026" t="s">
        <v>75</v>
      </c>
      <c r="F1026" t="s">
        <v>76</v>
      </c>
      <c r="G1026">
        <v>76</v>
      </c>
      <c r="H1026">
        <v>1791882490001</v>
      </c>
      <c r="I1026" t="s">
        <v>46</v>
      </c>
      <c r="J1026" t="s">
        <v>48</v>
      </c>
      <c r="K1026" t="s">
        <v>48</v>
      </c>
      <c r="L1026" t="s">
        <v>49</v>
      </c>
      <c r="M1026" t="s">
        <v>50</v>
      </c>
      <c r="N1026" t="s">
        <v>51</v>
      </c>
      <c r="O1026">
        <v>3802100000</v>
      </c>
      <c r="P1026" t="s">
        <v>771</v>
      </c>
      <c r="Q1026" t="s">
        <v>1079</v>
      </c>
      <c r="R1026" t="s">
        <v>54</v>
      </c>
      <c r="S1026" t="s">
        <v>55</v>
      </c>
      <c r="T1026">
        <v>8</v>
      </c>
      <c r="U1026">
        <v>1</v>
      </c>
      <c r="V1026" t="s">
        <v>56</v>
      </c>
      <c r="W1026">
        <v>0</v>
      </c>
      <c r="X1026">
        <v>123.02</v>
      </c>
      <c r="Y1026">
        <v>10.51</v>
      </c>
      <c r="Z1026">
        <v>0.8</v>
      </c>
      <c r="AA1026">
        <v>134.33000000000001</v>
      </c>
      <c r="AB1026" t="s">
        <v>57</v>
      </c>
      <c r="AC1026" t="s">
        <v>77</v>
      </c>
      <c r="AD1026" t="s">
        <v>48</v>
      </c>
      <c r="AE1026">
        <v>0</v>
      </c>
      <c r="AF1026">
        <v>0.81</v>
      </c>
      <c r="AG1026" t="s">
        <v>59</v>
      </c>
      <c r="AH1026">
        <v>107711</v>
      </c>
      <c r="AI1026" t="s">
        <v>60</v>
      </c>
      <c r="AJ1026" t="s">
        <v>78</v>
      </c>
      <c r="AK1026" t="s">
        <v>54</v>
      </c>
      <c r="AL1026">
        <v>2024</v>
      </c>
      <c r="AM1026" s="6" t="s">
        <v>1082</v>
      </c>
      <c r="AN1026" s="7">
        <v>123.02</v>
      </c>
      <c r="AO1026" s="8">
        <f t="shared" si="48"/>
        <v>230.66249999999999</v>
      </c>
      <c r="AP1026" s="8">
        <f t="shared" si="49"/>
        <v>256.26603749999998</v>
      </c>
      <c r="AQ1026" s="9">
        <f t="shared" si="47"/>
        <v>373.65018374999994</v>
      </c>
    </row>
    <row r="1027" spans="1:43" x14ac:dyDescent="0.25">
      <c r="A1027">
        <v>8</v>
      </c>
      <c r="B1027">
        <v>7</v>
      </c>
      <c r="C1027">
        <v>2024</v>
      </c>
      <c r="D1027" t="s">
        <v>43</v>
      </c>
      <c r="E1027" t="s">
        <v>75</v>
      </c>
      <c r="F1027" t="s">
        <v>76</v>
      </c>
      <c r="G1027">
        <v>76</v>
      </c>
      <c r="H1027">
        <v>1791882490001</v>
      </c>
      <c r="I1027" t="s">
        <v>46</v>
      </c>
      <c r="J1027" t="s">
        <v>48</v>
      </c>
      <c r="K1027" t="s">
        <v>48</v>
      </c>
      <c r="L1027" t="s">
        <v>49</v>
      </c>
      <c r="M1027" t="s">
        <v>50</v>
      </c>
      <c r="N1027" t="s">
        <v>51</v>
      </c>
      <c r="O1027">
        <v>3802100000</v>
      </c>
      <c r="P1027" t="s">
        <v>771</v>
      </c>
      <c r="Q1027" t="s">
        <v>1079</v>
      </c>
      <c r="R1027" t="s">
        <v>54</v>
      </c>
      <c r="S1027" t="s">
        <v>55</v>
      </c>
      <c r="T1027">
        <v>8</v>
      </c>
      <c r="U1027">
        <v>1</v>
      </c>
      <c r="V1027" t="s">
        <v>56</v>
      </c>
      <c r="W1027">
        <v>0</v>
      </c>
      <c r="X1027">
        <v>123.02</v>
      </c>
      <c r="Y1027">
        <v>10.51</v>
      </c>
      <c r="Z1027">
        <v>0.8</v>
      </c>
      <c r="AA1027">
        <v>134.33000000000001</v>
      </c>
      <c r="AB1027" t="s">
        <v>57</v>
      </c>
      <c r="AC1027" t="s">
        <v>77</v>
      </c>
      <c r="AD1027" t="s">
        <v>48</v>
      </c>
      <c r="AE1027">
        <v>0</v>
      </c>
      <c r="AF1027">
        <v>0.81</v>
      </c>
      <c r="AG1027" t="s">
        <v>59</v>
      </c>
      <c r="AH1027">
        <v>107711</v>
      </c>
      <c r="AI1027" t="s">
        <v>60</v>
      </c>
      <c r="AJ1027" t="s">
        <v>78</v>
      </c>
      <c r="AK1027" t="s">
        <v>54</v>
      </c>
      <c r="AL1027">
        <v>2024</v>
      </c>
      <c r="AM1027" s="6" t="s">
        <v>1082</v>
      </c>
      <c r="AN1027" s="7">
        <v>123.02</v>
      </c>
      <c r="AO1027" s="8">
        <f t="shared" si="48"/>
        <v>230.66249999999999</v>
      </c>
      <c r="AP1027" s="8">
        <f t="shared" si="49"/>
        <v>256.26603749999998</v>
      </c>
      <c r="AQ1027" s="9">
        <f t="shared" ref="AQ1027:AQ1090" si="50">SUM(AO1027)*1.6199</f>
        <v>373.65018374999994</v>
      </c>
    </row>
    <row r="1028" spans="1:43" x14ac:dyDescent="0.25">
      <c r="A1028">
        <v>20</v>
      </c>
      <c r="B1028">
        <v>2</v>
      </c>
      <c r="C1028">
        <v>2024</v>
      </c>
      <c r="D1028" t="s">
        <v>43</v>
      </c>
      <c r="E1028" t="s">
        <v>140</v>
      </c>
      <c r="F1028" t="s">
        <v>141</v>
      </c>
      <c r="G1028">
        <v>67</v>
      </c>
      <c r="H1028">
        <v>1791882490001</v>
      </c>
      <c r="I1028" t="s">
        <v>46</v>
      </c>
      <c r="J1028" t="s">
        <v>48</v>
      </c>
      <c r="K1028" t="s">
        <v>48</v>
      </c>
      <c r="L1028" t="s">
        <v>49</v>
      </c>
      <c r="M1028" t="s">
        <v>50</v>
      </c>
      <c r="N1028" t="s">
        <v>51</v>
      </c>
      <c r="O1028">
        <v>3802100000</v>
      </c>
      <c r="P1028" t="s">
        <v>771</v>
      </c>
      <c r="Q1028" t="s">
        <v>1083</v>
      </c>
      <c r="R1028" t="s">
        <v>54</v>
      </c>
      <c r="S1028" t="s">
        <v>55</v>
      </c>
      <c r="T1028">
        <v>6</v>
      </c>
      <c r="U1028">
        <v>2</v>
      </c>
      <c r="V1028" t="s">
        <v>56</v>
      </c>
      <c r="W1028">
        <v>0</v>
      </c>
      <c r="X1028">
        <v>351.22</v>
      </c>
      <c r="Y1028">
        <v>31.52</v>
      </c>
      <c r="Z1028">
        <v>2.36</v>
      </c>
      <c r="AA1028">
        <v>385.1</v>
      </c>
      <c r="AB1028" t="s">
        <v>54</v>
      </c>
      <c r="AC1028" t="s">
        <v>143</v>
      </c>
      <c r="AD1028" t="s">
        <v>48</v>
      </c>
      <c r="AE1028">
        <v>0</v>
      </c>
      <c r="AF1028">
        <v>3.74</v>
      </c>
      <c r="AG1028" t="s">
        <v>59</v>
      </c>
      <c r="AH1028">
        <v>876053</v>
      </c>
      <c r="AI1028" t="s">
        <v>60</v>
      </c>
      <c r="AJ1028" t="s">
        <v>60</v>
      </c>
      <c r="AK1028" t="s">
        <v>54</v>
      </c>
      <c r="AL1028">
        <v>2024</v>
      </c>
      <c r="AM1028" s="6" t="s">
        <v>1084</v>
      </c>
      <c r="AN1028" s="7">
        <v>175.61</v>
      </c>
      <c r="AO1028" s="8">
        <f t="shared" si="48"/>
        <v>329.26875000000001</v>
      </c>
      <c r="AP1028" s="8">
        <f t="shared" si="49"/>
        <v>365.81758124999999</v>
      </c>
      <c r="AQ1028" s="9">
        <f t="shared" si="50"/>
        <v>533.382448125</v>
      </c>
    </row>
    <row r="1029" spans="1:43" x14ac:dyDescent="0.25">
      <c r="A1029">
        <v>12</v>
      </c>
      <c r="B1029">
        <v>6</v>
      </c>
      <c r="C1029">
        <v>2024</v>
      </c>
      <c r="D1029" t="s">
        <v>43</v>
      </c>
      <c r="E1029" t="s">
        <v>96</v>
      </c>
      <c r="F1029" t="s">
        <v>97</v>
      </c>
      <c r="G1029">
        <v>53</v>
      </c>
      <c r="H1029">
        <v>1791882490001</v>
      </c>
      <c r="I1029" t="s">
        <v>46</v>
      </c>
      <c r="J1029" t="s">
        <v>48</v>
      </c>
      <c r="K1029" t="s">
        <v>48</v>
      </c>
      <c r="L1029" t="s">
        <v>49</v>
      </c>
      <c r="M1029" t="s">
        <v>50</v>
      </c>
      <c r="N1029" t="s">
        <v>51</v>
      </c>
      <c r="O1029">
        <v>3802100000</v>
      </c>
      <c r="P1029" t="s">
        <v>771</v>
      </c>
      <c r="Q1029" t="s">
        <v>1083</v>
      </c>
      <c r="R1029" t="s">
        <v>54</v>
      </c>
      <c r="S1029" t="s">
        <v>55</v>
      </c>
      <c r="T1029">
        <v>7</v>
      </c>
      <c r="U1029">
        <v>2</v>
      </c>
      <c r="V1029" t="s">
        <v>56</v>
      </c>
      <c r="W1029">
        <v>0</v>
      </c>
      <c r="X1029">
        <v>421.42</v>
      </c>
      <c r="Y1029">
        <v>36.549999999999997</v>
      </c>
      <c r="Z1029">
        <v>2.84</v>
      </c>
      <c r="AA1029">
        <v>460.8</v>
      </c>
      <c r="AB1029" t="s">
        <v>57</v>
      </c>
      <c r="AC1029" t="s">
        <v>94</v>
      </c>
      <c r="AD1029" t="s">
        <v>48</v>
      </c>
      <c r="AE1029">
        <v>0</v>
      </c>
      <c r="AF1029">
        <v>3.6</v>
      </c>
      <c r="AG1029" t="s">
        <v>59</v>
      </c>
      <c r="AH1029" t="s">
        <v>98</v>
      </c>
      <c r="AI1029" t="s">
        <v>60</v>
      </c>
      <c r="AJ1029" t="s">
        <v>60</v>
      </c>
      <c r="AK1029" t="s">
        <v>54</v>
      </c>
      <c r="AL1029">
        <v>2024</v>
      </c>
      <c r="AM1029" s="6" t="s">
        <v>1084</v>
      </c>
      <c r="AN1029" s="7">
        <v>210.71</v>
      </c>
      <c r="AO1029" s="8">
        <f t="shared" si="48"/>
        <v>395.08125000000001</v>
      </c>
      <c r="AP1029" s="8">
        <f t="shared" si="49"/>
        <v>438.93526875000003</v>
      </c>
      <c r="AQ1029" s="9">
        <f t="shared" si="50"/>
        <v>639.99211687499997</v>
      </c>
    </row>
    <row r="1030" spans="1:43" x14ac:dyDescent="0.25">
      <c r="A1030">
        <v>3</v>
      </c>
      <c r="B1030">
        <v>4</v>
      </c>
      <c r="C1030">
        <v>2024</v>
      </c>
      <c r="D1030" t="s">
        <v>43</v>
      </c>
      <c r="E1030" t="s">
        <v>73</v>
      </c>
      <c r="F1030" t="s">
        <v>74</v>
      </c>
      <c r="G1030">
        <v>62</v>
      </c>
      <c r="H1030">
        <v>1791882490001</v>
      </c>
      <c r="I1030" t="s">
        <v>46</v>
      </c>
      <c r="J1030" t="s">
        <v>48</v>
      </c>
      <c r="K1030" t="s">
        <v>48</v>
      </c>
      <c r="L1030" t="s">
        <v>49</v>
      </c>
      <c r="M1030" t="s">
        <v>50</v>
      </c>
      <c r="N1030" t="s">
        <v>51</v>
      </c>
      <c r="O1030">
        <v>3802100000</v>
      </c>
      <c r="P1030" t="s">
        <v>771</v>
      </c>
      <c r="Q1030" t="s">
        <v>1083</v>
      </c>
      <c r="R1030" t="s">
        <v>54</v>
      </c>
      <c r="S1030" t="s">
        <v>55</v>
      </c>
      <c r="T1030">
        <v>6</v>
      </c>
      <c r="U1030">
        <v>1</v>
      </c>
      <c r="V1030" t="s">
        <v>56</v>
      </c>
      <c r="W1030">
        <v>0</v>
      </c>
      <c r="X1030">
        <v>179.58</v>
      </c>
      <c r="Y1030">
        <v>20.98</v>
      </c>
      <c r="Z1030">
        <v>1.17</v>
      </c>
      <c r="AA1030">
        <v>201.73</v>
      </c>
      <c r="AB1030" t="s">
        <v>57</v>
      </c>
      <c r="AC1030" t="s">
        <v>58</v>
      </c>
      <c r="AD1030" t="s">
        <v>48</v>
      </c>
      <c r="AE1030">
        <v>0</v>
      </c>
      <c r="AF1030">
        <v>1.33</v>
      </c>
      <c r="AG1030" t="s">
        <v>59</v>
      </c>
      <c r="AH1030">
        <v>438183</v>
      </c>
      <c r="AI1030" t="s">
        <v>60</v>
      </c>
      <c r="AJ1030" t="s">
        <v>60</v>
      </c>
      <c r="AK1030" t="s">
        <v>54</v>
      </c>
      <c r="AL1030">
        <v>2024</v>
      </c>
      <c r="AM1030" s="6" t="s">
        <v>1085</v>
      </c>
      <c r="AN1030" s="7">
        <v>179.58</v>
      </c>
      <c r="AO1030" s="8">
        <f t="shared" si="48"/>
        <v>336.71250000000003</v>
      </c>
      <c r="AP1030" s="8">
        <f t="shared" si="49"/>
        <v>374.08758750000004</v>
      </c>
      <c r="AQ1030" s="9">
        <f t="shared" si="50"/>
        <v>545.44057874999999</v>
      </c>
    </row>
    <row r="1031" spans="1:43" x14ac:dyDescent="0.25">
      <c r="A1031">
        <v>2</v>
      </c>
      <c r="B1031">
        <v>1</v>
      </c>
      <c r="C1031">
        <v>2024</v>
      </c>
      <c r="D1031" t="s">
        <v>43</v>
      </c>
      <c r="E1031" t="s">
        <v>181</v>
      </c>
      <c r="F1031" t="s">
        <v>182</v>
      </c>
      <c r="G1031">
        <v>42</v>
      </c>
      <c r="H1031">
        <v>1791882490001</v>
      </c>
      <c r="I1031" t="s">
        <v>46</v>
      </c>
      <c r="J1031" t="s">
        <v>48</v>
      </c>
      <c r="K1031" t="s">
        <v>48</v>
      </c>
      <c r="L1031" t="s">
        <v>49</v>
      </c>
      <c r="M1031" t="s">
        <v>50</v>
      </c>
      <c r="N1031" t="s">
        <v>51</v>
      </c>
      <c r="O1031">
        <v>8421999000</v>
      </c>
      <c r="P1031" t="s">
        <v>52</v>
      </c>
      <c r="Q1031" t="s">
        <v>1086</v>
      </c>
      <c r="R1031" t="s">
        <v>54</v>
      </c>
      <c r="S1031" t="s">
        <v>55</v>
      </c>
      <c r="T1031">
        <v>8</v>
      </c>
      <c r="U1031">
        <v>1</v>
      </c>
      <c r="V1031" t="s">
        <v>135</v>
      </c>
      <c r="W1031">
        <v>0</v>
      </c>
      <c r="X1031">
        <v>344.63</v>
      </c>
      <c r="Y1031">
        <v>70.02</v>
      </c>
      <c r="Z1031">
        <v>2.2200000000000002</v>
      </c>
      <c r="AA1031">
        <v>416.87</v>
      </c>
      <c r="AB1031" t="s">
        <v>57</v>
      </c>
      <c r="AC1031" t="s">
        <v>81</v>
      </c>
      <c r="AD1031" t="s">
        <v>48</v>
      </c>
      <c r="AE1031">
        <v>0</v>
      </c>
      <c r="AF1031">
        <v>3.24</v>
      </c>
      <c r="AG1031" t="s">
        <v>59</v>
      </c>
      <c r="AH1031">
        <v>413505</v>
      </c>
      <c r="AI1031" t="s">
        <v>60</v>
      </c>
      <c r="AJ1031" t="s">
        <v>60</v>
      </c>
      <c r="AK1031" t="s">
        <v>54</v>
      </c>
      <c r="AL1031">
        <v>2023</v>
      </c>
      <c r="AM1031" s="6" t="s">
        <v>1087</v>
      </c>
      <c r="AN1031" s="7">
        <v>344.63</v>
      </c>
      <c r="AO1031" s="8">
        <f t="shared" si="48"/>
        <v>646.18124999999998</v>
      </c>
      <c r="AP1031" s="8">
        <f t="shared" si="49"/>
        <v>717.90736874999993</v>
      </c>
      <c r="AQ1031" s="9">
        <f t="shared" si="50"/>
        <v>1046.7490068749998</v>
      </c>
    </row>
    <row r="1032" spans="1:43" x14ac:dyDescent="0.25">
      <c r="A1032">
        <v>19</v>
      </c>
      <c r="B1032">
        <v>8</v>
      </c>
      <c r="C1032">
        <v>2024</v>
      </c>
      <c r="D1032" t="s">
        <v>43</v>
      </c>
      <c r="E1032" t="s">
        <v>84</v>
      </c>
      <c r="F1032" t="s">
        <v>85</v>
      </c>
      <c r="G1032">
        <v>59</v>
      </c>
      <c r="H1032">
        <v>1791882490001</v>
      </c>
      <c r="I1032" t="s">
        <v>46</v>
      </c>
      <c r="J1032" t="s">
        <v>48</v>
      </c>
      <c r="K1032" t="s">
        <v>48</v>
      </c>
      <c r="L1032" t="s">
        <v>49</v>
      </c>
      <c r="M1032" t="s">
        <v>50</v>
      </c>
      <c r="N1032" t="s">
        <v>51</v>
      </c>
      <c r="O1032">
        <v>8421999000</v>
      </c>
      <c r="P1032" t="s">
        <v>66</v>
      </c>
      <c r="Q1032" t="s">
        <v>1086</v>
      </c>
      <c r="R1032" t="s">
        <v>54</v>
      </c>
      <c r="S1032" t="s">
        <v>55</v>
      </c>
      <c r="T1032">
        <v>6</v>
      </c>
      <c r="U1032">
        <v>1</v>
      </c>
      <c r="V1032" t="s">
        <v>135</v>
      </c>
      <c r="W1032">
        <v>0</v>
      </c>
      <c r="X1032">
        <v>338</v>
      </c>
      <c r="Y1032">
        <v>43.61</v>
      </c>
      <c r="Z1032">
        <v>2.31</v>
      </c>
      <c r="AA1032">
        <v>383.92</v>
      </c>
      <c r="AB1032" t="s">
        <v>57</v>
      </c>
      <c r="AC1032" t="s">
        <v>58</v>
      </c>
      <c r="AD1032" t="s">
        <v>48</v>
      </c>
      <c r="AE1032">
        <v>0</v>
      </c>
      <c r="AF1032">
        <v>1.39</v>
      </c>
      <c r="AG1032" t="s">
        <v>59</v>
      </c>
      <c r="AH1032">
        <v>144527</v>
      </c>
      <c r="AI1032" t="s">
        <v>60</v>
      </c>
      <c r="AJ1032" t="s">
        <v>60</v>
      </c>
      <c r="AK1032" t="s">
        <v>54</v>
      </c>
      <c r="AL1032">
        <v>2024</v>
      </c>
      <c r="AM1032" s="6" t="s">
        <v>1087</v>
      </c>
      <c r="AN1032" s="7">
        <v>338</v>
      </c>
      <c r="AO1032" s="8">
        <f t="shared" si="48"/>
        <v>633.75</v>
      </c>
      <c r="AP1032" s="8">
        <f t="shared" si="49"/>
        <v>704.09624999999994</v>
      </c>
      <c r="AQ1032" s="9">
        <f t="shared" si="50"/>
        <v>1026.611625</v>
      </c>
    </row>
    <row r="1033" spans="1:43" x14ac:dyDescent="0.25">
      <c r="A1033">
        <v>26</v>
      </c>
      <c r="B1033">
        <v>12</v>
      </c>
      <c r="C1033">
        <v>2024</v>
      </c>
      <c r="D1033" t="s">
        <v>43</v>
      </c>
      <c r="E1033" t="s">
        <v>222</v>
      </c>
      <c r="F1033" t="s">
        <v>223</v>
      </c>
      <c r="G1033">
        <v>54</v>
      </c>
      <c r="H1033">
        <v>1791882490001</v>
      </c>
      <c r="I1033" t="s">
        <v>46</v>
      </c>
      <c r="J1033" t="s">
        <v>48</v>
      </c>
      <c r="K1033" t="s">
        <v>48</v>
      </c>
      <c r="L1033" t="s">
        <v>49</v>
      </c>
      <c r="M1033" t="s">
        <v>50</v>
      </c>
      <c r="N1033" t="s">
        <v>224</v>
      </c>
      <c r="O1033">
        <v>8481805900</v>
      </c>
      <c r="P1033" t="s">
        <v>52</v>
      </c>
      <c r="Q1033" t="s">
        <v>968</v>
      </c>
      <c r="R1033" t="s">
        <v>54</v>
      </c>
      <c r="S1033" t="s">
        <v>55</v>
      </c>
      <c r="T1033">
        <v>8</v>
      </c>
      <c r="U1033">
        <v>1</v>
      </c>
      <c r="V1033" t="s">
        <v>135</v>
      </c>
      <c r="W1033">
        <v>0</v>
      </c>
      <c r="X1033">
        <v>1727.43</v>
      </c>
      <c r="Y1033">
        <v>357.74</v>
      </c>
      <c r="Z1033">
        <v>17.27</v>
      </c>
      <c r="AA1033">
        <v>2102.4499999999998</v>
      </c>
      <c r="AB1033" t="s">
        <v>57</v>
      </c>
      <c r="AC1033" t="s">
        <v>225</v>
      </c>
      <c r="AD1033" t="s">
        <v>48</v>
      </c>
      <c r="AE1033">
        <v>0</v>
      </c>
      <c r="AF1033">
        <v>2.06</v>
      </c>
      <c r="AG1033" t="s">
        <v>59</v>
      </c>
      <c r="AH1033">
        <v>341996</v>
      </c>
      <c r="AI1033" t="s">
        <v>60</v>
      </c>
      <c r="AJ1033" t="s">
        <v>60</v>
      </c>
      <c r="AK1033" t="s">
        <v>54</v>
      </c>
      <c r="AL1033">
        <v>2024</v>
      </c>
      <c r="AM1033" s="6" t="s">
        <v>1088</v>
      </c>
      <c r="AN1033" s="7">
        <v>1727.43</v>
      </c>
      <c r="AO1033" s="8">
        <f t="shared" si="48"/>
        <v>3238.9312500000001</v>
      </c>
      <c r="AP1033" s="8">
        <f t="shared" si="49"/>
        <v>3598.4526187500001</v>
      </c>
      <c r="AQ1033" s="9">
        <f t="shared" si="50"/>
        <v>5246.7447318750001</v>
      </c>
    </row>
    <row r="1034" spans="1:43" x14ac:dyDescent="0.25">
      <c r="A1034">
        <v>20</v>
      </c>
      <c r="B1034">
        <v>2</v>
      </c>
      <c r="C1034">
        <v>2024</v>
      </c>
      <c r="D1034" t="s">
        <v>43</v>
      </c>
      <c r="E1034" t="s">
        <v>140</v>
      </c>
      <c r="F1034" t="s">
        <v>141</v>
      </c>
      <c r="G1034">
        <v>68</v>
      </c>
      <c r="H1034">
        <v>1791882490001</v>
      </c>
      <c r="I1034" t="s">
        <v>46</v>
      </c>
      <c r="J1034" t="s">
        <v>48</v>
      </c>
      <c r="K1034" t="s">
        <v>48</v>
      </c>
      <c r="L1034" t="s">
        <v>49</v>
      </c>
      <c r="M1034" t="s">
        <v>50</v>
      </c>
      <c r="N1034" t="s">
        <v>51</v>
      </c>
      <c r="O1034">
        <v>8483909000</v>
      </c>
      <c r="P1034" t="s">
        <v>334</v>
      </c>
      <c r="Q1034" t="s">
        <v>1089</v>
      </c>
      <c r="R1034" t="s">
        <v>54</v>
      </c>
      <c r="S1034" t="s">
        <v>55</v>
      </c>
      <c r="T1034">
        <v>6</v>
      </c>
      <c r="U1034">
        <v>1</v>
      </c>
      <c r="V1034" t="s">
        <v>135</v>
      </c>
      <c r="W1034">
        <v>0</v>
      </c>
      <c r="X1034">
        <v>639.83000000000004</v>
      </c>
      <c r="Y1034">
        <v>57.42</v>
      </c>
      <c r="Z1034">
        <v>4.3</v>
      </c>
      <c r="AA1034">
        <v>701.55</v>
      </c>
      <c r="AB1034" t="s">
        <v>54</v>
      </c>
      <c r="AC1034" t="s">
        <v>143</v>
      </c>
      <c r="AD1034" t="s">
        <v>48</v>
      </c>
      <c r="AE1034">
        <v>0</v>
      </c>
      <c r="AF1034">
        <v>1.87</v>
      </c>
      <c r="AG1034" t="s">
        <v>59</v>
      </c>
      <c r="AH1034">
        <v>876053</v>
      </c>
      <c r="AI1034" t="s">
        <v>60</v>
      </c>
      <c r="AJ1034" t="s">
        <v>60</v>
      </c>
      <c r="AK1034" t="s">
        <v>54</v>
      </c>
      <c r="AL1034">
        <v>2024</v>
      </c>
      <c r="AM1034" s="6" t="s">
        <v>1090</v>
      </c>
      <c r="AN1034" s="7">
        <v>639.83000000000004</v>
      </c>
      <c r="AO1034" s="8">
        <f t="shared" si="48"/>
        <v>1199.6812500000001</v>
      </c>
      <c r="AP1034" s="8">
        <f t="shared" si="49"/>
        <v>1332.8458687500001</v>
      </c>
      <c r="AQ1034" s="9">
        <f t="shared" si="50"/>
        <v>1943.3636568750001</v>
      </c>
    </row>
    <row r="1035" spans="1:43" x14ac:dyDescent="0.25">
      <c r="A1035">
        <v>2</v>
      </c>
      <c r="B1035">
        <v>1</v>
      </c>
      <c r="C1035">
        <v>2024</v>
      </c>
      <c r="D1035" t="s">
        <v>43</v>
      </c>
      <c r="E1035" t="s">
        <v>181</v>
      </c>
      <c r="F1035" t="s">
        <v>182</v>
      </c>
      <c r="G1035">
        <v>43</v>
      </c>
      <c r="H1035">
        <v>1791882490001</v>
      </c>
      <c r="I1035" t="s">
        <v>46</v>
      </c>
      <c r="J1035" t="s">
        <v>48</v>
      </c>
      <c r="K1035" t="s">
        <v>48</v>
      </c>
      <c r="L1035" t="s">
        <v>49</v>
      </c>
      <c r="M1035" t="s">
        <v>50</v>
      </c>
      <c r="N1035" t="s">
        <v>51</v>
      </c>
      <c r="O1035">
        <v>7412200000</v>
      </c>
      <c r="P1035" t="s">
        <v>674</v>
      </c>
      <c r="Q1035" t="s">
        <v>794</v>
      </c>
      <c r="R1035" t="s">
        <v>54</v>
      </c>
      <c r="S1035" t="s">
        <v>55</v>
      </c>
      <c r="T1035">
        <v>8</v>
      </c>
      <c r="U1035">
        <v>1</v>
      </c>
      <c r="V1035" t="s">
        <v>56</v>
      </c>
      <c r="W1035">
        <v>0</v>
      </c>
      <c r="X1035">
        <v>69.73</v>
      </c>
      <c r="Y1035">
        <v>14.17</v>
      </c>
      <c r="Z1035">
        <v>0.45</v>
      </c>
      <c r="AA1035">
        <v>84.35</v>
      </c>
      <c r="AB1035" t="s">
        <v>57</v>
      </c>
      <c r="AC1035" t="s">
        <v>81</v>
      </c>
      <c r="AD1035" t="s">
        <v>48</v>
      </c>
      <c r="AE1035">
        <v>0</v>
      </c>
      <c r="AF1035">
        <v>3.24</v>
      </c>
      <c r="AG1035" t="s">
        <v>59</v>
      </c>
      <c r="AH1035">
        <v>413505</v>
      </c>
      <c r="AI1035" t="s">
        <v>60</v>
      </c>
      <c r="AJ1035" t="s">
        <v>60</v>
      </c>
      <c r="AK1035" t="s">
        <v>54</v>
      </c>
      <c r="AL1035">
        <v>2023</v>
      </c>
      <c r="AM1035" s="6" t="s">
        <v>1091</v>
      </c>
      <c r="AN1035" s="7">
        <v>69.73</v>
      </c>
      <c r="AO1035" s="8">
        <f t="shared" si="48"/>
        <v>130.74375000000001</v>
      </c>
      <c r="AP1035" s="8">
        <f t="shared" si="49"/>
        <v>145.25630624999999</v>
      </c>
      <c r="AQ1035" s="9">
        <f t="shared" si="50"/>
        <v>211.79180062500001</v>
      </c>
    </row>
    <row r="1036" spans="1:43" x14ac:dyDescent="0.25">
      <c r="A1036">
        <v>20</v>
      </c>
      <c r="B1036">
        <v>2</v>
      </c>
      <c r="C1036">
        <v>2024</v>
      </c>
      <c r="D1036" t="s">
        <v>43</v>
      </c>
      <c r="E1036" t="s">
        <v>140</v>
      </c>
      <c r="F1036" t="s">
        <v>141</v>
      </c>
      <c r="G1036">
        <v>69</v>
      </c>
      <c r="H1036">
        <v>1791882490001</v>
      </c>
      <c r="I1036" t="s">
        <v>46</v>
      </c>
      <c r="J1036" t="s">
        <v>48</v>
      </c>
      <c r="K1036" t="s">
        <v>48</v>
      </c>
      <c r="L1036" t="s">
        <v>49</v>
      </c>
      <c r="M1036" t="s">
        <v>50</v>
      </c>
      <c r="N1036" t="s">
        <v>51</v>
      </c>
      <c r="O1036">
        <v>7412200000</v>
      </c>
      <c r="P1036" t="s">
        <v>169</v>
      </c>
      <c r="Q1036" t="s">
        <v>871</v>
      </c>
      <c r="R1036" t="s">
        <v>54</v>
      </c>
      <c r="S1036" t="s">
        <v>55</v>
      </c>
      <c r="T1036">
        <v>6</v>
      </c>
      <c r="U1036">
        <v>1</v>
      </c>
      <c r="V1036" t="s">
        <v>56</v>
      </c>
      <c r="W1036">
        <v>0</v>
      </c>
      <c r="X1036">
        <v>69.319999999999993</v>
      </c>
      <c r="Y1036">
        <v>6.22</v>
      </c>
      <c r="Z1036">
        <v>0.47</v>
      </c>
      <c r="AA1036">
        <v>76</v>
      </c>
      <c r="AB1036" t="s">
        <v>54</v>
      </c>
      <c r="AC1036" t="s">
        <v>143</v>
      </c>
      <c r="AD1036" t="s">
        <v>48</v>
      </c>
      <c r="AE1036">
        <v>0</v>
      </c>
      <c r="AF1036">
        <v>1.87</v>
      </c>
      <c r="AG1036" t="s">
        <v>59</v>
      </c>
      <c r="AH1036">
        <v>876053</v>
      </c>
      <c r="AI1036" t="s">
        <v>60</v>
      </c>
      <c r="AJ1036" t="s">
        <v>60</v>
      </c>
      <c r="AK1036" t="s">
        <v>54</v>
      </c>
      <c r="AL1036">
        <v>2024</v>
      </c>
      <c r="AM1036" s="6" t="s">
        <v>1091</v>
      </c>
      <c r="AN1036" s="7">
        <v>69.319999999999993</v>
      </c>
      <c r="AO1036" s="8">
        <f t="shared" si="48"/>
        <v>129.97499999999999</v>
      </c>
      <c r="AP1036" s="8">
        <f t="shared" si="49"/>
        <v>144.40222499999999</v>
      </c>
      <c r="AQ1036" s="9">
        <f t="shared" si="50"/>
        <v>210.54650249999997</v>
      </c>
    </row>
    <row r="1037" spans="1:43" x14ac:dyDescent="0.25">
      <c r="A1037">
        <v>2</v>
      </c>
      <c r="B1037">
        <v>1</v>
      </c>
      <c r="C1037">
        <v>2024</v>
      </c>
      <c r="D1037" t="s">
        <v>43</v>
      </c>
      <c r="E1037" t="s">
        <v>181</v>
      </c>
      <c r="F1037" t="s">
        <v>182</v>
      </c>
      <c r="G1037">
        <v>44</v>
      </c>
      <c r="H1037">
        <v>1791882490001</v>
      </c>
      <c r="I1037" t="s">
        <v>46</v>
      </c>
      <c r="J1037" t="s">
        <v>48</v>
      </c>
      <c r="K1037" t="s">
        <v>48</v>
      </c>
      <c r="L1037" t="s">
        <v>49</v>
      </c>
      <c r="M1037" t="s">
        <v>50</v>
      </c>
      <c r="N1037" t="s">
        <v>51</v>
      </c>
      <c r="O1037">
        <v>8421999000</v>
      </c>
      <c r="P1037" t="s">
        <v>52</v>
      </c>
      <c r="Q1037" t="s">
        <v>594</v>
      </c>
      <c r="R1037" t="s">
        <v>54</v>
      </c>
      <c r="S1037" t="s">
        <v>55</v>
      </c>
      <c r="T1037">
        <v>8</v>
      </c>
      <c r="U1037">
        <v>1</v>
      </c>
      <c r="V1037" t="s">
        <v>135</v>
      </c>
      <c r="W1037">
        <v>0</v>
      </c>
      <c r="X1037">
        <v>1352.66</v>
      </c>
      <c r="Y1037">
        <v>274.83999999999997</v>
      </c>
      <c r="Z1037">
        <v>8.6999999999999993</v>
      </c>
      <c r="AA1037">
        <v>1636.2</v>
      </c>
      <c r="AB1037" t="s">
        <v>57</v>
      </c>
      <c r="AC1037" t="s">
        <v>81</v>
      </c>
      <c r="AD1037" t="s">
        <v>48</v>
      </c>
      <c r="AE1037">
        <v>0</v>
      </c>
      <c r="AF1037">
        <v>3.24</v>
      </c>
      <c r="AG1037" t="s">
        <v>59</v>
      </c>
      <c r="AH1037">
        <v>413505</v>
      </c>
      <c r="AI1037" t="s">
        <v>60</v>
      </c>
      <c r="AJ1037" t="s">
        <v>60</v>
      </c>
      <c r="AK1037" t="s">
        <v>54</v>
      </c>
      <c r="AL1037">
        <v>2023</v>
      </c>
      <c r="AM1037" s="6" t="s">
        <v>1092</v>
      </c>
      <c r="AN1037" s="7">
        <v>1352.66</v>
      </c>
      <c r="AO1037" s="8">
        <f t="shared" si="48"/>
        <v>2536.2375000000002</v>
      </c>
      <c r="AP1037" s="8">
        <f t="shared" si="49"/>
        <v>2817.7598625000001</v>
      </c>
      <c r="AQ1037" s="9">
        <f t="shared" si="50"/>
        <v>4108.45112625</v>
      </c>
    </row>
    <row r="1038" spans="1:43" x14ac:dyDescent="0.25">
      <c r="A1038">
        <v>2</v>
      </c>
      <c r="B1038">
        <v>1</v>
      </c>
      <c r="C1038">
        <v>2024</v>
      </c>
      <c r="D1038" t="s">
        <v>43</v>
      </c>
      <c r="E1038" t="s">
        <v>181</v>
      </c>
      <c r="F1038" t="s">
        <v>182</v>
      </c>
      <c r="G1038">
        <v>45</v>
      </c>
      <c r="H1038">
        <v>1791882490001</v>
      </c>
      <c r="I1038" t="s">
        <v>46</v>
      </c>
      <c r="J1038" t="s">
        <v>48</v>
      </c>
      <c r="K1038" t="s">
        <v>48</v>
      </c>
      <c r="L1038" t="s">
        <v>49</v>
      </c>
      <c r="M1038" t="s">
        <v>50</v>
      </c>
      <c r="N1038" t="s">
        <v>51</v>
      </c>
      <c r="O1038">
        <v>8484900000</v>
      </c>
      <c r="P1038" t="s">
        <v>52</v>
      </c>
      <c r="Q1038" t="s">
        <v>1093</v>
      </c>
      <c r="R1038" t="s">
        <v>54</v>
      </c>
      <c r="S1038" t="s">
        <v>55</v>
      </c>
      <c r="T1038">
        <v>8</v>
      </c>
      <c r="U1038">
        <v>1</v>
      </c>
      <c r="V1038" t="s">
        <v>135</v>
      </c>
      <c r="W1038">
        <v>0</v>
      </c>
      <c r="X1038">
        <v>961.05</v>
      </c>
      <c r="Y1038">
        <v>195.27</v>
      </c>
      <c r="Z1038">
        <v>6.18</v>
      </c>
      <c r="AA1038">
        <v>1162.51</v>
      </c>
      <c r="AB1038" t="s">
        <v>57</v>
      </c>
      <c r="AC1038" t="s">
        <v>81</v>
      </c>
      <c r="AD1038" t="s">
        <v>48</v>
      </c>
      <c r="AE1038">
        <v>0</v>
      </c>
      <c r="AF1038">
        <v>3.24</v>
      </c>
      <c r="AG1038" t="s">
        <v>59</v>
      </c>
      <c r="AH1038">
        <v>413505</v>
      </c>
      <c r="AI1038" t="s">
        <v>60</v>
      </c>
      <c r="AJ1038" t="s">
        <v>60</v>
      </c>
      <c r="AK1038" t="s">
        <v>54</v>
      </c>
      <c r="AL1038">
        <v>2023</v>
      </c>
      <c r="AM1038" s="6" t="s">
        <v>1094</v>
      </c>
      <c r="AN1038" s="7">
        <v>961.05</v>
      </c>
      <c r="AO1038" s="8">
        <f t="shared" si="48"/>
        <v>1801.96875</v>
      </c>
      <c r="AP1038" s="8">
        <f t="shared" si="49"/>
        <v>2001.98728125</v>
      </c>
      <c r="AQ1038" s="9">
        <f t="shared" si="50"/>
        <v>2919.0091781249998</v>
      </c>
    </row>
    <row r="1039" spans="1:43" x14ac:dyDescent="0.25">
      <c r="A1039">
        <v>2</v>
      </c>
      <c r="B1039">
        <v>1</v>
      </c>
      <c r="C1039">
        <v>2024</v>
      </c>
      <c r="D1039" t="s">
        <v>43</v>
      </c>
      <c r="E1039" t="s">
        <v>181</v>
      </c>
      <c r="F1039" t="s">
        <v>182</v>
      </c>
      <c r="G1039">
        <v>46</v>
      </c>
      <c r="H1039">
        <v>1791882490001</v>
      </c>
      <c r="I1039" t="s">
        <v>46</v>
      </c>
      <c r="J1039" t="s">
        <v>48</v>
      </c>
      <c r="K1039" t="s">
        <v>48</v>
      </c>
      <c r="L1039" t="s">
        <v>49</v>
      </c>
      <c r="M1039" t="s">
        <v>50</v>
      </c>
      <c r="N1039" t="s">
        <v>51</v>
      </c>
      <c r="O1039">
        <v>8481809990</v>
      </c>
      <c r="P1039" t="s">
        <v>232</v>
      </c>
      <c r="Q1039" t="s">
        <v>1095</v>
      </c>
      <c r="R1039" t="s">
        <v>54</v>
      </c>
      <c r="S1039" t="s">
        <v>55</v>
      </c>
      <c r="T1039">
        <v>8</v>
      </c>
      <c r="U1039">
        <v>1</v>
      </c>
      <c r="V1039" t="s">
        <v>135</v>
      </c>
      <c r="W1039">
        <v>0</v>
      </c>
      <c r="X1039">
        <v>1016.4</v>
      </c>
      <c r="Y1039">
        <v>206.52</v>
      </c>
      <c r="Z1039">
        <v>6.54</v>
      </c>
      <c r="AA1039">
        <v>1229.46</v>
      </c>
      <c r="AB1039" t="s">
        <v>57</v>
      </c>
      <c r="AC1039" t="s">
        <v>81</v>
      </c>
      <c r="AD1039" t="s">
        <v>48</v>
      </c>
      <c r="AE1039">
        <v>0</v>
      </c>
      <c r="AF1039">
        <v>3.24</v>
      </c>
      <c r="AG1039" t="s">
        <v>59</v>
      </c>
      <c r="AH1039">
        <v>413505</v>
      </c>
      <c r="AI1039" t="s">
        <v>60</v>
      </c>
      <c r="AJ1039" t="s">
        <v>60</v>
      </c>
      <c r="AK1039" t="s">
        <v>54</v>
      </c>
      <c r="AL1039">
        <v>2023</v>
      </c>
      <c r="AM1039" s="6" t="s">
        <v>1096</v>
      </c>
      <c r="AN1039" s="7">
        <v>1016.4</v>
      </c>
      <c r="AO1039" s="8">
        <f t="shared" si="48"/>
        <v>1905.75</v>
      </c>
      <c r="AP1039" s="8">
        <f t="shared" si="49"/>
        <v>2117.2882500000001</v>
      </c>
      <c r="AQ1039" s="9">
        <f t="shared" si="50"/>
        <v>3087.124425</v>
      </c>
    </row>
    <row r="1040" spans="1:43" x14ac:dyDescent="0.25">
      <c r="A1040">
        <v>13</v>
      </c>
      <c r="B1040">
        <v>3</v>
      </c>
      <c r="C1040">
        <v>2024</v>
      </c>
      <c r="D1040" t="s">
        <v>43</v>
      </c>
      <c r="E1040" t="s">
        <v>69</v>
      </c>
      <c r="F1040" t="s">
        <v>70</v>
      </c>
      <c r="G1040">
        <v>55</v>
      </c>
      <c r="H1040">
        <v>1791882490001</v>
      </c>
      <c r="I1040" t="s">
        <v>46</v>
      </c>
      <c r="J1040" t="s">
        <v>48</v>
      </c>
      <c r="K1040" t="s">
        <v>48</v>
      </c>
      <c r="L1040" t="s">
        <v>49</v>
      </c>
      <c r="M1040" t="s">
        <v>50</v>
      </c>
      <c r="N1040" t="s">
        <v>51</v>
      </c>
      <c r="O1040">
        <v>8421999000</v>
      </c>
      <c r="P1040" t="s">
        <v>66</v>
      </c>
      <c r="Q1040" t="s">
        <v>261</v>
      </c>
      <c r="R1040" t="s">
        <v>54</v>
      </c>
      <c r="S1040" t="s">
        <v>55</v>
      </c>
      <c r="T1040">
        <v>11</v>
      </c>
      <c r="U1040">
        <v>2</v>
      </c>
      <c r="V1040" t="s">
        <v>135</v>
      </c>
      <c r="W1040">
        <v>0</v>
      </c>
      <c r="X1040">
        <v>685.9</v>
      </c>
      <c r="Y1040">
        <v>89.82</v>
      </c>
      <c r="Z1040">
        <v>4.62</v>
      </c>
      <c r="AA1040">
        <v>780.34</v>
      </c>
      <c r="AB1040" t="s">
        <v>54</v>
      </c>
      <c r="AC1040" t="s">
        <v>71</v>
      </c>
      <c r="AD1040" t="s">
        <v>48</v>
      </c>
      <c r="AE1040">
        <v>0</v>
      </c>
      <c r="AF1040">
        <v>4.08</v>
      </c>
      <c r="AG1040" t="s">
        <v>59</v>
      </c>
      <c r="AH1040">
        <v>895279</v>
      </c>
      <c r="AI1040" t="s">
        <v>60</v>
      </c>
      <c r="AJ1040" t="s">
        <v>60</v>
      </c>
      <c r="AK1040" t="s">
        <v>54</v>
      </c>
      <c r="AL1040">
        <v>2024</v>
      </c>
      <c r="AM1040" s="6" t="s">
        <v>1097</v>
      </c>
      <c r="AN1040" s="7">
        <v>342.95</v>
      </c>
      <c r="AO1040" s="8">
        <f t="shared" si="48"/>
        <v>643.03125</v>
      </c>
      <c r="AP1040" s="8">
        <f t="shared" si="49"/>
        <v>714.40771874999996</v>
      </c>
      <c r="AQ1040" s="9">
        <f t="shared" si="50"/>
        <v>1041.646321875</v>
      </c>
    </row>
    <row r="1041" spans="1:43" x14ac:dyDescent="0.25">
      <c r="A1041">
        <v>20</v>
      </c>
      <c r="B1041">
        <v>2</v>
      </c>
      <c r="C1041">
        <v>2024</v>
      </c>
      <c r="D1041" t="s">
        <v>43</v>
      </c>
      <c r="E1041" t="s">
        <v>140</v>
      </c>
      <c r="F1041" t="s">
        <v>141</v>
      </c>
      <c r="G1041">
        <v>70</v>
      </c>
      <c r="H1041">
        <v>1791882490001</v>
      </c>
      <c r="I1041" t="s">
        <v>46</v>
      </c>
      <c r="J1041" t="s">
        <v>48</v>
      </c>
      <c r="K1041" t="s">
        <v>48</v>
      </c>
      <c r="L1041" t="s">
        <v>49</v>
      </c>
      <c r="M1041" t="s">
        <v>50</v>
      </c>
      <c r="N1041" t="s">
        <v>51</v>
      </c>
      <c r="O1041">
        <v>8481300000</v>
      </c>
      <c r="P1041" t="s">
        <v>203</v>
      </c>
      <c r="Q1041" t="s">
        <v>1098</v>
      </c>
      <c r="R1041" t="s">
        <v>54</v>
      </c>
      <c r="S1041" t="s">
        <v>55</v>
      </c>
      <c r="T1041">
        <v>6</v>
      </c>
      <c r="U1041">
        <v>5</v>
      </c>
      <c r="V1041" t="s">
        <v>135</v>
      </c>
      <c r="W1041">
        <v>0</v>
      </c>
      <c r="X1041">
        <v>180.07</v>
      </c>
      <c r="Y1041">
        <v>16.16</v>
      </c>
      <c r="Z1041">
        <v>1.21</v>
      </c>
      <c r="AA1041">
        <v>197.44</v>
      </c>
      <c r="AB1041" t="s">
        <v>54</v>
      </c>
      <c r="AC1041" t="s">
        <v>143</v>
      </c>
      <c r="AD1041" t="s">
        <v>48</v>
      </c>
      <c r="AE1041">
        <v>0</v>
      </c>
      <c r="AF1041">
        <v>9.36</v>
      </c>
      <c r="AG1041" t="s">
        <v>59</v>
      </c>
      <c r="AH1041">
        <v>876053</v>
      </c>
      <c r="AI1041" t="s">
        <v>60</v>
      </c>
      <c r="AJ1041" t="s">
        <v>60</v>
      </c>
      <c r="AK1041" t="s">
        <v>54</v>
      </c>
      <c r="AL1041">
        <v>2024</v>
      </c>
      <c r="AM1041" s="6" t="s">
        <v>1099</v>
      </c>
      <c r="AN1041" s="7">
        <v>36.01</v>
      </c>
      <c r="AO1041" s="8">
        <f t="shared" si="48"/>
        <v>67.518749999999997</v>
      </c>
      <c r="AP1041" s="8">
        <f t="shared" si="49"/>
        <v>75.013331249999993</v>
      </c>
      <c r="AQ1041" s="9">
        <f t="shared" si="50"/>
        <v>109.37362312499999</v>
      </c>
    </row>
    <row r="1042" spans="1:43" x14ac:dyDescent="0.25">
      <c r="A1042">
        <v>13</v>
      </c>
      <c r="B1042">
        <v>3</v>
      </c>
      <c r="C1042">
        <v>2024</v>
      </c>
      <c r="D1042" t="s">
        <v>43</v>
      </c>
      <c r="E1042" t="s">
        <v>69</v>
      </c>
      <c r="F1042" t="s">
        <v>70</v>
      </c>
      <c r="G1042">
        <v>56</v>
      </c>
      <c r="H1042">
        <v>1791882490001</v>
      </c>
      <c r="I1042" t="s">
        <v>46</v>
      </c>
      <c r="J1042" t="s">
        <v>48</v>
      </c>
      <c r="K1042" t="s">
        <v>48</v>
      </c>
      <c r="L1042" t="s">
        <v>49</v>
      </c>
      <c r="M1042" t="s">
        <v>50</v>
      </c>
      <c r="N1042" t="s">
        <v>51</v>
      </c>
      <c r="O1042">
        <v>8481300000</v>
      </c>
      <c r="P1042" t="s">
        <v>203</v>
      </c>
      <c r="Q1042" t="s">
        <v>1100</v>
      </c>
      <c r="R1042" t="s">
        <v>54</v>
      </c>
      <c r="S1042" t="s">
        <v>55</v>
      </c>
      <c r="T1042">
        <v>11</v>
      </c>
      <c r="U1042">
        <v>8</v>
      </c>
      <c r="V1042" t="s">
        <v>135</v>
      </c>
      <c r="W1042">
        <v>0</v>
      </c>
      <c r="X1042">
        <v>289.22000000000003</v>
      </c>
      <c r="Y1042">
        <v>37.869999999999997</v>
      </c>
      <c r="Z1042">
        <v>1.95</v>
      </c>
      <c r="AA1042">
        <v>329.04</v>
      </c>
      <c r="AB1042" t="s">
        <v>54</v>
      </c>
      <c r="AC1042" t="s">
        <v>71</v>
      </c>
      <c r="AD1042" t="s">
        <v>48</v>
      </c>
      <c r="AE1042">
        <v>0</v>
      </c>
      <c r="AF1042">
        <v>16.309999999999999</v>
      </c>
      <c r="AG1042" t="s">
        <v>59</v>
      </c>
      <c r="AH1042">
        <v>895279</v>
      </c>
      <c r="AI1042" t="s">
        <v>60</v>
      </c>
      <c r="AJ1042" t="s">
        <v>60</v>
      </c>
      <c r="AK1042" t="s">
        <v>54</v>
      </c>
      <c r="AL1042">
        <v>2024</v>
      </c>
      <c r="AM1042" s="6" t="s">
        <v>1099</v>
      </c>
      <c r="AN1042" s="7">
        <v>36.15</v>
      </c>
      <c r="AO1042" s="8">
        <f t="shared" si="48"/>
        <v>67.78125</v>
      </c>
      <c r="AP1042" s="8">
        <f t="shared" si="49"/>
        <v>75.30496875</v>
      </c>
      <c r="AQ1042" s="9">
        <f t="shared" si="50"/>
        <v>109.798846875</v>
      </c>
    </row>
    <row r="1043" spans="1:43" x14ac:dyDescent="0.25">
      <c r="A1043">
        <v>28</v>
      </c>
      <c r="B1043">
        <v>8</v>
      </c>
      <c r="C1043">
        <v>2024</v>
      </c>
      <c r="D1043" t="s">
        <v>43</v>
      </c>
      <c r="E1043" t="s">
        <v>91</v>
      </c>
      <c r="F1043" t="s">
        <v>92</v>
      </c>
      <c r="G1043">
        <v>56</v>
      </c>
      <c r="H1043">
        <v>1791882490001</v>
      </c>
      <c r="I1043" t="s">
        <v>46</v>
      </c>
      <c r="J1043" t="s">
        <v>48</v>
      </c>
      <c r="K1043" t="s">
        <v>48</v>
      </c>
      <c r="L1043" t="s">
        <v>49</v>
      </c>
      <c r="M1043" t="s">
        <v>50</v>
      </c>
      <c r="N1043" t="s">
        <v>51</v>
      </c>
      <c r="O1043">
        <v>8481300000</v>
      </c>
      <c r="P1043" t="s">
        <v>203</v>
      </c>
      <c r="Q1043" t="s">
        <v>204</v>
      </c>
      <c r="R1043" t="s">
        <v>54</v>
      </c>
      <c r="S1043" t="s">
        <v>55</v>
      </c>
      <c r="T1043">
        <v>8</v>
      </c>
      <c r="U1043">
        <v>10</v>
      </c>
      <c r="V1043" t="s">
        <v>135</v>
      </c>
      <c r="W1043">
        <v>0</v>
      </c>
      <c r="X1043">
        <v>403.71</v>
      </c>
      <c r="Y1043">
        <v>44.6</v>
      </c>
      <c r="Z1043">
        <v>2.72</v>
      </c>
      <c r="AA1043">
        <v>451.03</v>
      </c>
      <c r="AB1043" t="s">
        <v>57</v>
      </c>
      <c r="AC1043" t="s">
        <v>94</v>
      </c>
      <c r="AD1043" t="s">
        <v>48</v>
      </c>
      <c r="AE1043">
        <v>0</v>
      </c>
      <c r="AF1043">
        <v>4.6500000000000004</v>
      </c>
      <c r="AG1043" t="s">
        <v>59</v>
      </c>
      <c r="AH1043">
        <v>150511</v>
      </c>
      <c r="AI1043" t="s">
        <v>60</v>
      </c>
      <c r="AJ1043" t="s">
        <v>60</v>
      </c>
      <c r="AK1043" t="s">
        <v>54</v>
      </c>
      <c r="AL1043">
        <v>2024</v>
      </c>
      <c r="AM1043" s="6" t="s">
        <v>1099</v>
      </c>
      <c r="AN1043" s="7">
        <v>40.369999999999997</v>
      </c>
      <c r="AO1043" s="8">
        <f t="shared" si="48"/>
        <v>75.693749999999994</v>
      </c>
      <c r="AP1043" s="8">
        <f t="shared" si="49"/>
        <v>84.095756249999994</v>
      </c>
      <c r="AQ1043" s="9">
        <f t="shared" si="50"/>
        <v>122.61630562499998</v>
      </c>
    </row>
    <row r="1044" spans="1:43" x14ac:dyDescent="0.25">
      <c r="A1044">
        <v>11</v>
      </c>
      <c r="B1044">
        <v>7</v>
      </c>
      <c r="C1044">
        <v>2024</v>
      </c>
      <c r="D1044" t="s">
        <v>43</v>
      </c>
      <c r="E1044" t="s">
        <v>1101</v>
      </c>
      <c r="F1044" t="s">
        <v>1102</v>
      </c>
      <c r="G1044">
        <v>1</v>
      </c>
      <c r="H1044">
        <v>1791882490001</v>
      </c>
      <c r="I1044" t="s">
        <v>46</v>
      </c>
      <c r="J1044" t="s">
        <v>133</v>
      </c>
      <c r="K1044" t="s">
        <v>48</v>
      </c>
      <c r="L1044" t="s">
        <v>119</v>
      </c>
      <c r="M1044" t="s">
        <v>120</v>
      </c>
      <c r="N1044" t="s">
        <v>121</v>
      </c>
      <c r="O1044">
        <v>7311009000</v>
      </c>
      <c r="P1044" t="s">
        <v>66</v>
      </c>
      <c r="Q1044" t="s">
        <v>1103</v>
      </c>
      <c r="R1044" t="s">
        <v>54</v>
      </c>
      <c r="S1044" t="s">
        <v>55</v>
      </c>
      <c r="T1044">
        <v>14</v>
      </c>
      <c r="U1044">
        <v>1</v>
      </c>
      <c r="V1044" t="s">
        <v>135</v>
      </c>
      <c r="W1044">
        <v>111.12</v>
      </c>
      <c r="X1044">
        <v>1643.27</v>
      </c>
      <c r="Y1044">
        <v>329.53</v>
      </c>
      <c r="Z1044">
        <v>11.42</v>
      </c>
      <c r="AA1044">
        <v>1984.22</v>
      </c>
      <c r="AB1044" t="s">
        <v>124</v>
      </c>
      <c r="AC1044" t="s">
        <v>125</v>
      </c>
      <c r="AD1044" t="s">
        <v>48</v>
      </c>
      <c r="AE1044">
        <v>0</v>
      </c>
      <c r="AF1044">
        <v>97.53</v>
      </c>
      <c r="AG1044" t="s">
        <v>59</v>
      </c>
      <c r="AH1044">
        <v>52387</v>
      </c>
      <c r="AI1044" t="s">
        <v>1103</v>
      </c>
      <c r="AJ1044" t="s">
        <v>1103</v>
      </c>
      <c r="AK1044" t="s">
        <v>54</v>
      </c>
      <c r="AL1044">
        <v>2024</v>
      </c>
      <c r="AM1044" s="6" t="s">
        <v>1104</v>
      </c>
      <c r="AN1044" s="7">
        <v>1643.27</v>
      </c>
      <c r="AO1044" s="8">
        <f t="shared" si="48"/>
        <v>3081.1312499999999</v>
      </c>
      <c r="AP1044" s="8">
        <f t="shared" si="49"/>
        <v>3423.1368187499997</v>
      </c>
      <c r="AQ1044" s="9">
        <f t="shared" si="50"/>
        <v>4991.1245118749994</v>
      </c>
    </row>
    <row r="1045" spans="1:43" x14ac:dyDescent="0.25">
      <c r="A1045">
        <v>11</v>
      </c>
      <c r="B1045">
        <v>7</v>
      </c>
      <c r="C1045">
        <v>2024</v>
      </c>
      <c r="D1045" t="s">
        <v>43</v>
      </c>
      <c r="E1045" t="s">
        <v>1101</v>
      </c>
      <c r="F1045" t="s">
        <v>1102</v>
      </c>
      <c r="G1045">
        <v>2</v>
      </c>
      <c r="H1045">
        <v>1791882490001</v>
      </c>
      <c r="I1045" t="s">
        <v>46</v>
      </c>
      <c r="J1045" t="s">
        <v>133</v>
      </c>
      <c r="K1045" t="s">
        <v>48</v>
      </c>
      <c r="L1045" t="s">
        <v>119</v>
      </c>
      <c r="M1045" t="s">
        <v>120</v>
      </c>
      <c r="N1045" t="s">
        <v>121</v>
      </c>
      <c r="O1045">
        <v>7311009000</v>
      </c>
      <c r="P1045" t="s">
        <v>66</v>
      </c>
      <c r="Q1045" t="s">
        <v>1103</v>
      </c>
      <c r="R1045" t="s">
        <v>54</v>
      </c>
      <c r="S1045" t="s">
        <v>55</v>
      </c>
      <c r="T1045">
        <v>14</v>
      </c>
      <c r="U1045">
        <v>1</v>
      </c>
      <c r="V1045" t="s">
        <v>135</v>
      </c>
      <c r="W1045">
        <v>111.12</v>
      </c>
      <c r="X1045">
        <v>1643.27</v>
      </c>
      <c r="Y1045">
        <v>329.53</v>
      </c>
      <c r="Z1045">
        <v>11.42</v>
      </c>
      <c r="AA1045">
        <v>1984.22</v>
      </c>
      <c r="AB1045" t="s">
        <v>124</v>
      </c>
      <c r="AC1045" t="s">
        <v>125</v>
      </c>
      <c r="AD1045" t="s">
        <v>48</v>
      </c>
      <c r="AE1045">
        <v>0</v>
      </c>
      <c r="AF1045">
        <v>97.53</v>
      </c>
      <c r="AG1045" t="s">
        <v>59</v>
      </c>
      <c r="AH1045">
        <v>52387</v>
      </c>
      <c r="AI1045" t="s">
        <v>1103</v>
      </c>
      <c r="AJ1045" t="s">
        <v>1103</v>
      </c>
      <c r="AK1045" t="s">
        <v>54</v>
      </c>
      <c r="AL1045">
        <v>2024</v>
      </c>
      <c r="AM1045" s="6" t="s">
        <v>1104</v>
      </c>
      <c r="AN1045" s="7">
        <v>1643.27</v>
      </c>
      <c r="AO1045" s="8">
        <f t="shared" si="48"/>
        <v>3081.1312499999999</v>
      </c>
      <c r="AP1045" s="8">
        <f t="shared" si="49"/>
        <v>3423.1368187499997</v>
      </c>
      <c r="AQ1045" s="9">
        <f t="shared" si="50"/>
        <v>4991.1245118749994</v>
      </c>
    </row>
    <row r="1046" spans="1:43" x14ac:dyDescent="0.25">
      <c r="A1046">
        <v>11</v>
      </c>
      <c r="B1046">
        <v>7</v>
      </c>
      <c r="C1046">
        <v>2024</v>
      </c>
      <c r="D1046" t="s">
        <v>43</v>
      </c>
      <c r="E1046" t="s">
        <v>1101</v>
      </c>
      <c r="F1046" t="s">
        <v>1102</v>
      </c>
      <c r="G1046">
        <v>3</v>
      </c>
      <c r="H1046">
        <v>1791882490001</v>
      </c>
      <c r="I1046" t="s">
        <v>46</v>
      </c>
      <c r="J1046" t="s">
        <v>133</v>
      </c>
      <c r="K1046" t="s">
        <v>48</v>
      </c>
      <c r="L1046" t="s">
        <v>119</v>
      </c>
      <c r="M1046" t="s">
        <v>120</v>
      </c>
      <c r="N1046" t="s">
        <v>121</v>
      </c>
      <c r="O1046">
        <v>7311009000</v>
      </c>
      <c r="P1046" t="s">
        <v>66</v>
      </c>
      <c r="Q1046" t="s">
        <v>1103</v>
      </c>
      <c r="R1046" t="s">
        <v>54</v>
      </c>
      <c r="S1046" t="s">
        <v>55</v>
      </c>
      <c r="T1046">
        <v>14</v>
      </c>
      <c r="U1046">
        <v>1</v>
      </c>
      <c r="V1046" t="s">
        <v>135</v>
      </c>
      <c r="W1046">
        <v>111.12</v>
      </c>
      <c r="X1046">
        <v>1643.27</v>
      </c>
      <c r="Y1046">
        <v>329.53</v>
      </c>
      <c r="Z1046">
        <v>11.42</v>
      </c>
      <c r="AA1046">
        <v>1984.22</v>
      </c>
      <c r="AB1046" t="s">
        <v>124</v>
      </c>
      <c r="AC1046" t="s">
        <v>125</v>
      </c>
      <c r="AD1046" t="s">
        <v>48</v>
      </c>
      <c r="AE1046">
        <v>0</v>
      </c>
      <c r="AF1046">
        <v>97.53</v>
      </c>
      <c r="AG1046" t="s">
        <v>59</v>
      </c>
      <c r="AH1046">
        <v>52387</v>
      </c>
      <c r="AI1046" t="s">
        <v>1103</v>
      </c>
      <c r="AJ1046" t="s">
        <v>1103</v>
      </c>
      <c r="AK1046" t="s">
        <v>54</v>
      </c>
      <c r="AL1046">
        <v>2024</v>
      </c>
      <c r="AM1046" s="6" t="s">
        <v>1104</v>
      </c>
      <c r="AN1046" s="7">
        <v>1643.27</v>
      </c>
      <c r="AO1046" s="8">
        <f t="shared" si="48"/>
        <v>3081.1312499999999</v>
      </c>
      <c r="AP1046" s="8">
        <f t="shared" si="49"/>
        <v>3423.1368187499997</v>
      </c>
      <c r="AQ1046" s="9">
        <f t="shared" si="50"/>
        <v>4991.1245118749994</v>
      </c>
    </row>
    <row r="1047" spans="1:43" x14ac:dyDescent="0.25">
      <c r="A1047">
        <v>11</v>
      </c>
      <c r="B1047">
        <v>7</v>
      </c>
      <c r="C1047">
        <v>2024</v>
      </c>
      <c r="D1047" t="s">
        <v>43</v>
      </c>
      <c r="E1047" t="s">
        <v>1101</v>
      </c>
      <c r="F1047" t="s">
        <v>1102</v>
      </c>
      <c r="G1047">
        <v>4</v>
      </c>
      <c r="H1047">
        <v>1791882490001</v>
      </c>
      <c r="I1047" t="s">
        <v>46</v>
      </c>
      <c r="J1047" t="s">
        <v>133</v>
      </c>
      <c r="K1047" t="s">
        <v>48</v>
      </c>
      <c r="L1047" t="s">
        <v>119</v>
      </c>
      <c r="M1047" t="s">
        <v>120</v>
      </c>
      <c r="N1047" t="s">
        <v>121</v>
      </c>
      <c r="O1047">
        <v>7311009000</v>
      </c>
      <c r="P1047" t="s">
        <v>66</v>
      </c>
      <c r="Q1047" t="s">
        <v>1103</v>
      </c>
      <c r="R1047" t="s">
        <v>54</v>
      </c>
      <c r="S1047" t="s">
        <v>55</v>
      </c>
      <c r="T1047">
        <v>14</v>
      </c>
      <c r="U1047">
        <v>1</v>
      </c>
      <c r="V1047" t="s">
        <v>135</v>
      </c>
      <c r="W1047">
        <v>111.12</v>
      </c>
      <c r="X1047">
        <v>1643.27</v>
      </c>
      <c r="Y1047">
        <v>329.53</v>
      </c>
      <c r="Z1047">
        <v>11.42</v>
      </c>
      <c r="AA1047">
        <v>1984.22</v>
      </c>
      <c r="AB1047" t="s">
        <v>124</v>
      </c>
      <c r="AC1047" t="s">
        <v>125</v>
      </c>
      <c r="AD1047" t="s">
        <v>48</v>
      </c>
      <c r="AE1047">
        <v>0</v>
      </c>
      <c r="AF1047">
        <v>97.53</v>
      </c>
      <c r="AG1047" t="s">
        <v>59</v>
      </c>
      <c r="AH1047">
        <v>52387</v>
      </c>
      <c r="AI1047" t="s">
        <v>1103</v>
      </c>
      <c r="AJ1047" t="s">
        <v>1103</v>
      </c>
      <c r="AK1047" t="s">
        <v>54</v>
      </c>
      <c r="AL1047">
        <v>2024</v>
      </c>
      <c r="AM1047" s="6" t="s">
        <v>1104</v>
      </c>
      <c r="AN1047" s="7">
        <v>1643.27</v>
      </c>
      <c r="AO1047" s="8">
        <f t="shared" si="48"/>
        <v>3081.1312499999999</v>
      </c>
      <c r="AP1047" s="8">
        <f t="shared" si="49"/>
        <v>3423.1368187499997</v>
      </c>
      <c r="AQ1047" s="9">
        <f t="shared" si="50"/>
        <v>4991.1245118749994</v>
      </c>
    </row>
    <row r="1048" spans="1:43" x14ac:dyDescent="0.25">
      <c r="A1048">
        <v>11</v>
      </c>
      <c r="B1048">
        <v>7</v>
      </c>
      <c r="C1048">
        <v>2024</v>
      </c>
      <c r="D1048" t="s">
        <v>43</v>
      </c>
      <c r="E1048" t="s">
        <v>1101</v>
      </c>
      <c r="F1048" t="s">
        <v>1102</v>
      </c>
      <c r="G1048">
        <v>5</v>
      </c>
      <c r="H1048">
        <v>1791882490001</v>
      </c>
      <c r="I1048" t="s">
        <v>46</v>
      </c>
      <c r="J1048" t="s">
        <v>133</v>
      </c>
      <c r="K1048" t="s">
        <v>48</v>
      </c>
      <c r="L1048" t="s">
        <v>119</v>
      </c>
      <c r="M1048" t="s">
        <v>120</v>
      </c>
      <c r="N1048" t="s">
        <v>121</v>
      </c>
      <c r="O1048">
        <v>7311009000</v>
      </c>
      <c r="P1048" t="s">
        <v>66</v>
      </c>
      <c r="Q1048" t="s">
        <v>1103</v>
      </c>
      <c r="R1048" t="s">
        <v>54</v>
      </c>
      <c r="S1048" t="s">
        <v>55</v>
      </c>
      <c r="T1048">
        <v>14</v>
      </c>
      <c r="U1048">
        <v>1</v>
      </c>
      <c r="V1048" t="s">
        <v>135</v>
      </c>
      <c r="W1048">
        <v>111.12</v>
      </c>
      <c r="X1048">
        <v>1643.27</v>
      </c>
      <c r="Y1048">
        <v>329.53</v>
      </c>
      <c r="Z1048">
        <v>11.42</v>
      </c>
      <c r="AA1048">
        <v>1984.22</v>
      </c>
      <c r="AB1048" t="s">
        <v>124</v>
      </c>
      <c r="AC1048" t="s">
        <v>125</v>
      </c>
      <c r="AD1048" t="s">
        <v>48</v>
      </c>
      <c r="AE1048">
        <v>0</v>
      </c>
      <c r="AF1048">
        <v>97.53</v>
      </c>
      <c r="AG1048" t="s">
        <v>59</v>
      </c>
      <c r="AH1048">
        <v>52387</v>
      </c>
      <c r="AI1048" t="s">
        <v>1103</v>
      </c>
      <c r="AJ1048" t="s">
        <v>1103</v>
      </c>
      <c r="AK1048" t="s">
        <v>54</v>
      </c>
      <c r="AL1048">
        <v>2024</v>
      </c>
      <c r="AM1048" s="6" t="s">
        <v>1104</v>
      </c>
      <c r="AN1048" s="7">
        <v>1643.27</v>
      </c>
      <c r="AO1048" s="8">
        <f t="shared" si="48"/>
        <v>3081.1312499999999</v>
      </c>
      <c r="AP1048" s="8">
        <f t="shared" si="49"/>
        <v>3423.1368187499997</v>
      </c>
      <c r="AQ1048" s="9">
        <f t="shared" si="50"/>
        <v>4991.1245118749994</v>
      </c>
    </row>
    <row r="1049" spans="1:43" x14ac:dyDescent="0.25">
      <c r="A1049">
        <v>11</v>
      </c>
      <c r="B1049">
        <v>7</v>
      </c>
      <c r="C1049">
        <v>2024</v>
      </c>
      <c r="D1049" t="s">
        <v>43</v>
      </c>
      <c r="E1049" t="s">
        <v>1101</v>
      </c>
      <c r="F1049" t="s">
        <v>1102</v>
      </c>
      <c r="G1049">
        <v>6</v>
      </c>
      <c r="H1049">
        <v>1791882490001</v>
      </c>
      <c r="I1049" t="s">
        <v>46</v>
      </c>
      <c r="J1049" t="s">
        <v>133</v>
      </c>
      <c r="K1049" t="s">
        <v>48</v>
      </c>
      <c r="L1049" t="s">
        <v>119</v>
      </c>
      <c r="M1049" t="s">
        <v>120</v>
      </c>
      <c r="N1049" t="s">
        <v>121</v>
      </c>
      <c r="O1049">
        <v>7311009000</v>
      </c>
      <c r="P1049" t="s">
        <v>66</v>
      </c>
      <c r="Q1049" t="s">
        <v>1103</v>
      </c>
      <c r="R1049" t="s">
        <v>54</v>
      </c>
      <c r="S1049" t="s">
        <v>55</v>
      </c>
      <c r="T1049">
        <v>14</v>
      </c>
      <c r="U1049">
        <v>1</v>
      </c>
      <c r="V1049" t="s">
        <v>135</v>
      </c>
      <c r="W1049">
        <v>111.12</v>
      </c>
      <c r="X1049">
        <v>1643.27</v>
      </c>
      <c r="Y1049">
        <v>329.53</v>
      </c>
      <c r="Z1049">
        <v>11.42</v>
      </c>
      <c r="AA1049">
        <v>1984.22</v>
      </c>
      <c r="AB1049" t="s">
        <v>124</v>
      </c>
      <c r="AC1049" t="s">
        <v>125</v>
      </c>
      <c r="AD1049" t="s">
        <v>48</v>
      </c>
      <c r="AE1049">
        <v>0</v>
      </c>
      <c r="AF1049">
        <v>97.53</v>
      </c>
      <c r="AG1049" t="s">
        <v>59</v>
      </c>
      <c r="AH1049">
        <v>52387</v>
      </c>
      <c r="AI1049" t="s">
        <v>1103</v>
      </c>
      <c r="AJ1049" t="s">
        <v>1103</v>
      </c>
      <c r="AK1049" t="s">
        <v>54</v>
      </c>
      <c r="AL1049">
        <v>2024</v>
      </c>
      <c r="AM1049" s="6" t="s">
        <v>1104</v>
      </c>
      <c r="AN1049" s="7">
        <v>1643.27</v>
      </c>
      <c r="AO1049" s="8">
        <f t="shared" si="48"/>
        <v>3081.1312499999999</v>
      </c>
      <c r="AP1049" s="8">
        <f t="shared" si="49"/>
        <v>3423.1368187499997</v>
      </c>
      <c r="AQ1049" s="9">
        <f t="shared" si="50"/>
        <v>4991.1245118749994</v>
      </c>
    </row>
    <row r="1050" spans="1:43" x14ac:dyDescent="0.25">
      <c r="A1050">
        <v>24</v>
      </c>
      <c r="B1050">
        <v>9</v>
      </c>
      <c r="C1050">
        <v>2024</v>
      </c>
      <c r="D1050" t="s">
        <v>43</v>
      </c>
      <c r="E1050" t="s">
        <v>1105</v>
      </c>
      <c r="F1050" t="s">
        <v>1106</v>
      </c>
      <c r="G1050">
        <v>1</v>
      </c>
      <c r="H1050">
        <v>1791882490001</v>
      </c>
      <c r="I1050" t="s">
        <v>46</v>
      </c>
      <c r="J1050" t="s">
        <v>133</v>
      </c>
      <c r="K1050" t="s">
        <v>48</v>
      </c>
      <c r="L1050" t="s">
        <v>119</v>
      </c>
      <c r="M1050" t="s">
        <v>120</v>
      </c>
      <c r="N1050" t="s">
        <v>121</v>
      </c>
      <c r="O1050">
        <v>7311009000</v>
      </c>
      <c r="P1050" t="s">
        <v>66</v>
      </c>
      <c r="Q1050" t="s">
        <v>1103</v>
      </c>
      <c r="R1050" t="s">
        <v>54</v>
      </c>
      <c r="S1050" t="s">
        <v>55</v>
      </c>
      <c r="T1050">
        <v>8</v>
      </c>
      <c r="U1050">
        <v>1</v>
      </c>
      <c r="V1050" t="s">
        <v>135</v>
      </c>
      <c r="W1050">
        <v>180.89</v>
      </c>
      <c r="X1050">
        <v>3052.3</v>
      </c>
      <c r="Y1050">
        <v>158.09</v>
      </c>
      <c r="Z1050">
        <v>19.82</v>
      </c>
      <c r="AA1050">
        <v>3230.22</v>
      </c>
      <c r="AB1050" t="s">
        <v>124</v>
      </c>
      <c r="AC1050" t="s">
        <v>125</v>
      </c>
      <c r="AD1050" t="s">
        <v>48</v>
      </c>
      <c r="AE1050">
        <v>0</v>
      </c>
      <c r="AF1050">
        <v>374.63</v>
      </c>
      <c r="AG1050" t="s">
        <v>59</v>
      </c>
      <c r="AH1050">
        <v>34533</v>
      </c>
      <c r="AI1050" t="s">
        <v>1103</v>
      </c>
      <c r="AJ1050" t="s">
        <v>1103</v>
      </c>
      <c r="AK1050" t="s">
        <v>54</v>
      </c>
      <c r="AL1050">
        <v>2024</v>
      </c>
      <c r="AM1050" s="6" t="s">
        <v>1107</v>
      </c>
      <c r="AN1050" s="7">
        <v>3052.3</v>
      </c>
      <c r="AO1050" s="8">
        <f t="shared" ref="AO1050:AO1113" si="51">SUM(AN1050)*1.875</f>
        <v>5723.0625</v>
      </c>
      <c r="AP1050" s="8">
        <f t="shared" ref="AP1050:AP1113" si="52">SUM(AO1050)*1.111</f>
        <v>6358.3224375</v>
      </c>
      <c r="AQ1050" s="9">
        <f t="shared" si="50"/>
        <v>9270.7889437499998</v>
      </c>
    </row>
    <row r="1051" spans="1:43" x14ac:dyDescent="0.25">
      <c r="A1051">
        <v>15</v>
      </c>
      <c r="B1051">
        <v>4</v>
      </c>
      <c r="C1051">
        <v>2024</v>
      </c>
      <c r="D1051" t="s">
        <v>43</v>
      </c>
      <c r="E1051" t="s">
        <v>63</v>
      </c>
      <c r="F1051" t="s">
        <v>64</v>
      </c>
      <c r="G1051">
        <v>69</v>
      </c>
      <c r="H1051">
        <v>1791882490001</v>
      </c>
      <c r="I1051" t="s">
        <v>46</v>
      </c>
      <c r="J1051" t="s">
        <v>48</v>
      </c>
      <c r="K1051" t="s">
        <v>48</v>
      </c>
      <c r="L1051" t="s">
        <v>49</v>
      </c>
      <c r="M1051" t="s">
        <v>50</v>
      </c>
      <c r="N1051" t="s">
        <v>51</v>
      </c>
      <c r="O1051">
        <v>8421392000</v>
      </c>
      <c r="P1051" t="s">
        <v>253</v>
      </c>
      <c r="Q1051" t="s">
        <v>1108</v>
      </c>
      <c r="R1051" t="s">
        <v>54</v>
      </c>
      <c r="S1051" t="s">
        <v>55</v>
      </c>
      <c r="T1051">
        <v>6</v>
      </c>
      <c r="U1051">
        <v>3</v>
      </c>
      <c r="V1051" t="s">
        <v>135</v>
      </c>
      <c r="W1051">
        <v>0</v>
      </c>
      <c r="X1051">
        <v>1987.27</v>
      </c>
      <c r="Y1051">
        <v>209.19</v>
      </c>
      <c r="Z1051">
        <v>13.34</v>
      </c>
      <c r="AA1051">
        <v>2209.8000000000002</v>
      </c>
      <c r="AB1051" t="s">
        <v>57</v>
      </c>
      <c r="AC1051" t="s">
        <v>58</v>
      </c>
      <c r="AD1051" t="s">
        <v>48</v>
      </c>
      <c r="AE1051">
        <v>0</v>
      </c>
      <c r="AF1051">
        <v>19.04</v>
      </c>
      <c r="AG1051" t="s">
        <v>59</v>
      </c>
      <c r="AH1051">
        <v>443965</v>
      </c>
      <c r="AI1051" t="s">
        <v>60</v>
      </c>
      <c r="AJ1051" t="s">
        <v>60</v>
      </c>
      <c r="AK1051" t="s">
        <v>54</v>
      </c>
      <c r="AL1051">
        <v>2024</v>
      </c>
      <c r="AM1051" s="6" t="s">
        <v>1109</v>
      </c>
      <c r="AN1051" s="7">
        <v>662.42</v>
      </c>
      <c r="AO1051" s="8">
        <f t="shared" si="51"/>
        <v>1242.0374999999999</v>
      </c>
      <c r="AP1051" s="8">
        <f t="shared" si="52"/>
        <v>1379.9036624999999</v>
      </c>
      <c r="AQ1051" s="9">
        <f t="shared" si="50"/>
        <v>2011.9765462499997</v>
      </c>
    </row>
    <row r="1052" spans="1:43" x14ac:dyDescent="0.25">
      <c r="A1052">
        <v>26</v>
      </c>
      <c r="B1052">
        <v>9</v>
      </c>
      <c r="C1052">
        <v>2024</v>
      </c>
      <c r="D1052" t="s">
        <v>43</v>
      </c>
      <c r="E1052" t="s">
        <v>1110</v>
      </c>
      <c r="F1052" t="s">
        <v>1111</v>
      </c>
      <c r="G1052">
        <v>1</v>
      </c>
      <c r="H1052">
        <v>1791882490001</v>
      </c>
      <c r="I1052" t="s">
        <v>46</v>
      </c>
      <c r="J1052" t="s">
        <v>133</v>
      </c>
      <c r="K1052" t="s">
        <v>48</v>
      </c>
      <c r="L1052" t="s">
        <v>119</v>
      </c>
      <c r="M1052" t="s">
        <v>120</v>
      </c>
      <c r="N1052" t="s">
        <v>121</v>
      </c>
      <c r="O1052">
        <v>8418699900</v>
      </c>
      <c r="P1052" t="s">
        <v>1112</v>
      </c>
      <c r="Q1052" t="s">
        <v>1113</v>
      </c>
      <c r="R1052" t="s">
        <v>54</v>
      </c>
      <c r="S1052" t="s">
        <v>55</v>
      </c>
      <c r="T1052">
        <v>5</v>
      </c>
      <c r="U1052">
        <v>1</v>
      </c>
      <c r="V1052" t="s">
        <v>135</v>
      </c>
      <c r="W1052">
        <v>0</v>
      </c>
      <c r="X1052">
        <v>5103.53</v>
      </c>
      <c r="Y1052">
        <v>111.25</v>
      </c>
      <c r="Z1052">
        <v>33.15</v>
      </c>
      <c r="AA1052">
        <v>5247.93</v>
      </c>
      <c r="AB1052" t="s">
        <v>124</v>
      </c>
      <c r="AC1052" t="s">
        <v>125</v>
      </c>
      <c r="AD1052" t="s">
        <v>48</v>
      </c>
      <c r="AE1052">
        <v>0</v>
      </c>
      <c r="AF1052">
        <v>186</v>
      </c>
      <c r="AG1052" t="s">
        <v>59</v>
      </c>
      <c r="AH1052">
        <v>34467</v>
      </c>
      <c r="AI1052" t="s">
        <v>1113</v>
      </c>
      <c r="AJ1052" t="s">
        <v>1113</v>
      </c>
      <c r="AK1052" t="s">
        <v>54</v>
      </c>
      <c r="AL1052">
        <v>2024</v>
      </c>
      <c r="AM1052" s="6" t="s">
        <v>1114</v>
      </c>
      <c r="AN1052" s="7">
        <v>5103.53</v>
      </c>
      <c r="AO1052" s="8">
        <f t="shared" si="51"/>
        <v>9569.1187499999996</v>
      </c>
      <c r="AP1052" s="8">
        <f t="shared" si="52"/>
        <v>10631.29093125</v>
      </c>
      <c r="AQ1052" s="9">
        <f t="shared" si="50"/>
        <v>15501.015463124999</v>
      </c>
    </row>
    <row r="1053" spans="1:43" x14ac:dyDescent="0.25">
      <c r="A1053">
        <v>1</v>
      </c>
      <c r="B1053">
        <v>10</v>
      </c>
      <c r="C1053">
        <v>2024</v>
      </c>
      <c r="D1053" t="s">
        <v>43</v>
      </c>
      <c r="E1053" t="s">
        <v>1115</v>
      </c>
      <c r="F1053" t="s">
        <v>1116</v>
      </c>
      <c r="G1053">
        <v>1</v>
      </c>
      <c r="H1053">
        <v>1791882490001</v>
      </c>
      <c r="I1053" t="s">
        <v>46</v>
      </c>
      <c r="J1053" t="s">
        <v>133</v>
      </c>
      <c r="K1053" t="s">
        <v>48</v>
      </c>
      <c r="L1053" t="s">
        <v>119</v>
      </c>
      <c r="M1053" t="s">
        <v>120</v>
      </c>
      <c r="N1053" t="s">
        <v>121</v>
      </c>
      <c r="O1053">
        <v>8418699900</v>
      </c>
      <c r="P1053" t="s">
        <v>1117</v>
      </c>
      <c r="Q1053" t="s">
        <v>1113</v>
      </c>
      <c r="R1053" t="s">
        <v>54</v>
      </c>
      <c r="S1053" t="s">
        <v>55</v>
      </c>
      <c r="T1053">
        <v>4</v>
      </c>
      <c r="U1053">
        <v>1</v>
      </c>
      <c r="V1053" t="s">
        <v>135</v>
      </c>
      <c r="W1053">
        <v>0</v>
      </c>
      <c r="X1053">
        <v>5647.18</v>
      </c>
      <c r="Y1053">
        <v>390.42</v>
      </c>
      <c r="Z1053">
        <v>37.64</v>
      </c>
      <c r="AA1053">
        <v>6075.24</v>
      </c>
      <c r="AB1053" t="s">
        <v>124</v>
      </c>
      <c r="AC1053" t="s">
        <v>541</v>
      </c>
      <c r="AD1053" t="s">
        <v>48</v>
      </c>
      <c r="AE1053">
        <v>0</v>
      </c>
      <c r="AF1053">
        <v>201.66</v>
      </c>
      <c r="AG1053" t="s">
        <v>59</v>
      </c>
      <c r="AH1053">
        <v>55798</v>
      </c>
      <c r="AI1053" t="s">
        <v>1113</v>
      </c>
      <c r="AJ1053" t="s">
        <v>1113</v>
      </c>
      <c r="AK1053" t="s">
        <v>54</v>
      </c>
      <c r="AL1053">
        <v>2024</v>
      </c>
      <c r="AM1053" s="6" t="s">
        <v>1118</v>
      </c>
      <c r="AN1053" s="7">
        <v>5647.18</v>
      </c>
      <c r="AO1053" s="8">
        <f t="shared" si="51"/>
        <v>10588.462500000001</v>
      </c>
      <c r="AP1053" s="8">
        <f t="shared" si="52"/>
        <v>11763.781837500001</v>
      </c>
      <c r="AQ1053" s="9">
        <f t="shared" si="50"/>
        <v>17152.25040375</v>
      </c>
    </row>
    <row r="1054" spans="1:43" x14ac:dyDescent="0.25">
      <c r="A1054">
        <v>1</v>
      </c>
      <c r="B1054">
        <v>10</v>
      </c>
      <c r="C1054">
        <v>2024</v>
      </c>
      <c r="D1054" t="s">
        <v>43</v>
      </c>
      <c r="E1054" t="s">
        <v>1115</v>
      </c>
      <c r="F1054" t="s">
        <v>1116</v>
      </c>
      <c r="G1054">
        <v>2</v>
      </c>
      <c r="H1054">
        <v>1791882490001</v>
      </c>
      <c r="I1054" t="s">
        <v>46</v>
      </c>
      <c r="J1054" t="s">
        <v>133</v>
      </c>
      <c r="K1054" t="s">
        <v>48</v>
      </c>
      <c r="L1054" t="s">
        <v>119</v>
      </c>
      <c r="M1054" t="s">
        <v>120</v>
      </c>
      <c r="N1054" t="s">
        <v>121</v>
      </c>
      <c r="O1054">
        <v>8418699900</v>
      </c>
      <c r="P1054" t="s">
        <v>1117</v>
      </c>
      <c r="Q1054" t="s">
        <v>1113</v>
      </c>
      <c r="R1054" t="s">
        <v>54</v>
      </c>
      <c r="S1054" t="s">
        <v>55</v>
      </c>
      <c r="T1054">
        <v>4</v>
      </c>
      <c r="U1054">
        <v>1</v>
      </c>
      <c r="V1054" t="s">
        <v>135</v>
      </c>
      <c r="W1054">
        <v>0</v>
      </c>
      <c r="X1054">
        <v>6197.72</v>
      </c>
      <c r="Y1054">
        <v>428.48</v>
      </c>
      <c r="Z1054">
        <v>41.31</v>
      </c>
      <c r="AA1054">
        <v>6667.51</v>
      </c>
      <c r="AB1054" t="s">
        <v>124</v>
      </c>
      <c r="AC1054" t="s">
        <v>541</v>
      </c>
      <c r="AD1054" t="s">
        <v>48</v>
      </c>
      <c r="AE1054">
        <v>0</v>
      </c>
      <c r="AF1054">
        <v>221.32</v>
      </c>
      <c r="AG1054" t="s">
        <v>59</v>
      </c>
      <c r="AH1054">
        <v>55798</v>
      </c>
      <c r="AI1054" t="s">
        <v>1113</v>
      </c>
      <c r="AJ1054" t="s">
        <v>1113</v>
      </c>
      <c r="AK1054" t="s">
        <v>54</v>
      </c>
      <c r="AL1054">
        <v>2024</v>
      </c>
      <c r="AM1054" s="6" t="s">
        <v>1119</v>
      </c>
      <c r="AN1054" s="7">
        <v>6197.72</v>
      </c>
      <c r="AO1054" s="8">
        <f t="shared" si="51"/>
        <v>11620.725</v>
      </c>
      <c r="AP1054" s="8">
        <f t="shared" si="52"/>
        <v>12910.625475000001</v>
      </c>
      <c r="AQ1054" s="9">
        <f t="shared" si="50"/>
        <v>18824.412427499999</v>
      </c>
    </row>
    <row r="1055" spans="1:43" x14ac:dyDescent="0.25">
      <c r="A1055">
        <v>11</v>
      </c>
      <c r="B1055">
        <v>7</v>
      </c>
      <c r="C1055">
        <v>2024</v>
      </c>
      <c r="D1055" t="s">
        <v>43</v>
      </c>
      <c r="E1055" t="s">
        <v>1101</v>
      </c>
      <c r="F1055" t="s">
        <v>1102</v>
      </c>
      <c r="G1055">
        <v>7</v>
      </c>
      <c r="H1055">
        <v>1791882490001</v>
      </c>
      <c r="I1055" t="s">
        <v>46</v>
      </c>
      <c r="J1055" t="s">
        <v>133</v>
      </c>
      <c r="K1055" t="s">
        <v>48</v>
      </c>
      <c r="L1055" t="s">
        <v>119</v>
      </c>
      <c r="M1055" t="s">
        <v>120</v>
      </c>
      <c r="N1055" t="s">
        <v>121</v>
      </c>
      <c r="O1055">
        <v>8418699900</v>
      </c>
      <c r="P1055" t="s">
        <v>1112</v>
      </c>
      <c r="Q1055" t="s">
        <v>1113</v>
      </c>
      <c r="R1055" t="s">
        <v>54</v>
      </c>
      <c r="S1055" t="s">
        <v>55</v>
      </c>
      <c r="T1055">
        <v>14</v>
      </c>
      <c r="U1055">
        <v>1</v>
      </c>
      <c r="V1055" t="s">
        <v>135</v>
      </c>
      <c r="W1055">
        <v>0</v>
      </c>
      <c r="X1055">
        <v>2984.42</v>
      </c>
      <c r="Y1055">
        <v>598.47</v>
      </c>
      <c r="Z1055">
        <v>20.74</v>
      </c>
      <c r="AA1055">
        <v>3603.63</v>
      </c>
      <c r="AB1055" t="s">
        <v>124</v>
      </c>
      <c r="AC1055" t="s">
        <v>125</v>
      </c>
      <c r="AD1055" t="s">
        <v>48</v>
      </c>
      <c r="AE1055">
        <v>0</v>
      </c>
      <c r="AF1055">
        <v>177.14</v>
      </c>
      <c r="AG1055" t="s">
        <v>59</v>
      </c>
      <c r="AH1055">
        <v>52387</v>
      </c>
      <c r="AI1055" t="s">
        <v>1113</v>
      </c>
      <c r="AJ1055" t="s">
        <v>1113</v>
      </c>
      <c r="AK1055" t="s">
        <v>54</v>
      </c>
      <c r="AL1055">
        <v>2024</v>
      </c>
      <c r="AM1055" s="6" t="s">
        <v>1120</v>
      </c>
      <c r="AN1055" s="7">
        <v>2984.42</v>
      </c>
      <c r="AO1055" s="8">
        <f t="shared" si="51"/>
        <v>5595.7875000000004</v>
      </c>
      <c r="AP1055" s="8">
        <f t="shared" si="52"/>
        <v>6216.9199125000005</v>
      </c>
      <c r="AQ1055" s="9">
        <f t="shared" si="50"/>
        <v>9064.6161712499998</v>
      </c>
    </row>
    <row r="1056" spans="1:43" x14ac:dyDescent="0.25">
      <c r="A1056">
        <v>11</v>
      </c>
      <c r="B1056">
        <v>7</v>
      </c>
      <c r="C1056">
        <v>2024</v>
      </c>
      <c r="D1056" t="s">
        <v>43</v>
      </c>
      <c r="E1056" t="s">
        <v>1101</v>
      </c>
      <c r="F1056" t="s">
        <v>1102</v>
      </c>
      <c r="G1056">
        <v>8</v>
      </c>
      <c r="H1056">
        <v>1791882490001</v>
      </c>
      <c r="I1056" t="s">
        <v>46</v>
      </c>
      <c r="J1056" t="s">
        <v>133</v>
      </c>
      <c r="K1056" t="s">
        <v>48</v>
      </c>
      <c r="L1056" t="s">
        <v>119</v>
      </c>
      <c r="M1056" t="s">
        <v>120</v>
      </c>
      <c r="N1056" t="s">
        <v>121</v>
      </c>
      <c r="O1056">
        <v>8418699900</v>
      </c>
      <c r="P1056" t="s">
        <v>1112</v>
      </c>
      <c r="Q1056" t="s">
        <v>1113</v>
      </c>
      <c r="R1056" t="s">
        <v>54</v>
      </c>
      <c r="S1056" t="s">
        <v>55</v>
      </c>
      <c r="T1056">
        <v>14</v>
      </c>
      <c r="U1056">
        <v>1</v>
      </c>
      <c r="V1056" t="s">
        <v>135</v>
      </c>
      <c r="W1056">
        <v>0</v>
      </c>
      <c r="X1056">
        <v>2984.42</v>
      </c>
      <c r="Y1056">
        <v>598.47</v>
      </c>
      <c r="Z1056">
        <v>20.74</v>
      </c>
      <c r="AA1056">
        <v>3603.63</v>
      </c>
      <c r="AB1056" t="s">
        <v>124</v>
      </c>
      <c r="AC1056" t="s">
        <v>125</v>
      </c>
      <c r="AD1056" t="s">
        <v>48</v>
      </c>
      <c r="AE1056">
        <v>0</v>
      </c>
      <c r="AF1056">
        <v>177.14</v>
      </c>
      <c r="AG1056" t="s">
        <v>59</v>
      </c>
      <c r="AH1056">
        <v>52387</v>
      </c>
      <c r="AI1056" t="s">
        <v>1113</v>
      </c>
      <c r="AJ1056" t="s">
        <v>1113</v>
      </c>
      <c r="AK1056" t="s">
        <v>54</v>
      </c>
      <c r="AL1056">
        <v>2024</v>
      </c>
      <c r="AM1056" s="6" t="s">
        <v>1120</v>
      </c>
      <c r="AN1056" s="7">
        <v>2984.42</v>
      </c>
      <c r="AO1056" s="8">
        <f t="shared" si="51"/>
        <v>5595.7875000000004</v>
      </c>
      <c r="AP1056" s="8">
        <f t="shared" si="52"/>
        <v>6216.9199125000005</v>
      </c>
      <c r="AQ1056" s="9">
        <f t="shared" si="50"/>
        <v>9064.6161712499998</v>
      </c>
    </row>
    <row r="1057" spans="1:43" x14ac:dyDescent="0.25">
      <c r="A1057">
        <v>11</v>
      </c>
      <c r="B1057">
        <v>7</v>
      </c>
      <c r="C1057">
        <v>2024</v>
      </c>
      <c r="D1057" t="s">
        <v>43</v>
      </c>
      <c r="E1057" t="s">
        <v>1101</v>
      </c>
      <c r="F1057" t="s">
        <v>1102</v>
      </c>
      <c r="G1057">
        <v>9</v>
      </c>
      <c r="H1057">
        <v>1791882490001</v>
      </c>
      <c r="I1057" t="s">
        <v>46</v>
      </c>
      <c r="J1057" t="s">
        <v>133</v>
      </c>
      <c r="K1057" t="s">
        <v>48</v>
      </c>
      <c r="L1057" t="s">
        <v>119</v>
      </c>
      <c r="M1057" t="s">
        <v>120</v>
      </c>
      <c r="N1057" t="s">
        <v>121</v>
      </c>
      <c r="O1057">
        <v>8418699900</v>
      </c>
      <c r="P1057" t="s">
        <v>1112</v>
      </c>
      <c r="Q1057" t="s">
        <v>1113</v>
      </c>
      <c r="R1057" t="s">
        <v>54</v>
      </c>
      <c r="S1057" t="s">
        <v>55</v>
      </c>
      <c r="T1057">
        <v>14</v>
      </c>
      <c r="U1057">
        <v>1</v>
      </c>
      <c r="V1057" t="s">
        <v>135</v>
      </c>
      <c r="W1057">
        <v>0</v>
      </c>
      <c r="X1057">
        <v>2984.42</v>
      </c>
      <c r="Y1057">
        <v>598.47</v>
      </c>
      <c r="Z1057">
        <v>20.74</v>
      </c>
      <c r="AA1057">
        <v>3603.63</v>
      </c>
      <c r="AB1057" t="s">
        <v>124</v>
      </c>
      <c r="AC1057" t="s">
        <v>125</v>
      </c>
      <c r="AD1057" t="s">
        <v>48</v>
      </c>
      <c r="AE1057">
        <v>0</v>
      </c>
      <c r="AF1057">
        <v>177.14</v>
      </c>
      <c r="AG1057" t="s">
        <v>59</v>
      </c>
      <c r="AH1057">
        <v>52387</v>
      </c>
      <c r="AI1057" t="s">
        <v>1113</v>
      </c>
      <c r="AJ1057" t="s">
        <v>1113</v>
      </c>
      <c r="AK1057" t="s">
        <v>54</v>
      </c>
      <c r="AL1057">
        <v>2024</v>
      </c>
      <c r="AM1057" s="6" t="s">
        <v>1120</v>
      </c>
      <c r="AN1057" s="7">
        <v>2984.42</v>
      </c>
      <c r="AO1057" s="8">
        <f t="shared" si="51"/>
        <v>5595.7875000000004</v>
      </c>
      <c r="AP1057" s="8">
        <f t="shared" si="52"/>
        <v>6216.9199125000005</v>
      </c>
      <c r="AQ1057" s="9">
        <f t="shared" si="50"/>
        <v>9064.6161712499998</v>
      </c>
    </row>
    <row r="1058" spans="1:43" x14ac:dyDescent="0.25">
      <c r="A1058">
        <v>26</v>
      </c>
      <c r="B1058">
        <v>9</v>
      </c>
      <c r="C1058">
        <v>2024</v>
      </c>
      <c r="D1058" t="s">
        <v>43</v>
      </c>
      <c r="E1058" t="s">
        <v>1110</v>
      </c>
      <c r="F1058" t="s">
        <v>1111</v>
      </c>
      <c r="G1058">
        <v>2</v>
      </c>
      <c r="H1058">
        <v>1791882490001</v>
      </c>
      <c r="I1058" t="s">
        <v>46</v>
      </c>
      <c r="J1058" t="s">
        <v>133</v>
      </c>
      <c r="K1058" t="s">
        <v>48</v>
      </c>
      <c r="L1058" t="s">
        <v>119</v>
      </c>
      <c r="M1058" t="s">
        <v>120</v>
      </c>
      <c r="N1058" t="s">
        <v>121</v>
      </c>
      <c r="O1058">
        <v>8418699900</v>
      </c>
      <c r="P1058" t="s">
        <v>1112</v>
      </c>
      <c r="Q1058" t="s">
        <v>1113</v>
      </c>
      <c r="R1058" t="s">
        <v>54</v>
      </c>
      <c r="S1058" t="s">
        <v>55</v>
      </c>
      <c r="T1058">
        <v>5</v>
      </c>
      <c r="U1058">
        <v>1</v>
      </c>
      <c r="V1058" t="s">
        <v>135</v>
      </c>
      <c r="W1058">
        <v>0</v>
      </c>
      <c r="X1058">
        <v>3092.79</v>
      </c>
      <c r="Y1058">
        <v>67.42</v>
      </c>
      <c r="Z1058">
        <v>20.079999999999998</v>
      </c>
      <c r="AA1058">
        <v>3180.3</v>
      </c>
      <c r="AB1058" t="s">
        <v>124</v>
      </c>
      <c r="AC1058" t="s">
        <v>125</v>
      </c>
      <c r="AD1058" t="s">
        <v>48</v>
      </c>
      <c r="AE1058">
        <v>0</v>
      </c>
      <c r="AF1058">
        <v>81</v>
      </c>
      <c r="AG1058" t="s">
        <v>59</v>
      </c>
      <c r="AH1058">
        <v>34467</v>
      </c>
      <c r="AI1058" t="s">
        <v>1113</v>
      </c>
      <c r="AJ1058" t="s">
        <v>1113</v>
      </c>
      <c r="AK1058" t="s">
        <v>54</v>
      </c>
      <c r="AL1058">
        <v>2024</v>
      </c>
      <c r="AM1058" s="6" t="s">
        <v>1120</v>
      </c>
      <c r="AN1058" s="7">
        <v>3092.79</v>
      </c>
      <c r="AO1058" s="8">
        <f t="shared" si="51"/>
        <v>5798.9812499999998</v>
      </c>
      <c r="AP1058" s="8">
        <f t="shared" si="52"/>
        <v>6442.6681687499995</v>
      </c>
      <c r="AQ1058" s="9">
        <f t="shared" si="50"/>
        <v>9393.7697268749998</v>
      </c>
    </row>
    <row r="1059" spans="1:43" x14ac:dyDescent="0.25">
      <c r="A1059">
        <v>1</v>
      </c>
      <c r="B1059">
        <v>10</v>
      </c>
      <c r="C1059">
        <v>2024</v>
      </c>
      <c r="D1059" t="s">
        <v>43</v>
      </c>
      <c r="E1059" t="s">
        <v>1115</v>
      </c>
      <c r="F1059" t="s">
        <v>1116</v>
      </c>
      <c r="G1059">
        <v>3</v>
      </c>
      <c r="H1059">
        <v>1791882490001</v>
      </c>
      <c r="I1059" t="s">
        <v>46</v>
      </c>
      <c r="J1059" t="s">
        <v>133</v>
      </c>
      <c r="K1059" t="s">
        <v>48</v>
      </c>
      <c r="L1059" t="s">
        <v>119</v>
      </c>
      <c r="M1059" t="s">
        <v>120</v>
      </c>
      <c r="N1059" t="s">
        <v>121</v>
      </c>
      <c r="O1059">
        <v>8418699900</v>
      </c>
      <c r="P1059" t="s">
        <v>1117</v>
      </c>
      <c r="Q1059" t="s">
        <v>1113</v>
      </c>
      <c r="R1059" t="s">
        <v>54</v>
      </c>
      <c r="S1059" t="s">
        <v>55</v>
      </c>
      <c r="T1059">
        <v>4</v>
      </c>
      <c r="U1059">
        <v>1</v>
      </c>
      <c r="V1059" t="s">
        <v>135</v>
      </c>
      <c r="W1059">
        <v>0</v>
      </c>
      <c r="X1059">
        <v>3107.92</v>
      </c>
      <c r="Y1059">
        <v>214.87</v>
      </c>
      <c r="Z1059">
        <v>20.72</v>
      </c>
      <c r="AA1059">
        <v>3343.5</v>
      </c>
      <c r="AB1059" t="s">
        <v>124</v>
      </c>
      <c r="AC1059" t="s">
        <v>541</v>
      </c>
      <c r="AD1059" t="s">
        <v>48</v>
      </c>
      <c r="AE1059">
        <v>0</v>
      </c>
      <c r="AF1059">
        <v>110.99</v>
      </c>
      <c r="AG1059" t="s">
        <v>59</v>
      </c>
      <c r="AH1059">
        <v>55798</v>
      </c>
      <c r="AI1059" t="s">
        <v>1113</v>
      </c>
      <c r="AJ1059" t="s">
        <v>1113</v>
      </c>
      <c r="AK1059" t="s">
        <v>54</v>
      </c>
      <c r="AL1059">
        <v>2024</v>
      </c>
      <c r="AM1059" s="6" t="s">
        <v>1120</v>
      </c>
      <c r="AN1059" s="7">
        <v>3107.92</v>
      </c>
      <c r="AO1059" s="8">
        <f t="shared" si="51"/>
        <v>5827.35</v>
      </c>
      <c r="AP1059" s="8">
        <f t="shared" si="52"/>
        <v>6474.1858500000008</v>
      </c>
      <c r="AQ1059" s="9">
        <f t="shared" si="50"/>
        <v>9439.7242650000007</v>
      </c>
    </row>
    <row r="1060" spans="1:43" x14ac:dyDescent="0.25">
      <c r="A1060">
        <v>11</v>
      </c>
      <c r="B1060">
        <v>7</v>
      </c>
      <c r="C1060">
        <v>2024</v>
      </c>
      <c r="D1060" t="s">
        <v>43</v>
      </c>
      <c r="E1060" t="s">
        <v>1101</v>
      </c>
      <c r="F1060" t="s">
        <v>1102</v>
      </c>
      <c r="G1060">
        <v>10</v>
      </c>
      <c r="H1060">
        <v>1791882490001</v>
      </c>
      <c r="I1060" t="s">
        <v>46</v>
      </c>
      <c r="J1060" t="s">
        <v>133</v>
      </c>
      <c r="K1060" t="s">
        <v>48</v>
      </c>
      <c r="L1060" t="s">
        <v>119</v>
      </c>
      <c r="M1060" t="s">
        <v>120</v>
      </c>
      <c r="N1060" t="s">
        <v>121</v>
      </c>
      <c r="O1060">
        <v>8418699900</v>
      </c>
      <c r="P1060" t="s">
        <v>1112</v>
      </c>
      <c r="Q1060" t="s">
        <v>1113</v>
      </c>
      <c r="R1060" t="s">
        <v>54</v>
      </c>
      <c r="S1060" t="s">
        <v>55</v>
      </c>
      <c r="T1060">
        <v>14</v>
      </c>
      <c r="U1060">
        <v>1</v>
      </c>
      <c r="V1060" t="s">
        <v>135</v>
      </c>
      <c r="W1060">
        <v>0</v>
      </c>
      <c r="X1060">
        <v>3430.45</v>
      </c>
      <c r="Y1060">
        <v>687.92</v>
      </c>
      <c r="Z1060">
        <v>23.84</v>
      </c>
      <c r="AA1060">
        <v>4142.21</v>
      </c>
      <c r="AB1060" t="s">
        <v>124</v>
      </c>
      <c r="AC1060" t="s">
        <v>125</v>
      </c>
      <c r="AD1060" t="s">
        <v>48</v>
      </c>
      <c r="AE1060">
        <v>0</v>
      </c>
      <c r="AF1060">
        <v>203.61</v>
      </c>
      <c r="AG1060" t="s">
        <v>59</v>
      </c>
      <c r="AH1060">
        <v>52387</v>
      </c>
      <c r="AI1060" t="s">
        <v>1113</v>
      </c>
      <c r="AJ1060" t="s">
        <v>1113</v>
      </c>
      <c r="AK1060" t="s">
        <v>54</v>
      </c>
      <c r="AL1060">
        <v>2024</v>
      </c>
      <c r="AM1060" s="6" t="s">
        <v>1121</v>
      </c>
      <c r="AN1060" s="7">
        <v>3430.45</v>
      </c>
      <c r="AO1060" s="8">
        <f t="shared" si="51"/>
        <v>6432.09375</v>
      </c>
      <c r="AP1060" s="8">
        <f t="shared" si="52"/>
        <v>7146.0561562499997</v>
      </c>
      <c r="AQ1060" s="9">
        <f t="shared" si="50"/>
        <v>10419.348665624999</v>
      </c>
    </row>
    <row r="1061" spans="1:43" x14ac:dyDescent="0.25">
      <c r="A1061">
        <v>11</v>
      </c>
      <c r="B1061">
        <v>7</v>
      </c>
      <c r="C1061">
        <v>2024</v>
      </c>
      <c r="D1061" t="s">
        <v>43</v>
      </c>
      <c r="E1061" t="s">
        <v>1101</v>
      </c>
      <c r="F1061" t="s">
        <v>1102</v>
      </c>
      <c r="G1061">
        <v>11</v>
      </c>
      <c r="H1061">
        <v>1791882490001</v>
      </c>
      <c r="I1061" t="s">
        <v>46</v>
      </c>
      <c r="J1061" t="s">
        <v>133</v>
      </c>
      <c r="K1061" t="s">
        <v>48</v>
      </c>
      <c r="L1061" t="s">
        <v>119</v>
      </c>
      <c r="M1061" t="s">
        <v>120</v>
      </c>
      <c r="N1061" t="s">
        <v>121</v>
      </c>
      <c r="O1061">
        <v>8418699900</v>
      </c>
      <c r="P1061" t="s">
        <v>1112</v>
      </c>
      <c r="Q1061" t="s">
        <v>1113</v>
      </c>
      <c r="R1061" t="s">
        <v>54</v>
      </c>
      <c r="S1061" t="s">
        <v>55</v>
      </c>
      <c r="T1061">
        <v>14</v>
      </c>
      <c r="U1061">
        <v>1</v>
      </c>
      <c r="V1061" t="s">
        <v>135</v>
      </c>
      <c r="W1061">
        <v>0</v>
      </c>
      <c r="X1061">
        <v>601.16999999999996</v>
      </c>
      <c r="Y1061">
        <v>120.55</v>
      </c>
      <c r="Z1061">
        <v>4.18</v>
      </c>
      <c r="AA1061">
        <v>725.9</v>
      </c>
      <c r="AB1061" t="s">
        <v>124</v>
      </c>
      <c r="AC1061" t="s">
        <v>125</v>
      </c>
      <c r="AD1061" t="s">
        <v>48</v>
      </c>
      <c r="AE1061">
        <v>0</v>
      </c>
      <c r="AF1061">
        <v>35.68</v>
      </c>
      <c r="AG1061" t="s">
        <v>59</v>
      </c>
      <c r="AH1061">
        <v>52387</v>
      </c>
      <c r="AI1061" t="s">
        <v>1113</v>
      </c>
      <c r="AJ1061" t="s">
        <v>1113</v>
      </c>
      <c r="AK1061" t="s">
        <v>54</v>
      </c>
      <c r="AL1061">
        <v>2024</v>
      </c>
      <c r="AM1061" s="6" t="s">
        <v>1122</v>
      </c>
      <c r="AN1061" s="7">
        <v>601.16999999999996</v>
      </c>
      <c r="AO1061" s="8">
        <f t="shared" si="51"/>
        <v>1127.1937499999999</v>
      </c>
      <c r="AP1061" s="8">
        <f t="shared" si="52"/>
        <v>1252.3122562499998</v>
      </c>
      <c r="AQ1061" s="9">
        <f t="shared" si="50"/>
        <v>1825.9411556249997</v>
      </c>
    </row>
    <row r="1062" spans="1:43" x14ac:dyDescent="0.25">
      <c r="A1062">
        <v>24</v>
      </c>
      <c r="B1062">
        <v>9</v>
      </c>
      <c r="C1062">
        <v>2024</v>
      </c>
      <c r="D1062" t="s">
        <v>43</v>
      </c>
      <c r="E1062" t="s">
        <v>1105</v>
      </c>
      <c r="F1062" t="s">
        <v>1106</v>
      </c>
      <c r="G1062">
        <v>2</v>
      </c>
      <c r="H1062">
        <v>1791882490001</v>
      </c>
      <c r="I1062" t="s">
        <v>46</v>
      </c>
      <c r="J1062" t="s">
        <v>133</v>
      </c>
      <c r="K1062" t="s">
        <v>48</v>
      </c>
      <c r="L1062" t="s">
        <v>119</v>
      </c>
      <c r="M1062" t="s">
        <v>120</v>
      </c>
      <c r="N1062" t="s">
        <v>121</v>
      </c>
      <c r="O1062">
        <v>8418699900</v>
      </c>
      <c r="P1062" t="s">
        <v>1112</v>
      </c>
      <c r="Q1062" t="s">
        <v>1113</v>
      </c>
      <c r="R1062" t="s">
        <v>54</v>
      </c>
      <c r="S1062" t="s">
        <v>55</v>
      </c>
      <c r="T1062">
        <v>8</v>
      </c>
      <c r="U1062">
        <v>1</v>
      </c>
      <c r="V1062" t="s">
        <v>135</v>
      </c>
      <c r="W1062">
        <v>0</v>
      </c>
      <c r="X1062">
        <v>946.23</v>
      </c>
      <c r="Y1062">
        <v>49.01</v>
      </c>
      <c r="Z1062">
        <v>6.14</v>
      </c>
      <c r="AA1062">
        <v>1001.39</v>
      </c>
      <c r="AB1062" t="s">
        <v>124</v>
      </c>
      <c r="AC1062" t="s">
        <v>125</v>
      </c>
      <c r="AD1062" t="s">
        <v>48</v>
      </c>
      <c r="AE1062">
        <v>0</v>
      </c>
      <c r="AF1062">
        <v>374.63</v>
      </c>
      <c r="AG1062" t="s">
        <v>59</v>
      </c>
      <c r="AH1062">
        <v>34533</v>
      </c>
      <c r="AI1062" t="s">
        <v>1113</v>
      </c>
      <c r="AJ1062" t="s">
        <v>1113</v>
      </c>
      <c r="AK1062" t="s">
        <v>54</v>
      </c>
      <c r="AL1062">
        <v>2024</v>
      </c>
      <c r="AM1062" s="6" t="s">
        <v>1123</v>
      </c>
      <c r="AN1062" s="7">
        <v>946.23</v>
      </c>
      <c r="AO1062" s="8">
        <f t="shared" si="51"/>
        <v>1774.1812500000001</v>
      </c>
      <c r="AP1062" s="8">
        <f t="shared" si="52"/>
        <v>1971.11536875</v>
      </c>
      <c r="AQ1062" s="9">
        <f t="shared" si="50"/>
        <v>2873.9962068750001</v>
      </c>
    </row>
    <row r="1063" spans="1:43" x14ac:dyDescent="0.25">
      <c r="A1063">
        <v>26</v>
      </c>
      <c r="B1063">
        <v>9</v>
      </c>
      <c r="C1063">
        <v>2024</v>
      </c>
      <c r="D1063" t="s">
        <v>43</v>
      </c>
      <c r="E1063" t="s">
        <v>1110</v>
      </c>
      <c r="F1063" t="s">
        <v>1111</v>
      </c>
      <c r="G1063">
        <v>3</v>
      </c>
      <c r="H1063">
        <v>1791882490001</v>
      </c>
      <c r="I1063" t="s">
        <v>46</v>
      </c>
      <c r="J1063" t="s">
        <v>133</v>
      </c>
      <c r="K1063" t="s">
        <v>48</v>
      </c>
      <c r="L1063" t="s">
        <v>119</v>
      </c>
      <c r="M1063" t="s">
        <v>120</v>
      </c>
      <c r="N1063" t="s">
        <v>121</v>
      </c>
      <c r="O1063">
        <v>8418699900</v>
      </c>
      <c r="P1063" t="s">
        <v>1112</v>
      </c>
      <c r="Q1063" t="s">
        <v>1113</v>
      </c>
      <c r="R1063" t="s">
        <v>54</v>
      </c>
      <c r="S1063" t="s">
        <v>55</v>
      </c>
      <c r="T1063">
        <v>5</v>
      </c>
      <c r="U1063">
        <v>1</v>
      </c>
      <c r="V1063" t="s">
        <v>135</v>
      </c>
      <c r="W1063">
        <v>0</v>
      </c>
      <c r="X1063">
        <v>1032.3399999999999</v>
      </c>
      <c r="Y1063">
        <v>22.5</v>
      </c>
      <c r="Z1063">
        <v>6.7</v>
      </c>
      <c r="AA1063">
        <v>1061.55</v>
      </c>
      <c r="AB1063" t="s">
        <v>124</v>
      </c>
      <c r="AC1063" t="s">
        <v>125</v>
      </c>
      <c r="AD1063" t="s">
        <v>48</v>
      </c>
      <c r="AE1063">
        <v>0</v>
      </c>
      <c r="AF1063">
        <v>43</v>
      </c>
      <c r="AG1063" t="s">
        <v>59</v>
      </c>
      <c r="AH1063">
        <v>34467</v>
      </c>
      <c r="AI1063" t="s">
        <v>1113</v>
      </c>
      <c r="AJ1063" t="s">
        <v>1113</v>
      </c>
      <c r="AK1063" t="s">
        <v>54</v>
      </c>
      <c r="AL1063">
        <v>2024</v>
      </c>
      <c r="AM1063" s="6" t="s">
        <v>1124</v>
      </c>
      <c r="AN1063" s="7">
        <v>1032.3399999999999</v>
      </c>
      <c r="AO1063" s="8">
        <f t="shared" si="51"/>
        <v>1935.6374999999998</v>
      </c>
      <c r="AP1063" s="8">
        <f t="shared" si="52"/>
        <v>2150.4932624999997</v>
      </c>
      <c r="AQ1063" s="9">
        <f t="shared" si="50"/>
        <v>3135.5391862499996</v>
      </c>
    </row>
    <row r="1064" spans="1:43" x14ac:dyDescent="0.25">
      <c r="A1064">
        <v>24</v>
      </c>
      <c r="B1064">
        <v>9</v>
      </c>
      <c r="C1064">
        <v>2024</v>
      </c>
      <c r="D1064" t="s">
        <v>43</v>
      </c>
      <c r="E1064" t="s">
        <v>1105</v>
      </c>
      <c r="F1064" t="s">
        <v>1106</v>
      </c>
      <c r="G1064">
        <v>3</v>
      </c>
      <c r="H1064">
        <v>1791882490001</v>
      </c>
      <c r="I1064" t="s">
        <v>46</v>
      </c>
      <c r="J1064" t="s">
        <v>48</v>
      </c>
      <c r="K1064" t="s">
        <v>48</v>
      </c>
      <c r="L1064" t="s">
        <v>119</v>
      </c>
      <c r="M1064" t="s">
        <v>120</v>
      </c>
      <c r="N1064" t="s">
        <v>121</v>
      </c>
      <c r="O1064">
        <v>8419399000</v>
      </c>
      <c r="P1064" t="s">
        <v>66</v>
      </c>
      <c r="Q1064" t="s">
        <v>1113</v>
      </c>
      <c r="R1064" t="s">
        <v>54</v>
      </c>
      <c r="S1064" t="s">
        <v>55</v>
      </c>
      <c r="T1064">
        <v>8</v>
      </c>
      <c r="U1064">
        <v>1</v>
      </c>
      <c r="V1064" t="s">
        <v>135</v>
      </c>
      <c r="W1064">
        <v>0</v>
      </c>
      <c r="X1064">
        <v>9215.5</v>
      </c>
      <c r="Y1064">
        <v>477.31</v>
      </c>
      <c r="Z1064">
        <v>59.85</v>
      </c>
      <c r="AA1064">
        <v>9752.66</v>
      </c>
      <c r="AB1064" t="s">
        <v>124</v>
      </c>
      <c r="AC1064" t="s">
        <v>125</v>
      </c>
      <c r="AD1064" t="s">
        <v>48</v>
      </c>
      <c r="AE1064">
        <v>0</v>
      </c>
      <c r="AF1064">
        <v>374.63</v>
      </c>
      <c r="AG1064" t="s">
        <v>59</v>
      </c>
      <c r="AH1064">
        <v>34533</v>
      </c>
      <c r="AI1064" t="s">
        <v>1113</v>
      </c>
      <c r="AJ1064" t="s">
        <v>1113</v>
      </c>
      <c r="AK1064" t="s">
        <v>54</v>
      </c>
      <c r="AL1064">
        <v>2024</v>
      </c>
      <c r="AM1064" s="6" t="s">
        <v>1125</v>
      </c>
      <c r="AN1064" s="7">
        <v>9215.5</v>
      </c>
      <c r="AO1064" s="8">
        <f t="shared" si="51"/>
        <v>17279.0625</v>
      </c>
      <c r="AP1064" s="8">
        <f t="shared" si="52"/>
        <v>19197.038437499999</v>
      </c>
      <c r="AQ1064" s="9">
        <f t="shared" si="50"/>
        <v>27990.353343749997</v>
      </c>
    </row>
    <row r="1065" spans="1:43" x14ac:dyDescent="0.25">
      <c r="A1065">
        <v>3</v>
      </c>
      <c r="B1065">
        <v>4</v>
      </c>
      <c r="C1065">
        <v>2024</v>
      </c>
      <c r="D1065" t="s">
        <v>43</v>
      </c>
      <c r="E1065" t="s">
        <v>73</v>
      </c>
      <c r="F1065" t="s">
        <v>74</v>
      </c>
      <c r="G1065">
        <v>63</v>
      </c>
      <c r="H1065">
        <v>1791882490001</v>
      </c>
      <c r="I1065" t="s">
        <v>46</v>
      </c>
      <c r="J1065" t="s">
        <v>48</v>
      </c>
      <c r="K1065" t="s">
        <v>48</v>
      </c>
      <c r="L1065" t="s">
        <v>49</v>
      </c>
      <c r="M1065" t="s">
        <v>50</v>
      </c>
      <c r="N1065" t="s">
        <v>51</v>
      </c>
      <c r="O1065">
        <v>8421392000</v>
      </c>
      <c r="P1065" t="s">
        <v>253</v>
      </c>
      <c r="Q1065" t="s">
        <v>254</v>
      </c>
      <c r="R1065" t="s">
        <v>54</v>
      </c>
      <c r="S1065" t="s">
        <v>55</v>
      </c>
      <c r="T1065">
        <v>6</v>
      </c>
      <c r="U1065">
        <v>1</v>
      </c>
      <c r="V1065" t="s">
        <v>135</v>
      </c>
      <c r="W1065">
        <v>0</v>
      </c>
      <c r="X1065">
        <v>285.95999999999998</v>
      </c>
      <c r="Y1065">
        <v>33.4</v>
      </c>
      <c r="Z1065">
        <v>1.87</v>
      </c>
      <c r="AA1065">
        <v>321.23</v>
      </c>
      <c r="AB1065" t="s">
        <v>57</v>
      </c>
      <c r="AC1065" t="s">
        <v>58</v>
      </c>
      <c r="AD1065" t="s">
        <v>48</v>
      </c>
      <c r="AE1065">
        <v>0</v>
      </c>
      <c r="AF1065">
        <v>1.33</v>
      </c>
      <c r="AG1065" t="s">
        <v>59</v>
      </c>
      <c r="AH1065">
        <v>438183</v>
      </c>
      <c r="AI1065" t="s">
        <v>60</v>
      </c>
      <c r="AJ1065" t="s">
        <v>60</v>
      </c>
      <c r="AK1065" t="s">
        <v>54</v>
      </c>
      <c r="AL1065">
        <v>2024</v>
      </c>
      <c r="AM1065" s="6" t="s">
        <v>1126</v>
      </c>
      <c r="AN1065" s="7">
        <v>285.95999999999998</v>
      </c>
      <c r="AO1065" s="8">
        <f t="shared" si="51"/>
        <v>536.17499999999995</v>
      </c>
      <c r="AP1065" s="8">
        <f t="shared" si="52"/>
        <v>595.69042499999989</v>
      </c>
      <c r="AQ1065" s="9">
        <f t="shared" si="50"/>
        <v>868.54988249999985</v>
      </c>
    </row>
    <row r="1066" spans="1:43" x14ac:dyDescent="0.25">
      <c r="A1066">
        <v>3</v>
      </c>
      <c r="B1066">
        <v>4</v>
      </c>
      <c r="C1066">
        <v>2024</v>
      </c>
      <c r="D1066" t="s">
        <v>43</v>
      </c>
      <c r="E1066" t="s">
        <v>73</v>
      </c>
      <c r="F1066" t="s">
        <v>74</v>
      </c>
      <c r="G1066">
        <v>64</v>
      </c>
      <c r="H1066">
        <v>1791882490001</v>
      </c>
      <c r="I1066" t="s">
        <v>46</v>
      </c>
      <c r="J1066" t="s">
        <v>65</v>
      </c>
      <c r="K1066" t="s">
        <v>48</v>
      </c>
      <c r="L1066" t="s">
        <v>49</v>
      </c>
      <c r="M1066" t="s">
        <v>50</v>
      </c>
      <c r="N1066" t="s">
        <v>51</v>
      </c>
      <c r="O1066">
        <v>8421392000</v>
      </c>
      <c r="P1066" t="s">
        <v>253</v>
      </c>
      <c r="Q1066" t="s">
        <v>254</v>
      </c>
      <c r="R1066" t="s">
        <v>54</v>
      </c>
      <c r="S1066" t="s">
        <v>55</v>
      </c>
      <c r="T1066">
        <v>6</v>
      </c>
      <c r="U1066">
        <v>1</v>
      </c>
      <c r="V1066" t="s">
        <v>135</v>
      </c>
      <c r="W1066">
        <v>0</v>
      </c>
      <c r="X1066">
        <v>285.95999999999998</v>
      </c>
      <c r="Y1066">
        <v>33.4</v>
      </c>
      <c r="Z1066">
        <v>1.87</v>
      </c>
      <c r="AA1066">
        <v>321.23</v>
      </c>
      <c r="AB1066" t="s">
        <v>57</v>
      </c>
      <c r="AC1066" t="s">
        <v>58</v>
      </c>
      <c r="AD1066" t="s">
        <v>48</v>
      </c>
      <c r="AE1066">
        <v>0</v>
      </c>
      <c r="AF1066">
        <v>1.33</v>
      </c>
      <c r="AG1066" t="s">
        <v>59</v>
      </c>
      <c r="AH1066">
        <v>438183</v>
      </c>
      <c r="AI1066" t="s">
        <v>60</v>
      </c>
      <c r="AJ1066" t="s">
        <v>60</v>
      </c>
      <c r="AK1066" t="s">
        <v>54</v>
      </c>
      <c r="AL1066">
        <v>2024</v>
      </c>
      <c r="AM1066" s="6" t="s">
        <v>1126</v>
      </c>
      <c r="AN1066" s="7">
        <v>285.95999999999998</v>
      </c>
      <c r="AO1066" s="8">
        <f t="shared" si="51"/>
        <v>536.17499999999995</v>
      </c>
      <c r="AP1066" s="8">
        <f t="shared" si="52"/>
        <v>595.69042499999989</v>
      </c>
      <c r="AQ1066" s="9">
        <f t="shared" si="50"/>
        <v>868.54988249999985</v>
      </c>
    </row>
    <row r="1067" spans="1:43" x14ac:dyDescent="0.25">
      <c r="A1067">
        <v>17</v>
      </c>
      <c r="B1067">
        <v>5</v>
      </c>
      <c r="C1067">
        <v>2024</v>
      </c>
      <c r="D1067" t="s">
        <v>43</v>
      </c>
      <c r="E1067" t="s">
        <v>79</v>
      </c>
      <c r="F1067" t="s">
        <v>80</v>
      </c>
      <c r="G1067">
        <v>62</v>
      </c>
      <c r="H1067">
        <v>1791882490001</v>
      </c>
      <c r="I1067" t="s">
        <v>46</v>
      </c>
      <c r="J1067" t="s">
        <v>48</v>
      </c>
      <c r="K1067" t="s">
        <v>48</v>
      </c>
      <c r="L1067" t="s">
        <v>49</v>
      </c>
      <c r="M1067" t="s">
        <v>50</v>
      </c>
      <c r="N1067" t="s">
        <v>51</v>
      </c>
      <c r="O1067">
        <v>8421392000</v>
      </c>
      <c r="P1067" t="s">
        <v>253</v>
      </c>
      <c r="Q1067" t="s">
        <v>1127</v>
      </c>
      <c r="R1067" t="s">
        <v>54</v>
      </c>
      <c r="S1067" t="s">
        <v>55</v>
      </c>
      <c r="T1067">
        <v>6</v>
      </c>
      <c r="U1067">
        <v>1</v>
      </c>
      <c r="V1067" t="s">
        <v>135</v>
      </c>
      <c r="W1067">
        <v>0</v>
      </c>
      <c r="X1067">
        <v>1114.3699999999999</v>
      </c>
      <c r="Y1067">
        <v>107.58</v>
      </c>
      <c r="Z1067">
        <v>7.42</v>
      </c>
      <c r="AA1067">
        <v>1229.3699999999999</v>
      </c>
      <c r="AB1067" t="s">
        <v>57</v>
      </c>
      <c r="AC1067" t="s">
        <v>81</v>
      </c>
      <c r="AD1067" t="s">
        <v>48</v>
      </c>
      <c r="AE1067">
        <v>0</v>
      </c>
      <c r="AF1067">
        <v>1.08</v>
      </c>
      <c r="AG1067" t="s">
        <v>82</v>
      </c>
      <c r="AH1067">
        <v>471463</v>
      </c>
      <c r="AI1067" t="s">
        <v>60</v>
      </c>
      <c r="AJ1067" t="s">
        <v>60</v>
      </c>
      <c r="AK1067" t="s">
        <v>54</v>
      </c>
      <c r="AL1067">
        <v>2024</v>
      </c>
      <c r="AM1067" s="6" t="s">
        <v>1128</v>
      </c>
      <c r="AN1067" s="7">
        <v>1114.3699999999999</v>
      </c>
      <c r="AO1067" s="8">
        <f t="shared" si="51"/>
        <v>2089.4437499999999</v>
      </c>
      <c r="AP1067" s="8">
        <f t="shared" si="52"/>
        <v>2321.3720062499997</v>
      </c>
      <c r="AQ1067" s="9">
        <f t="shared" si="50"/>
        <v>3384.6899306249998</v>
      </c>
    </row>
    <row r="1068" spans="1:43" x14ac:dyDescent="0.25">
      <c r="A1068">
        <v>11</v>
      </c>
      <c r="B1068">
        <v>7</v>
      </c>
      <c r="C1068">
        <v>2024</v>
      </c>
      <c r="D1068" t="s">
        <v>43</v>
      </c>
      <c r="E1068" t="s">
        <v>116</v>
      </c>
      <c r="F1068" t="s">
        <v>117</v>
      </c>
      <c r="G1068">
        <v>41</v>
      </c>
      <c r="H1068">
        <v>1791882490001</v>
      </c>
      <c r="I1068" t="s">
        <v>46</v>
      </c>
      <c r="J1068" t="s">
        <v>48</v>
      </c>
      <c r="K1068" t="s">
        <v>48</v>
      </c>
      <c r="L1068" t="s">
        <v>119</v>
      </c>
      <c r="M1068" t="s">
        <v>120</v>
      </c>
      <c r="N1068" t="s">
        <v>121</v>
      </c>
      <c r="O1068">
        <v>8421392000</v>
      </c>
      <c r="P1068" t="s">
        <v>253</v>
      </c>
      <c r="Q1068" t="s">
        <v>254</v>
      </c>
      <c r="R1068" t="s">
        <v>54</v>
      </c>
      <c r="S1068" t="s">
        <v>55</v>
      </c>
      <c r="T1068">
        <v>9</v>
      </c>
      <c r="U1068">
        <v>1</v>
      </c>
      <c r="V1068" t="s">
        <v>135</v>
      </c>
      <c r="W1068">
        <v>0</v>
      </c>
      <c r="X1068">
        <v>936.39</v>
      </c>
      <c r="Y1068">
        <v>84.32</v>
      </c>
      <c r="Z1068">
        <v>6.29</v>
      </c>
      <c r="AA1068">
        <v>1027</v>
      </c>
      <c r="AB1068" t="s">
        <v>124</v>
      </c>
      <c r="AC1068" t="s">
        <v>125</v>
      </c>
      <c r="AD1068" t="s">
        <v>48</v>
      </c>
      <c r="AE1068">
        <v>0</v>
      </c>
      <c r="AF1068">
        <v>2.02</v>
      </c>
      <c r="AG1068" t="s">
        <v>59</v>
      </c>
      <c r="AH1068">
        <v>486256</v>
      </c>
      <c r="AI1068" t="s">
        <v>60</v>
      </c>
      <c r="AJ1068" t="s">
        <v>78</v>
      </c>
      <c r="AK1068" t="s">
        <v>54</v>
      </c>
      <c r="AL1068">
        <v>2024</v>
      </c>
      <c r="AM1068" s="6" t="s">
        <v>1128</v>
      </c>
      <c r="AN1068" s="7">
        <v>936.39</v>
      </c>
      <c r="AO1068" s="8">
        <f t="shared" si="51"/>
        <v>1755.73125</v>
      </c>
      <c r="AP1068" s="8">
        <f t="shared" si="52"/>
        <v>1950.6174187500001</v>
      </c>
      <c r="AQ1068" s="9">
        <f t="shared" si="50"/>
        <v>2844.1090518749997</v>
      </c>
    </row>
    <row r="1069" spans="1:43" x14ac:dyDescent="0.25">
      <c r="A1069">
        <v>11</v>
      </c>
      <c r="B1069">
        <v>7</v>
      </c>
      <c r="C1069">
        <v>2024</v>
      </c>
      <c r="D1069" t="s">
        <v>43</v>
      </c>
      <c r="E1069" t="s">
        <v>116</v>
      </c>
      <c r="F1069" t="s">
        <v>117</v>
      </c>
      <c r="G1069">
        <v>45</v>
      </c>
      <c r="H1069">
        <v>1791882490001</v>
      </c>
      <c r="I1069" t="s">
        <v>46</v>
      </c>
      <c r="J1069" t="s">
        <v>48</v>
      </c>
      <c r="K1069" t="s">
        <v>48</v>
      </c>
      <c r="L1069" t="s">
        <v>119</v>
      </c>
      <c r="M1069" t="s">
        <v>120</v>
      </c>
      <c r="N1069" t="s">
        <v>121</v>
      </c>
      <c r="O1069">
        <v>8421392000</v>
      </c>
      <c r="P1069" t="s">
        <v>253</v>
      </c>
      <c r="Q1069" t="s">
        <v>254</v>
      </c>
      <c r="R1069" t="s">
        <v>54</v>
      </c>
      <c r="S1069" t="s">
        <v>55</v>
      </c>
      <c r="T1069">
        <v>9</v>
      </c>
      <c r="U1069">
        <v>1</v>
      </c>
      <c r="V1069" t="s">
        <v>135</v>
      </c>
      <c r="W1069">
        <v>0</v>
      </c>
      <c r="X1069">
        <v>196.92</v>
      </c>
      <c r="Y1069">
        <v>17.739999999999998</v>
      </c>
      <c r="Z1069">
        <v>1.32</v>
      </c>
      <c r="AA1069">
        <v>215.98</v>
      </c>
      <c r="AB1069" t="s">
        <v>124</v>
      </c>
      <c r="AC1069" t="s">
        <v>125</v>
      </c>
      <c r="AD1069" t="s">
        <v>48</v>
      </c>
      <c r="AE1069">
        <v>0</v>
      </c>
      <c r="AF1069">
        <v>2.02</v>
      </c>
      <c r="AG1069" t="s">
        <v>59</v>
      </c>
      <c r="AH1069">
        <v>486256</v>
      </c>
      <c r="AI1069" t="s">
        <v>60</v>
      </c>
      <c r="AJ1069" t="s">
        <v>78</v>
      </c>
      <c r="AK1069" t="s">
        <v>54</v>
      </c>
      <c r="AL1069">
        <v>2024</v>
      </c>
      <c r="AM1069" s="6" t="s">
        <v>1129</v>
      </c>
      <c r="AN1069" s="7">
        <v>196.92</v>
      </c>
      <c r="AO1069" s="8">
        <f t="shared" si="51"/>
        <v>369.22499999999997</v>
      </c>
      <c r="AP1069" s="8">
        <f t="shared" si="52"/>
        <v>410.20897499999995</v>
      </c>
      <c r="AQ1069" s="9">
        <f t="shared" si="50"/>
        <v>598.10757749999993</v>
      </c>
    </row>
    <row r="1070" spans="1:43" x14ac:dyDescent="0.25">
      <c r="A1070">
        <v>11</v>
      </c>
      <c r="B1070">
        <v>7</v>
      </c>
      <c r="C1070">
        <v>2024</v>
      </c>
      <c r="D1070" t="s">
        <v>43</v>
      </c>
      <c r="E1070" t="s">
        <v>116</v>
      </c>
      <c r="F1070" t="s">
        <v>117</v>
      </c>
      <c r="G1070">
        <v>46</v>
      </c>
      <c r="H1070">
        <v>1791882490001</v>
      </c>
      <c r="I1070" t="s">
        <v>46</v>
      </c>
      <c r="J1070" t="s">
        <v>48</v>
      </c>
      <c r="K1070" t="s">
        <v>48</v>
      </c>
      <c r="L1070" t="s">
        <v>119</v>
      </c>
      <c r="M1070" t="s">
        <v>120</v>
      </c>
      <c r="N1070" t="s">
        <v>121</v>
      </c>
      <c r="O1070">
        <v>8421392000</v>
      </c>
      <c r="P1070" t="s">
        <v>253</v>
      </c>
      <c r="Q1070" t="s">
        <v>254</v>
      </c>
      <c r="R1070" t="s">
        <v>54</v>
      </c>
      <c r="S1070" t="s">
        <v>55</v>
      </c>
      <c r="T1070">
        <v>9</v>
      </c>
      <c r="U1070">
        <v>1</v>
      </c>
      <c r="V1070" t="s">
        <v>135</v>
      </c>
      <c r="W1070">
        <v>0</v>
      </c>
      <c r="X1070">
        <v>196.92</v>
      </c>
      <c r="Y1070">
        <v>17.739999999999998</v>
      </c>
      <c r="Z1070">
        <v>1.32</v>
      </c>
      <c r="AA1070">
        <v>215.98</v>
      </c>
      <c r="AB1070" t="s">
        <v>124</v>
      </c>
      <c r="AC1070" t="s">
        <v>125</v>
      </c>
      <c r="AD1070" t="s">
        <v>48</v>
      </c>
      <c r="AE1070">
        <v>0</v>
      </c>
      <c r="AF1070">
        <v>2.02</v>
      </c>
      <c r="AG1070" t="s">
        <v>59</v>
      </c>
      <c r="AH1070">
        <v>486256</v>
      </c>
      <c r="AI1070" t="s">
        <v>60</v>
      </c>
      <c r="AJ1070" t="s">
        <v>78</v>
      </c>
      <c r="AK1070" t="s">
        <v>54</v>
      </c>
      <c r="AL1070">
        <v>2024</v>
      </c>
      <c r="AM1070" s="6" t="s">
        <v>1129</v>
      </c>
      <c r="AN1070" s="7">
        <v>196.92</v>
      </c>
      <c r="AO1070" s="8">
        <f t="shared" si="51"/>
        <v>369.22499999999997</v>
      </c>
      <c r="AP1070" s="8">
        <f t="shared" si="52"/>
        <v>410.20897499999995</v>
      </c>
      <c r="AQ1070" s="9">
        <f t="shared" si="50"/>
        <v>598.10757749999993</v>
      </c>
    </row>
    <row r="1071" spans="1:43" x14ac:dyDescent="0.25">
      <c r="A1071">
        <v>3</v>
      </c>
      <c r="B1071">
        <v>4</v>
      </c>
      <c r="C1071">
        <v>2024</v>
      </c>
      <c r="D1071" t="s">
        <v>43</v>
      </c>
      <c r="E1071" t="s">
        <v>73</v>
      </c>
      <c r="F1071" t="s">
        <v>74</v>
      </c>
      <c r="G1071">
        <v>65</v>
      </c>
      <c r="H1071">
        <v>1791882490001</v>
      </c>
      <c r="I1071" t="s">
        <v>46</v>
      </c>
      <c r="J1071" t="s">
        <v>65</v>
      </c>
      <c r="K1071" t="s">
        <v>48</v>
      </c>
      <c r="L1071" t="s">
        <v>49</v>
      </c>
      <c r="M1071" t="s">
        <v>50</v>
      </c>
      <c r="N1071" t="s">
        <v>51</v>
      </c>
      <c r="O1071">
        <v>8421392000</v>
      </c>
      <c r="P1071" t="s">
        <v>253</v>
      </c>
      <c r="Q1071" t="s">
        <v>254</v>
      </c>
      <c r="R1071" t="s">
        <v>54</v>
      </c>
      <c r="S1071" t="s">
        <v>55</v>
      </c>
      <c r="T1071">
        <v>6</v>
      </c>
      <c r="U1071">
        <v>1</v>
      </c>
      <c r="V1071" t="s">
        <v>135</v>
      </c>
      <c r="W1071">
        <v>0</v>
      </c>
      <c r="X1071">
        <v>285.95999999999998</v>
      </c>
      <c r="Y1071">
        <v>33.4</v>
      </c>
      <c r="Z1071">
        <v>1.87</v>
      </c>
      <c r="AA1071">
        <v>321.23</v>
      </c>
      <c r="AB1071" t="s">
        <v>57</v>
      </c>
      <c r="AC1071" t="s">
        <v>58</v>
      </c>
      <c r="AD1071" t="s">
        <v>48</v>
      </c>
      <c r="AE1071">
        <v>0</v>
      </c>
      <c r="AF1071">
        <v>1.33</v>
      </c>
      <c r="AG1071" t="s">
        <v>59</v>
      </c>
      <c r="AH1071">
        <v>438183</v>
      </c>
      <c r="AI1071" t="s">
        <v>60</v>
      </c>
      <c r="AJ1071" t="s">
        <v>60</v>
      </c>
      <c r="AK1071" t="s">
        <v>54</v>
      </c>
      <c r="AL1071">
        <v>2024</v>
      </c>
      <c r="AM1071" s="6" t="s">
        <v>1130</v>
      </c>
      <c r="AN1071" s="7">
        <v>285.95999999999998</v>
      </c>
      <c r="AO1071" s="8">
        <f t="shared" si="51"/>
        <v>536.17499999999995</v>
      </c>
      <c r="AP1071" s="8">
        <f t="shared" si="52"/>
        <v>595.69042499999989</v>
      </c>
      <c r="AQ1071" s="9">
        <f t="shared" si="50"/>
        <v>868.54988249999985</v>
      </c>
    </row>
    <row r="1072" spans="1:43" x14ac:dyDescent="0.25">
      <c r="A1072">
        <v>3</v>
      </c>
      <c r="B1072">
        <v>4</v>
      </c>
      <c r="C1072">
        <v>2024</v>
      </c>
      <c r="D1072" t="s">
        <v>43</v>
      </c>
      <c r="E1072" t="s">
        <v>73</v>
      </c>
      <c r="F1072" t="s">
        <v>74</v>
      </c>
      <c r="G1072">
        <v>66</v>
      </c>
      <c r="H1072">
        <v>1791882490001</v>
      </c>
      <c r="I1072" t="s">
        <v>46</v>
      </c>
      <c r="J1072" t="s">
        <v>65</v>
      </c>
      <c r="K1072" t="s">
        <v>48</v>
      </c>
      <c r="L1072" t="s">
        <v>49</v>
      </c>
      <c r="M1072" t="s">
        <v>50</v>
      </c>
      <c r="N1072" t="s">
        <v>51</v>
      </c>
      <c r="O1072">
        <v>8421392000</v>
      </c>
      <c r="P1072" t="s">
        <v>253</v>
      </c>
      <c r="Q1072" t="s">
        <v>254</v>
      </c>
      <c r="R1072" t="s">
        <v>54</v>
      </c>
      <c r="S1072" t="s">
        <v>55</v>
      </c>
      <c r="T1072">
        <v>6</v>
      </c>
      <c r="U1072">
        <v>1</v>
      </c>
      <c r="V1072" t="s">
        <v>135</v>
      </c>
      <c r="W1072">
        <v>0</v>
      </c>
      <c r="X1072">
        <v>285.95999999999998</v>
      </c>
      <c r="Y1072">
        <v>33.4</v>
      </c>
      <c r="Z1072">
        <v>1.87</v>
      </c>
      <c r="AA1072">
        <v>321.23</v>
      </c>
      <c r="AB1072" t="s">
        <v>57</v>
      </c>
      <c r="AC1072" t="s">
        <v>58</v>
      </c>
      <c r="AD1072" t="s">
        <v>48</v>
      </c>
      <c r="AE1072">
        <v>0</v>
      </c>
      <c r="AF1072">
        <v>1.33</v>
      </c>
      <c r="AG1072" t="s">
        <v>59</v>
      </c>
      <c r="AH1072">
        <v>438183</v>
      </c>
      <c r="AI1072" t="s">
        <v>60</v>
      </c>
      <c r="AJ1072" t="s">
        <v>60</v>
      </c>
      <c r="AK1072" t="s">
        <v>54</v>
      </c>
      <c r="AL1072">
        <v>2024</v>
      </c>
      <c r="AM1072" s="6" t="s">
        <v>1130</v>
      </c>
      <c r="AN1072" s="7">
        <v>285.95999999999998</v>
      </c>
      <c r="AO1072" s="8">
        <f t="shared" si="51"/>
        <v>536.17499999999995</v>
      </c>
      <c r="AP1072" s="8">
        <f t="shared" si="52"/>
        <v>595.69042499999989</v>
      </c>
      <c r="AQ1072" s="9">
        <f t="shared" si="50"/>
        <v>868.54988249999985</v>
      </c>
    </row>
    <row r="1073" spans="1:43" x14ac:dyDescent="0.25">
      <c r="A1073">
        <v>2</v>
      </c>
      <c r="B1073">
        <v>1</v>
      </c>
      <c r="C1073">
        <v>2024</v>
      </c>
      <c r="D1073" t="s">
        <v>43</v>
      </c>
      <c r="E1073" t="s">
        <v>181</v>
      </c>
      <c r="F1073" t="s">
        <v>182</v>
      </c>
      <c r="G1073">
        <v>47</v>
      </c>
      <c r="H1073">
        <v>1791882490001</v>
      </c>
      <c r="I1073" t="s">
        <v>46</v>
      </c>
      <c r="J1073" t="s">
        <v>259</v>
      </c>
      <c r="K1073" t="s">
        <v>48</v>
      </c>
      <c r="L1073" t="s">
        <v>49</v>
      </c>
      <c r="M1073" t="s">
        <v>50</v>
      </c>
      <c r="N1073" t="s">
        <v>51</v>
      </c>
      <c r="O1073">
        <v>8421392000</v>
      </c>
      <c r="P1073" t="s">
        <v>480</v>
      </c>
      <c r="Q1073" t="s">
        <v>254</v>
      </c>
      <c r="R1073" t="s">
        <v>54</v>
      </c>
      <c r="S1073" t="s">
        <v>55</v>
      </c>
      <c r="T1073">
        <v>8</v>
      </c>
      <c r="U1073">
        <v>1</v>
      </c>
      <c r="V1073" t="s">
        <v>135</v>
      </c>
      <c r="W1073">
        <v>8.1999999999999993</v>
      </c>
      <c r="X1073">
        <v>135.63</v>
      </c>
      <c r="Y1073">
        <v>27.56</v>
      </c>
      <c r="Z1073">
        <v>0.87</v>
      </c>
      <c r="AA1073">
        <v>164.06</v>
      </c>
      <c r="AB1073" t="s">
        <v>57</v>
      </c>
      <c r="AC1073" t="s">
        <v>81</v>
      </c>
      <c r="AD1073" t="s">
        <v>48</v>
      </c>
      <c r="AE1073">
        <v>0</v>
      </c>
      <c r="AF1073">
        <v>3.24</v>
      </c>
      <c r="AG1073" t="s">
        <v>59</v>
      </c>
      <c r="AH1073">
        <v>413505</v>
      </c>
      <c r="AI1073" t="s">
        <v>60</v>
      </c>
      <c r="AJ1073" t="s">
        <v>60</v>
      </c>
      <c r="AK1073" t="s">
        <v>54</v>
      </c>
      <c r="AL1073">
        <v>2023</v>
      </c>
      <c r="AM1073" s="6" t="s">
        <v>1131</v>
      </c>
      <c r="AN1073" s="7">
        <v>135.63</v>
      </c>
      <c r="AO1073" s="8">
        <f t="shared" si="51"/>
        <v>254.30624999999998</v>
      </c>
      <c r="AP1073" s="8">
        <f t="shared" si="52"/>
        <v>282.53424374999997</v>
      </c>
      <c r="AQ1073" s="9">
        <f t="shared" si="50"/>
        <v>411.95069437499996</v>
      </c>
    </row>
    <row r="1074" spans="1:43" x14ac:dyDescent="0.25">
      <c r="A1074">
        <v>2</v>
      </c>
      <c r="B1074">
        <v>1</v>
      </c>
      <c r="C1074">
        <v>2024</v>
      </c>
      <c r="D1074" t="s">
        <v>43</v>
      </c>
      <c r="E1074" t="s">
        <v>181</v>
      </c>
      <c r="F1074" t="s">
        <v>182</v>
      </c>
      <c r="G1074">
        <v>48</v>
      </c>
      <c r="H1074">
        <v>1791882490001</v>
      </c>
      <c r="I1074" t="s">
        <v>46</v>
      </c>
      <c r="J1074" t="s">
        <v>259</v>
      </c>
      <c r="K1074" t="s">
        <v>48</v>
      </c>
      <c r="L1074" t="s">
        <v>49</v>
      </c>
      <c r="M1074" t="s">
        <v>50</v>
      </c>
      <c r="N1074" t="s">
        <v>51</v>
      </c>
      <c r="O1074">
        <v>8421392000</v>
      </c>
      <c r="P1074" t="s">
        <v>480</v>
      </c>
      <c r="Q1074" t="s">
        <v>254</v>
      </c>
      <c r="R1074" t="s">
        <v>54</v>
      </c>
      <c r="S1074" t="s">
        <v>55</v>
      </c>
      <c r="T1074">
        <v>8</v>
      </c>
      <c r="U1074">
        <v>1</v>
      </c>
      <c r="V1074" t="s">
        <v>135</v>
      </c>
      <c r="W1074">
        <v>8.1999999999999993</v>
      </c>
      <c r="X1074">
        <v>135.63</v>
      </c>
      <c r="Y1074">
        <v>27.56</v>
      </c>
      <c r="Z1074">
        <v>0.87</v>
      </c>
      <c r="AA1074">
        <v>164.06</v>
      </c>
      <c r="AB1074" t="s">
        <v>57</v>
      </c>
      <c r="AC1074" t="s">
        <v>81</v>
      </c>
      <c r="AD1074" t="s">
        <v>48</v>
      </c>
      <c r="AE1074">
        <v>0</v>
      </c>
      <c r="AF1074">
        <v>3.24</v>
      </c>
      <c r="AG1074" t="s">
        <v>59</v>
      </c>
      <c r="AH1074">
        <v>413505</v>
      </c>
      <c r="AI1074" t="s">
        <v>60</v>
      </c>
      <c r="AJ1074" t="s">
        <v>60</v>
      </c>
      <c r="AK1074" t="s">
        <v>54</v>
      </c>
      <c r="AL1074">
        <v>2023</v>
      </c>
      <c r="AM1074" s="6" t="s">
        <v>1131</v>
      </c>
      <c r="AN1074" s="7">
        <v>135.63</v>
      </c>
      <c r="AO1074" s="8">
        <f t="shared" si="51"/>
        <v>254.30624999999998</v>
      </c>
      <c r="AP1074" s="8">
        <f t="shared" si="52"/>
        <v>282.53424374999997</v>
      </c>
      <c r="AQ1074" s="9">
        <f t="shared" si="50"/>
        <v>411.95069437499996</v>
      </c>
    </row>
    <row r="1075" spans="1:43" x14ac:dyDescent="0.25">
      <c r="A1075">
        <v>1</v>
      </c>
      <c r="B1075">
        <v>2</v>
      </c>
      <c r="C1075">
        <v>2024</v>
      </c>
      <c r="D1075" t="s">
        <v>43</v>
      </c>
      <c r="E1075" t="s">
        <v>174</v>
      </c>
      <c r="F1075" t="s">
        <v>175</v>
      </c>
      <c r="G1075">
        <v>46</v>
      </c>
      <c r="H1075">
        <v>1791882490001</v>
      </c>
      <c r="I1075" t="s">
        <v>46</v>
      </c>
      <c r="J1075" t="s">
        <v>48</v>
      </c>
      <c r="K1075" t="s">
        <v>48</v>
      </c>
      <c r="L1075" t="s">
        <v>49</v>
      </c>
      <c r="M1075" t="s">
        <v>50</v>
      </c>
      <c r="N1075" t="s">
        <v>51</v>
      </c>
      <c r="O1075">
        <v>8421392000</v>
      </c>
      <c r="P1075" t="s">
        <v>253</v>
      </c>
      <c r="Q1075" t="s">
        <v>254</v>
      </c>
      <c r="R1075" t="s">
        <v>54</v>
      </c>
      <c r="S1075" t="s">
        <v>55</v>
      </c>
      <c r="T1075">
        <v>5</v>
      </c>
      <c r="U1075">
        <v>1</v>
      </c>
      <c r="V1075" t="s">
        <v>135</v>
      </c>
      <c r="W1075">
        <v>0</v>
      </c>
      <c r="X1075">
        <v>134.82</v>
      </c>
      <c r="Y1075">
        <v>10.02</v>
      </c>
      <c r="Z1075">
        <v>0.81</v>
      </c>
      <c r="AA1075">
        <v>145.65</v>
      </c>
      <c r="AB1075" t="s">
        <v>54</v>
      </c>
      <c r="AC1075" t="s">
        <v>94</v>
      </c>
      <c r="AD1075" t="s">
        <v>48</v>
      </c>
      <c r="AE1075">
        <v>0</v>
      </c>
      <c r="AF1075">
        <v>1.98</v>
      </c>
      <c r="AG1075" t="s">
        <v>59</v>
      </c>
      <c r="AH1075">
        <v>863266</v>
      </c>
      <c r="AI1075" t="s">
        <v>60</v>
      </c>
      <c r="AJ1075" t="s">
        <v>60</v>
      </c>
      <c r="AK1075" t="s">
        <v>54</v>
      </c>
      <c r="AL1075">
        <v>2023</v>
      </c>
      <c r="AM1075" s="6" t="s">
        <v>1131</v>
      </c>
      <c r="AN1075" s="7">
        <v>134.82</v>
      </c>
      <c r="AO1075" s="8">
        <f t="shared" si="51"/>
        <v>252.78749999999999</v>
      </c>
      <c r="AP1075" s="8">
        <f t="shared" si="52"/>
        <v>280.84691249999997</v>
      </c>
      <c r="AQ1075" s="9">
        <f t="shared" si="50"/>
        <v>409.49047124999998</v>
      </c>
    </row>
    <row r="1076" spans="1:43" x14ac:dyDescent="0.25">
      <c r="A1076">
        <v>11</v>
      </c>
      <c r="B1076">
        <v>7</v>
      </c>
      <c r="C1076">
        <v>2024</v>
      </c>
      <c r="D1076" t="s">
        <v>43</v>
      </c>
      <c r="E1076" t="s">
        <v>116</v>
      </c>
      <c r="F1076" t="s">
        <v>117</v>
      </c>
      <c r="G1076">
        <v>42</v>
      </c>
      <c r="H1076">
        <v>1791882490001</v>
      </c>
      <c r="I1076" t="s">
        <v>46</v>
      </c>
      <c r="J1076" t="s">
        <v>48</v>
      </c>
      <c r="K1076" t="s">
        <v>48</v>
      </c>
      <c r="L1076" t="s">
        <v>119</v>
      </c>
      <c r="M1076" t="s">
        <v>120</v>
      </c>
      <c r="N1076" t="s">
        <v>121</v>
      </c>
      <c r="O1076">
        <v>8421392000</v>
      </c>
      <c r="P1076" t="s">
        <v>253</v>
      </c>
      <c r="Q1076" t="s">
        <v>254</v>
      </c>
      <c r="R1076" t="s">
        <v>54</v>
      </c>
      <c r="S1076" t="s">
        <v>55</v>
      </c>
      <c r="T1076">
        <v>9</v>
      </c>
      <c r="U1076">
        <v>1</v>
      </c>
      <c r="V1076" t="s">
        <v>135</v>
      </c>
      <c r="W1076">
        <v>0</v>
      </c>
      <c r="X1076">
        <v>298.45</v>
      </c>
      <c r="Y1076">
        <v>26.89</v>
      </c>
      <c r="Z1076">
        <v>2</v>
      </c>
      <c r="AA1076">
        <v>327.33999999999997</v>
      </c>
      <c r="AB1076" t="s">
        <v>124</v>
      </c>
      <c r="AC1076" t="s">
        <v>125</v>
      </c>
      <c r="AD1076" t="s">
        <v>48</v>
      </c>
      <c r="AE1076">
        <v>0</v>
      </c>
      <c r="AF1076">
        <v>2.02</v>
      </c>
      <c r="AG1076" t="s">
        <v>59</v>
      </c>
      <c r="AH1076">
        <v>486256</v>
      </c>
      <c r="AI1076" t="s">
        <v>60</v>
      </c>
      <c r="AJ1076" t="s">
        <v>78</v>
      </c>
      <c r="AK1076" t="s">
        <v>54</v>
      </c>
      <c r="AL1076">
        <v>2024</v>
      </c>
      <c r="AM1076" s="6" t="s">
        <v>1132</v>
      </c>
      <c r="AN1076" s="7">
        <v>298.45</v>
      </c>
      <c r="AO1076" s="8">
        <f t="shared" si="51"/>
        <v>559.59375</v>
      </c>
      <c r="AP1076" s="8">
        <f t="shared" si="52"/>
        <v>621.70865624999999</v>
      </c>
      <c r="AQ1076" s="9">
        <f t="shared" si="50"/>
        <v>906.48591562499996</v>
      </c>
    </row>
    <row r="1077" spans="1:43" x14ac:dyDescent="0.25">
      <c r="A1077">
        <v>11</v>
      </c>
      <c r="B1077">
        <v>7</v>
      </c>
      <c r="C1077">
        <v>2024</v>
      </c>
      <c r="D1077" t="s">
        <v>43</v>
      </c>
      <c r="E1077" t="s">
        <v>116</v>
      </c>
      <c r="F1077" t="s">
        <v>117</v>
      </c>
      <c r="G1077">
        <v>47</v>
      </c>
      <c r="H1077">
        <v>1791882490001</v>
      </c>
      <c r="I1077" t="s">
        <v>46</v>
      </c>
      <c r="J1077" t="s">
        <v>48</v>
      </c>
      <c r="K1077" t="s">
        <v>48</v>
      </c>
      <c r="L1077" t="s">
        <v>119</v>
      </c>
      <c r="M1077" t="s">
        <v>120</v>
      </c>
      <c r="N1077" t="s">
        <v>121</v>
      </c>
      <c r="O1077">
        <v>8421392000</v>
      </c>
      <c r="P1077" t="s">
        <v>253</v>
      </c>
      <c r="Q1077" t="s">
        <v>254</v>
      </c>
      <c r="R1077" t="s">
        <v>54</v>
      </c>
      <c r="S1077" t="s">
        <v>55</v>
      </c>
      <c r="T1077">
        <v>9</v>
      </c>
      <c r="U1077">
        <v>1</v>
      </c>
      <c r="V1077" t="s">
        <v>135</v>
      </c>
      <c r="W1077">
        <v>0</v>
      </c>
      <c r="X1077">
        <v>394.86</v>
      </c>
      <c r="Y1077">
        <v>35.56</v>
      </c>
      <c r="Z1077">
        <v>2.65</v>
      </c>
      <c r="AA1077">
        <v>433.07</v>
      </c>
      <c r="AB1077" t="s">
        <v>124</v>
      </c>
      <c r="AC1077" t="s">
        <v>125</v>
      </c>
      <c r="AD1077" t="s">
        <v>48</v>
      </c>
      <c r="AE1077">
        <v>0</v>
      </c>
      <c r="AF1077">
        <v>2.02</v>
      </c>
      <c r="AG1077" t="s">
        <v>59</v>
      </c>
      <c r="AH1077">
        <v>486256</v>
      </c>
      <c r="AI1077" t="s">
        <v>60</v>
      </c>
      <c r="AJ1077" t="s">
        <v>78</v>
      </c>
      <c r="AK1077" t="s">
        <v>54</v>
      </c>
      <c r="AL1077">
        <v>2024</v>
      </c>
      <c r="AM1077" s="6" t="s">
        <v>1133</v>
      </c>
      <c r="AN1077" s="7">
        <v>394.86</v>
      </c>
      <c r="AO1077" s="8">
        <f t="shared" si="51"/>
        <v>740.36250000000007</v>
      </c>
      <c r="AP1077" s="8">
        <f t="shared" si="52"/>
        <v>822.54273750000004</v>
      </c>
      <c r="AQ1077" s="9">
        <f t="shared" si="50"/>
        <v>1199.3132137499999</v>
      </c>
    </row>
    <row r="1078" spans="1:43" x14ac:dyDescent="0.25">
      <c r="A1078">
        <v>11</v>
      </c>
      <c r="B1078">
        <v>7</v>
      </c>
      <c r="C1078">
        <v>2024</v>
      </c>
      <c r="D1078" t="s">
        <v>43</v>
      </c>
      <c r="E1078" t="s">
        <v>116</v>
      </c>
      <c r="F1078" t="s">
        <v>117</v>
      </c>
      <c r="G1078">
        <v>48</v>
      </c>
      <c r="H1078">
        <v>1791882490001</v>
      </c>
      <c r="I1078" t="s">
        <v>46</v>
      </c>
      <c r="J1078" t="s">
        <v>48</v>
      </c>
      <c r="K1078" t="s">
        <v>48</v>
      </c>
      <c r="L1078" t="s">
        <v>119</v>
      </c>
      <c r="M1078" t="s">
        <v>120</v>
      </c>
      <c r="N1078" t="s">
        <v>121</v>
      </c>
      <c r="O1078">
        <v>8421392000</v>
      </c>
      <c r="P1078" t="s">
        <v>253</v>
      </c>
      <c r="Q1078" t="s">
        <v>254</v>
      </c>
      <c r="R1078" t="s">
        <v>54</v>
      </c>
      <c r="S1078" t="s">
        <v>55</v>
      </c>
      <c r="T1078">
        <v>9</v>
      </c>
      <c r="U1078">
        <v>1</v>
      </c>
      <c r="V1078" t="s">
        <v>135</v>
      </c>
      <c r="W1078">
        <v>0</v>
      </c>
      <c r="X1078">
        <v>394.86</v>
      </c>
      <c r="Y1078">
        <v>35.56</v>
      </c>
      <c r="Z1078">
        <v>2.65</v>
      </c>
      <c r="AA1078">
        <v>433.07</v>
      </c>
      <c r="AB1078" t="s">
        <v>124</v>
      </c>
      <c r="AC1078" t="s">
        <v>125</v>
      </c>
      <c r="AD1078" t="s">
        <v>48</v>
      </c>
      <c r="AE1078">
        <v>0</v>
      </c>
      <c r="AF1078">
        <v>2.02</v>
      </c>
      <c r="AG1078" t="s">
        <v>59</v>
      </c>
      <c r="AH1078">
        <v>486256</v>
      </c>
      <c r="AI1078" t="s">
        <v>60</v>
      </c>
      <c r="AJ1078" t="s">
        <v>78</v>
      </c>
      <c r="AK1078" t="s">
        <v>54</v>
      </c>
      <c r="AL1078">
        <v>2024</v>
      </c>
      <c r="AM1078" s="6" t="s">
        <v>1133</v>
      </c>
      <c r="AN1078" s="7">
        <v>394.86</v>
      </c>
      <c r="AO1078" s="8">
        <f t="shared" si="51"/>
        <v>740.36250000000007</v>
      </c>
      <c r="AP1078" s="8">
        <f t="shared" si="52"/>
        <v>822.54273750000004</v>
      </c>
      <c r="AQ1078" s="9">
        <f t="shared" si="50"/>
        <v>1199.3132137499999</v>
      </c>
    </row>
    <row r="1079" spans="1:43" x14ac:dyDescent="0.25">
      <c r="A1079">
        <v>11</v>
      </c>
      <c r="B1079">
        <v>7</v>
      </c>
      <c r="C1079">
        <v>2024</v>
      </c>
      <c r="D1079" t="s">
        <v>43</v>
      </c>
      <c r="E1079" t="s">
        <v>116</v>
      </c>
      <c r="F1079" t="s">
        <v>117</v>
      </c>
      <c r="G1079">
        <v>43</v>
      </c>
      <c r="H1079">
        <v>1791882490001</v>
      </c>
      <c r="I1079" t="s">
        <v>46</v>
      </c>
      <c r="J1079" t="s">
        <v>48</v>
      </c>
      <c r="K1079" t="s">
        <v>48</v>
      </c>
      <c r="L1079" t="s">
        <v>119</v>
      </c>
      <c r="M1079" t="s">
        <v>120</v>
      </c>
      <c r="N1079" t="s">
        <v>121</v>
      </c>
      <c r="O1079">
        <v>8421392000</v>
      </c>
      <c r="P1079" t="s">
        <v>253</v>
      </c>
      <c r="Q1079" t="s">
        <v>254</v>
      </c>
      <c r="R1079" t="s">
        <v>54</v>
      </c>
      <c r="S1079" t="s">
        <v>55</v>
      </c>
      <c r="T1079">
        <v>9</v>
      </c>
      <c r="U1079">
        <v>1</v>
      </c>
      <c r="V1079" t="s">
        <v>135</v>
      </c>
      <c r="W1079">
        <v>0</v>
      </c>
      <c r="X1079">
        <v>714.86</v>
      </c>
      <c r="Y1079">
        <v>64.37</v>
      </c>
      <c r="Z1079">
        <v>4.8</v>
      </c>
      <c r="AA1079">
        <v>784.03</v>
      </c>
      <c r="AB1079" t="s">
        <v>124</v>
      </c>
      <c r="AC1079" t="s">
        <v>125</v>
      </c>
      <c r="AD1079" t="s">
        <v>48</v>
      </c>
      <c r="AE1079">
        <v>0</v>
      </c>
      <c r="AF1079">
        <v>2.02</v>
      </c>
      <c r="AG1079" t="s">
        <v>59</v>
      </c>
      <c r="AH1079">
        <v>486256</v>
      </c>
      <c r="AI1079" t="s">
        <v>60</v>
      </c>
      <c r="AJ1079" t="s">
        <v>78</v>
      </c>
      <c r="AK1079" t="s">
        <v>54</v>
      </c>
      <c r="AL1079">
        <v>2024</v>
      </c>
      <c r="AM1079" s="6" t="s">
        <v>1134</v>
      </c>
      <c r="AN1079" s="7">
        <v>714.86</v>
      </c>
      <c r="AO1079" s="8">
        <f t="shared" si="51"/>
        <v>1340.3625</v>
      </c>
      <c r="AP1079" s="8">
        <f t="shared" si="52"/>
        <v>1489.1427374999998</v>
      </c>
      <c r="AQ1079" s="9">
        <f t="shared" si="50"/>
        <v>2171.2532137499998</v>
      </c>
    </row>
    <row r="1080" spans="1:43" x14ac:dyDescent="0.25">
      <c r="A1080">
        <v>11</v>
      </c>
      <c r="B1080">
        <v>7</v>
      </c>
      <c r="C1080">
        <v>2024</v>
      </c>
      <c r="D1080" t="s">
        <v>43</v>
      </c>
      <c r="E1080" t="s">
        <v>1101</v>
      </c>
      <c r="F1080" t="s">
        <v>1102</v>
      </c>
      <c r="G1080">
        <v>14</v>
      </c>
      <c r="H1080">
        <v>1791882490001</v>
      </c>
      <c r="I1080" t="s">
        <v>46</v>
      </c>
      <c r="J1080" t="s">
        <v>48</v>
      </c>
      <c r="K1080" t="s">
        <v>48</v>
      </c>
      <c r="L1080" t="s">
        <v>119</v>
      </c>
      <c r="M1080" t="s">
        <v>120</v>
      </c>
      <c r="N1080" t="s">
        <v>121</v>
      </c>
      <c r="O1080">
        <v>8421392000</v>
      </c>
      <c r="P1080" t="s">
        <v>253</v>
      </c>
      <c r="Q1080" t="s">
        <v>254</v>
      </c>
      <c r="R1080" t="s">
        <v>54</v>
      </c>
      <c r="S1080" t="s">
        <v>55</v>
      </c>
      <c r="T1080">
        <v>14</v>
      </c>
      <c r="U1080">
        <v>1</v>
      </c>
      <c r="V1080" t="s">
        <v>135</v>
      </c>
      <c r="W1080">
        <v>0</v>
      </c>
      <c r="X1080">
        <v>1154.3699999999999</v>
      </c>
      <c r="Y1080">
        <v>231.49</v>
      </c>
      <c r="Z1080">
        <v>8.02</v>
      </c>
      <c r="AA1080">
        <v>1393.88</v>
      </c>
      <c r="AB1080" t="s">
        <v>124</v>
      </c>
      <c r="AC1080" t="s">
        <v>125</v>
      </c>
      <c r="AD1080" t="s">
        <v>48</v>
      </c>
      <c r="AE1080">
        <v>0</v>
      </c>
      <c r="AF1080">
        <v>68.52</v>
      </c>
      <c r="AG1080" t="s">
        <v>59</v>
      </c>
      <c r="AH1080">
        <v>486257</v>
      </c>
      <c r="AI1080" t="s">
        <v>254</v>
      </c>
      <c r="AJ1080" t="s">
        <v>254</v>
      </c>
      <c r="AK1080" t="s">
        <v>54</v>
      </c>
      <c r="AL1080">
        <v>2024</v>
      </c>
      <c r="AM1080" s="6" t="s">
        <v>1135</v>
      </c>
      <c r="AN1080" s="7">
        <v>1154.3699999999999</v>
      </c>
      <c r="AO1080" s="8">
        <f t="shared" si="51"/>
        <v>2164.4437499999999</v>
      </c>
      <c r="AP1080" s="8">
        <f t="shared" si="52"/>
        <v>2404.69700625</v>
      </c>
      <c r="AQ1080" s="9">
        <f t="shared" si="50"/>
        <v>3506.1824306249996</v>
      </c>
    </row>
    <row r="1081" spans="1:43" x14ac:dyDescent="0.25">
      <c r="A1081">
        <v>20</v>
      </c>
      <c r="B1081">
        <v>2</v>
      </c>
      <c r="C1081">
        <v>2024</v>
      </c>
      <c r="D1081" t="s">
        <v>43</v>
      </c>
      <c r="E1081" t="s">
        <v>140</v>
      </c>
      <c r="F1081" t="s">
        <v>141</v>
      </c>
      <c r="G1081">
        <v>71</v>
      </c>
      <c r="H1081">
        <v>1791882490001</v>
      </c>
      <c r="I1081" t="s">
        <v>46</v>
      </c>
      <c r="J1081" t="s">
        <v>65</v>
      </c>
      <c r="K1081" t="s">
        <v>48</v>
      </c>
      <c r="L1081" t="s">
        <v>49</v>
      </c>
      <c r="M1081" t="s">
        <v>50</v>
      </c>
      <c r="N1081" t="s">
        <v>51</v>
      </c>
      <c r="O1081">
        <v>8421392000</v>
      </c>
      <c r="P1081" t="s">
        <v>253</v>
      </c>
      <c r="Q1081" t="s">
        <v>268</v>
      </c>
      <c r="R1081" t="s">
        <v>54</v>
      </c>
      <c r="S1081" t="s">
        <v>55</v>
      </c>
      <c r="T1081">
        <v>6</v>
      </c>
      <c r="U1081">
        <v>1</v>
      </c>
      <c r="V1081" t="s">
        <v>135</v>
      </c>
      <c r="W1081">
        <v>0</v>
      </c>
      <c r="X1081">
        <v>349.95</v>
      </c>
      <c r="Y1081">
        <v>31.4</v>
      </c>
      <c r="Z1081">
        <v>2.35</v>
      </c>
      <c r="AA1081">
        <v>383.7</v>
      </c>
      <c r="AB1081" t="s">
        <v>54</v>
      </c>
      <c r="AC1081" t="s">
        <v>143</v>
      </c>
      <c r="AD1081" t="s">
        <v>48</v>
      </c>
      <c r="AE1081">
        <v>0</v>
      </c>
      <c r="AF1081">
        <v>1.87</v>
      </c>
      <c r="AG1081" t="s">
        <v>59</v>
      </c>
      <c r="AH1081">
        <v>876053</v>
      </c>
      <c r="AI1081" t="s">
        <v>60</v>
      </c>
      <c r="AJ1081" t="s">
        <v>60</v>
      </c>
      <c r="AK1081" t="s">
        <v>54</v>
      </c>
      <c r="AL1081">
        <v>2024</v>
      </c>
      <c r="AM1081" s="6" t="s">
        <v>1136</v>
      </c>
      <c r="AN1081" s="7">
        <v>349.95</v>
      </c>
      <c r="AO1081" s="8">
        <f t="shared" si="51"/>
        <v>656.15625</v>
      </c>
      <c r="AP1081" s="8">
        <f t="shared" si="52"/>
        <v>728.98959375000004</v>
      </c>
      <c r="AQ1081" s="9">
        <f t="shared" si="50"/>
        <v>1062.907509375</v>
      </c>
    </row>
    <row r="1082" spans="1:43" x14ac:dyDescent="0.25">
      <c r="A1082">
        <v>11</v>
      </c>
      <c r="B1082">
        <v>7</v>
      </c>
      <c r="C1082">
        <v>2024</v>
      </c>
      <c r="D1082" t="s">
        <v>43</v>
      </c>
      <c r="E1082" t="s">
        <v>116</v>
      </c>
      <c r="F1082" t="s">
        <v>117</v>
      </c>
      <c r="G1082">
        <v>49</v>
      </c>
      <c r="H1082">
        <v>1791882490001</v>
      </c>
      <c r="I1082" t="s">
        <v>46</v>
      </c>
      <c r="J1082" t="s">
        <v>48</v>
      </c>
      <c r="K1082" t="s">
        <v>48</v>
      </c>
      <c r="L1082" t="s">
        <v>119</v>
      </c>
      <c r="M1082" t="s">
        <v>120</v>
      </c>
      <c r="N1082" t="s">
        <v>121</v>
      </c>
      <c r="O1082">
        <v>8421392000</v>
      </c>
      <c r="P1082" t="s">
        <v>253</v>
      </c>
      <c r="Q1082" t="s">
        <v>254</v>
      </c>
      <c r="R1082" t="s">
        <v>54</v>
      </c>
      <c r="S1082" t="s">
        <v>55</v>
      </c>
      <c r="T1082">
        <v>9</v>
      </c>
      <c r="U1082">
        <v>1</v>
      </c>
      <c r="V1082" t="s">
        <v>135</v>
      </c>
      <c r="W1082">
        <v>0</v>
      </c>
      <c r="X1082">
        <v>196.92</v>
      </c>
      <c r="Y1082">
        <v>17.739999999999998</v>
      </c>
      <c r="Z1082">
        <v>1.32</v>
      </c>
      <c r="AA1082">
        <v>215.98</v>
      </c>
      <c r="AB1082" t="s">
        <v>124</v>
      </c>
      <c r="AC1082" t="s">
        <v>125</v>
      </c>
      <c r="AD1082" t="s">
        <v>48</v>
      </c>
      <c r="AE1082">
        <v>0</v>
      </c>
      <c r="AF1082">
        <v>2.02</v>
      </c>
      <c r="AG1082" t="s">
        <v>59</v>
      </c>
      <c r="AH1082">
        <v>486256</v>
      </c>
      <c r="AI1082" t="s">
        <v>60</v>
      </c>
      <c r="AJ1082" t="s">
        <v>78</v>
      </c>
      <c r="AK1082" t="s">
        <v>54</v>
      </c>
      <c r="AL1082">
        <v>2024</v>
      </c>
      <c r="AM1082" s="6" t="s">
        <v>1137</v>
      </c>
      <c r="AN1082" s="7">
        <v>196.92</v>
      </c>
      <c r="AO1082" s="8">
        <f t="shared" si="51"/>
        <v>369.22499999999997</v>
      </c>
      <c r="AP1082" s="8">
        <f t="shared" si="52"/>
        <v>410.20897499999995</v>
      </c>
      <c r="AQ1082" s="9">
        <f t="shared" si="50"/>
        <v>598.10757749999993</v>
      </c>
    </row>
    <row r="1083" spans="1:43" x14ac:dyDescent="0.25">
      <c r="A1083">
        <v>11</v>
      </c>
      <c r="B1083">
        <v>7</v>
      </c>
      <c r="C1083">
        <v>2024</v>
      </c>
      <c r="D1083" t="s">
        <v>43</v>
      </c>
      <c r="E1083" t="s">
        <v>116</v>
      </c>
      <c r="F1083" t="s">
        <v>117</v>
      </c>
      <c r="G1083">
        <v>50</v>
      </c>
      <c r="H1083">
        <v>1791882490001</v>
      </c>
      <c r="I1083" t="s">
        <v>46</v>
      </c>
      <c r="J1083" t="s">
        <v>48</v>
      </c>
      <c r="K1083" t="s">
        <v>48</v>
      </c>
      <c r="L1083" t="s">
        <v>119</v>
      </c>
      <c r="M1083" t="s">
        <v>120</v>
      </c>
      <c r="N1083" t="s">
        <v>121</v>
      </c>
      <c r="O1083">
        <v>8421392000</v>
      </c>
      <c r="P1083" t="s">
        <v>253</v>
      </c>
      <c r="Q1083" t="s">
        <v>254</v>
      </c>
      <c r="R1083" t="s">
        <v>54</v>
      </c>
      <c r="S1083" t="s">
        <v>55</v>
      </c>
      <c r="T1083">
        <v>9</v>
      </c>
      <c r="U1083">
        <v>1</v>
      </c>
      <c r="V1083" t="s">
        <v>135</v>
      </c>
      <c r="W1083">
        <v>0</v>
      </c>
      <c r="X1083">
        <v>196.92</v>
      </c>
      <c r="Y1083">
        <v>17.739999999999998</v>
      </c>
      <c r="Z1083">
        <v>1.32</v>
      </c>
      <c r="AA1083">
        <v>215.98</v>
      </c>
      <c r="AB1083" t="s">
        <v>124</v>
      </c>
      <c r="AC1083" t="s">
        <v>125</v>
      </c>
      <c r="AD1083" t="s">
        <v>48</v>
      </c>
      <c r="AE1083">
        <v>0</v>
      </c>
      <c r="AF1083">
        <v>2.02</v>
      </c>
      <c r="AG1083" t="s">
        <v>59</v>
      </c>
      <c r="AH1083">
        <v>486256</v>
      </c>
      <c r="AI1083" t="s">
        <v>60</v>
      </c>
      <c r="AJ1083" t="s">
        <v>78</v>
      </c>
      <c r="AK1083" t="s">
        <v>54</v>
      </c>
      <c r="AL1083">
        <v>2024</v>
      </c>
      <c r="AM1083" s="6" t="s">
        <v>1137</v>
      </c>
      <c r="AN1083" s="7">
        <v>196.92</v>
      </c>
      <c r="AO1083" s="8">
        <f t="shared" si="51"/>
        <v>369.22499999999997</v>
      </c>
      <c r="AP1083" s="8">
        <f t="shared" si="52"/>
        <v>410.20897499999995</v>
      </c>
      <c r="AQ1083" s="9">
        <f t="shared" si="50"/>
        <v>598.10757749999993</v>
      </c>
    </row>
    <row r="1084" spans="1:43" x14ac:dyDescent="0.25">
      <c r="A1084">
        <v>3</v>
      </c>
      <c r="B1084">
        <v>4</v>
      </c>
      <c r="C1084">
        <v>2024</v>
      </c>
      <c r="D1084" t="s">
        <v>43</v>
      </c>
      <c r="E1084" t="s">
        <v>73</v>
      </c>
      <c r="F1084" t="s">
        <v>74</v>
      </c>
      <c r="G1084">
        <v>67</v>
      </c>
      <c r="H1084">
        <v>1791882490001</v>
      </c>
      <c r="I1084" t="s">
        <v>46</v>
      </c>
      <c r="J1084" t="s">
        <v>65</v>
      </c>
      <c r="K1084" t="s">
        <v>48</v>
      </c>
      <c r="L1084" t="s">
        <v>49</v>
      </c>
      <c r="M1084" t="s">
        <v>50</v>
      </c>
      <c r="N1084" t="s">
        <v>51</v>
      </c>
      <c r="O1084">
        <v>8421392000</v>
      </c>
      <c r="P1084" t="s">
        <v>253</v>
      </c>
      <c r="Q1084" t="s">
        <v>254</v>
      </c>
      <c r="R1084" t="s">
        <v>54</v>
      </c>
      <c r="S1084" t="s">
        <v>55</v>
      </c>
      <c r="T1084">
        <v>6</v>
      </c>
      <c r="U1084">
        <v>1</v>
      </c>
      <c r="V1084" t="s">
        <v>135</v>
      </c>
      <c r="W1084">
        <v>0</v>
      </c>
      <c r="X1084">
        <v>285.95999999999998</v>
      </c>
      <c r="Y1084">
        <v>33.4</v>
      </c>
      <c r="Z1084">
        <v>1.87</v>
      </c>
      <c r="AA1084">
        <v>321.23</v>
      </c>
      <c r="AB1084" t="s">
        <v>57</v>
      </c>
      <c r="AC1084" t="s">
        <v>58</v>
      </c>
      <c r="AD1084" t="s">
        <v>48</v>
      </c>
      <c r="AE1084">
        <v>0</v>
      </c>
      <c r="AF1084">
        <v>1.33</v>
      </c>
      <c r="AG1084" t="s">
        <v>59</v>
      </c>
      <c r="AH1084">
        <v>438183</v>
      </c>
      <c r="AI1084" t="s">
        <v>60</v>
      </c>
      <c r="AJ1084" t="s">
        <v>60</v>
      </c>
      <c r="AK1084" t="s">
        <v>54</v>
      </c>
      <c r="AL1084">
        <v>2024</v>
      </c>
      <c r="AM1084" s="6" t="s">
        <v>1138</v>
      </c>
      <c r="AN1084" s="7">
        <v>285.95999999999998</v>
      </c>
      <c r="AO1084" s="8">
        <f t="shared" si="51"/>
        <v>536.17499999999995</v>
      </c>
      <c r="AP1084" s="8">
        <f t="shared" si="52"/>
        <v>595.69042499999989</v>
      </c>
      <c r="AQ1084" s="9">
        <f t="shared" si="50"/>
        <v>868.54988249999985</v>
      </c>
    </row>
    <row r="1085" spans="1:43" x14ac:dyDescent="0.25">
      <c r="A1085">
        <v>3</v>
      </c>
      <c r="B1085">
        <v>4</v>
      </c>
      <c r="C1085">
        <v>2024</v>
      </c>
      <c r="D1085" t="s">
        <v>43</v>
      </c>
      <c r="E1085" t="s">
        <v>73</v>
      </c>
      <c r="F1085" t="s">
        <v>74</v>
      </c>
      <c r="G1085">
        <v>68</v>
      </c>
      <c r="H1085">
        <v>1791882490001</v>
      </c>
      <c r="I1085" t="s">
        <v>46</v>
      </c>
      <c r="J1085" t="s">
        <v>65</v>
      </c>
      <c r="K1085" t="s">
        <v>48</v>
      </c>
      <c r="L1085" t="s">
        <v>49</v>
      </c>
      <c r="M1085" t="s">
        <v>50</v>
      </c>
      <c r="N1085" t="s">
        <v>51</v>
      </c>
      <c r="O1085">
        <v>8421392000</v>
      </c>
      <c r="P1085" t="s">
        <v>253</v>
      </c>
      <c r="Q1085" t="s">
        <v>254</v>
      </c>
      <c r="R1085" t="s">
        <v>54</v>
      </c>
      <c r="S1085" t="s">
        <v>55</v>
      </c>
      <c r="T1085">
        <v>6</v>
      </c>
      <c r="U1085">
        <v>1</v>
      </c>
      <c r="V1085" t="s">
        <v>135</v>
      </c>
      <c r="W1085">
        <v>0</v>
      </c>
      <c r="X1085">
        <v>285.95999999999998</v>
      </c>
      <c r="Y1085">
        <v>33.4</v>
      </c>
      <c r="Z1085">
        <v>1.87</v>
      </c>
      <c r="AA1085">
        <v>321.23</v>
      </c>
      <c r="AB1085" t="s">
        <v>57</v>
      </c>
      <c r="AC1085" t="s">
        <v>58</v>
      </c>
      <c r="AD1085" t="s">
        <v>48</v>
      </c>
      <c r="AE1085">
        <v>0</v>
      </c>
      <c r="AF1085">
        <v>1.33</v>
      </c>
      <c r="AG1085" t="s">
        <v>59</v>
      </c>
      <c r="AH1085">
        <v>438183</v>
      </c>
      <c r="AI1085" t="s">
        <v>60</v>
      </c>
      <c r="AJ1085" t="s">
        <v>60</v>
      </c>
      <c r="AK1085" t="s">
        <v>54</v>
      </c>
      <c r="AL1085">
        <v>2024</v>
      </c>
      <c r="AM1085" s="6" t="s">
        <v>1138</v>
      </c>
      <c r="AN1085" s="7">
        <v>285.95999999999998</v>
      </c>
      <c r="AO1085" s="8">
        <f t="shared" si="51"/>
        <v>536.17499999999995</v>
      </c>
      <c r="AP1085" s="8">
        <f t="shared" si="52"/>
        <v>595.69042499999989</v>
      </c>
      <c r="AQ1085" s="9">
        <f t="shared" si="50"/>
        <v>868.54988249999985</v>
      </c>
    </row>
    <row r="1086" spans="1:43" x14ac:dyDescent="0.25">
      <c r="A1086">
        <v>11</v>
      </c>
      <c r="B1086">
        <v>7</v>
      </c>
      <c r="C1086">
        <v>2024</v>
      </c>
      <c r="D1086" t="s">
        <v>43</v>
      </c>
      <c r="E1086" t="s">
        <v>116</v>
      </c>
      <c r="F1086" t="s">
        <v>117</v>
      </c>
      <c r="G1086">
        <v>51</v>
      </c>
      <c r="H1086">
        <v>1791882490001</v>
      </c>
      <c r="I1086" t="s">
        <v>46</v>
      </c>
      <c r="J1086" t="s">
        <v>48</v>
      </c>
      <c r="K1086" t="s">
        <v>48</v>
      </c>
      <c r="L1086" t="s">
        <v>119</v>
      </c>
      <c r="M1086" t="s">
        <v>120</v>
      </c>
      <c r="N1086" t="s">
        <v>121</v>
      </c>
      <c r="O1086">
        <v>8421392000</v>
      </c>
      <c r="P1086" t="s">
        <v>253</v>
      </c>
      <c r="Q1086" t="s">
        <v>254</v>
      </c>
      <c r="R1086" t="s">
        <v>54</v>
      </c>
      <c r="S1086" t="s">
        <v>55</v>
      </c>
      <c r="T1086">
        <v>9</v>
      </c>
      <c r="U1086">
        <v>1</v>
      </c>
      <c r="V1086" t="s">
        <v>135</v>
      </c>
      <c r="W1086">
        <v>0</v>
      </c>
      <c r="X1086">
        <v>376.4</v>
      </c>
      <c r="Y1086">
        <v>33.9</v>
      </c>
      <c r="Z1086">
        <v>2.5299999999999998</v>
      </c>
      <c r="AA1086">
        <v>412.83</v>
      </c>
      <c r="AB1086" t="s">
        <v>124</v>
      </c>
      <c r="AC1086" t="s">
        <v>125</v>
      </c>
      <c r="AD1086" t="s">
        <v>48</v>
      </c>
      <c r="AE1086">
        <v>0</v>
      </c>
      <c r="AF1086">
        <v>2.02</v>
      </c>
      <c r="AG1086" t="s">
        <v>59</v>
      </c>
      <c r="AH1086">
        <v>486256</v>
      </c>
      <c r="AI1086" t="s">
        <v>60</v>
      </c>
      <c r="AJ1086" t="s">
        <v>78</v>
      </c>
      <c r="AK1086" t="s">
        <v>54</v>
      </c>
      <c r="AL1086">
        <v>2024</v>
      </c>
      <c r="AM1086" s="6" t="s">
        <v>1139</v>
      </c>
      <c r="AN1086" s="7">
        <v>376.4</v>
      </c>
      <c r="AO1086" s="8">
        <f t="shared" si="51"/>
        <v>705.75</v>
      </c>
      <c r="AP1086" s="8">
        <f t="shared" si="52"/>
        <v>784.08825000000002</v>
      </c>
      <c r="AQ1086" s="9">
        <f t="shared" si="50"/>
        <v>1143.2444249999999</v>
      </c>
    </row>
    <row r="1087" spans="1:43" x14ac:dyDescent="0.25">
      <c r="A1087">
        <v>11</v>
      </c>
      <c r="B1087">
        <v>7</v>
      </c>
      <c r="C1087">
        <v>2024</v>
      </c>
      <c r="D1087" t="s">
        <v>43</v>
      </c>
      <c r="E1087" t="s">
        <v>116</v>
      </c>
      <c r="F1087" t="s">
        <v>117</v>
      </c>
      <c r="G1087">
        <v>52</v>
      </c>
      <c r="H1087">
        <v>1791882490001</v>
      </c>
      <c r="I1087" t="s">
        <v>46</v>
      </c>
      <c r="J1087" t="s">
        <v>48</v>
      </c>
      <c r="K1087" t="s">
        <v>48</v>
      </c>
      <c r="L1087" t="s">
        <v>119</v>
      </c>
      <c r="M1087" t="s">
        <v>120</v>
      </c>
      <c r="N1087" t="s">
        <v>121</v>
      </c>
      <c r="O1087">
        <v>8421392000</v>
      </c>
      <c r="P1087" t="s">
        <v>253</v>
      </c>
      <c r="Q1087" t="s">
        <v>254</v>
      </c>
      <c r="R1087" t="s">
        <v>54</v>
      </c>
      <c r="S1087" t="s">
        <v>55</v>
      </c>
      <c r="T1087">
        <v>9</v>
      </c>
      <c r="U1087">
        <v>1</v>
      </c>
      <c r="V1087" t="s">
        <v>135</v>
      </c>
      <c r="W1087">
        <v>0</v>
      </c>
      <c r="X1087">
        <v>376.4</v>
      </c>
      <c r="Y1087">
        <v>33.9</v>
      </c>
      <c r="Z1087">
        <v>2.5299999999999998</v>
      </c>
      <c r="AA1087">
        <v>412.83</v>
      </c>
      <c r="AB1087" t="s">
        <v>124</v>
      </c>
      <c r="AC1087" t="s">
        <v>125</v>
      </c>
      <c r="AD1087" t="s">
        <v>48</v>
      </c>
      <c r="AE1087">
        <v>0</v>
      </c>
      <c r="AF1087">
        <v>2.02</v>
      </c>
      <c r="AG1087" t="s">
        <v>59</v>
      </c>
      <c r="AH1087">
        <v>486256</v>
      </c>
      <c r="AI1087" t="s">
        <v>60</v>
      </c>
      <c r="AJ1087" t="s">
        <v>78</v>
      </c>
      <c r="AK1087" t="s">
        <v>54</v>
      </c>
      <c r="AL1087">
        <v>2024</v>
      </c>
      <c r="AM1087" s="6" t="s">
        <v>1139</v>
      </c>
      <c r="AN1087" s="7">
        <v>376.4</v>
      </c>
      <c r="AO1087" s="8">
        <f t="shared" si="51"/>
        <v>705.75</v>
      </c>
      <c r="AP1087" s="8">
        <f t="shared" si="52"/>
        <v>784.08825000000002</v>
      </c>
      <c r="AQ1087" s="9">
        <f t="shared" si="50"/>
        <v>1143.2444249999999</v>
      </c>
    </row>
    <row r="1088" spans="1:43" x14ac:dyDescent="0.25">
      <c r="A1088">
        <v>11</v>
      </c>
      <c r="B1088">
        <v>7</v>
      </c>
      <c r="C1088">
        <v>2024</v>
      </c>
      <c r="D1088" t="s">
        <v>43</v>
      </c>
      <c r="E1088" t="s">
        <v>116</v>
      </c>
      <c r="F1088" t="s">
        <v>117</v>
      </c>
      <c r="G1088">
        <v>44</v>
      </c>
      <c r="H1088">
        <v>1791882490001</v>
      </c>
      <c r="I1088" t="s">
        <v>46</v>
      </c>
      <c r="J1088" t="s">
        <v>48</v>
      </c>
      <c r="K1088" t="s">
        <v>48</v>
      </c>
      <c r="L1088" t="s">
        <v>119</v>
      </c>
      <c r="M1088" t="s">
        <v>120</v>
      </c>
      <c r="N1088" t="s">
        <v>121</v>
      </c>
      <c r="O1088">
        <v>8421392000</v>
      </c>
      <c r="P1088" t="s">
        <v>253</v>
      </c>
      <c r="Q1088" t="s">
        <v>254</v>
      </c>
      <c r="R1088" t="s">
        <v>54</v>
      </c>
      <c r="S1088" t="s">
        <v>55</v>
      </c>
      <c r="T1088">
        <v>9</v>
      </c>
      <c r="U1088">
        <v>1</v>
      </c>
      <c r="V1088" t="s">
        <v>135</v>
      </c>
      <c r="W1088">
        <v>0</v>
      </c>
      <c r="X1088">
        <v>494.35</v>
      </c>
      <c r="Y1088">
        <v>44.52</v>
      </c>
      <c r="Z1088">
        <v>3.32</v>
      </c>
      <c r="AA1088">
        <v>542.19000000000005</v>
      </c>
      <c r="AB1088" t="s">
        <v>124</v>
      </c>
      <c r="AC1088" t="s">
        <v>125</v>
      </c>
      <c r="AD1088" t="s">
        <v>48</v>
      </c>
      <c r="AE1088">
        <v>0</v>
      </c>
      <c r="AF1088">
        <v>2.02</v>
      </c>
      <c r="AG1088" t="s">
        <v>59</v>
      </c>
      <c r="AH1088">
        <v>486256</v>
      </c>
      <c r="AI1088" t="s">
        <v>60</v>
      </c>
      <c r="AJ1088" t="s">
        <v>78</v>
      </c>
      <c r="AK1088" t="s">
        <v>54</v>
      </c>
      <c r="AL1088">
        <v>2024</v>
      </c>
      <c r="AM1088" s="6" t="s">
        <v>1140</v>
      </c>
      <c r="AN1088" s="7">
        <v>494.35</v>
      </c>
      <c r="AO1088" s="8">
        <f t="shared" si="51"/>
        <v>926.90625</v>
      </c>
      <c r="AP1088" s="8">
        <f t="shared" si="52"/>
        <v>1029.79284375</v>
      </c>
      <c r="AQ1088" s="9">
        <f t="shared" si="50"/>
        <v>1501.4954343749998</v>
      </c>
    </row>
    <row r="1089" spans="1:43" x14ac:dyDescent="0.25">
      <c r="A1089">
        <v>17</v>
      </c>
      <c r="B1089">
        <v>5</v>
      </c>
      <c r="C1089">
        <v>2024</v>
      </c>
      <c r="D1089" t="s">
        <v>43</v>
      </c>
      <c r="E1089" t="s">
        <v>79</v>
      </c>
      <c r="F1089" t="s">
        <v>80</v>
      </c>
      <c r="G1089">
        <v>63</v>
      </c>
      <c r="H1089">
        <v>1791882490001</v>
      </c>
      <c r="I1089" t="s">
        <v>46</v>
      </c>
      <c r="J1089" t="s">
        <v>48</v>
      </c>
      <c r="K1089" t="s">
        <v>48</v>
      </c>
      <c r="L1089" t="s">
        <v>49</v>
      </c>
      <c r="M1089" t="s">
        <v>50</v>
      </c>
      <c r="N1089" t="s">
        <v>51</v>
      </c>
      <c r="O1089">
        <v>8421392000</v>
      </c>
      <c r="P1089" t="s">
        <v>253</v>
      </c>
      <c r="Q1089" t="s">
        <v>1141</v>
      </c>
      <c r="R1089" t="s">
        <v>54</v>
      </c>
      <c r="S1089" t="s">
        <v>55</v>
      </c>
      <c r="T1089">
        <v>6</v>
      </c>
      <c r="U1089">
        <v>1</v>
      </c>
      <c r="V1089" t="s">
        <v>135</v>
      </c>
      <c r="W1089">
        <v>0</v>
      </c>
      <c r="X1089">
        <v>1114.3699999999999</v>
      </c>
      <c r="Y1089">
        <v>107.58</v>
      </c>
      <c r="Z1089">
        <v>7.42</v>
      </c>
      <c r="AA1089">
        <v>1229.3699999999999</v>
      </c>
      <c r="AB1089" t="s">
        <v>57</v>
      </c>
      <c r="AC1089" t="s">
        <v>81</v>
      </c>
      <c r="AD1089" t="s">
        <v>48</v>
      </c>
      <c r="AE1089">
        <v>0</v>
      </c>
      <c r="AF1089">
        <v>1.08</v>
      </c>
      <c r="AG1089" t="s">
        <v>82</v>
      </c>
      <c r="AH1089">
        <v>471463</v>
      </c>
      <c r="AI1089" t="s">
        <v>60</v>
      </c>
      <c r="AJ1089" t="s">
        <v>60</v>
      </c>
      <c r="AK1089" t="s">
        <v>54</v>
      </c>
      <c r="AL1089">
        <v>2024</v>
      </c>
      <c r="AM1089" s="6" t="s">
        <v>1142</v>
      </c>
      <c r="AN1089" s="7">
        <v>1114.3699999999999</v>
      </c>
      <c r="AO1089" s="8">
        <f t="shared" si="51"/>
        <v>2089.4437499999999</v>
      </c>
      <c r="AP1089" s="8">
        <f t="shared" si="52"/>
        <v>2321.3720062499997</v>
      </c>
      <c r="AQ1089" s="9">
        <f t="shared" si="50"/>
        <v>3384.6899306249998</v>
      </c>
    </row>
    <row r="1090" spans="1:43" x14ac:dyDescent="0.25">
      <c r="A1090">
        <v>26</v>
      </c>
      <c r="B1090">
        <v>9</v>
      </c>
      <c r="C1090">
        <v>2024</v>
      </c>
      <c r="D1090" t="s">
        <v>43</v>
      </c>
      <c r="E1090" t="s">
        <v>1110</v>
      </c>
      <c r="F1090" t="s">
        <v>1111</v>
      </c>
      <c r="G1090">
        <v>5</v>
      </c>
      <c r="H1090">
        <v>1791882490001</v>
      </c>
      <c r="I1090" t="s">
        <v>46</v>
      </c>
      <c r="J1090" t="s">
        <v>133</v>
      </c>
      <c r="K1090" t="s">
        <v>48</v>
      </c>
      <c r="L1090" t="s">
        <v>119</v>
      </c>
      <c r="M1090" t="s">
        <v>120</v>
      </c>
      <c r="N1090" t="s">
        <v>121</v>
      </c>
      <c r="O1090">
        <v>8414802100</v>
      </c>
      <c r="P1090" t="s">
        <v>1143</v>
      </c>
      <c r="Q1090" t="s">
        <v>1144</v>
      </c>
      <c r="R1090" t="s">
        <v>54</v>
      </c>
      <c r="S1090" t="s">
        <v>55</v>
      </c>
      <c r="T1090">
        <v>5</v>
      </c>
      <c r="U1090">
        <v>1</v>
      </c>
      <c r="V1090" t="s">
        <v>135</v>
      </c>
      <c r="W1090">
        <v>0</v>
      </c>
      <c r="X1090">
        <v>1852.93</v>
      </c>
      <c r="Y1090">
        <v>40.39</v>
      </c>
      <c r="Z1090">
        <v>12.03</v>
      </c>
      <c r="AA1090">
        <v>1905.35</v>
      </c>
      <c r="AB1090" t="s">
        <v>124</v>
      </c>
      <c r="AC1090" t="s">
        <v>125</v>
      </c>
      <c r="AD1090" t="s">
        <v>48</v>
      </c>
      <c r="AE1090">
        <v>0</v>
      </c>
      <c r="AF1090">
        <v>67</v>
      </c>
      <c r="AG1090" t="s">
        <v>59</v>
      </c>
      <c r="AH1090">
        <v>34467</v>
      </c>
      <c r="AI1090" t="s">
        <v>1144</v>
      </c>
      <c r="AJ1090" t="s">
        <v>1144</v>
      </c>
      <c r="AK1090" t="s">
        <v>54</v>
      </c>
      <c r="AL1090">
        <v>2024</v>
      </c>
      <c r="AM1090" s="6" t="s">
        <v>1145</v>
      </c>
      <c r="AN1090" s="7">
        <v>1852.93</v>
      </c>
      <c r="AO1090" s="8">
        <f t="shared" si="51"/>
        <v>3474.2437500000001</v>
      </c>
      <c r="AP1090" s="8">
        <f t="shared" si="52"/>
        <v>3859.8848062500001</v>
      </c>
      <c r="AQ1090" s="9">
        <f t="shared" si="50"/>
        <v>5627.9274506249994</v>
      </c>
    </row>
    <row r="1091" spans="1:43" x14ac:dyDescent="0.25">
      <c r="A1091">
        <v>26</v>
      </c>
      <c r="B1091">
        <v>9</v>
      </c>
      <c r="C1091">
        <v>2024</v>
      </c>
      <c r="D1091" t="s">
        <v>43</v>
      </c>
      <c r="E1091" t="s">
        <v>1110</v>
      </c>
      <c r="F1091" t="s">
        <v>1111</v>
      </c>
      <c r="G1091">
        <v>4</v>
      </c>
      <c r="H1091">
        <v>1791882490001</v>
      </c>
      <c r="I1091" t="s">
        <v>46</v>
      </c>
      <c r="J1091" t="s">
        <v>133</v>
      </c>
      <c r="K1091" t="s">
        <v>48</v>
      </c>
      <c r="L1091" t="s">
        <v>119</v>
      </c>
      <c r="M1091" t="s">
        <v>120</v>
      </c>
      <c r="N1091" t="s">
        <v>121</v>
      </c>
      <c r="O1091">
        <v>8414802100</v>
      </c>
      <c r="P1091" t="s">
        <v>1143</v>
      </c>
      <c r="Q1091" t="s">
        <v>1144</v>
      </c>
      <c r="R1091" t="s">
        <v>54</v>
      </c>
      <c r="S1091" t="s">
        <v>55</v>
      </c>
      <c r="T1091">
        <v>5</v>
      </c>
      <c r="U1091">
        <v>1</v>
      </c>
      <c r="V1091" t="s">
        <v>135</v>
      </c>
      <c r="W1091">
        <v>0</v>
      </c>
      <c r="X1091">
        <v>1852.93</v>
      </c>
      <c r="Y1091">
        <v>40.39</v>
      </c>
      <c r="Z1091">
        <v>12.03</v>
      </c>
      <c r="AA1091">
        <v>1905.35</v>
      </c>
      <c r="AB1091" t="s">
        <v>124</v>
      </c>
      <c r="AC1091" t="s">
        <v>125</v>
      </c>
      <c r="AD1091" t="s">
        <v>48</v>
      </c>
      <c r="AE1091">
        <v>0</v>
      </c>
      <c r="AF1091">
        <v>67</v>
      </c>
      <c r="AG1091" t="s">
        <v>59</v>
      </c>
      <c r="AH1091">
        <v>34467</v>
      </c>
      <c r="AI1091" t="s">
        <v>1144</v>
      </c>
      <c r="AJ1091" t="s">
        <v>1144</v>
      </c>
      <c r="AK1091" t="s">
        <v>54</v>
      </c>
      <c r="AL1091">
        <v>2024</v>
      </c>
      <c r="AM1091" s="6" t="s">
        <v>1146</v>
      </c>
      <c r="AN1091" s="7">
        <v>1852.93</v>
      </c>
      <c r="AO1091" s="8">
        <f t="shared" si="51"/>
        <v>3474.2437500000001</v>
      </c>
      <c r="AP1091" s="8">
        <f t="shared" si="52"/>
        <v>3859.8848062500001</v>
      </c>
      <c r="AQ1091" s="9">
        <f t="shared" ref="AQ1091:AQ1121" si="53">SUM(AO1091)*1.6199</f>
        <v>5627.9274506249994</v>
      </c>
    </row>
    <row r="1092" spans="1:43" x14ac:dyDescent="0.25">
      <c r="A1092">
        <v>24</v>
      </c>
      <c r="B1092">
        <v>9</v>
      </c>
      <c r="C1092">
        <v>2024</v>
      </c>
      <c r="D1092" t="s">
        <v>43</v>
      </c>
      <c r="E1092" t="s">
        <v>1105</v>
      </c>
      <c r="F1092" t="s">
        <v>1106</v>
      </c>
      <c r="G1092">
        <v>4</v>
      </c>
      <c r="H1092">
        <v>1791882490001</v>
      </c>
      <c r="I1092" t="s">
        <v>46</v>
      </c>
      <c r="J1092" t="s">
        <v>133</v>
      </c>
      <c r="K1092" t="s">
        <v>48</v>
      </c>
      <c r="L1092" t="s">
        <v>119</v>
      </c>
      <c r="M1092" t="s">
        <v>120</v>
      </c>
      <c r="N1092" t="s">
        <v>121</v>
      </c>
      <c r="O1092">
        <v>8414802100</v>
      </c>
      <c r="P1092" t="s">
        <v>1143</v>
      </c>
      <c r="Q1092" t="s">
        <v>1144</v>
      </c>
      <c r="R1092" t="s">
        <v>54</v>
      </c>
      <c r="S1092" t="s">
        <v>55</v>
      </c>
      <c r="T1092">
        <v>8</v>
      </c>
      <c r="U1092">
        <v>1</v>
      </c>
      <c r="V1092" t="s">
        <v>135</v>
      </c>
      <c r="W1092">
        <v>0</v>
      </c>
      <c r="X1092">
        <v>3959.32</v>
      </c>
      <c r="Y1092">
        <v>205.07</v>
      </c>
      <c r="Z1092">
        <v>25.71</v>
      </c>
      <c r="AA1092">
        <v>4190.1099999999997</v>
      </c>
      <c r="AB1092" t="s">
        <v>124</v>
      </c>
      <c r="AC1092" t="s">
        <v>125</v>
      </c>
      <c r="AD1092" t="s">
        <v>48</v>
      </c>
      <c r="AE1092">
        <v>0</v>
      </c>
      <c r="AF1092">
        <v>374.63</v>
      </c>
      <c r="AG1092" t="s">
        <v>59</v>
      </c>
      <c r="AH1092">
        <v>34533</v>
      </c>
      <c r="AI1092" t="s">
        <v>1144</v>
      </c>
      <c r="AJ1092" t="s">
        <v>1144</v>
      </c>
      <c r="AK1092" t="s">
        <v>54</v>
      </c>
      <c r="AL1092">
        <v>2024</v>
      </c>
      <c r="AM1092" s="6" t="s">
        <v>1147</v>
      </c>
      <c r="AN1092" s="7">
        <v>3959.32</v>
      </c>
      <c r="AO1092" s="8">
        <f t="shared" si="51"/>
        <v>7423.7250000000004</v>
      </c>
      <c r="AP1092" s="8">
        <f t="shared" si="52"/>
        <v>8247.7584750000005</v>
      </c>
      <c r="AQ1092" s="9">
        <f t="shared" si="53"/>
        <v>12025.6921275</v>
      </c>
    </row>
    <row r="1093" spans="1:43" x14ac:dyDescent="0.25">
      <c r="A1093">
        <v>24</v>
      </c>
      <c r="B1093">
        <v>9</v>
      </c>
      <c r="C1093">
        <v>2024</v>
      </c>
      <c r="D1093" t="s">
        <v>43</v>
      </c>
      <c r="E1093" t="s">
        <v>1105</v>
      </c>
      <c r="F1093" t="s">
        <v>1106</v>
      </c>
      <c r="G1093">
        <v>5</v>
      </c>
      <c r="H1093">
        <v>1791882490001</v>
      </c>
      <c r="I1093" t="s">
        <v>46</v>
      </c>
      <c r="J1093" t="s">
        <v>133</v>
      </c>
      <c r="K1093" t="s">
        <v>48</v>
      </c>
      <c r="L1093" t="s">
        <v>119</v>
      </c>
      <c r="M1093" t="s">
        <v>120</v>
      </c>
      <c r="N1093" t="s">
        <v>121</v>
      </c>
      <c r="O1093">
        <v>8414802200</v>
      </c>
      <c r="P1093" t="s">
        <v>1148</v>
      </c>
      <c r="Q1093" t="s">
        <v>1144</v>
      </c>
      <c r="R1093" t="s">
        <v>54</v>
      </c>
      <c r="S1093" t="s">
        <v>55</v>
      </c>
      <c r="T1093">
        <v>8</v>
      </c>
      <c r="U1093">
        <v>1</v>
      </c>
      <c r="V1093" t="s">
        <v>135</v>
      </c>
      <c r="W1093">
        <v>0</v>
      </c>
      <c r="X1093">
        <v>4202.8500000000004</v>
      </c>
      <c r="Y1093">
        <v>217.68</v>
      </c>
      <c r="Z1093">
        <v>27.29</v>
      </c>
      <c r="AA1093">
        <v>4447.83</v>
      </c>
      <c r="AB1093" t="s">
        <v>124</v>
      </c>
      <c r="AC1093" t="s">
        <v>125</v>
      </c>
      <c r="AD1093" t="s">
        <v>48</v>
      </c>
      <c r="AE1093">
        <v>0</v>
      </c>
      <c r="AF1093">
        <v>374.63</v>
      </c>
      <c r="AG1093" t="s">
        <v>59</v>
      </c>
      <c r="AH1093">
        <v>34533</v>
      </c>
      <c r="AI1093" t="s">
        <v>1144</v>
      </c>
      <c r="AJ1093" t="s">
        <v>1144</v>
      </c>
      <c r="AK1093" t="s">
        <v>54</v>
      </c>
      <c r="AL1093">
        <v>2024</v>
      </c>
      <c r="AM1093" s="6" t="s">
        <v>1149</v>
      </c>
      <c r="AN1093" s="7">
        <v>4202.8500000000004</v>
      </c>
      <c r="AO1093" s="8">
        <f t="shared" si="51"/>
        <v>7880.3437500000009</v>
      </c>
      <c r="AP1093" s="8">
        <f t="shared" si="52"/>
        <v>8755.0619062500009</v>
      </c>
      <c r="AQ1093" s="9">
        <f t="shared" si="53"/>
        <v>12765.368840625</v>
      </c>
    </row>
    <row r="1094" spans="1:43" x14ac:dyDescent="0.25">
      <c r="A1094">
        <v>11</v>
      </c>
      <c r="B1094">
        <v>3</v>
      </c>
      <c r="C1094">
        <v>2024</v>
      </c>
      <c r="D1094" t="s">
        <v>43</v>
      </c>
      <c r="E1094" t="s">
        <v>1150</v>
      </c>
      <c r="F1094" t="s">
        <v>1151</v>
      </c>
      <c r="G1094">
        <v>2</v>
      </c>
      <c r="H1094">
        <v>1791882490001</v>
      </c>
      <c r="I1094" t="s">
        <v>46</v>
      </c>
      <c r="J1094" t="s">
        <v>133</v>
      </c>
      <c r="K1094" t="s">
        <v>48</v>
      </c>
      <c r="L1094" t="s">
        <v>119</v>
      </c>
      <c r="M1094" t="s">
        <v>120</v>
      </c>
      <c r="N1094" t="s">
        <v>121</v>
      </c>
      <c r="O1094">
        <v>8414802100</v>
      </c>
      <c r="P1094" t="s">
        <v>1143</v>
      </c>
      <c r="Q1094" t="s">
        <v>1152</v>
      </c>
      <c r="R1094" t="s">
        <v>54</v>
      </c>
      <c r="S1094" t="s">
        <v>55</v>
      </c>
      <c r="T1094">
        <v>5</v>
      </c>
      <c r="U1094">
        <v>1</v>
      </c>
      <c r="V1094" t="s">
        <v>135</v>
      </c>
      <c r="W1094">
        <v>0</v>
      </c>
      <c r="X1094">
        <v>3176.67</v>
      </c>
      <c r="Y1094">
        <v>154.66</v>
      </c>
      <c r="Z1094">
        <v>20.27</v>
      </c>
      <c r="AA1094">
        <v>3351.59</v>
      </c>
      <c r="AB1094" t="s">
        <v>54</v>
      </c>
      <c r="AC1094" t="s">
        <v>1153</v>
      </c>
      <c r="AD1094" t="s">
        <v>48</v>
      </c>
      <c r="AE1094">
        <v>1</v>
      </c>
      <c r="AF1094">
        <v>226</v>
      </c>
      <c r="AG1094" t="s">
        <v>59</v>
      </c>
      <c r="AH1094">
        <v>46605</v>
      </c>
      <c r="AI1094" t="s">
        <v>1152</v>
      </c>
      <c r="AJ1094" t="s">
        <v>1152</v>
      </c>
      <c r="AK1094" t="s">
        <v>54</v>
      </c>
      <c r="AL1094">
        <v>2024</v>
      </c>
      <c r="AM1094" s="6" t="s">
        <v>1154</v>
      </c>
      <c r="AN1094" s="7">
        <v>3176.67</v>
      </c>
      <c r="AO1094" s="8">
        <f t="shared" si="51"/>
        <v>5956.2562500000004</v>
      </c>
      <c r="AP1094" s="8">
        <f t="shared" si="52"/>
        <v>6617.4006937500008</v>
      </c>
      <c r="AQ1094" s="9">
        <f t="shared" si="53"/>
        <v>9648.5394993749997</v>
      </c>
    </row>
    <row r="1095" spans="1:43" x14ac:dyDescent="0.25">
      <c r="A1095">
        <v>11</v>
      </c>
      <c r="B1095">
        <v>3</v>
      </c>
      <c r="C1095">
        <v>2024</v>
      </c>
      <c r="D1095" t="s">
        <v>43</v>
      </c>
      <c r="E1095" t="s">
        <v>1150</v>
      </c>
      <c r="F1095" t="s">
        <v>1151</v>
      </c>
      <c r="G1095">
        <v>3</v>
      </c>
      <c r="H1095">
        <v>1791882490001</v>
      </c>
      <c r="I1095" t="s">
        <v>46</v>
      </c>
      <c r="J1095" t="s">
        <v>133</v>
      </c>
      <c r="K1095" t="s">
        <v>48</v>
      </c>
      <c r="L1095" t="s">
        <v>119</v>
      </c>
      <c r="M1095" t="s">
        <v>120</v>
      </c>
      <c r="N1095" t="s">
        <v>121</v>
      </c>
      <c r="O1095">
        <v>8414802100</v>
      </c>
      <c r="P1095" t="s">
        <v>1143</v>
      </c>
      <c r="Q1095" t="s">
        <v>1152</v>
      </c>
      <c r="R1095" t="s">
        <v>54</v>
      </c>
      <c r="S1095" t="s">
        <v>55</v>
      </c>
      <c r="T1095">
        <v>5</v>
      </c>
      <c r="U1095">
        <v>1</v>
      </c>
      <c r="V1095" t="s">
        <v>135</v>
      </c>
      <c r="W1095">
        <v>0</v>
      </c>
      <c r="X1095">
        <v>4203.42</v>
      </c>
      <c r="Y1095">
        <v>204.64</v>
      </c>
      <c r="Z1095">
        <v>26.82</v>
      </c>
      <c r="AA1095">
        <v>4434.88</v>
      </c>
      <c r="AB1095" t="s">
        <v>54</v>
      </c>
      <c r="AC1095" t="s">
        <v>1153</v>
      </c>
      <c r="AD1095" t="s">
        <v>48</v>
      </c>
      <c r="AE1095">
        <v>1</v>
      </c>
      <c r="AF1095">
        <v>218</v>
      </c>
      <c r="AG1095" t="s">
        <v>59</v>
      </c>
      <c r="AH1095">
        <v>46605</v>
      </c>
      <c r="AI1095" t="s">
        <v>1152</v>
      </c>
      <c r="AJ1095" t="s">
        <v>1152</v>
      </c>
      <c r="AK1095" t="s">
        <v>54</v>
      </c>
      <c r="AL1095">
        <v>2024</v>
      </c>
      <c r="AM1095" s="6" t="s">
        <v>1155</v>
      </c>
      <c r="AN1095" s="7">
        <v>4203.42</v>
      </c>
      <c r="AO1095" s="8">
        <f t="shared" si="51"/>
        <v>7881.4125000000004</v>
      </c>
      <c r="AP1095" s="8">
        <f t="shared" si="52"/>
        <v>8756.2492875000007</v>
      </c>
      <c r="AQ1095" s="9">
        <f t="shared" si="53"/>
        <v>12767.100108749999</v>
      </c>
    </row>
    <row r="1096" spans="1:43" x14ac:dyDescent="0.25">
      <c r="A1096">
        <v>11</v>
      </c>
      <c r="B1096">
        <v>3</v>
      </c>
      <c r="C1096">
        <v>2024</v>
      </c>
      <c r="D1096" t="s">
        <v>43</v>
      </c>
      <c r="E1096" t="s">
        <v>1150</v>
      </c>
      <c r="F1096" t="s">
        <v>1151</v>
      </c>
      <c r="G1096">
        <v>4</v>
      </c>
      <c r="H1096">
        <v>1791882490001</v>
      </c>
      <c r="I1096" t="s">
        <v>46</v>
      </c>
      <c r="J1096" t="s">
        <v>133</v>
      </c>
      <c r="K1096" t="s">
        <v>48</v>
      </c>
      <c r="L1096" t="s">
        <v>119</v>
      </c>
      <c r="M1096" t="s">
        <v>120</v>
      </c>
      <c r="N1096" t="s">
        <v>121</v>
      </c>
      <c r="O1096">
        <v>8414802100</v>
      </c>
      <c r="P1096" t="s">
        <v>1143</v>
      </c>
      <c r="Q1096" t="s">
        <v>1152</v>
      </c>
      <c r="R1096" t="s">
        <v>54</v>
      </c>
      <c r="S1096" t="s">
        <v>55</v>
      </c>
      <c r="T1096">
        <v>5</v>
      </c>
      <c r="U1096">
        <v>1</v>
      </c>
      <c r="V1096" t="s">
        <v>135</v>
      </c>
      <c r="W1096">
        <v>0</v>
      </c>
      <c r="X1096">
        <v>4203.42</v>
      </c>
      <c r="Y1096">
        <v>204.64</v>
      </c>
      <c r="Z1096">
        <v>26.82</v>
      </c>
      <c r="AA1096">
        <v>4434.88</v>
      </c>
      <c r="AB1096" t="s">
        <v>54</v>
      </c>
      <c r="AC1096" t="s">
        <v>1153</v>
      </c>
      <c r="AD1096" t="s">
        <v>48</v>
      </c>
      <c r="AE1096">
        <v>1</v>
      </c>
      <c r="AF1096">
        <v>218</v>
      </c>
      <c r="AG1096" t="s">
        <v>59</v>
      </c>
      <c r="AH1096">
        <v>46605</v>
      </c>
      <c r="AI1096" t="s">
        <v>1152</v>
      </c>
      <c r="AJ1096" t="s">
        <v>1152</v>
      </c>
      <c r="AK1096" t="s">
        <v>54</v>
      </c>
      <c r="AL1096">
        <v>2024</v>
      </c>
      <c r="AM1096" s="6" t="s">
        <v>1155</v>
      </c>
      <c r="AN1096" s="7">
        <v>4203.42</v>
      </c>
      <c r="AO1096" s="8">
        <f t="shared" si="51"/>
        <v>7881.4125000000004</v>
      </c>
      <c r="AP1096" s="8">
        <f t="shared" si="52"/>
        <v>8756.2492875000007</v>
      </c>
      <c r="AQ1096" s="9">
        <f t="shared" si="53"/>
        <v>12767.100108749999</v>
      </c>
    </row>
    <row r="1097" spans="1:43" x14ac:dyDescent="0.25">
      <c r="A1097">
        <v>24</v>
      </c>
      <c r="B1097">
        <v>9</v>
      </c>
      <c r="C1097">
        <v>2024</v>
      </c>
      <c r="D1097" t="s">
        <v>43</v>
      </c>
      <c r="E1097" t="s">
        <v>1105</v>
      </c>
      <c r="F1097" t="s">
        <v>1106</v>
      </c>
      <c r="G1097">
        <v>6</v>
      </c>
      <c r="H1097">
        <v>1791882490001</v>
      </c>
      <c r="I1097" t="s">
        <v>46</v>
      </c>
      <c r="J1097" t="s">
        <v>133</v>
      </c>
      <c r="K1097" t="s">
        <v>48</v>
      </c>
      <c r="L1097" t="s">
        <v>119</v>
      </c>
      <c r="M1097" t="s">
        <v>120</v>
      </c>
      <c r="N1097" t="s">
        <v>121</v>
      </c>
      <c r="O1097">
        <v>8414802100</v>
      </c>
      <c r="P1097" t="s">
        <v>1143</v>
      </c>
      <c r="Q1097" t="s">
        <v>1152</v>
      </c>
      <c r="R1097" t="s">
        <v>54</v>
      </c>
      <c r="S1097" t="s">
        <v>55</v>
      </c>
      <c r="T1097">
        <v>8</v>
      </c>
      <c r="U1097">
        <v>1</v>
      </c>
      <c r="V1097" t="s">
        <v>135</v>
      </c>
      <c r="W1097">
        <v>0</v>
      </c>
      <c r="X1097">
        <v>4389.62</v>
      </c>
      <c r="Y1097">
        <v>227.36</v>
      </c>
      <c r="Z1097">
        <v>28.51</v>
      </c>
      <c r="AA1097">
        <v>4645.4799999999996</v>
      </c>
      <c r="AB1097" t="s">
        <v>124</v>
      </c>
      <c r="AC1097" t="s">
        <v>125</v>
      </c>
      <c r="AD1097" t="s">
        <v>48</v>
      </c>
      <c r="AE1097">
        <v>0</v>
      </c>
      <c r="AF1097">
        <v>374.63</v>
      </c>
      <c r="AG1097" t="s">
        <v>59</v>
      </c>
      <c r="AH1097">
        <v>34533</v>
      </c>
      <c r="AI1097" t="s">
        <v>1152</v>
      </c>
      <c r="AJ1097" t="s">
        <v>1152</v>
      </c>
      <c r="AK1097" t="s">
        <v>54</v>
      </c>
      <c r="AL1097">
        <v>2024</v>
      </c>
      <c r="AM1097" s="6" t="s">
        <v>1156</v>
      </c>
      <c r="AN1097" s="7">
        <v>4389.62</v>
      </c>
      <c r="AO1097" s="8">
        <f t="shared" si="51"/>
        <v>8230.5375000000004</v>
      </c>
      <c r="AP1097" s="8">
        <f t="shared" si="52"/>
        <v>9144.1271625000008</v>
      </c>
      <c r="AQ1097" s="9">
        <f t="shared" si="53"/>
        <v>13332.64769625</v>
      </c>
    </row>
    <row r="1098" spans="1:43" x14ac:dyDescent="0.25">
      <c r="A1098">
        <v>11</v>
      </c>
      <c r="B1098">
        <v>3</v>
      </c>
      <c r="C1098">
        <v>2024</v>
      </c>
      <c r="D1098" t="s">
        <v>43</v>
      </c>
      <c r="E1098" t="s">
        <v>1150</v>
      </c>
      <c r="F1098" t="s">
        <v>1151</v>
      </c>
      <c r="G1098">
        <v>1</v>
      </c>
      <c r="H1098">
        <v>1791882490001</v>
      </c>
      <c r="I1098" t="s">
        <v>46</v>
      </c>
      <c r="J1098" t="s">
        <v>48</v>
      </c>
      <c r="K1098" t="s">
        <v>48</v>
      </c>
      <c r="L1098" t="s">
        <v>119</v>
      </c>
      <c r="M1098" t="s">
        <v>120</v>
      </c>
      <c r="N1098" t="s">
        <v>121</v>
      </c>
      <c r="O1098">
        <v>8414802200</v>
      </c>
      <c r="P1098" t="s">
        <v>1148</v>
      </c>
      <c r="Q1098" t="s">
        <v>1152</v>
      </c>
      <c r="R1098" t="s">
        <v>54</v>
      </c>
      <c r="S1098" t="s">
        <v>55</v>
      </c>
      <c r="T1098">
        <v>5</v>
      </c>
      <c r="U1098">
        <v>1</v>
      </c>
      <c r="V1098" t="s">
        <v>135</v>
      </c>
      <c r="W1098">
        <v>0</v>
      </c>
      <c r="X1098">
        <v>39210.949999999997</v>
      </c>
      <c r="Y1098">
        <v>1908.98</v>
      </c>
      <c r="Z1098">
        <v>250.17</v>
      </c>
      <c r="AA1098">
        <v>41370.11</v>
      </c>
      <c r="AB1098" t="s">
        <v>54</v>
      </c>
      <c r="AC1098" t="s">
        <v>1153</v>
      </c>
      <c r="AD1098" t="s">
        <v>48</v>
      </c>
      <c r="AE1098">
        <v>1</v>
      </c>
      <c r="AF1098">
        <v>1276</v>
      </c>
      <c r="AG1098" t="s">
        <v>59</v>
      </c>
      <c r="AH1098">
        <v>46605</v>
      </c>
      <c r="AI1098" t="s">
        <v>1152</v>
      </c>
      <c r="AJ1098" t="s">
        <v>1152</v>
      </c>
      <c r="AK1098" t="s">
        <v>54</v>
      </c>
      <c r="AL1098">
        <v>2024</v>
      </c>
      <c r="AM1098" s="6" t="s">
        <v>1157</v>
      </c>
      <c r="AN1098" s="7">
        <v>39210.949999999997</v>
      </c>
      <c r="AO1098" s="8">
        <f t="shared" si="51"/>
        <v>73520.53125</v>
      </c>
      <c r="AP1098" s="8">
        <f t="shared" si="52"/>
        <v>81681.310218750004</v>
      </c>
      <c r="AQ1098" s="9">
        <f t="shared" si="53"/>
        <v>119095.908571875</v>
      </c>
    </row>
    <row r="1099" spans="1:43" x14ac:dyDescent="0.25">
      <c r="A1099">
        <v>7</v>
      </c>
      <c r="B1099">
        <v>11</v>
      </c>
      <c r="C1099">
        <v>2024</v>
      </c>
      <c r="D1099" t="s">
        <v>43</v>
      </c>
      <c r="E1099" t="s">
        <v>1051</v>
      </c>
      <c r="F1099" t="s">
        <v>1052</v>
      </c>
      <c r="G1099">
        <v>1</v>
      </c>
      <c r="H1099">
        <v>1791882490001</v>
      </c>
      <c r="I1099" t="s">
        <v>46</v>
      </c>
      <c r="J1099" t="s">
        <v>48</v>
      </c>
      <c r="K1099" t="s">
        <v>48</v>
      </c>
      <c r="L1099" t="s">
        <v>119</v>
      </c>
      <c r="M1099" t="s">
        <v>120</v>
      </c>
      <c r="N1099" t="s">
        <v>121</v>
      </c>
      <c r="O1099">
        <v>8414802200</v>
      </c>
      <c r="P1099" t="s">
        <v>1158</v>
      </c>
      <c r="Q1099" t="s">
        <v>1152</v>
      </c>
      <c r="R1099" t="s">
        <v>54</v>
      </c>
      <c r="S1099" t="s">
        <v>55</v>
      </c>
      <c r="T1099">
        <v>3</v>
      </c>
      <c r="U1099">
        <v>1</v>
      </c>
      <c r="V1099" t="s">
        <v>135</v>
      </c>
      <c r="W1099">
        <v>0</v>
      </c>
      <c r="X1099">
        <v>26491.53</v>
      </c>
      <c r="Y1099">
        <v>1331.53</v>
      </c>
      <c r="Z1099">
        <v>171.78</v>
      </c>
      <c r="AA1099">
        <v>27994.84</v>
      </c>
      <c r="AB1099" t="s">
        <v>57</v>
      </c>
      <c r="AC1099" t="s">
        <v>125</v>
      </c>
      <c r="AD1099" t="s">
        <v>48</v>
      </c>
      <c r="AE1099">
        <v>0</v>
      </c>
      <c r="AF1099">
        <v>1331</v>
      </c>
      <c r="AG1099" t="s">
        <v>59</v>
      </c>
      <c r="AH1099">
        <v>58119</v>
      </c>
      <c r="AI1099" t="s">
        <v>1152</v>
      </c>
      <c r="AJ1099" t="s">
        <v>1152</v>
      </c>
      <c r="AK1099" t="s">
        <v>54</v>
      </c>
      <c r="AL1099">
        <v>2024</v>
      </c>
      <c r="AM1099" s="6" t="s">
        <v>1159</v>
      </c>
      <c r="AN1099" s="7">
        <v>26491.53</v>
      </c>
      <c r="AO1099" s="8">
        <f t="shared" si="51"/>
        <v>49671.618749999994</v>
      </c>
      <c r="AP1099" s="8">
        <f t="shared" si="52"/>
        <v>55185.168431249993</v>
      </c>
      <c r="AQ1099" s="9">
        <f t="shared" si="53"/>
        <v>80463.055213124986</v>
      </c>
    </row>
    <row r="1100" spans="1:43" x14ac:dyDescent="0.25">
      <c r="A1100">
        <v>1</v>
      </c>
      <c r="B1100">
        <v>10</v>
      </c>
      <c r="C1100">
        <v>2024</v>
      </c>
      <c r="D1100" t="s">
        <v>43</v>
      </c>
      <c r="E1100" t="s">
        <v>1115</v>
      </c>
      <c r="F1100" t="s">
        <v>1116</v>
      </c>
      <c r="G1100">
        <v>4</v>
      </c>
      <c r="H1100">
        <v>1791882490001</v>
      </c>
      <c r="I1100" t="s">
        <v>46</v>
      </c>
      <c r="J1100" t="s">
        <v>133</v>
      </c>
      <c r="K1100" t="s">
        <v>48</v>
      </c>
      <c r="L1100" t="s">
        <v>119</v>
      </c>
      <c r="M1100" t="s">
        <v>120</v>
      </c>
      <c r="N1100" t="s">
        <v>121</v>
      </c>
      <c r="O1100">
        <v>8414802100</v>
      </c>
      <c r="P1100" t="s">
        <v>1160</v>
      </c>
      <c r="Q1100" t="s">
        <v>1152</v>
      </c>
      <c r="R1100" t="s">
        <v>54</v>
      </c>
      <c r="S1100" t="s">
        <v>55</v>
      </c>
      <c r="T1100">
        <v>4</v>
      </c>
      <c r="U1100">
        <v>1</v>
      </c>
      <c r="V1100" t="s">
        <v>135</v>
      </c>
      <c r="W1100">
        <v>0</v>
      </c>
      <c r="X1100">
        <v>7505.5</v>
      </c>
      <c r="Y1100">
        <v>518.9</v>
      </c>
      <c r="Z1100">
        <v>50.03</v>
      </c>
      <c r="AA1100">
        <v>8074.43</v>
      </c>
      <c r="AB1100" t="s">
        <v>124</v>
      </c>
      <c r="AC1100" t="s">
        <v>541</v>
      </c>
      <c r="AD1100" t="s">
        <v>48</v>
      </c>
      <c r="AE1100">
        <v>0</v>
      </c>
      <c r="AF1100">
        <v>268.02999999999997</v>
      </c>
      <c r="AG1100" t="s">
        <v>59</v>
      </c>
      <c r="AH1100">
        <v>55798</v>
      </c>
      <c r="AI1100" t="s">
        <v>1152</v>
      </c>
      <c r="AJ1100" t="s">
        <v>1152</v>
      </c>
      <c r="AK1100" t="s">
        <v>54</v>
      </c>
      <c r="AL1100">
        <v>2024</v>
      </c>
      <c r="AM1100" s="6" t="s">
        <v>1161</v>
      </c>
      <c r="AN1100" s="7">
        <v>7505.5</v>
      </c>
      <c r="AO1100" s="8">
        <f t="shared" si="51"/>
        <v>14072.8125</v>
      </c>
      <c r="AP1100" s="8">
        <f t="shared" si="52"/>
        <v>15634.8946875</v>
      </c>
      <c r="AQ1100" s="9">
        <f t="shared" si="53"/>
        <v>22796.548968749998</v>
      </c>
    </row>
    <row r="1101" spans="1:43" x14ac:dyDescent="0.25">
      <c r="A1101">
        <v>7</v>
      </c>
      <c r="B1101">
        <v>11</v>
      </c>
      <c r="C1101">
        <v>2024</v>
      </c>
      <c r="D1101" t="s">
        <v>43</v>
      </c>
      <c r="E1101" t="s">
        <v>1051</v>
      </c>
      <c r="F1101" t="s">
        <v>1052</v>
      </c>
      <c r="G1101">
        <v>2</v>
      </c>
      <c r="H1101">
        <v>1791882490001</v>
      </c>
      <c r="I1101" t="s">
        <v>46</v>
      </c>
      <c r="J1101" t="s">
        <v>48</v>
      </c>
      <c r="K1101" t="s">
        <v>48</v>
      </c>
      <c r="L1101" t="s">
        <v>119</v>
      </c>
      <c r="M1101" t="s">
        <v>120</v>
      </c>
      <c r="N1101" t="s">
        <v>121</v>
      </c>
      <c r="O1101">
        <v>8414802200</v>
      </c>
      <c r="P1101" t="s">
        <v>1158</v>
      </c>
      <c r="Q1101" t="s">
        <v>1152</v>
      </c>
      <c r="R1101" t="s">
        <v>54</v>
      </c>
      <c r="S1101" t="s">
        <v>55</v>
      </c>
      <c r="T1101">
        <v>3</v>
      </c>
      <c r="U1101">
        <v>1</v>
      </c>
      <c r="V1101" t="s">
        <v>135</v>
      </c>
      <c r="W1101">
        <v>0</v>
      </c>
      <c r="X1101">
        <v>43653.41</v>
      </c>
      <c r="Y1101">
        <v>2194.13</v>
      </c>
      <c r="Z1101">
        <v>283.07</v>
      </c>
      <c r="AA1101">
        <v>46130.61</v>
      </c>
      <c r="AB1101" t="s">
        <v>57</v>
      </c>
      <c r="AC1101" t="s">
        <v>125</v>
      </c>
      <c r="AD1101" t="s">
        <v>48</v>
      </c>
      <c r="AE1101">
        <v>0</v>
      </c>
      <c r="AF1101">
        <v>1853</v>
      </c>
      <c r="AG1101" t="s">
        <v>59</v>
      </c>
      <c r="AH1101">
        <v>58119</v>
      </c>
      <c r="AI1101" t="s">
        <v>1152</v>
      </c>
      <c r="AJ1101" t="s">
        <v>1152</v>
      </c>
      <c r="AK1101" t="s">
        <v>54</v>
      </c>
      <c r="AL1101">
        <v>2024</v>
      </c>
      <c r="AM1101" s="6" t="s">
        <v>1162</v>
      </c>
      <c r="AN1101" s="7">
        <v>43653.41</v>
      </c>
      <c r="AO1101" s="8">
        <f t="shared" si="51"/>
        <v>81850.143750000003</v>
      </c>
      <c r="AP1101" s="8">
        <f t="shared" si="52"/>
        <v>90935.509706249999</v>
      </c>
      <c r="AQ1101" s="9">
        <f t="shared" si="53"/>
        <v>132589.047860625</v>
      </c>
    </row>
    <row r="1102" spans="1:43" x14ac:dyDescent="0.25">
      <c r="A1102">
        <v>11</v>
      </c>
      <c r="B1102">
        <v>7</v>
      </c>
      <c r="C1102">
        <v>2024</v>
      </c>
      <c r="D1102" t="s">
        <v>43</v>
      </c>
      <c r="E1102" t="s">
        <v>1101</v>
      </c>
      <c r="F1102" t="s">
        <v>1102</v>
      </c>
      <c r="G1102">
        <v>12</v>
      </c>
      <c r="H1102">
        <v>1791882490001</v>
      </c>
      <c r="I1102" t="s">
        <v>46</v>
      </c>
      <c r="J1102" t="s">
        <v>48</v>
      </c>
      <c r="K1102" t="s">
        <v>48</v>
      </c>
      <c r="L1102" t="s">
        <v>119</v>
      </c>
      <c r="M1102" t="s">
        <v>120</v>
      </c>
      <c r="N1102" t="s">
        <v>121</v>
      </c>
      <c r="O1102">
        <v>8414802200</v>
      </c>
      <c r="P1102" t="s">
        <v>1148</v>
      </c>
      <c r="Q1102" t="s">
        <v>1152</v>
      </c>
      <c r="R1102" t="s">
        <v>54</v>
      </c>
      <c r="S1102" t="s">
        <v>55</v>
      </c>
      <c r="T1102">
        <v>14</v>
      </c>
      <c r="U1102">
        <v>1</v>
      </c>
      <c r="V1102" t="s">
        <v>135</v>
      </c>
      <c r="W1102">
        <v>0</v>
      </c>
      <c r="X1102">
        <v>15756.99</v>
      </c>
      <c r="Y1102">
        <v>3159.79</v>
      </c>
      <c r="Z1102">
        <v>109.51</v>
      </c>
      <c r="AA1102">
        <v>19026.29</v>
      </c>
      <c r="AB1102" t="s">
        <v>124</v>
      </c>
      <c r="AC1102" t="s">
        <v>125</v>
      </c>
      <c r="AD1102" t="s">
        <v>48</v>
      </c>
      <c r="AE1102">
        <v>0</v>
      </c>
      <c r="AF1102">
        <v>935.24</v>
      </c>
      <c r="AG1102" t="s">
        <v>59</v>
      </c>
      <c r="AH1102">
        <v>52387</v>
      </c>
      <c r="AI1102" t="s">
        <v>1152</v>
      </c>
      <c r="AJ1102" t="s">
        <v>1152</v>
      </c>
      <c r="AK1102" t="s">
        <v>54</v>
      </c>
      <c r="AL1102">
        <v>2024</v>
      </c>
      <c r="AM1102" s="6" t="s">
        <v>1163</v>
      </c>
      <c r="AN1102" s="7">
        <v>15756.99</v>
      </c>
      <c r="AO1102" s="8">
        <f t="shared" si="51"/>
        <v>29544.356250000001</v>
      </c>
      <c r="AP1102" s="8">
        <f t="shared" si="52"/>
        <v>32823.77979375</v>
      </c>
      <c r="AQ1102" s="9">
        <f t="shared" si="53"/>
        <v>47858.902689374998</v>
      </c>
    </row>
    <row r="1103" spans="1:43" x14ac:dyDescent="0.25">
      <c r="A1103">
        <v>24</v>
      </c>
      <c r="B1103">
        <v>9</v>
      </c>
      <c r="C1103">
        <v>2024</v>
      </c>
      <c r="D1103" t="s">
        <v>43</v>
      </c>
      <c r="E1103" t="s">
        <v>1105</v>
      </c>
      <c r="F1103" t="s">
        <v>1106</v>
      </c>
      <c r="G1103">
        <v>7</v>
      </c>
      <c r="H1103">
        <v>1791882490001</v>
      </c>
      <c r="I1103" t="s">
        <v>46</v>
      </c>
      <c r="J1103" t="s">
        <v>48</v>
      </c>
      <c r="K1103" t="s">
        <v>48</v>
      </c>
      <c r="L1103" t="s">
        <v>119</v>
      </c>
      <c r="M1103" t="s">
        <v>120</v>
      </c>
      <c r="N1103" t="s">
        <v>121</v>
      </c>
      <c r="O1103">
        <v>8414802200</v>
      </c>
      <c r="P1103" t="s">
        <v>1148</v>
      </c>
      <c r="Q1103" t="s">
        <v>1152</v>
      </c>
      <c r="R1103" t="s">
        <v>54</v>
      </c>
      <c r="S1103" t="s">
        <v>55</v>
      </c>
      <c r="T1103">
        <v>8</v>
      </c>
      <c r="U1103">
        <v>1</v>
      </c>
      <c r="V1103" t="s">
        <v>135</v>
      </c>
      <c r="W1103">
        <v>0</v>
      </c>
      <c r="X1103">
        <v>15768.16</v>
      </c>
      <c r="Y1103">
        <v>816.71</v>
      </c>
      <c r="Z1103">
        <v>102.4</v>
      </c>
      <c r="AA1103">
        <v>16687.259999999998</v>
      </c>
      <c r="AB1103" t="s">
        <v>124</v>
      </c>
      <c r="AC1103" t="s">
        <v>125</v>
      </c>
      <c r="AD1103" t="s">
        <v>48</v>
      </c>
      <c r="AE1103">
        <v>0</v>
      </c>
      <c r="AF1103">
        <v>374.63</v>
      </c>
      <c r="AG1103" t="s">
        <v>59</v>
      </c>
      <c r="AH1103">
        <v>34533</v>
      </c>
      <c r="AI1103" t="s">
        <v>1152</v>
      </c>
      <c r="AJ1103" t="s">
        <v>1152</v>
      </c>
      <c r="AK1103" t="s">
        <v>54</v>
      </c>
      <c r="AL1103">
        <v>2024</v>
      </c>
      <c r="AM1103" s="6" t="s">
        <v>1164</v>
      </c>
      <c r="AN1103" s="7">
        <v>15768.16</v>
      </c>
      <c r="AO1103" s="8">
        <f t="shared" si="51"/>
        <v>29565.3</v>
      </c>
      <c r="AP1103" s="8">
        <f t="shared" si="52"/>
        <v>32847.048300000002</v>
      </c>
      <c r="AQ1103" s="9">
        <f t="shared" si="53"/>
        <v>47892.829469999997</v>
      </c>
    </row>
    <row r="1104" spans="1:43" x14ac:dyDescent="0.25">
      <c r="A1104">
        <v>11</v>
      </c>
      <c r="B1104">
        <v>7</v>
      </c>
      <c r="C1104">
        <v>2024</v>
      </c>
      <c r="D1104" t="s">
        <v>43</v>
      </c>
      <c r="E1104" t="s">
        <v>1101</v>
      </c>
      <c r="F1104" t="s">
        <v>1102</v>
      </c>
      <c r="G1104">
        <v>13</v>
      </c>
      <c r="H1104">
        <v>1791882490001</v>
      </c>
      <c r="I1104" t="s">
        <v>46</v>
      </c>
      <c r="J1104" t="s">
        <v>48</v>
      </c>
      <c r="K1104" t="s">
        <v>48</v>
      </c>
      <c r="L1104" t="s">
        <v>119</v>
      </c>
      <c r="M1104" t="s">
        <v>120</v>
      </c>
      <c r="N1104" t="s">
        <v>121</v>
      </c>
      <c r="O1104">
        <v>8414802200</v>
      </c>
      <c r="P1104" t="s">
        <v>1148</v>
      </c>
      <c r="Q1104" t="s">
        <v>1152</v>
      </c>
      <c r="R1104" t="s">
        <v>54</v>
      </c>
      <c r="S1104" t="s">
        <v>55</v>
      </c>
      <c r="T1104">
        <v>14</v>
      </c>
      <c r="U1104">
        <v>1</v>
      </c>
      <c r="V1104" t="s">
        <v>135</v>
      </c>
      <c r="W1104">
        <v>0</v>
      </c>
      <c r="X1104">
        <v>19296.650000000001</v>
      </c>
      <c r="Y1104">
        <v>3869.61</v>
      </c>
      <c r="Z1104">
        <v>134.11000000000001</v>
      </c>
      <c r="AA1104">
        <v>23300.37</v>
      </c>
      <c r="AB1104" t="s">
        <v>124</v>
      </c>
      <c r="AC1104" t="s">
        <v>125</v>
      </c>
      <c r="AD1104" t="s">
        <v>48</v>
      </c>
      <c r="AE1104">
        <v>0</v>
      </c>
      <c r="AF1104">
        <v>1145.3399999999999</v>
      </c>
      <c r="AG1104" t="s">
        <v>59</v>
      </c>
      <c r="AH1104">
        <v>52387</v>
      </c>
      <c r="AI1104" t="s">
        <v>1152</v>
      </c>
      <c r="AJ1104" t="s">
        <v>1152</v>
      </c>
      <c r="AK1104" t="s">
        <v>54</v>
      </c>
      <c r="AL1104">
        <v>2024</v>
      </c>
      <c r="AM1104" s="6" t="s">
        <v>1165</v>
      </c>
      <c r="AN1104" s="7">
        <v>19296.650000000001</v>
      </c>
      <c r="AO1104" s="8">
        <f t="shared" si="51"/>
        <v>36181.21875</v>
      </c>
      <c r="AP1104" s="8">
        <f t="shared" si="52"/>
        <v>40197.33403125</v>
      </c>
      <c r="AQ1104" s="9">
        <f t="shared" si="53"/>
        <v>58609.956253124998</v>
      </c>
    </row>
    <row r="1105" spans="1:43" x14ac:dyDescent="0.25">
      <c r="A1105">
        <v>24</v>
      </c>
      <c r="B1105">
        <v>9</v>
      </c>
      <c r="C1105">
        <v>2024</v>
      </c>
      <c r="D1105" t="s">
        <v>43</v>
      </c>
      <c r="E1105" t="s">
        <v>1105</v>
      </c>
      <c r="F1105" t="s">
        <v>1106</v>
      </c>
      <c r="G1105">
        <v>8</v>
      </c>
      <c r="H1105">
        <v>1791882490001</v>
      </c>
      <c r="I1105" t="s">
        <v>46</v>
      </c>
      <c r="J1105" t="s">
        <v>48</v>
      </c>
      <c r="K1105" t="s">
        <v>48</v>
      </c>
      <c r="L1105" t="s">
        <v>119</v>
      </c>
      <c r="M1105" t="s">
        <v>120</v>
      </c>
      <c r="N1105" t="s">
        <v>121</v>
      </c>
      <c r="O1105">
        <v>8414802200</v>
      </c>
      <c r="P1105" t="s">
        <v>1148</v>
      </c>
      <c r="Q1105" t="s">
        <v>1152</v>
      </c>
      <c r="R1105" t="s">
        <v>54</v>
      </c>
      <c r="S1105" t="s">
        <v>55</v>
      </c>
      <c r="T1105">
        <v>8</v>
      </c>
      <c r="U1105">
        <v>1</v>
      </c>
      <c r="V1105" t="s">
        <v>135</v>
      </c>
      <c r="W1105">
        <v>0</v>
      </c>
      <c r="X1105">
        <v>19907.03</v>
      </c>
      <c r="Y1105">
        <v>1031.07</v>
      </c>
      <c r="Z1105">
        <v>129.28</v>
      </c>
      <c r="AA1105">
        <v>21067.38</v>
      </c>
      <c r="AB1105" t="s">
        <v>124</v>
      </c>
      <c r="AC1105" t="s">
        <v>125</v>
      </c>
      <c r="AD1105" t="s">
        <v>48</v>
      </c>
      <c r="AE1105">
        <v>0</v>
      </c>
      <c r="AF1105">
        <v>374.63</v>
      </c>
      <c r="AG1105" t="s">
        <v>59</v>
      </c>
      <c r="AH1105">
        <v>34533</v>
      </c>
      <c r="AI1105" t="s">
        <v>1152</v>
      </c>
      <c r="AJ1105" t="s">
        <v>1152</v>
      </c>
      <c r="AK1105" t="s">
        <v>54</v>
      </c>
      <c r="AL1105">
        <v>2024</v>
      </c>
      <c r="AM1105" s="6" t="s">
        <v>1166</v>
      </c>
      <c r="AN1105" s="7">
        <v>19907.03</v>
      </c>
      <c r="AO1105" s="8">
        <f t="shared" si="51"/>
        <v>37325.681249999994</v>
      </c>
      <c r="AP1105" s="8">
        <f t="shared" si="52"/>
        <v>41468.831868749992</v>
      </c>
      <c r="AQ1105" s="9">
        <f t="shared" si="53"/>
        <v>60463.871056874988</v>
      </c>
    </row>
    <row r="1106" spans="1:43" x14ac:dyDescent="0.25">
      <c r="A1106">
        <v>11</v>
      </c>
      <c r="B1106">
        <v>3</v>
      </c>
      <c r="C1106">
        <v>2024</v>
      </c>
      <c r="D1106" t="s">
        <v>43</v>
      </c>
      <c r="E1106" t="s">
        <v>1150</v>
      </c>
      <c r="F1106" t="s">
        <v>1151</v>
      </c>
      <c r="G1106">
        <v>5</v>
      </c>
      <c r="H1106">
        <v>1791882490001</v>
      </c>
      <c r="I1106" t="s">
        <v>46</v>
      </c>
      <c r="J1106" t="s">
        <v>48</v>
      </c>
      <c r="K1106" t="s">
        <v>48</v>
      </c>
      <c r="L1106" t="s">
        <v>119</v>
      </c>
      <c r="M1106" t="s">
        <v>120</v>
      </c>
      <c r="N1106" t="s">
        <v>121</v>
      </c>
      <c r="O1106">
        <v>8414802200</v>
      </c>
      <c r="P1106" t="s">
        <v>1148</v>
      </c>
      <c r="Q1106" t="s">
        <v>1152</v>
      </c>
      <c r="R1106" t="s">
        <v>54</v>
      </c>
      <c r="S1106" t="s">
        <v>55</v>
      </c>
      <c r="T1106">
        <v>5</v>
      </c>
      <c r="U1106">
        <v>1</v>
      </c>
      <c r="V1106" t="s">
        <v>135</v>
      </c>
      <c r="W1106">
        <v>0</v>
      </c>
      <c r="X1106">
        <v>22652.29</v>
      </c>
      <c r="Y1106">
        <v>1102.82</v>
      </c>
      <c r="Z1106">
        <v>144.52000000000001</v>
      </c>
      <c r="AA1106">
        <v>23899.63</v>
      </c>
      <c r="AB1106" t="s">
        <v>54</v>
      </c>
      <c r="AC1106" t="s">
        <v>1153</v>
      </c>
      <c r="AD1106" t="s">
        <v>48</v>
      </c>
      <c r="AE1106">
        <v>1</v>
      </c>
      <c r="AF1106">
        <v>1074</v>
      </c>
      <c r="AG1106" t="s">
        <v>59</v>
      </c>
      <c r="AH1106">
        <v>46605</v>
      </c>
      <c r="AI1106" t="s">
        <v>1152</v>
      </c>
      <c r="AJ1106" t="s">
        <v>1152</v>
      </c>
      <c r="AK1106" t="s">
        <v>54</v>
      </c>
      <c r="AL1106">
        <v>2024</v>
      </c>
      <c r="AM1106" s="6" t="s">
        <v>1167</v>
      </c>
      <c r="AN1106" s="7">
        <v>22652.29</v>
      </c>
      <c r="AO1106" s="8">
        <f t="shared" si="51"/>
        <v>42473.043750000004</v>
      </c>
      <c r="AP1106" s="8">
        <f t="shared" si="52"/>
        <v>47187.551606250003</v>
      </c>
      <c r="AQ1106" s="9">
        <f t="shared" si="53"/>
        <v>68802.083570625007</v>
      </c>
    </row>
    <row r="1107" spans="1:43" x14ac:dyDescent="0.25">
      <c r="A1107">
        <v>15</v>
      </c>
      <c r="B1107">
        <v>4</v>
      </c>
      <c r="C1107">
        <v>2024</v>
      </c>
      <c r="D1107" t="s">
        <v>43</v>
      </c>
      <c r="E1107" t="s">
        <v>63</v>
      </c>
      <c r="F1107" t="s">
        <v>64</v>
      </c>
      <c r="G1107">
        <v>70</v>
      </c>
      <c r="H1107">
        <v>1791882490001</v>
      </c>
      <c r="I1107" t="s">
        <v>46</v>
      </c>
      <c r="J1107" t="s">
        <v>133</v>
      </c>
      <c r="K1107" t="s">
        <v>48</v>
      </c>
      <c r="L1107" t="s">
        <v>49</v>
      </c>
      <c r="M1107" t="s">
        <v>50</v>
      </c>
      <c r="N1107" t="s">
        <v>51</v>
      </c>
      <c r="O1107">
        <v>7318220000</v>
      </c>
      <c r="P1107" t="s">
        <v>109</v>
      </c>
      <c r="Q1107" t="s">
        <v>1168</v>
      </c>
      <c r="R1107" t="s">
        <v>54</v>
      </c>
      <c r="S1107" t="s">
        <v>55</v>
      </c>
      <c r="T1107">
        <v>6</v>
      </c>
      <c r="U1107">
        <v>1</v>
      </c>
      <c r="V1107" t="s">
        <v>56</v>
      </c>
      <c r="W1107">
        <v>0.42</v>
      </c>
      <c r="X1107">
        <v>9.02</v>
      </c>
      <c r="Y1107">
        <v>0.95</v>
      </c>
      <c r="Z1107">
        <v>0.06</v>
      </c>
      <c r="AA1107">
        <v>10.029999999999999</v>
      </c>
      <c r="AB1107" t="s">
        <v>57</v>
      </c>
      <c r="AC1107" t="s">
        <v>58</v>
      </c>
      <c r="AD1107" t="s">
        <v>48</v>
      </c>
      <c r="AE1107">
        <v>0</v>
      </c>
      <c r="AF1107">
        <v>0.09</v>
      </c>
      <c r="AG1107" t="s">
        <v>59</v>
      </c>
      <c r="AH1107">
        <v>443965</v>
      </c>
      <c r="AI1107" t="s">
        <v>60</v>
      </c>
      <c r="AJ1107" t="s">
        <v>60</v>
      </c>
      <c r="AK1107" t="s">
        <v>54</v>
      </c>
      <c r="AL1107">
        <v>2024</v>
      </c>
      <c r="AM1107" s="6" t="s">
        <v>1169</v>
      </c>
      <c r="AN1107" s="7">
        <v>9.02</v>
      </c>
      <c r="AO1107" s="8">
        <f t="shared" si="51"/>
        <v>16.912499999999998</v>
      </c>
      <c r="AP1107" s="8">
        <f t="shared" si="52"/>
        <v>18.789787499999996</v>
      </c>
      <c r="AQ1107" s="9">
        <f t="shared" si="53"/>
        <v>27.396558749999993</v>
      </c>
    </row>
    <row r="1108" spans="1:43" x14ac:dyDescent="0.25">
      <c r="A1108">
        <v>20</v>
      </c>
      <c r="B1108">
        <v>2</v>
      </c>
      <c r="C1108">
        <v>2024</v>
      </c>
      <c r="D1108" t="s">
        <v>43</v>
      </c>
      <c r="E1108" t="s">
        <v>140</v>
      </c>
      <c r="F1108" t="s">
        <v>141</v>
      </c>
      <c r="G1108">
        <v>72</v>
      </c>
      <c r="H1108">
        <v>1791882490001</v>
      </c>
      <c r="I1108" t="s">
        <v>46</v>
      </c>
      <c r="J1108" t="s">
        <v>133</v>
      </c>
      <c r="K1108" t="s">
        <v>48</v>
      </c>
      <c r="L1108" t="s">
        <v>49</v>
      </c>
      <c r="M1108" t="s">
        <v>50</v>
      </c>
      <c r="N1108" t="s">
        <v>51</v>
      </c>
      <c r="O1108">
        <v>7412200000</v>
      </c>
      <c r="P1108" t="s">
        <v>169</v>
      </c>
      <c r="Q1108" t="s">
        <v>1170</v>
      </c>
      <c r="R1108" t="s">
        <v>54</v>
      </c>
      <c r="S1108" t="s">
        <v>55</v>
      </c>
      <c r="T1108">
        <v>6</v>
      </c>
      <c r="U1108">
        <v>4</v>
      </c>
      <c r="V1108" t="s">
        <v>56</v>
      </c>
      <c r="W1108">
        <v>0</v>
      </c>
      <c r="X1108">
        <v>18.38</v>
      </c>
      <c r="Y1108">
        <v>1.65</v>
      </c>
      <c r="Z1108">
        <v>0.12</v>
      </c>
      <c r="AA1108">
        <v>20.16</v>
      </c>
      <c r="AB1108" t="s">
        <v>54</v>
      </c>
      <c r="AC1108" t="s">
        <v>143</v>
      </c>
      <c r="AD1108" t="s">
        <v>48</v>
      </c>
      <c r="AE1108">
        <v>0</v>
      </c>
      <c r="AF1108">
        <v>7.49</v>
      </c>
      <c r="AG1108" t="s">
        <v>59</v>
      </c>
      <c r="AH1108">
        <v>876053</v>
      </c>
      <c r="AI1108" t="s">
        <v>60</v>
      </c>
      <c r="AJ1108" t="s">
        <v>60</v>
      </c>
      <c r="AK1108" t="s">
        <v>54</v>
      </c>
      <c r="AL1108">
        <v>2024</v>
      </c>
      <c r="AM1108" s="6" t="s">
        <v>1171</v>
      </c>
      <c r="AN1108" s="7">
        <v>4.5999999999999996</v>
      </c>
      <c r="AO1108" s="8">
        <f t="shared" si="51"/>
        <v>8.625</v>
      </c>
      <c r="AP1108" s="8">
        <f t="shared" si="52"/>
        <v>9.5823750000000008</v>
      </c>
      <c r="AQ1108" s="9">
        <f t="shared" si="53"/>
        <v>13.9716375</v>
      </c>
    </row>
    <row r="1109" spans="1:43" x14ac:dyDescent="0.25">
      <c r="A1109">
        <v>15</v>
      </c>
      <c r="B1109">
        <v>4</v>
      </c>
      <c r="C1109">
        <v>2024</v>
      </c>
      <c r="D1109" t="s">
        <v>43</v>
      </c>
      <c r="E1109" t="s">
        <v>63</v>
      </c>
      <c r="F1109" t="s">
        <v>64</v>
      </c>
      <c r="G1109">
        <v>71</v>
      </c>
      <c r="H1109">
        <v>1791882490001</v>
      </c>
      <c r="I1109" t="s">
        <v>46</v>
      </c>
      <c r="J1109" t="s">
        <v>133</v>
      </c>
      <c r="K1109" t="s">
        <v>48</v>
      </c>
      <c r="L1109" t="s">
        <v>49</v>
      </c>
      <c r="M1109" t="s">
        <v>50</v>
      </c>
      <c r="N1109" t="s">
        <v>51</v>
      </c>
      <c r="O1109">
        <v>7318220000</v>
      </c>
      <c r="P1109" t="s">
        <v>109</v>
      </c>
      <c r="Q1109" t="s">
        <v>164</v>
      </c>
      <c r="R1109" t="s">
        <v>54</v>
      </c>
      <c r="S1109" t="s">
        <v>55</v>
      </c>
      <c r="T1109">
        <v>6</v>
      </c>
      <c r="U1109">
        <v>1</v>
      </c>
      <c r="V1109" t="s">
        <v>56</v>
      </c>
      <c r="W1109">
        <v>0.08</v>
      </c>
      <c r="X1109">
        <v>1.72</v>
      </c>
      <c r="Y1109">
        <v>0.18</v>
      </c>
      <c r="Z1109">
        <v>0.01</v>
      </c>
      <c r="AA1109">
        <v>1.91</v>
      </c>
      <c r="AB1109" t="s">
        <v>57</v>
      </c>
      <c r="AC1109" t="s">
        <v>58</v>
      </c>
      <c r="AD1109" t="s">
        <v>48</v>
      </c>
      <c r="AE1109">
        <v>0</v>
      </c>
      <c r="AF1109">
        <v>0.02</v>
      </c>
      <c r="AG1109" t="s">
        <v>59</v>
      </c>
      <c r="AH1109">
        <v>443965</v>
      </c>
      <c r="AI1109" t="s">
        <v>60</v>
      </c>
      <c r="AJ1109" t="s">
        <v>60</v>
      </c>
      <c r="AK1109" t="s">
        <v>54</v>
      </c>
      <c r="AL1109">
        <v>2024</v>
      </c>
      <c r="AM1109" s="6" t="s">
        <v>1172</v>
      </c>
      <c r="AN1109" s="7">
        <v>1.72</v>
      </c>
      <c r="AO1109" s="8">
        <f t="shared" si="51"/>
        <v>3.2250000000000001</v>
      </c>
      <c r="AP1109" s="8">
        <f t="shared" si="52"/>
        <v>3.5829750000000002</v>
      </c>
      <c r="AQ1109" s="9">
        <f t="shared" si="53"/>
        <v>5.2241774999999997</v>
      </c>
    </row>
    <row r="1110" spans="1:43" x14ac:dyDescent="0.25">
      <c r="A1110">
        <v>5</v>
      </c>
      <c r="B1110">
        <v>4</v>
      </c>
      <c r="C1110">
        <v>2024</v>
      </c>
      <c r="D1110" t="s">
        <v>43</v>
      </c>
      <c r="E1110" t="s">
        <v>1173</v>
      </c>
      <c r="F1110" t="s">
        <v>1174</v>
      </c>
      <c r="G1110">
        <v>1</v>
      </c>
      <c r="H1110">
        <v>1791882490001</v>
      </c>
      <c r="I1110" t="s">
        <v>46</v>
      </c>
      <c r="J1110" t="s">
        <v>133</v>
      </c>
      <c r="K1110" t="s">
        <v>1175</v>
      </c>
      <c r="L1110" t="s">
        <v>1176</v>
      </c>
      <c r="M1110" t="s">
        <v>50</v>
      </c>
      <c r="N1110" t="s">
        <v>51</v>
      </c>
      <c r="O1110">
        <v>8418699900</v>
      </c>
      <c r="P1110" t="s">
        <v>1112</v>
      </c>
      <c r="Q1110" t="s">
        <v>1113</v>
      </c>
      <c r="R1110" t="s">
        <v>54</v>
      </c>
      <c r="S1110" t="s">
        <v>55</v>
      </c>
      <c r="T1110">
        <v>2</v>
      </c>
      <c r="U1110">
        <v>1</v>
      </c>
      <c r="V1110" t="s">
        <v>135</v>
      </c>
      <c r="W1110">
        <v>0</v>
      </c>
      <c r="X1110">
        <v>1264.5</v>
      </c>
      <c r="Y1110">
        <v>267.5</v>
      </c>
      <c r="Z1110">
        <v>12.5</v>
      </c>
      <c r="AA1110">
        <v>1544.5</v>
      </c>
      <c r="AB1110" t="s">
        <v>1177</v>
      </c>
      <c r="AC1110" t="s">
        <v>1178</v>
      </c>
      <c r="AD1110" t="s">
        <v>1175</v>
      </c>
      <c r="AE1110">
        <v>0</v>
      </c>
      <c r="AF1110">
        <v>39</v>
      </c>
      <c r="AG1110" t="s">
        <v>59</v>
      </c>
      <c r="AH1110">
        <v>423729</v>
      </c>
      <c r="AI1110" t="s">
        <v>1113</v>
      </c>
      <c r="AJ1110" t="s">
        <v>1113</v>
      </c>
      <c r="AK1110" t="s">
        <v>54</v>
      </c>
      <c r="AL1110">
        <v>2024</v>
      </c>
      <c r="AM1110" s="6" t="s">
        <v>1179</v>
      </c>
      <c r="AN1110" s="7">
        <v>1264.5</v>
      </c>
      <c r="AO1110" s="8">
        <f t="shared" si="51"/>
        <v>2370.9375</v>
      </c>
      <c r="AP1110" s="8">
        <f t="shared" si="52"/>
        <v>2634.1115624999998</v>
      </c>
      <c r="AQ1110" s="9">
        <f t="shared" si="53"/>
        <v>3840.6816562499998</v>
      </c>
    </row>
    <row r="1111" spans="1:43" x14ac:dyDescent="0.25">
      <c r="A1111">
        <v>5</v>
      </c>
      <c r="B1111">
        <v>4</v>
      </c>
      <c r="C1111">
        <v>2024</v>
      </c>
      <c r="D1111" t="s">
        <v>43</v>
      </c>
      <c r="E1111" t="s">
        <v>1173</v>
      </c>
      <c r="F1111" t="s">
        <v>1174</v>
      </c>
      <c r="G1111">
        <v>2</v>
      </c>
      <c r="H1111">
        <v>1791882490001</v>
      </c>
      <c r="I1111" t="s">
        <v>46</v>
      </c>
      <c r="J1111" t="s">
        <v>133</v>
      </c>
      <c r="K1111" t="s">
        <v>1175</v>
      </c>
      <c r="L1111" t="s">
        <v>1176</v>
      </c>
      <c r="M1111" t="s">
        <v>50</v>
      </c>
      <c r="N1111" t="s">
        <v>51</v>
      </c>
      <c r="O1111">
        <v>8418699900</v>
      </c>
      <c r="P1111" t="s">
        <v>1112</v>
      </c>
      <c r="Q1111" t="s">
        <v>1113</v>
      </c>
      <c r="R1111" t="s">
        <v>54</v>
      </c>
      <c r="S1111" t="s">
        <v>55</v>
      </c>
      <c r="T1111">
        <v>2</v>
      </c>
      <c r="U1111">
        <v>1</v>
      </c>
      <c r="V1111" t="s">
        <v>135</v>
      </c>
      <c r="W1111">
        <v>0</v>
      </c>
      <c r="X1111">
        <v>1264.5</v>
      </c>
      <c r="Y1111">
        <v>267.5</v>
      </c>
      <c r="Z1111">
        <v>12.5</v>
      </c>
      <c r="AA1111">
        <v>1544.5</v>
      </c>
      <c r="AB1111" t="s">
        <v>1177</v>
      </c>
      <c r="AC1111" t="s">
        <v>1178</v>
      </c>
      <c r="AD1111" t="s">
        <v>1175</v>
      </c>
      <c r="AE1111">
        <v>0</v>
      </c>
      <c r="AF1111">
        <v>39</v>
      </c>
      <c r="AG1111" t="s">
        <v>59</v>
      </c>
      <c r="AH1111">
        <v>423729</v>
      </c>
      <c r="AI1111" t="s">
        <v>1113</v>
      </c>
      <c r="AJ1111" t="s">
        <v>1113</v>
      </c>
      <c r="AK1111" t="s">
        <v>54</v>
      </c>
      <c r="AL1111">
        <v>2024</v>
      </c>
      <c r="AM1111" s="6" t="s">
        <v>1179</v>
      </c>
      <c r="AN1111" s="7">
        <v>1264.5</v>
      </c>
      <c r="AO1111" s="8">
        <f t="shared" si="51"/>
        <v>2370.9375</v>
      </c>
      <c r="AP1111" s="8">
        <f t="shared" si="52"/>
        <v>2634.1115624999998</v>
      </c>
      <c r="AQ1111" s="9">
        <f t="shared" si="53"/>
        <v>3840.6816562499998</v>
      </c>
    </row>
    <row r="1112" spans="1:43" x14ac:dyDescent="0.25">
      <c r="A1112">
        <v>8</v>
      </c>
      <c r="B1112">
        <v>2</v>
      </c>
      <c r="C1112">
        <v>2024</v>
      </c>
      <c r="D1112" t="s">
        <v>43</v>
      </c>
      <c r="E1112" t="s">
        <v>1180</v>
      </c>
      <c r="F1112" t="s">
        <v>1181</v>
      </c>
      <c r="G1112">
        <v>3</v>
      </c>
      <c r="H1112">
        <v>1791882490001</v>
      </c>
      <c r="I1112" t="s">
        <v>46</v>
      </c>
      <c r="J1112" t="s">
        <v>1175</v>
      </c>
      <c r="K1112" t="s">
        <v>1175</v>
      </c>
      <c r="L1112" t="s">
        <v>1182</v>
      </c>
      <c r="M1112" t="s">
        <v>120</v>
      </c>
      <c r="N1112" t="s">
        <v>121</v>
      </c>
      <c r="O1112">
        <v>8414802200</v>
      </c>
      <c r="P1112" t="s">
        <v>1148</v>
      </c>
      <c r="Q1112" t="s">
        <v>1152</v>
      </c>
      <c r="R1112" t="s">
        <v>54</v>
      </c>
      <c r="S1112" t="s">
        <v>55</v>
      </c>
      <c r="T1112">
        <v>5</v>
      </c>
      <c r="U1112">
        <v>1</v>
      </c>
      <c r="V1112" t="s">
        <v>135</v>
      </c>
      <c r="W1112">
        <v>0</v>
      </c>
      <c r="X1112">
        <v>20488.5</v>
      </c>
      <c r="Y1112">
        <v>492.46</v>
      </c>
      <c r="Z1112">
        <v>129.75</v>
      </c>
      <c r="AA1112">
        <v>21110.71</v>
      </c>
      <c r="AB1112" t="s">
        <v>1183</v>
      </c>
      <c r="AC1112" t="s">
        <v>1153</v>
      </c>
      <c r="AD1112" t="s">
        <v>1175</v>
      </c>
      <c r="AE1112">
        <v>1</v>
      </c>
      <c r="AF1112">
        <v>403.39</v>
      </c>
      <c r="AG1112" t="s">
        <v>59</v>
      </c>
      <c r="AH1112">
        <v>421811</v>
      </c>
      <c r="AI1112" t="s">
        <v>1152</v>
      </c>
      <c r="AJ1112" t="s">
        <v>1152</v>
      </c>
      <c r="AK1112" t="s">
        <v>54</v>
      </c>
      <c r="AL1112">
        <v>2023</v>
      </c>
      <c r="AM1112" s="6" t="s">
        <v>1184</v>
      </c>
      <c r="AN1112" s="7">
        <v>20488.5</v>
      </c>
      <c r="AO1112" s="8">
        <f t="shared" si="51"/>
        <v>38415.9375</v>
      </c>
      <c r="AP1112" s="8">
        <f t="shared" si="52"/>
        <v>42680.106562499997</v>
      </c>
      <c r="AQ1112" s="9">
        <f t="shared" si="53"/>
        <v>62229.977156249995</v>
      </c>
    </row>
    <row r="1113" spans="1:43" x14ac:dyDescent="0.25">
      <c r="A1113">
        <v>8</v>
      </c>
      <c r="B1113">
        <v>2</v>
      </c>
      <c r="C1113">
        <v>2024</v>
      </c>
      <c r="D1113" t="s">
        <v>43</v>
      </c>
      <c r="E1113" t="s">
        <v>1180</v>
      </c>
      <c r="F1113" t="s">
        <v>1181</v>
      </c>
      <c r="G1113">
        <v>4</v>
      </c>
      <c r="H1113">
        <v>1791882490001</v>
      </c>
      <c r="I1113" t="s">
        <v>46</v>
      </c>
      <c r="J1113" t="s">
        <v>1175</v>
      </c>
      <c r="K1113" t="s">
        <v>1175</v>
      </c>
      <c r="L1113" t="s">
        <v>1182</v>
      </c>
      <c r="M1113" t="s">
        <v>120</v>
      </c>
      <c r="N1113" t="s">
        <v>121</v>
      </c>
      <c r="O1113">
        <v>8414802100</v>
      </c>
      <c r="P1113" t="s">
        <v>1143</v>
      </c>
      <c r="Q1113" t="s">
        <v>1152</v>
      </c>
      <c r="R1113" t="s">
        <v>54</v>
      </c>
      <c r="S1113" t="s">
        <v>55</v>
      </c>
      <c r="T1113">
        <v>5</v>
      </c>
      <c r="U1113">
        <v>1</v>
      </c>
      <c r="V1113" t="s">
        <v>135</v>
      </c>
      <c r="W1113">
        <v>0</v>
      </c>
      <c r="X1113">
        <v>20495.71</v>
      </c>
      <c r="Y1113">
        <v>501.67</v>
      </c>
      <c r="Z1113">
        <v>120.62</v>
      </c>
      <c r="AA1113">
        <v>21118</v>
      </c>
      <c r="AB1113" t="s">
        <v>1183</v>
      </c>
      <c r="AC1113" t="s">
        <v>1153</v>
      </c>
      <c r="AD1113" t="s">
        <v>1175</v>
      </c>
      <c r="AE1113">
        <v>1</v>
      </c>
      <c r="AF1113">
        <v>974.66</v>
      </c>
      <c r="AG1113" t="s">
        <v>59</v>
      </c>
      <c r="AH1113">
        <v>422378</v>
      </c>
      <c r="AI1113" t="s">
        <v>1152</v>
      </c>
      <c r="AJ1113" t="s">
        <v>1152</v>
      </c>
      <c r="AK1113" t="s">
        <v>54</v>
      </c>
      <c r="AL1113">
        <v>2023</v>
      </c>
      <c r="AM1113" s="6" t="s">
        <v>1184</v>
      </c>
      <c r="AN1113" s="7">
        <v>20495.71</v>
      </c>
      <c r="AO1113" s="8">
        <f t="shared" si="51"/>
        <v>38429.456249999996</v>
      </c>
      <c r="AP1113" s="8">
        <f t="shared" si="52"/>
        <v>42695.125893749995</v>
      </c>
      <c r="AQ1113" s="9">
        <f t="shared" si="53"/>
        <v>62251.876179374987</v>
      </c>
    </row>
    <row r="1114" spans="1:43" x14ac:dyDescent="0.25">
      <c r="A1114">
        <v>8</v>
      </c>
      <c r="B1114">
        <v>2</v>
      </c>
      <c r="C1114">
        <v>2024</v>
      </c>
      <c r="D1114" t="s">
        <v>43</v>
      </c>
      <c r="E1114" t="s">
        <v>1180</v>
      </c>
      <c r="F1114" t="s">
        <v>1181</v>
      </c>
      <c r="G1114">
        <v>2</v>
      </c>
      <c r="H1114">
        <v>1791882490001</v>
      </c>
      <c r="I1114" t="s">
        <v>46</v>
      </c>
      <c r="J1114" t="s">
        <v>1175</v>
      </c>
      <c r="K1114" t="s">
        <v>1175</v>
      </c>
      <c r="L1114" t="s">
        <v>1182</v>
      </c>
      <c r="M1114" t="s">
        <v>120</v>
      </c>
      <c r="N1114" t="s">
        <v>121</v>
      </c>
      <c r="O1114">
        <v>8414802200</v>
      </c>
      <c r="P1114" t="s">
        <v>1148</v>
      </c>
      <c r="Q1114" t="s">
        <v>1152</v>
      </c>
      <c r="R1114" t="s">
        <v>54</v>
      </c>
      <c r="S1114" t="s">
        <v>55</v>
      </c>
      <c r="T1114">
        <v>5</v>
      </c>
      <c r="U1114">
        <v>1</v>
      </c>
      <c r="V1114" t="s">
        <v>135</v>
      </c>
      <c r="W1114">
        <v>0</v>
      </c>
      <c r="X1114">
        <v>28889.57</v>
      </c>
      <c r="Y1114">
        <v>694.39</v>
      </c>
      <c r="Z1114">
        <v>182.95</v>
      </c>
      <c r="AA1114">
        <v>29766.91</v>
      </c>
      <c r="AB1114" t="s">
        <v>1183</v>
      </c>
      <c r="AC1114" t="s">
        <v>1153</v>
      </c>
      <c r="AD1114" t="s">
        <v>1175</v>
      </c>
      <c r="AE1114">
        <v>1</v>
      </c>
      <c r="AF1114">
        <v>403.39</v>
      </c>
      <c r="AG1114" t="s">
        <v>59</v>
      </c>
      <c r="AH1114">
        <v>421811</v>
      </c>
      <c r="AI1114" t="s">
        <v>1152</v>
      </c>
      <c r="AJ1114" t="s">
        <v>1152</v>
      </c>
      <c r="AK1114" t="s">
        <v>54</v>
      </c>
      <c r="AL1114">
        <v>2023</v>
      </c>
      <c r="AM1114" s="6" t="s">
        <v>1185</v>
      </c>
      <c r="AN1114" s="7">
        <v>28889.57</v>
      </c>
      <c r="AO1114" s="8">
        <f t="shared" ref="AO1114:AO1121" si="54">SUM(AN1114)*1.875</f>
        <v>54167.943749999999</v>
      </c>
      <c r="AP1114" s="8">
        <f t="shared" ref="AP1114:AP1121" si="55">SUM(AO1114)*1.111</f>
        <v>60180.585506249998</v>
      </c>
      <c r="AQ1114" s="9">
        <f t="shared" si="53"/>
        <v>87746.65208062499</v>
      </c>
    </row>
    <row r="1115" spans="1:43" x14ac:dyDescent="0.25">
      <c r="A1115">
        <v>1</v>
      </c>
      <c r="B1115">
        <v>7</v>
      </c>
      <c r="C1115">
        <v>2024</v>
      </c>
      <c r="D1115" t="s">
        <v>43</v>
      </c>
      <c r="E1115" t="s">
        <v>1186</v>
      </c>
      <c r="F1115" t="s">
        <v>1187</v>
      </c>
      <c r="G1115">
        <v>1</v>
      </c>
      <c r="H1115">
        <v>1791882490001</v>
      </c>
      <c r="I1115" t="s">
        <v>46</v>
      </c>
      <c r="J1115" t="s">
        <v>1175</v>
      </c>
      <c r="K1115" t="s">
        <v>1175</v>
      </c>
      <c r="L1115" t="s">
        <v>1182</v>
      </c>
      <c r="M1115" t="s">
        <v>120</v>
      </c>
      <c r="N1115" t="s">
        <v>121</v>
      </c>
      <c r="O1115">
        <v>8414802200</v>
      </c>
      <c r="P1115" t="s">
        <v>1148</v>
      </c>
      <c r="Q1115" t="s">
        <v>1152</v>
      </c>
      <c r="R1115" t="s">
        <v>54</v>
      </c>
      <c r="S1115" t="s">
        <v>55</v>
      </c>
      <c r="T1115">
        <v>1</v>
      </c>
      <c r="U1115">
        <v>1</v>
      </c>
      <c r="V1115" t="s">
        <v>135</v>
      </c>
      <c r="W1115">
        <v>0</v>
      </c>
      <c r="X1115">
        <v>28825.78</v>
      </c>
      <c r="Y1115">
        <v>307.22000000000003</v>
      </c>
      <c r="Z1115">
        <v>181.8</v>
      </c>
      <c r="AA1115">
        <v>29314.799999999999</v>
      </c>
      <c r="AB1115" t="s">
        <v>1177</v>
      </c>
      <c r="AC1115" t="s">
        <v>1188</v>
      </c>
      <c r="AD1115" t="s">
        <v>1175</v>
      </c>
      <c r="AE1115">
        <v>0</v>
      </c>
      <c r="AF1115">
        <v>1604</v>
      </c>
      <c r="AG1115" t="s">
        <v>59</v>
      </c>
      <c r="AH1115">
        <v>424375</v>
      </c>
      <c r="AI1115" t="s">
        <v>1152</v>
      </c>
      <c r="AJ1115" t="s">
        <v>1152</v>
      </c>
      <c r="AK1115" t="s">
        <v>54</v>
      </c>
      <c r="AL1115">
        <v>2024</v>
      </c>
      <c r="AM1115" s="6" t="s">
        <v>1189</v>
      </c>
      <c r="AN1115" s="7">
        <v>28825.78</v>
      </c>
      <c r="AO1115" s="8">
        <f t="shared" si="54"/>
        <v>54048.337499999994</v>
      </c>
      <c r="AP1115" s="8">
        <f t="shared" si="55"/>
        <v>60047.702962499992</v>
      </c>
      <c r="AQ1115" s="9">
        <f t="shared" si="53"/>
        <v>87552.90191624999</v>
      </c>
    </row>
    <row r="1116" spans="1:43" x14ac:dyDescent="0.25">
      <c r="A1116">
        <v>11</v>
      </c>
      <c r="B1116">
        <v>7</v>
      </c>
      <c r="C1116">
        <v>2024</v>
      </c>
      <c r="D1116" t="s">
        <v>43</v>
      </c>
      <c r="E1116" t="s">
        <v>1190</v>
      </c>
      <c r="F1116" t="s">
        <v>1191</v>
      </c>
      <c r="G1116">
        <v>1</v>
      </c>
      <c r="H1116">
        <v>1791882490001</v>
      </c>
      <c r="I1116" t="s">
        <v>46</v>
      </c>
      <c r="J1116" t="s">
        <v>48</v>
      </c>
      <c r="K1116" t="s">
        <v>48</v>
      </c>
      <c r="L1116" t="s">
        <v>119</v>
      </c>
      <c r="M1116" t="s">
        <v>120</v>
      </c>
      <c r="N1116" t="s">
        <v>121</v>
      </c>
      <c r="O1116">
        <v>8414802200</v>
      </c>
      <c r="P1116" t="s">
        <v>1148</v>
      </c>
      <c r="Q1116" t="s">
        <v>1152</v>
      </c>
      <c r="R1116" t="s">
        <v>54</v>
      </c>
      <c r="S1116" t="s">
        <v>55</v>
      </c>
      <c r="T1116">
        <v>2</v>
      </c>
      <c r="U1116">
        <v>1</v>
      </c>
      <c r="V1116" t="s">
        <v>135</v>
      </c>
      <c r="W1116">
        <v>0</v>
      </c>
      <c r="X1116">
        <v>30837.45</v>
      </c>
      <c r="Y1116">
        <v>2599.52</v>
      </c>
      <c r="Z1116">
        <v>205.8</v>
      </c>
      <c r="AA1116">
        <v>33642.769999999997</v>
      </c>
      <c r="AB1116" t="s">
        <v>124</v>
      </c>
      <c r="AC1116" t="s">
        <v>125</v>
      </c>
      <c r="AD1116" t="s">
        <v>48</v>
      </c>
      <c r="AE1116">
        <v>0</v>
      </c>
      <c r="AF1116">
        <v>1638</v>
      </c>
      <c r="AG1116" t="s">
        <v>59</v>
      </c>
      <c r="AH1116">
        <v>52388</v>
      </c>
      <c r="AI1116" t="s">
        <v>1152</v>
      </c>
      <c r="AJ1116" t="s">
        <v>1152</v>
      </c>
      <c r="AK1116" t="s">
        <v>54</v>
      </c>
      <c r="AL1116">
        <v>2024</v>
      </c>
      <c r="AM1116" s="6" t="s">
        <v>1189</v>
      </c>
      <c r="AN1116" s="7">
        <v>30837.45</v>
      </c>
      <c r="AO1116" s="8">
        <f t="shared" si="54"/>
        <v>57820.21875</v>
      </c>
      <c r="AP1116" s="8">
        <f t="shared" si="55"/>
        <v>64238.263031249997</v>
      </c>
      <c r="AQ1116" s="9">
        <f t="shared" si="53"/>
        <v>93662.972353124991</v>
      </c>
    </row>
    <row r="1117" spans="1:43" x14ac:dyDescent="0.25">
      <c r="A1117">
        <v>11</v>
      </c>
      <c r="B1117">
        <v>7</v>
      </c>
      <c r="C1117">
        <v>2024</v>
      </c>
      <c r="D1117" t="s">
        <v>43</v>
      </c>
      <c r="E1117" t="s">
        <v>1190</v>
      </c>
      <c r="F1117" t="s">
        <v>1191</v>
      </c>
      <c r="G1117">
        <v>2</v>
      </c>
      <c r="H1117">
        <v>1791882490001</v>
      </c>
      <c r="I1117" t="s">
        <v>46</v>
      </c>
      <c r="J1117" t="s">
        <v>48</v>
      </c>
      <c r="K1117" t="s">
        <v>48</v>
      </c>
      <c r="L1117" t="s">
        <v>119</v>
      </c>
      <c r="M1117" t="s">
        <v>120</v>
      </c>
      <c r="N1117" t="s">
        <v>121</v>
      </c>
      <c r="O1117">
        <v>8414802200</v>
      </c>
      <c r="P1117" t="s">
        <v>1148</v>
      </c>
      <c r="Q1117" t="s">
        <v>1152</v>
      </c>
      <c r="R1117" t="s">
        <v>54</v>
      </c>
      <c r="S1117" t="s">
        <v>55</v>
      </c>
      <c r="T1117">
        <v>2</v>
      </c>
      <c r="U1117">
        <v>1</v>
      </c>
      <c r="V1117" t="s">
        <v>135</v>
      </c>
      <c r="W1117">
        <v>0</v>
      </c>
      <c r="X1117">
        <v>30837.45</v>
      </c>
      <c r="Y1117">
        <v>2599.52</v>
      </c>
      <c r="Z1117">
        <v>205.8</v>
      </c>
      <c r="AA1117">
        <v>33642.769999999997</v>
      </c>
      <c r="AB1117" t="s">
        <v>124</v>
      </c>
      <c r="AC1117" t="s">
        <v>125</v>
      </c>
      <c r="AD1117" t="s">
        <v>48</v>
      </c>
      <c r="AE1117">
        <v>0</v>
      </c>
      <c r="AF1117">
        <v>1638</v>
      </c>
      <c r="AG1117" t="s">
        <v>59</v>
      </c>
      <c r="AH1117">
        <v>52388</v>
      </c>
      <c r="AI1117" t="s">
        <v>1152</v>
      </c>
      <c r="AJ1117" t="s">
        <v>1152</v>
      </c>
      <c r="AK1117" t="s">
        <v>54</v>
      </c>
      <c r="AL1117">
        <v>2024</v>
      </c>
      <c r="AM1117" s="6" t="s">
        <v>1189</v>
      </c>
      <c r="AN1117" s="7">
        <v>30837.45</v>
      </c>
      <c r="AO1117" s="8">
        <f t="shared" si="54"/>
        <v>57820.21875</v>
      </c>
      <c r="AP1117" s="8">
        <f t="shared" si="55"/>
        <v>64238.263031249997</v>
      </c>
      <c r="AQ1117" s="9">
        <f t="shared" si="53"/>
        <v>93662.972353124991</v>
      </c>
    </row>
    <row r="1118" spans="1:43" x14ac:dyDescent="0.25">
      <c r="A1118">
        <v>8</v>
      </c>
      <c r="B1118">
        <v>2</v>
      </c>
      <c r="C1118">
        <v>2024</v>
      </c>
      <c r="D1118" t="s">
        <v>43</v>
      </c>
      <c r="E1118" t="s">
        <v>1180</v>
      </c>
      <c r="F1118" t="s">
        <v>1181</v>
      </c>
      <c r="G1118">
        <v>1</v>
      </c>
      <c r="H1118">
        <v>1791882490001</v>
      </c>
      <c r="I1118" t="s">
        <v>46</v>
      </c>
      <c r="J1118" t="s">
        <v>1175</v>
      </c>
      <c r="K1118" t="s">
        <v>1175</v>
      </c>
      <c r="L1118" t="s">
        <v>1182</v>
      </c>
      <c r="M1118" t="s">
        <v>120</v>
      </c>
      <c r="N1118" t="s">
        <v>121</v>
      </c>
      <c r="O1118">
        <v>7311009000</v>
      </c>
      <c r="P1118" t="s">
        <v>66</v>
      </c>
      <c r="Q1118" t="s">
        <v>1103</v>
      </c>
      <c r="R1118" t="s">
        <v>54</v>
      </c>
      <c r="S1118" t="s">
        <v>55</v>
      </c>
      <c r="T1118">
        <v>5</v>
      </c>
      <c r="U1118">
        <v>2</v>
      </c>
      <c r="V1118" t="s">
        <v>135</v>
      </c>
      <c r="W1118">
        <v>386.45</v>
      </c>
      <c r="X1118">
        <v>1500.23</v>
      </c>
      <c r="Y1118">
        <v>36.06</v>
      </c>
      <c r="Z1118">
        <v>9.5</v>
      </c>
      <c r="AA1118">
        <v>1545.79</v>
      </c>
      <c r="AB1118" t="s">
        <v>1183</v>
      </c>
      <c r="AC1118" t="s">
        <v>1153</v>
      </c>
      <c r="AD1118" t="s">
        <v>1175</v>
      </c>
      <c r="AE1118">
        <v>1</v>
      </c>
      <c r="AF1118">
        <v>1613.56</v>
      </c>
      <c r="AG1118" t="s">
        <v>59</v>
      </c>
      <c r="AH1118">
        <v>421811</v>
      </c>
      <c r="AI1118" t="s">
        <v>1103</v>
      </c>
      <c r="AJ1118" t="s">
        <v>1103</v>
      </c>
      <c r="AK1118" t="s">
        <v>54</v>
      </c>
      <c r="AL1118">
        <v>2023</v>
      </c>
      <c r="AM1118" s="6" t="s">
        <v>1192</v>
      </c>
      <c r="AN1118" s="7">
        <v>750.11</v>
      </c>
      <c r="AO1118" s="8">
        <f t="shared" si="54"/>
        <v>1406.45625</v>
      </c>
      <c r="AP1118" s="8">
        <f t="shared" si="55"/>
        <v>1562.5728937499998</v>
      </c>
      <c r="AQ1118" s="9">
        <f t="shared" si="53"/>
        <v>2278.3184793749997</v>
      </c>
    </row>
    <row r="1119" spans="1:43" x14ac:dyDescent="0.25">
      <c r="A1119">
        <v>2</v>
      </c>
      <c r="B1119">
        <v>2</v>
      </c>
      <c r="C1119">
        <v>2024</v>
      </c>
      <c r="D1119" t="s">
        <v>1193</v>
      </c>
      <c r="E1119" t="s">
        <v>1194</v>
      </c>
      <c r="G1119">
        <v>1</v>
      </c>
      <c r="H1119" t="s">
        <v>1195</v>
      </c>
      <c r="I1119" t="s">
        <v>46</v>
      </c>
      <c r="J1119" t="s">
        <v>48</v>
      </c>
      <c r="K1119" t="s">
        <v>48</v>
      </c>
      <c r="L1119" t="s">
        <v>1196</v>
      </c>
      <c r="M1119" t="s">
        <v>50</v>
      </c>
      <c r="N1119" t="s">
        <v>51</v>
      </c>
      <c r="O1119">
        <v>8483909000</v>
      </c>
      <c r="P1119" t="s">
        <v>334</v>
      </c>
      <c r="Q1119" t="s">
        <v>1197</v>
      </c>
      <c r="S1119" t="s">
        <v>55</v>
      </c>
      <c r="T1119">
        <v>0</v>
      </c>
      <c r="U1119">
        <v>1</v>
      </c>
      <c r="V1119" t="s">
        <v>135</v>
      </c>
      <c r="W1119">
        <v>0</v>
      </c>
      <c r="X1119">
        <v>168.44</v>
      </c>
      <c r="Y1119">
        <v>2.04</v>
      </c>
      <c r="Z1119">
        <v>1.68</v>
      </c>
      <c r="AA1119">
        <v>172.16</v>
      </c>
      <c r="AB1119" t="s">
        <v>1198</v>
      </c>
      <c r="AC1119" t="s">
        <v>1199</v>
      </c>
      <c r="AD1119" t="s">
        <v>533</v>
      </c>
      <c r="AE1119">
        <v>0</v>
      </c>
      <c r="AF1119">
        <v>0.11</v>
      </c>
      <c r="AG1119" t="s">
        <v>59</v>
      </c>
      <c r="AL1119">
        <v>0</v>
      </c>
      <c r="AN1119" s="7">
        <v>0</v>
      </c>
      <c r="AO1119" s="8">
        <f t="shared" si="54"/>
        <v>0</v>
      </c>
      <c r="AP1119" s="8">
        <f t="shared" si="55"/>
        <v>0</v>
      </c>
      <c r="AQ1119" s="9">
        <f t="shared" si="53"/>
        <v>0</v>
      </c>
    </row>
    <row r="1120" spans="1:43" x14ac:dyDescent="0.25">
      <c r="A1120">
        <v>2</v>
      </c>
      <c r="B1120">
        <v>2</v>
      </c>
      <c r="C1120">
        <v>2024</v>
      </c>
      <c r="D1120" t="s">
        <v>1193</v>
      </c>
      <c r="E1120" t="s">
        <v>1194</v>
      </c>
      <c r="G1120">
        <v>2</v>
      </c>
      <c r="H1120" t="s">
        <v>1195</v>
      </c>
      <c r="I1120" t="s">
        <v>46</v>
      </c>
      <c r="J1120" t="s">
        <v>48</v>
      </c>
      <c r="K1120" t="s">
        <v>48</v>
      </c>
      <c r="L1120" t="s">
        <v>1196</v>
      </c>
      <c r="M1120" t="s">
        <v>50</v>
      </c>
      <c r="N1120" t="s">
        <v>51</v>
      </c>
      <c r="O1120">
        <v>8412390000</v>
      </c>
      <c r="P1120" t="s">
        <v>66</v>
      </c>
      <c r="Q1120" t="s">
        <v>1200</v>
      </c>
      <c r="S1120" t="s">
        <v>55</v>
      </c>
      <c r="T1120">
        <v>0</v>
      </c>
      <c r="U1120">
        <v>1</v>
      </c>
      <c r="V1120" t="s">
        <v>135</v>
      </c>
      <c r="W1120">
        <v>0</v>
      </c>
      <c r="X1120">
        <v>2010.45</v>
      </c>
      <c r="Y1120">
        <v>24.32</v>
      </c>
      <c r="Z1120">
        <v>20.11</v>
      </c>
      <c r="AA1120">
        <v>2054.88</v>
      </c>
      <c r="AB1120" t="s">
        <v>1198</v>
      </c>
      <c r="AC1120" t="s">
        <v>1199</v>
      </c>
      <c r="AD1120" t="s">
        <v>533</v>
      </c>
      <c r="AE1120">
        <v>0</v>
      </c>
      <c r="AF1120">
        <v>1.33</v>
      </c>
      <c r="AG1120" t="s">
        <v>59</v>
      </c>
      <c r="AL1120">
        <v>0</v>
      </c>
      <c r="AN1120" s="7">
        <v>0</v>
      </c>
      <c r="AO1120" s="8">
        <f t="shared" si="54"/>
        <v>0</v>
      </c>
      <c r="AP1120" s="8">
        <f t="shared" si="55"/>
        <v>0</v>
      </c>
      <c r="AQ1120" s="9">
        <f t="shared" si="53"/>
        <v>0</v>
      </c>
    </row>
    <row r="1121" spans="1:43" x14ac:dyDescent="0.25">
      <c r="A1121">
        <v>5</v>
      </c>
      <c r="B1121">
        <v>2</v>
      </c>
      <c r="C1121">
        <v>2024</v>
      </c>
      <c r="D1121" t="s">
        <v>1193</v>
      </c>
      <c r="E1121" t="s">
        <v>1201</v>
      </c>
      <c r="G1121">
        <v>1</v>
      </c>
      <c r="H1121" t="s">
        <v>1195</v>
      </c>
      <c r="I1121" t="s">
        <v>46</v>
      </c>
      <c r="J1121" t="s">
        <v>48</v>
      </c>
      <c r="K1121" t="s">
        <v>48</v>
      </c>
      <c r="L1121" t="s">
        <v>1196</v>
      </c>
      <c r="M1121" t="s">
        <v>50</v>
      </c>
      <c r="N1121" t="s">
        <v>51</v>
      </c>
      <c r="O1121">
        <v>8482990000</v>
      </c>
      <c r="P1121" t="s">
        <v>103</v>
      </c>
      <c r="Q1121" t="s">
        <v>588</v>
      </c>
      <c r="S1121" t="s">
        <v>55</v>
      </c>
      <c r="T1121">
        <v>1</v>
      </c>
      <c r="U1121">
        <v>1</v>
      </c>
      <c r="V1121" t="s">
        <v>135</v>
      </c>
      <c r="W1121">
        <v>0</v>
      </c>
      <c r="X1121">
        <v>65.34</v>
      </c>
      <c r="Y1121">
        <v>4.6500000000000004</v>
      </c>
      <c r="Z1121">
        <v>0.65</v>
      </c>
      <c r="AA1121">
        <v>70.64</v>
      </c>
      <c r="AB1121" t="s">
        <v>1202</v>
      </c>
      <c r="AC1121" t="s">
        <v>1199</v>
      </c>
      <c r="AD1121" t="s">
        <v>533</v>
      </c>
      <c r="AE1121">
        <v>0</v>
      </c>
      <c r="AF1121">
        <v>0.2</v>
      </c>
      <c r="AG1121" t="s">
        <v>82</v>
      </c>
      <c r="AL1121">
        <v>0</v>
      </c>
      <c r="AN1121" s="7">
        <v>0</v>
      </c>
      <c r="AO1121" s="8">
        <f t="shared" si="54"/>
        <v>0</v>
      </c>
      <c r="AP1121" s="8">
        <f t="shared" si="55"/>
        <v>0</v>
      </c>
      <c r="AQ1121" s="9">
        <f t="shared" si="5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aguirre</dc:creator>
  <cp:lastModifiedBy>robert aguirre</cp:lastModifiedBy>
  <dcterms:created xsi:type="dcterms:W3CDTF">2026-04-23T20:21:12Z</dcterms:created>
  <dcterms:modified xsi:type="dcterms:W3CDTF">2026-04-23T20:22:59Z</dcterms:modified>
</cp:coreProperties>
</file>