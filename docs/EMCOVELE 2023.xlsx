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f\Desktop\projects\AC\Aire-Comprimido\docs\"/>
    </mc:Choice>
  </mc:AlternateContent>
  <xr:revisionPtr revIDLastSave="0" documentId="13_ncr:1_{B0841419-F2DC-4383-9622-B28F1228300F}" xr6:coauthVersionLast="47" xr6:coauthVersionMax="47" xr10:uidLastSave="{00000000-0000-0000-0000-000000000000}"/>
  <bookViews>
    <workbookView xWindow="-108" yWindow="-108" windowWidth="23256" windowHeight="12456" xr2:uid="{1A1913C5-1FC9-4D5A-938E-DFAA057D0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77" i="1" l="1"/>
  <c r="Y1377" i="1"/>
  <c r="AB1376" i="1"/>
  <c r="AA1376" i="1"/>
  <c r="Z1376" i="1"/>
  <c r="AD1376" i="1" s="1"/>
  <c r="Y1376" i="1"/>
  <c r="Y1375" i="1"/>
  <c r="Z1375" i="1" s="1"/>
  <c r="Z1374" i="1"/>
  <c r="Y1374" i="1"/>
  <c r="AA1373" i="1"/>
  <c r="Z1373" i="1"/>
  <c r="Y1373" i="1"/>
  <c r="AB1372" i="1"/>
  <c r="AA1372" i="1"/>
  <c r="Z1372" i="1"/>
  <c r="AD1372" i="1" s="1"/>
  <c r="Y1372" i="1"/>
  <c r="Y1371" i="1"/>
  <c r="Z1371" i="1" s="1"/>
  <c r="Y1370" i="1"/>
  <c r="Z1370" i="1" s="1"/>
  <c r="Z1369" i="1"/>
  <c r="Y1369" i="1"/>
  <c r="AB1368" i="1"/>
  <c r="AA1368" i="1"/>
  <c r="Z1368" i="1"/>
  <c r="AD1368" i="1" s="1"/>
  <c r="Y1368" i="1"/>
  <c r="Y1367" i="1"/>
  <c r="Z1367" i="1" s="1"/>
  <c r="Y1366" i="1"/>
  <c r="Z1366" i="1" s="1"/>
  <c r="AA1365" i="1"/>
  <c r="Z1365" i="1"/>
  <c r="Y1365" i="1"/>
  <c r="AB1364" i="1"/>
  <c r="AA1364" i="1"/>
  <c r="Y1364" i="1"/>
  <c r="Z1364" i="1" s="1"/>
  <c r="AD1364" i="1" s="1"/>
  <c r="AB1363" i="1"/>
  <c r="Y1363" i="1"/>
  <c r="Z1363" i="1" s="1"/>
  <c r="Z1362" i="1"/>
  <c r="Y1362" i="1"/>
  <c r="AA1361" i="1"/>
  <c r="Z1361" i="1"/>
  <c r="Y1361" i="1"/>
  <c r="AB1360" i="1"/>
  <c r="AA1360" i="1"/>
  <c r="Y1360" i="1"/>
  <c r="Z1360" i="1" s="1"/>
  <c r="AD1360" i="1" s="1"/>
  <c r="AD1359" i="1"/>
  <c r="Y1359" i="1"/>
  <c r="Z1359" i="1" s="1"/>
  <c r="Z1358" i="1"/>
  <c r="Y1358" i="1"/>
  <c r="AA1357" i="1"/>
  <c r="Z1357" i="1"/>
  <c r="Y1357" i="1"/>
  <c r="AB1356" i="1"/>
  <c r="AA1356" i="1"/>
  <c r="Y1356" i="1"/>
  <c r="Z1356" i="1" s="1"/>
  <c r="AD1356" i="1" s="1"/>
  <c r="AD1355" i="1"/>
  <c r="AB1355" i="1"/>
  <c r="Y1355" i="1"/>
  <c r="Z1355" i="1" s="1"/>
  <c r="AA1355" i="1" s="1"/>
  <c r="Y1354" i="1"/>
  <c r="Z1354" i="1" s="1"/>
  <c r="AA1353" i="1"/>
  <c r="Z1353" i="1"/>
  <c r="Y1353" i="1"/>
  <c r="AB1352" i="1"/>
  <c r="AA1352" i="1"/>
  <c r="Y1352" i="1"/>
  <c r="Z1352" i="1" s="1"/>
  <c r="AD1352" i="1" s="1"/>
  <c r="Y1351" i="1"/>
  <c r="Z1351" i="1" s="1"/>
  <c r="Y1350" i="1"/>
  <c r="Z1350" i="1" s="1"/>
  <c r="AA1349" i="1"/>
  <c r="Z1349" i="1"/>
  <c r="Y1349" i="1"/>
  <c r="AB1348" i="1"/>
  <c r="AA1348" i="1"/>
  <c r="Y1348" i="1"/>
  <c r="Z1348" i="1" s="1"/>
  <c r="AD1348" i="1" s="1"/>
  <c r="Y1347" i="1"/>
  <c r="Z1347" i="1" s="1"/>
  <c r="Z1346" i="1"/>
  <c r="Y1346" i="1"/>
  <c r="AA1345" i="1"/>
  <c r="Z1345" i="1"/>
  <c r="Y1345" i="1"/>
  <c r="AB1344" i="1"/>
  <c r="AA1344" i="1"/>
  <c r="Z1344" i="1"/>
  <c r="AD1344" i="1" s="1"/>
  <c r="Y1344" i="1"/>
  <c r="AD1343" i="1"/>
  <c r="AB1343" i="1"/>
  <c r="Y1343" i="1"/>
  <c r="Z1343" i="1" s="1"/>
  <c r="AA1343" i="1" s="1"/>
  <c r="Y1342" i="1"/>
  <c r="Z1342" i="1" s="1"/>
  <c r="Z1341" i="1"/>
  <c r="Y1341" i="1"/>
  <c r="Y1340" i="1"/>
  <c r="Z1340" i="1" s="1"/>
  <c r="AD1339" i="1"/>
  <c r="AB1339" i="1"/>
  <c r="Y1339" i="1"/>
  <c r="Z1339" i="1" s="1"/>
  <c r="AA1339" i="1" s="1"/>
  <c r="Z1338" i="1"/>
  <c r="Y1338" i="1"/>
  <c r="Z1337" i="1"/>
  <c r="Y1337" i="1"/>
  <c r="AB1336" i="1"/>
  <c r="Y1336" i="1"/>
  <c r="Z1336" i="1" s="1"/>
  <c r="AD1335" i="1"/>
  <c r="AB1335" i="1"/>
  <c r="Y1335" i="1"/>
  <c r="Z1335" i="1" s="1"/>
  <c r="AA1335" i="1" s="1"/>
  <c r="Y1334" i="1"/>
  <c r="Z1334" i="1" s="1"/>
  <c r="Z1333" i="1"/>
  <c r="Y1333" i="1"/>
  <c r="Y1332" i="1"/>
  <c r="Z1332" i="1" s="1"/>
  <c r="AD1331" i="1"/>
  <c r="AB1331" i="1"/>
  <c r="Y1331" i="1"/>
  <c r="Z1331" i="1" s="1"/>
  <c r="AA1331" i="1" s="1"/>
  <c r="Z1330" i="1"/>
  <c r="Y1330" i="1"/>
  <c r="Z1329" i="1"/>
  <c r="Y1329" i="1"/>
  <c r="AB1328" i="1"/>
  <c r="Y1328" i="1"/>
  <c r="Z1328" i="1" s="1"/>
  <c r="AD1327" i="1"/>
  <c r="AB1327" i="1"/>
  <c r="Y1327" i="1"/>
  <c r="Z1327" i="1" s="1"/>
  <c r="AA1327" i="1" s="1"/>
  <c r="Y1326" i="1"/>
  <c r="Z1326" i="1" s="1"/>
  <c r="Z1325" i="1"/>
  <c r="Y1325" i="1"/>
  <c r="Y1324" i="1"/>
  <c r="Z1324" i="1" s="1"/>
  <c r="AD1323" i="1"/>
  <c r="AB1323" i="1"/>
  <c r="Y1323" i="1"/>
  <c r="Z1323" i="1" s="1"/>
  <c r="AA1323" i="1" s="1"/>
  <c r="Z1322" i="1"/>
  <c r="Y1322" i="1"/>
  <c r="Z1321" i="1"/>
  <c r="Y1321" i="1"/>
  <c r="AB1320" i="1"/>
  <c r="Y1320" i="1"/>
  <c r="Z1320" i="1" s="1"/>
  <c r="AD1319" i="1"/>
  <c r="AB1319" i="1"/>
  <c r="Y1319" i="1"/>
  <c r="Z1319" i="1" s="1"/>
  <c r="AA1319" i="1" s="1"/>
  <c r="Y1318" i="1"/>
  <c r="Z1318" i="1" s="1"/>
  <c r="Z1317" i="1"/>
  <c r="Y1317" i="1"/>
  <c r="Y1316" i="1"/>
  <c r="Z1316" i="1" s="1"/>
  <c r="AD1315" i="1"/>
  <c r="AB1315" i="1"/>
  <c r="Y1315" i="1"/>
  <c r="Z1315" i="1" s="1"/>
  <c r="AA1315" i="1" s="1"/>
  <c r="Z1314" i="1"/>
  <c r="Y1314" i="1"/>
  <c r="Z1313" i="1"/>
  <c r="Y1313" i="1"/>
  <c r="AB1312" i="1"/>
  <c r="Y1312" i="1"/>
  <c r="Z1312" i="1" s="1"/>
  <c r="AD1311" i="1"/>
  <c r="AB1311" i="1"/>
  <c r="Y1311" i="1"/>
  <c r="Z1311" i="1" s="1"/>
  <c r="AA1311" i="1" s="1"/>
  <c r="Y1310" i="1"/>
  <c r="Z1310" i="1" s="1"/>
  <c r="Z1309" i="1"/>
  <c r="Y1309" i="1"/>
  <c r="Y1308" i="1"/>
  <c r="Z1308" i="1" s="1"/>
  <c r="AD1307" i="1"/>
  <c r="AB1307" i="1"/>
  <c r="Y1307" i="1"/>
  <c r="Z1307" i="1" s="1"/>
  <c r="AA1307" i="1" s="1"/>
  <c r="Z1306" i="1"/>
  <c r="Y1306" i="1"/>
  <c r="Z1305" i="1"/>
  <c r="Y1305" i="1"/>
  <c r="AB1304" i="1"/>
  <c r="Y1304" i="1"/>
  <c r="Z1304" i="1" s="1"/>
  <c r="AD1303" i="1"/>
  <c r="AB1303" i="1"/>
  <c r="Y1303" i="1"/>
  <c r="Z1303" i="1" s="1"/>
  <c r="AA1303" i="1" s="1"/>
  <c r="Y1302" i="1"/>
  <c r="Z1302" i="1" s="1"/>
  <c r="Z1301" i="1"/>
  <c r="Y1301" i="1"/>
  <c r="Y1300" i="1"/>
  <c r="Z1300" i="1" s="1"/>
  <c r="AD1299" i="1"/>
  <c r="AB1299" i="1"/>
  <c r="Y1299" i="1"/>
  <c r="Z1299" i="1" s="1"/>
  <c r="AA1299" i="1" s="1"/>
  <c r="Z1298" i="1"/>
  <c r="Y1298" i="1"/>
  <c r="Z1297" i="1"/>
  <c r="Y1297" i="1"/>
  <c r="AB1296" i="1"/>
  <c r="Y1296" i="1"/>
  <c r="Z1296" i="1" s="1"/>
  <c r="AD1295" i="1"/>
  <c r="AB1295" i="1"/>
  <c r="Y1295" i="1"/>
  <c r="Z1295" i="1" s="1"/>
  <c r="AA1295" i="1" s="1"/>
  <c r="Y1294" i="1"/>
  <c r="Z1294" i="1" s="1"/>
  <c r="Z1293" i="1"/>
  <c r="Y1293" i="1"/>
  <c r="Y1292" i="1"/>
  <c r="Z1292" i="1" s="1"/>
  <c r="Z1291" i="1"/>
  <c r="Y1291" i="1"/>
  <c r="Z1290" i="1"/>
  <c r="Y1290" i="1"/>
  <c r="Y1289" i="1"/>
  <c r="Z1289" i="1" s="1"/>
  <c r="Y1288" i="1"/>
  <c r="Z1288" i="1" s="1"/>
  <c r="Z1287" i="1"/>
  <c r="Y1287" i="1"/>
  <c r="AB1286" i="1"/>
  <c r="Z1286" i="1"/>
  <c r="Y1286" i="1"/>
  <c r="Y1285" i="1"/>
  <c r="Z1285" i="1" s="1"/>
  <c r="Y1284" i="1"/>
  <c r="Z1284" i="1" s="1"/>
  <c r="AD1283" i="1"/>
  <c r="Z1283" i="1"/>
  <c r="Y1283" i="1"/>
  <c r="AB1282" i="1"/>
  <c r="Z1282" i="1"/>
  <c r="Y1282" i="1"/>
  <c r="Y1281" i="1"/>
  <c r="Z1281" i="1" s="1"/>
  <c r="AD1280" i="1"/>
  <c r="Y1280" i="1"/>
  <c r="Z1280" i="1" s="1"/>
  <c r="Z1279" i="1"/>
  <c r="Y1279" i="1"/>
  <c r="AB1278" i="1"/>
  <c r="Z1278" i="1"/>
  <c r="Y1278" i="1"/>
  <c r="Y1277" i="1"/>
  <c r="Z1277" i="1" s="1"/>
  <c r="Y1276" i="1"/>
  <c r="Z1276" i="1" s="1"/>
  <c r="Z1275" i="1"/>
  <c r="Y1275" i="1"/>
  <c r="AB1274" i="1"/>
  <c r="Z1274" i="1"/>
  <c r="Y1274" i="1"/>
  <c r="Y1273" i="1"/>
  <c r="Z1273" i="1" s="1"/>
  <c r="AD1272" i="1"/>
  <c r="Y1272" i="1"/>
  <c r="Z1272" i="1" s="1"/>
  <c r="Z1271" i="1"/>
  <c r="Y1271" i="1"/>
  <c r="AB1270" i="1"/>
  <c r="Z1270" i="1"/>
  <c r="Y1270" i="1"/>
  <c r="Y1269" i="1"/>
  <c r="Z1269" i="1" s="1"/>
  <c r="Y1268" i="1"/>
  <c r="Z1268" i="1" s="1"/>
  <c r="Z1267" i="1"/>
  <c r="Y1267" i="1"/>
  <c r="Z1266" i="1"/>
  <c r="Y1266" i="1"/>
  <c r="Y1265" i="1"/>
  <c r="Z1265" i="1" s="1"/>
  <c r="Y1264" i="1"/>
  <c r="Z1264" i="1" s="1"/>
  <c r="Z1263" i="1"/>
  <c r="Y1263" i="1"/>
  <c r="AB1262" i="1"/>
  <c r="Z1262" i="1"/>
  <c r="Y1262" i="1"/>
  <c r="AA1261" i="1"/>
  <c r="Y1261" i="1"/>
  <c r="Z1261" i="1" s="1"/>
  <c r="Y1260" i="1"/>
  <c r="Z1260" i="1" s="1"/>
  <c r="Z1259" i="1"/>
  <c r="Y1259" i="1"/>
  <c r="Z1258" i="1"/>
  <c r="Y1258" i="1"/>
  <c r="Y1257" i="1"/>
  <c r="Z1257" i="1" s="1"/>
  <c r="Y1256" i="1"/>
  <c r="Z1256" i="1" s="1"/>
  <c r="Z1255" i="1"/>
  <c r="Y1255" i="1"/>
  <c r="AB1254" i="1"/>
  <c r="Z1254" i="1"/>
  <c r="Y1254" i="1"/>
  <c r="Y1253" i="1"/>
  <c r="Z1253" i="1" s="1"/>
  <c r="Y1252" i="1"/>
  <c r="Z1252" i="1" s="1"/>
  <c r="AD1251" i="1"/>
  <c r="Z1251" i="1"/>
  <c r="Y1251" i="1"/>
  <c r="AB1250" i="1"/>
  <c r="Z1250" i="1"/>
  <c r="Y1250" i="1"/>
  <c r="Y1249" i="1"/>
  <c r="Z1249" i="1" s="1"/>
  <c r="AD1248" i="1"/>
  <c r="Y1248" i="1"/>
  <c r="Z1248" i="1" s="1"/>
  <c r="Z1247" i="1"/>
  <c r="Y1247" i="1"/>
  <c r="AB1246" i="1"/>
  <c r="Z1246" i="1"/>
  <c r="Y1246" i="1"/>
  <c r="Y1245" i="1"/>
  <c r="Z1245" i="1" s="1"/>
  <c r="Z1244" i="1"/>
  <c r="Y1244" i="1"/>
  <c r="AB1243" i="1"/>
  <c r="Z1243" i="1"/>
  <c r="Y1243" i="1"/>
  <c r="AD1242" i="1"/>
  <c r="AA1242" i="1"/>
  <c r="Y1242" i="1"/>
  <c r="Z1242" i="1" s="1"/>
  <c r="AB1242" i="1" s="1"/>
  <c r="AD1241" i="1"/>
  <c r="Y1241" i="1"/>
  <c r="Z1241" i="1" s="1"/>
  <c r="Y1240" i="1"/>
  <c r="Z1240" i="1" s="1"/>
  <c r="AB1239" i="1"/>
  <c r="Z1239" i="1"/>
  <c r="Y1239" i="1"/>
  <c r="AD1238" i="1"/>
  <c r="AA1238" i="1"/>
  <c r="Y1238" i="1"/>
  <c r="Z1238" i="1" s="1"/>
  <c r="AB1238" i="1" s="1"/>
  <c r="Z1237" i="1"/>
  <c r="Y1237" i="1"/>
  <c r="Y1236" i="1"/>
  <c r="Z1236" i="1" s="1"/>
  <c r="AB1235" i="1"/>
  <c r="Z1235" i="1"/>
  <c r="Y1235" i="1"/>
  <c r="AD1234" i="1"/>
  <c r="AA1234" i="1"/>
  <c r="Y1234" i="1"/>
  <c r="Z1234" i="1" s="1"/>
  <c r="AB1234" i="1" s="1"/>
  <c r="Z1233" i="1"/>
  <c r="Y1233" i="1"/>
  <c r="Y1232" i="1"/>
  <c r="Z1232" i="1" s="1"/>
  <c r="AB1231" i="1"/>
  <c r="Z1231" i="1"/>
  <c r="Y1231" i="1"/>
  <c r="AD1230" i="1"/>
  <c r="AA1230" i="1"/>
  <c r="Y1230" i="1"/>
  <c r="Z1230" i="1" s="1"/>
  <c r="AB1230" i="1" s="1"/>
  <c r="Y1229" i="1"/>
  <c r="Z1229" i="1" s="1"/>
  <c r="Z1228" i="1"/>
  <c r="Y1228" i="1"/>
  <c r="AB1227" i="1"/>
  <c r="Z1227" i="1"/>
  <c r="Y1227" i="1"/>
  <c r="AD1226" i="1"/>
  <c r="AA1226" i="1"/>
  <c r="Y1226" i="1"/>
  <c r="Z1226" i="1" s="1"/>
  <c r="AB1226" i="1" s="1"/>
  <c r="Y1225" i="1"/>
  <c r="Z1225" i="1" s="1"/>
  <c r="Z1224" i="1"/>
  <c r="Y1224" i="1"/>
  <c r="AB1223" i="1"/>
  <c r="Z1223" i="1"/>
  <c r="Y1223" i="1"/>
  <c r="AD1222" i="1"/>
  <c r="AA1222" i="1"/>
  <c r="Y1222" i="1"/>
  <c r="Z1222" i="1" s="1"/>
  <c r="AB1222" i="1" s="1"/>
  <c r="AD1221" i="1"/>
  <c r="Z1221" i="1"/>
  <c r="Y1221" i="1"/>
  <c r="Y1220" i="1"/>
  <c r="Z1220" i="1" s="1"/>
  <c r="AB1219" i="1"/>
  <c r="Z1219" i="1"/>
  <c r="Y1219" i="1"/>
  <c r="AD1218" i="1"/>
  <c r="AA1218" i="1"/>
  <c r="Y1218" i="1"/>
  <c r="Z1218" i="1" s="1"/>
  <c r="AB1218" i="1" s="1"/>
  <c r="Y1217" i="1"/>
  <c r="Z1217" i="1" s="1"/>
  <c r="Y1216" i="1"/>
  <c r="Z1216" i="1" s="1"/>
  <c r="AB1215" i="1"/>
  <c r="Z1215" i="1"/>
  <c r="Y1215" i="1"/>
  <c r="AD1214" i="1"/>
  <c r="AA1214" i="1"/>
  <c r="Y1214" i="1"/>
  <c r="Z1214" i="1" s="1"/>
  <c r="AB1214" i="1" s="1"/>
  <c r="Y1213" i="1"/>
  <c r="Z1213" i="1" s="1"/>
  <c r="Z1212" i="1"/>
  <c r="Y1212" i="1"/>
  <c r="AB1211" i="1"/>
  <c r="Z1211" i="1"/>
  <c r="Y1211" i="1"/>
  <c r="AD1210" i="1"/>
  <c r="AA1210" i="1"/>
  <c r="Y1210" i="1"/>
  <c r="Z1210" i="1" s="1"/>
  <c r="AB1210" i="1" s="1"/>
  <c r="AD1209" i="1"/>
  <c r="Y1209" i="1"/>
  <c r="Z1209" i="1" s="1"/>
  <c r="Y1208" i="1"/>
  <c r="Z1208" i="1" s="1"/>
  <c r="AB1207" i="1"/>
  <c r="Z1207" i="1"/>
  <c r="Y1207" i="1"/>
  <c r="AD1206" i="1"/>
  <c r="AA1206" i="1"/>
  <c r="Y1206" i="1"/>
  <c r="Z1206" i="1" s="1"/>
  <c r="AB1206" i="1" s="1"/>
  <c r="Z1205" i="1"/>
  <c r="Y1205" i="1"/>
  <c r="Y1204" i="1"/>
  <c r="Z1204" i="1" s="1"/>
  <c r="AB1203" i="1"/>
  <c r="Z1203" i="1"/>
  <c r="Y1203" i="1"/>
  <c r="AD1202" i="1"/>
  <c r="AA1202" i="1"/>
  <c r="Y1202" i="1"/>
  <c r="Z1202" i="1" s="1"/>
  <c r="AB1202" i="1" s="1"/>
  <c r="Z1201" i="1"/>
  <c r="Y1201" i="1"/>
  <c r="Y1200" i="1"/>
  <c r="Z1200" i="1" s="1"/>
  <c r="AB1199" i="1"/>
  <c r="Z1199" i="1"/>
  <c r="Y1199" i="1"/>
  <c r="AD1198" i="1"/>
  <c r="AA1198" i="1"/>
  <c r="Y1198" i="1"/>
  <c r="Z1198" i="1" s="1"/>
  <c r="AB1198" i="1" s="1"/>
  <c r="Y1197" i="1"/>
  <c r="Z1197" i="1" s="1"/>
  <c r="Z1196" i="1"/>
  <c r="Y1196" i="1"/>
  <c r="AB1195" i="1"/>
  <c r="Z1195" i="1"/>
  <c r="Y1195" i="1"/>
  <c r="AD1194" i="1"/>
  <c r="AA1194" i="1"/>
  <c r="Y1194" i="1"/>
  <c r="Z1194" i="1" s="1"/>
  <c r="AB1194" i="1" s="1"/>
  <c r="Y1193" i="1"/>
  <c r="Z1193" i="1" s="1"/>
  <c r="Z1192" i="1"/>
  <c r="Y1192" i="1"/>
  <c r="AB1191" i="1"/>
  <c r="Z1191" i="1"/>
  <c r="Y1191" i="1"/>
  <c r="AD1190" i="1"/>
  <c r="AA1190" i="1"/>
  <c r="Y1190" i="1"/>
  <c r="Z1190" i="1" s="1"/>
  <c r="AB1190" i="1" s="1"/>
  <c r="AD1189" i="1"/>
  <c r="Z1189" i="1"/>
  <c r="Y1189" i="1"/>
  <c r="Y1188" i="1"/>
  <c r="Z1188" i="1" s="1"/>
  <c r="AB1187" i="1"/>
  <c r="Z1187" i="1"/>
  <c r="Y1187" i="1"/>
  <c r="AD1186" i="1"/>
  <c r="AA1186" i="1"/>
  <c r="Y1186" i="1"/>
  <c r="Z1186" i="1" s="1"/>
  <c r="AB1186" i="1" s="1"/>
  <c r="Y1185" i="1"/>
  <c r="Z1185" i="1" s="1"/>
  <c r="Y1184" i="1"/>
  <c r="Z1184" i="1" s="1"/>
  <c r="AB1183" i="1"/>
  <c r="Z1183" i="1"/>
  <c r="Y1183" i="1"/>
  <c r="AD1182" i="1"/>
  <c r="AA1182" i="1"/>
  <c r="Y1182" i="1"/>
  <c r="Z1182" i="1" s="1"/>
  <c r="AB1182" i="1" s="1"/>
  <c r="Y1181" i="1"/>
  <c r="Z1181" i="1" s="1"/>
  <c r="Z1180" i="1"/>
  <c r="Y1180" i="1"/>
  <c r="AB1179" i="1"/>
  <c r="Z1179" i="1"/>
  <c r="Y1179" i="1"/>
  <c r="AD1178" i="1"/>
  <c r="AA1178" i="1"/>
  <c r="Y1178" i="1"/>
  <c r="Z1178" i="1" s="1"/>
  <c r="AB1178" i="1" s="1"/>
  <c r="AD1177" i="1"/>
  <c r="Y1177" i="1"/>
  <c r="Z1177" i="1" s="1"/>
  <c r="Y1176" i="1"/>
  <c r="Z1176" i="1" s="1"/>
  <c r="AB1175" i="1"/>
  <c r="Z1175" i="1"/>
  <c r="Y1175" i="1"/>
  <c r="AD1174" i="1"/>
  <c r="AA1174" i="1"/>
  <c r="Y1174" i="1"/>
  <c r="Z1174" i="1" s="1"/>
  <c r="AB1174" i="1" s="1"/>
  <c r="Z1173" i="1"/>
  <c r="Y1173" i="1"/>
  <c r="Y1172" i="1"/>
  <c r="Z1172" i="1" s="1"/>
  <c r="AB1171" i="1"/>
  <c r="Z1171" i="1"/>
  <c r="Y1171" i="1"/>
  <c r="AD1170" i="1"/>
  <c r="AA1170" i="1"/>
  <c r="Y1170" i="1"/>
  <c r="Z1170" i="1" s="1"/>
  <c r="AB1170" i="1" s="1"/>
  <c r="Z1169" i="1"/>
  <c r="Y1169" i="1"/>
  <c r="Y1168" i="1"/>
  <c r="Z1168" i="1" s="1"/>
  <c r="AB1167" i="1"/>
  <c r="Z1167" i="1"/>
  <c r="Y1167" i="1"/>
  <c r="AD1166" i="1"/>
  <c r="AA1166" i="1"/>
  <c r="Y1166" i="1"/>
  <c r="Z1166" i="1" s="1"/>
  <c r="AB1166" i="1" s="1"/>
  <c r="Y1165" i="1"/>
  <c r="Z1165" i="1" s="1"/>
  <c r="Z1164" i="1"/>
  <c r="Y1164" i="1"/>
  <c r="AB1163" i="1"/>
  <c r="Z1163" i="1"/>
  <c r="Y1163" i="1"/>
  <c r="AD1162" i="1"/>
  <c r="AA1162" i="1"/>
  <c r="Y1162" i="1"/>
  <c r="Z1162" i="1" s="1"/>
  <c r="AB1162" i="1" s="1"/>
  <c r="Y1161" i="1"/>
  <c r="Z1161" i="1" s="1"/>
  <c r="Z1160" i="1"/>
  <c r="Y1160" i="1"/>
  <c r="AB1159" i="1"/>
  <c r="Z1159" i="1"/>
  <c r="Y1159" i="1"/>
  <c r="AD1158" i="1"/>
  <c r="AA1158" i="1"/>
  <c r="Y1158" i="1"/>
  <c r="Z1158" i="1" s="1"/>
  <c r="AB1158" i="1" s="1"/>
  <c r="AD1157" i="1"/>
  <c r="Z1157" i="1"/>
  <c r="Y1157" i="1"/>
  <c r="Y1156" i="1"/>
  <c r="Z1156" i="1" s="1"/>
  <c r="AB1155" i="1"/>
  <c r="Z1155" i="1"/>
  <c r="Y1155" i="1"/>
  <c r="AD1154" i="1"/>
  <c r="AA1154" i="1"/>
  <c r="Y1154" i="1"/>
  <c r="Z1154" i="1" s="1"/>
  <c r="AB1154" i="1" s="1"/>
  <c r="Y1153" i="1"/>
  <c r="Z1153" i="1" s="1"/>
  <c r="Y1152" i="1"/>
  <c r="Z1152" i="1" s="1"/>
  <c r="AB1151" i="1"/>
  <c r="Z1151" i="1"/>
  <c r="Y1151" i="1"/>
  <c r="AD1150" i="1"/>
  <c r="AA1150" i="1"/>
  <c r="Y1150" i="1"/>
  <c r="Z1150" i="1" s="1"/>
  <c r="AB1150" i="1" s="1"/>
  <c r="Y1149" i="1"/>
  <c r="Z1149" i="1" s="1"/>
  <c r="Z1148" i="1"/>
  <c r="Y1148" i="1"/>
  <c r="AB1147" i="1"/>
  <c r="Z1147" i="1"/>
  <c r="Y1147" i="1"/>
  <c r="AD1146" i="1"/>
  <c r="AA1146" i="1"/>
  <c r="Y1146" i="1"/>
  <c r="Z1146" i="1" s="1"/>
  <c r="AB1146" i="1" s="1"/>
  <c r="AD1145" i="1"/>
  <c r="Y1145" i="1"/>
  <c r="Z1145" i="1" s="1"/>
  <c r="Z1144" i="1"/>
  <c r="Y1144" i="1"/>
  <c r="Z1143" i="1"/>
  <c r="Y1143" i="1"/>
  <c r="Y1142" i="1"/>
  <c r="Z1142" i="1" s="1"/>
  <c r="AB1141" i="1"/>
  <c r="Y1141" i="1"/>
  <c r="Z1141" i="1" s="1"/>
  <c r="Z1140" i="1"/>
  <c r="Y1140" i="1"/>
  <c r="Z1139" i="1"/>
  <c r="Y1139" i="1"/>
  <c r="Y1138" i="1"/>
  <c r="Z1138" i="1" s="1"/>
  <c r="AB1137" i="1"/>
  <c r="Y1137" i="1"/>
  <c r="Z1137" i="1" s="1"/>
  <c r="Z1136" i="1"/>
  <c r="Y1136" i="1"/>
  <c r="Z1135" i="1"/>
  <c r="Y1135" i="1"/>
  <c r="Y1134" i="1"/>
  <c r="Z1134" i="1" s="1"/>
  <c r="AB1133" i="1"/>
  <c r="Y1133" i="1"/>
  <c r="Z1133" i="1" s="1"/>
  <c r="Z1132" i="1"/>
  <c r="Y1132" i="1"/>
  <c r="Z1131" i="1"/>
  <c r="Y1131" i="1"/>
  <c r="Y1130" i="1"/>
  <c r="Z1130" i="1" s="1"/>
  <c r="AB1129" i="1"/>
  <c r="Y1129" i="1"/>
  <c r="Z1129" i="1" s="1"/>
  <c r="Z1128" i="1"/>
  <c r="Y1128" i="1"/>
  <c r="Z1127" i="1"/>
  <c r="Y1127" i="1"/>
  <c r="Y1126" i="1"/>
  <c r="Z1126" i="1" s="1"/>
  <c r="AB1125" i="1"/>
  <c r="Y1125" i="1"/>
  <c r="Z1125" i="1" s="1"/>
  <c r="Z1124" i="1"/>
  <c r="Y1124" i="1"/>
  <c r="Z1123" i="1"/>
  <c r="Y1123" i="1"/>
  <c r="Y1122" i="1"/>
  <c r="Z1122" i="1" s="1"/>
  <c r="AB1121" i="1"/>
  <c r="Y1121" i="1"/>
  <c r="Z1121" i="1" s="1"/>
  <c r="Z1120" i="1"/>
  <c r="Y1120" i="1"/>
  <c r="Z1119" i="1"/>
  <c r="Y1119" i="1"/>
  <c r="Y1118" i="1"/>
  <c r="Z1118" i="1" s="1"/>
  <c r="AB1117" i="1"/>
  <c r="Y1117" i="1"/>
  <c r="Z1117" i="1" s="1"/>
  <c r="Z1116" i="1"/>
  <c r="Y1116" i="1"/>
  <c r="Z1115" i="1"/>
  <c r="Y1115" i="1"/>
  <c r="Y1114" i="1"/>
  <c r="Z1114" i="1" s="1"/>
  <c r="AB1113" i="1"/>
  <c r="Y1113" i="1"/>
  <c r="Z1113" i="1" s="1"/>
  <c r="Z1112" i="1"/>
  <c r="Y1112" i="1"/>
  <c r="Z1111" i="1"/>
  <c r="Y1111" i="1"/>
  <c r="Y1110" i="1"/>
  <c r="Z1110" i="1" s="1"/>
  <c r="AB1109" i="1"/>
  <c r="Y1109" i="1"/>
  <c r="Z1109" i="1" s="1"/>
  <c r="Z1108" i="1"/>
  <c r="Y1108" i="1"/>
  <c r="Z1107" i="1"/>
  <c r="Y1107" i="1"/>
  <c r="Y1106" i="1"/>
  <c r="Z1106" i="1" s="1"/>
  <c r="AB1105" i="1"/>
  <c r="Y1105" i="1"/>
  <c r="Z1105" i="1" s="1"/>
  <c r="Z1104" i="1"/>
  <c r="Y1104" i="1"/>
  <c r="Z1103" i="1"/>
  <c r="Y1103" i="1"/>
  <c r="Y1102" i="1"/>
  <c r="Z1102" i="1" s="1"/>
  <c r="AB1101" i="1"/>
  <c r="Y1101" i="1"/>
  <c r="Z1101" i="1" s="1"/>
  <c r="Z1100" i="1"/>
  <c r="Y1100" i="1"/>
  <c r="Z1099" i="1"/>
  <c r="Y1099" i="1"/>
  <c r="Y1098" i="1"/>
  <c r="Z1098" i="1" s="1"/>
  <c r="AB1097" i="1"/>
  <c r="Y1097" i="1"/>
  <c r="Z1097" i="1" s="1"/>
  <c r="Z1096" i="1"/>
  <c r="Y1096" i="1"/>
  <c r="Z1095" i="1"/>
  <c r="Y1095" i="1"/>
  <c r="Y1094" i="1"/>
  <c r="Z1094" i="1" s="1"/>
  <c r="AB1093" i="1"/>
  <c r="Y1093" i="1"/>
  <c r="Z1093" i="1" s="1"/>
  <c r="Z1092" i="1"/>
  <c r="Y1092" i="1"/>
  <c r="Z1091" i="1"/>
  <c r="Y1091" i="1"/>
  <c r="Y1090" i="1"/>
  <c r="Z1090" i="1" s="1"/>
  <c r="AB1089" i="1"/>
  <c r="Y1089" i="1"/>
  <c r="Z1089" i="1" s="1"/>
  <c r="Z1088" i="1"/>
  <c r="Y1088" i="1"/>
  <c r="Z1087" i="1"/>
  <c r="Y1087" i="1"/>
  <c r="Y1086" i="1"/>
  <c r="Z1086" i="1" s="1"/>
  <c r="AB1085" i="1"/>
  <c r="Y1085" i="1"/>
  <c r="Z1085" i="1" s="1"/>
  <c r="Z1084" i="1"/>
  <c r="Y1084" i="1"/>
  <c r="Z1083" i="1"/>
  <c r="Y1083" i="1"/>
  <c r="Y1082" i="1"/>
  <c r="Z1082" i="1" s="1"/>
  <c r="AB1081" i="1"/>
  <c r="Y1081" i="1"/>
  <c r="Z1081" i="1" s="1"/>
  <c r="Z1080" i="1"/>
  <c r="Y1080" i="1"/>
  <c r="Z1079" i="1"/>
  <c r="Y1079" i="1"/>
  <c r="Y1078" i="1"/>
  <c r="Z1078" i="1" s="1"/>
  <c r="AB1077" i="1"/>
  <c r="Y1077" i="1"/>
  <c r="Z1077" i="1" s="1"/>
  <c r="Z1076" i="1"/>
  <c r="Y1076" i="1"/>
  <c r="Z1075" i="1"/>
  <c r="Y1075" i="1"/>
  <c r="Y1074" i="1"/>
  <c r="Z1074" i="1" s="1"/>
  <c r="AB1073" i="1"/>
  <c r="Y1073" i="1"/>
  <c r="Z1073" i="1" s="1"/>
  <c r="Z1072" i="1"/>
  <c r="Y1072" i="1"/>
  <c r="Z1071" i="1"/>
  <c r="Y1071" i="1"/>
  <c r="Y1070" i="1"/>
  <c r="Z1070" i="1" s="1"/>
  <c r="AB1069" i="1"/>
  <c r="Y1069" i="1"/>
  <c r="Z1069" i="1" s="1"/>
  <c r="Z1068" i="1"/>
  <c r="Y1068" i="1"/>
  <c r="Z1067" i="1"/>
  <c r="Y1067" i="1"/>
  <c r="Y1066" i="1"/>
  <c r="Z1066" i="1" s="1"/>
  <c r="AB1065" i="1"/>
  <c r="Y1065" i="1"/>
  <c r="Z1065" i="1" s="1"/>
  <c r="Z1064" i="1"/>
  <c r="Y1064" i="1"/>
  <c r="Z1063" i="1"/>
  <c r="Y1063" i="1"/>
  <c r="Y1062" i="1"/>
  <c r="Z1062" i="1" s="1"/>
  <c r="AB1061" i="1"/>
  <c r="Y1061" i="1"/>
  <c r="Z1061" i="1" s="1"/>
  <c r="Z1060" i="1"/>
  <c r="Y1060" i="1"/>
  <c r="Z1059" i="1"/>
  <c r="Y1059" i="1"/>
  <c r="Y1058" i="1"/>
  <c r="Z1058" i="1" s="1"/>
  <c r="AB1057" i="1"/>
  <c r="Y1057" i="1"/>
  <c r="Z1057" i="1" s="1"/>
  <c r="Z1056" i="1"/>
  <c r="Y1056" i="1"/>
  <c r="Z1055" i="1"/>
  <c r="Y1055" i="1"/>
  <c r="Y1054" i="1"/>
  <c r="Z1054" i="1" s="1"/>
  <c r="AB1053" i="1"/>
  <c r="Y1053" i="1"/>
  <c r="Z1053" i="1" s="1"/>
  <c r="Z1052" i="1"/>
  <c r="Y1052" i="1"/>
  <c r="Z1051" i="1"/>
  <c r="Y1051" i="1"/>
  <c r="Y1050" i="1"/>
  <c r="Z1050" i="1" s="1"/>
  <c r="AB1049" i="1"/>
  <c r="Y1049" i="1"/>
  <c r="Z1049" i="1" s="1"/>
  <c r="Z1048" i="1"/>
  <c r="Y1048" i="1"/>
  <c r="Z1047" i="1"/>
  <c r="Y1047" i="1"/>
  <c r="Y1046" i="1"/>
  <c r="Z1046" i="1" s="1"/>
  <c r="AB1045" i="1"/>
  <c r="Y1045" i="1"/>
  <c r="Z1045" i="1" s="1"/>
  <c r="Z1044" i="1"/>
  <c r="Y1044" i="1"/>
  <c r="Z1043" i="1"/>
  <c r="Y1043" i="1"/>
  <c r="Y1042" i="1"/>
  <c r="Z1042" i="1" s="1"/>
  <c r="AB1041" i="1"/>
  <c r="Y1041" i="1"/>
  <c r="Z1041" i="1" s="1"/>
  <c r="Z1040" i="1"/>
  <c r="Y1040" i="1"/>
  <c r="Z1039" i="1"/>
  <c r="Y1039" i="1"/>
  <c r="Y1038" i="1"/>
  <c r="Z1038" i="1" s="1"/>
  <c r="AB1037" i="1"/>
  <c r="Y1037" i="1"/>
  <c r="Z1037" i="1" s="1"/>
  <c r="Z1036" i="1"/>
  <c r="Y1036" i="1"/>
  <c r="Z1035" i="1"/>
  <c r="Y1035" i="1"/>
  <c r="Y1034" i="1"/>
  <c r="Z1034" i="1" s="1"/>
  <c r="AB1033" i="1"/>
  <c r="Y1033" i="1"/>
  <c r="Z1033" i="1" s="1"/>
  <c r="Z1032" i="1"/>
  <c r="Y1032" i="1"/>
  <c r="Z1031" i="1"/>
  <c r="Y1031" i="1"/>
  <c r="Y1030" i="1"/>
  <c r="Z1030" i="1" s="1"/>
  <c r="AB1029" i="1"/>
  <c r="Y1029" i="1"/>
  <c r="Z1029" i="1" s="1"/>
  <c r="Z1028" i="1"/>
  <c r="Y1028" i="1"/>
  <c r="Z1027" i="1"/>
  <c r="Y1027" i="1"/>
  <c r="Y1026" i="1"/>
  <c r="Z1026" i="1" s="1"/>
  <c r="AB1025" i="1"/>
  <c r="Y1025" i="1"/>
  <c r="Z1025" i="1" s="1"/>
  <c r="Z1024" i="1"/>
  <c r="Y1024" i="1"/>
  <c r="Z1023" i="1"/>
  <c r="Y1023" i="1"/>
  <c r="Y1022" i="1"/>
  <c r="Z1022" i="1" s="1"/>
  <c r="AB1021" i="1"/>
  <c r="Y1021" i="1"/>
  <c r="Z1021" i="1" s="1"/>
  <c r="Z1020" i="1"/>
  <c r="Y1020" i="1"/>
  <c r="Z1019" i="1"/>
  <c r="Y1019" i="1"/>
  <c r="Y1018" i="1"/>
  <c r="Z1018" i="1" s="1"/>
  <c r="AB1017" i="1"/>
  <c r="Y1017" i="1"/>
  <c r="Z1017" i="1" s="1"/>
  <c r="Z1016" i="1"/>
  <c r="Y1016" i="1"/>
  <c r="Z1015" i="1"/>
  <c r="Y1015" i="1"/>
  <c r="Y1014" i="1"/>
  <c r="Z1014" i="1" s="1"/>
  <c r="AB1013" i="1"/>
  <c r="Y1013" i="1"/>
  <c r="Z1013" i="1" s="1"/>
  <c r="Z1012" i="1"/>
  <c r="Y1012" i="1"/>
  <c r="Z1011" i="1"/>
  <c r="Y1011" i="1"/>
  <c r="Y1010" i="1"/>
  <c r="Z1010" i="1" s="1"/>
  <c r="AB1009" i="1"/>
  <c r="Y1009" i="1"/>
  <c r="Z1009" i="1" s="1"/>
  <c r="Z1008" i="1"/>
  <c r="Y1008" i="1"/>
  <c r="Z1007" i="1"/>
  <c r="Y1007" i="1"/>
  <c r="Y1006" i="1"/>
  <c r="Z1006" i="1" s="1"/>
  <c r="AB1005" i="1"/>
  <c r="Y1005" i="1"/>
  <c r="Z1005" i="1" s="1"/>
  <c r="Z1004" i="1"/>
  <c r="Y1004" i="1"/>
  <c r="Z1003" i="1"/>
  <c r="Y1003" i="1"/>
  <c r="Y1002" i="1"/>
  <c r="Z1002" i="1" s="1"/>
  <c r="AB1001" i="1"/>
  <c r="Y1001" i="1"/>
  <c r="Z1001" i="1" s="1"/>
  <c r="Z1000" i="1"/>
  <c r="Y1000" i="1"/>
  <c r="Z999" i="1"/>
  <c r="Y999" i="1"/>
  <c r="Y998" i="1"/>
  <c r="Z998" i="1" s="1"/>
  <c r="AB997" i="1"/>
  <c r="Y997" i="1"/>
  <c r="Z997" i="1" s="1"/>
  <c r="Z996" i="1"/>
  <c r="Y996" i="1"/>
  <c r="Z995" i="1"/>
  <c r="Y995" i="1"/>
  <c r="Y994" i="1"/>
  <c r="Z994" i="1" s="1"/>
  <c r="AB993" i="1"/>
  <c r="Y993" i="1"/>
  <c r="Z993" i="1" s="1"/>
  <c r="Z992" i="1"/>
  <c r="Y992" i="1"/>
  <c r="Z991" i="1"/>
  <c r="Y991" i="1"/>
  <c r="Y990" i="1"/>
  <c r="Z990" i="1" s="1"/>
  <c r="AB989" i="1"/>
  <c r="Y989" i="1"/>
  <c r="Z989" i="1" s="1"/>
  <c r="Z988" i="1"/>
  <c r="Y988" i="1"/>
  <c r="Z987" i="1"/>
  <c r="Y987" i="1"/>
  <c r="Y986" i="1"/>
  <c r="Z986" i="1" s="1"/>
  <c r="AB985" i="1"/>
  <c r="Y985" i="1"/>
  <c r="Z985" i="1" s="1"/>
  <c r="Z984" i="1"/>
  <c r="Y984" i="1"/>
  <c r="Z983" i="1"/>
  <c r="Y983" i="1"/>
  <c r="Y982" i="1"/>
  <c r="Z982" i="1" s="1"/>
  <c r="AB981" i="1"/>
  <c r="Y981" i="1"/>
  <c r="Z981" i="1" s="1"/>
  <c r="Z980" i="1"/>
  <c r="Y980" i="1"/>
  <c r="Z979" i="1"/>
  <c r="Y979" i="1"/>
  <c r="Y978" i="1"/>
  <c r="Z978" i="1" s="1"/>
  <c r="AB977" i="1"/>
  <c r="Y977" i="1"/>
  <c r="Z977" i="1" s="1"/>
  <c r="Z976" i="1"/>
  <c r="Y976" i="1"/>
  <c r="Z975" i="1"/>
  <c r="Y975" i="1"/>
  <c r="Y974" i="1"/>
  <c r="Z974" i="1" s="1"/>
  <c r="AB973" i="1"/>
  <c r="Y973" i="1"/>
  <c r="Z973" i="1" s="1"/>
  <c r="Z972" i="1"/>
  <c r="Y972" i="1"/>
  <c r="Z971" i="1"/>
  <c r="Y971" i="1"/>
  <c r="Y970" i="1"/>
  <c r="Z970" i="1" s="1"/>
  <c r="AB969" i="1"/>
  <c r="Y969" i="1"/>
  <c r="Z969" i="1" s="1"/>
  <c r="Z968" i="1"/>
  <c r="Y968" i="1"/>
  <c r="Z967" i="1"/>
  <c r="Y967" i="1"/>
  <c r="Y966" i="1"/>
  <c r="Z966" i="1" s="1"/>
  <c r="AB965" i="1"/>
  <c r="Y965" i="1"/>
  <c r="Z965" i="1" s="1"/>
  <c r="Z964" i="1"/>
  <c r="Y964" i="1"/>
  <c r="Z963" i="1"/>
  <c r="Y963" i="1"/>
  <c r="Y962" i="1"/>
  <c r="Z962" i="1" s="1"/>
  <c r="AB961" i="1"/>
  <c r="Y961" i="1"/>
  <c r="Z961" i="1" s="1"/>
  <c r="Z960" i="1"/>
  <c r="Y960" i="1"/>
  <c r="Z959" i="1"/>
  <c r="Y959" i="1"/>
  <c r="Y958" i="1"/>
  <c r="Z958" i="1" s="1"/>
  <c r="AB957" i="1"/>
  <c r="Y957" i="1"/>
  <c r="Z957" i="1" s="1"/>
  <c r="Z956" i="1"/>
  <c r="Y956" i="1"/>
  <c r="Z955" i="1"/>
  <c r="Y955" i="1"/>
  <c r="Y954" i="1"/>
  <c r="Z954" i="1" s="1"/>
  <c r="AB953" i="1"/>
  <c r="Y953" i="1"/>
  <c r="Z953" i="1" s="1"/>
  <c r="Z952" i="1"/>
  <c r="Y952" i="1"/>
  <c r="Z951" i="1"/>
  <c r="Y951" i="1"/>
  <c r="Y950" i="1"/>
  <c r="Z950" i="1" s="1"/>
  <c r="AB949" i="1"/>
  <c r="Y949" i="1"/>
  <c r="Z949" i="1" s="1"/>
  <c r="Z948" i="1"/>
  <c r="Y948" i="1"/>
  <c r="Z947" i="1"/>
  <c r="Y947" i="1"/>
  <c r="Y946" i="1"/>
  <c r="Z946" i="1" s="1"/>
  <c r="AB945" i="1"/>
  <c r="Y945" i="1"/>
  <c r="Z945" i="1" s="1"/>
  <c r="Z944" i="1"/>
  <c r="Y944" i="1"/>
  <c r="Y943" i="1"/>
  <c r="Z943" i="1" s="1"/>
  <c r="Z942" i="1"/>
  <c r="Y942" i="1"/>
  <c r="Y941" i="1"/>
  <c r="Z941" i="1" s="1"/>
  <c r="Y940" i="1"/>
  <c r="Z940" i="1" s="1"/>
  <c r="Y939" i="1"/>
  <c r="Z939" i="1" s="1"/>
  <c r="Z938" i="1"/>
  <c r="Y938" i="1"/>
  <c r="Y937" i="1"/>
  <c r="Z937" i="1" s="1"/>
  <c r="Y936" i="1"/>
  <c r="Z936" i="1" s="1"/>
  <c r="Y935" i="1"/>
  <c r="Z935" i="1" s="1"/>
  <c r="Z934" i="1"/>
  <c r="Y934" i="1"/>
  <c r="Y933" i="1"/>
  <c r="Z933" i="1" s="1"/>
  <c r="Y932" i="1"/>
  <c r="Z932" i="1" s="1"/>
  <c r="Y931" i="1"/>
  <c r="Z931" i="1" s="1"/>
  <c r="Z930" i="1"/>
  <c r="Y930" i="1"/>
  <c r="Y929" i="1"/>
  <c r="Z929" i="1" s="1"/>
  <c r="Y928" i="1"/>
  <c r="Z928" i="1" s="1"/>
  <c r="Y927" i="1"/>
  <c r="Z927" i="1" s="1"/>
  <c r="Z926" i="1"/>
  <c r="Y926" i="1"/>
  <c r="Y925" i="1"/>
  <c r="Z925" i="1" s="1"/>
  <c r="Y924" i="1"/>
  <c r="Z924" i="1" s="1"/>
  <c r="Y923" i="1"/>
  <c r="Z923" i="1" s="1"/>
  <c r="Z922" i="1"/>
  <c r="Y922" i="1"/>
  <c r="Y921" i="1"/>
  <c r="Z921" i="1" s="1"/>
  <c r="Y920" i="1"/>
  <c r="Z920" i="1" s="1"/>
  <c r="Y919" i="1"/>
  <c r="Z919" i="1" s="1"/>
  <c r="Z918" i="1"/>
  <c r="Y918" i="1"/>
  <c r="Y917" i="1"/>
  <c r="Z917" i="1" s="1"/>
  <c r="Y916" i="1"/>
  <c r="Z916" i="1" s="1"/>
  <c r="Y915" i="1"/>
  <c r="Z915" i="1" s="1"/>
  <c r="Z914" i="1"/>
  <c r="Y914" i="1"/>
  <c r="Y913" i="1"/>
  <c r="Z913" i="1" s="1"/>
  <c r="Y912" i="1"/>
  <c r="Z912" i="1" s="1"/>
  <c r="Y911" i="1"/>
  <c r="Z911" i="1" s="1"/>
  <c r="Z910" i="1"/>
  <c r="Y910" i="1"/>
  <c r="Y909" i="1"/>
  <c r="Z909" i="1" s="1"/>
  <c r="Y908" i="1"/>
  <c r="Z908" i="1" s="1"/>
  <c r="Y907" i="1"/>
  <c r="Z907" i="1" s="1"/>
  <c r="Z906" i="1"/>
  <c r="Y906" i="1"/>
  <c r="Y905" i="1"/>
  <c r="Z905" i="1" s="1"/>
  <c r="Y904" i="1"/>
  <c r="Z904" i="1" s="1"/>
  <c r="Y903" i="1"/>
  <c r="Z903" i="1" s="1"/>
  <c r="Z902" i="1"/>
  <c r="Y902" i="1"/>
  <c r="Y901" i="1"/>
  <c r="Z901" i="1" s="1"/>
  <c r="Y900" i="1"/>
  <c r="Z900" i="1" s="1"/>
  <c r="Y899" i="1"/>
  <c r="Z899" i="1" s="1"/>
  <c r="Z898" i="1"/>
  <c r="Y898" i="1"/>
  <c r="Y897" i="1"/>
  <c r="Z897" i="1" s="1"/>
  <c r="Y896" i="1"/>
  <c r="Z896" i="1" s="1"/>
  <c r="Y895" i="1"/>
  <c r="Z895" i="1" s="1"/>
  <c r="Z894" i="1"/>
  <c r="Y894" i="1"/>
  <c r="Y893" i="1"/>
  <c r="Z893" i="1" s="1"/>
  <c r="Y892" i="1"/>
  <c r="Z892" i="1" s="1"/>
  <c r="Y891" i="1"/>
  <c r="Z891" i="1" s="1"/>
  <c r="Z890" i="1"/>
  <c r="Y890" i="1"/>
  <c r="Y889" i="1"/>
  <c r="Z889" i="1" s="1"/>
  <c r="Y888" i="1"/>
  <c r="Z888" i="1" s="1"/>
  <c r="Y887" i="1"/>
  <c r="Z887" i="1" s="1"/>
  <c r="Z886" i="1"/>
  <c r="Y886" i="1"/>
  <c r="Y885" i="1"/>
  <c r="Z885" i="1" s="1"/>
  <c r="Y884" i="1"/>
  <c r="Z884" i="1" s="1"/>
  <c r="Y883" i="1"/>
  <c r="Z883" i="1" s="1"/>
  <c r="Z882" i="1"/>
  <c r="Y882" i="1"/>
  <c r="Y881" i="1"/>
  <c r="Z881" i="1" s="1"/>
  <c r="Y880" i="1"/>
  <c r="Z880" i="1" s="1"/>
  <c r="Y879" i="1"/>
  <c r="Z879" i="1" s="1"/>
  <c r="Z878" i="1"/>
  <c r="Y878" i="1"/>
  <c r="Y877" i="1"/>
  <c r="Z877" i="1" s="1"/>
  <c r="Y876" i="1"/>
  <c r="Z876" i="1" s="1"/>
  <c r="Y875" i="1"/>
  <c r="Z875" i="1" s="1"/>
  <c r="Z874" i="1"/>
  <c r="Y874" i="1"/>
  <c r="Y873" i="1"/>
  <c r="Z873" i="1" s="1"/>
  <c r="Y872" i="1"/>
  <c r="Z872" i="1" s="1"/>
  <c r="Y871" i="1"/>
  <c r="Z871" i="1" s="1"/>
  <c r="Z870" i="1"/>
  <c r="Y870" i="1"/>
  <c r="Y869" i="1"/>
  <c r="Z869" i="1" s="1"/>
  <c r="Y868" i="1"/>
  <c r="Z868" i="1" s="1"/>
  <c r="Y867" i="1"/>
  <c r="Z867" i="1" s="1"/>
  <c r="Z866" i="1"/>
  <c r="Y866" i="1"/>
  <c r="Y865" i="1"/>
  <c r="Z865" i="1" s="1"/>
  <c r="Y864" i="1"/>
  <c r="Z864" i="1" s="1"/>
  <c r="Y863" i="1"/>
  <c r="Z863" i="1" s="1"/>
  <c r="Z862" i="1"/>
  <c r="Y862" i="1"/>
  <c r="Y861" i="1"/>
  <c r="Z861" i="1" s="1"/>
  <c r="Y860" i="1"/>
  <c r="Z860" i="1" s="1"/>
  <c r="Y859" i="1"/>
  <c r="Z859" i="1" s="1"/>
  <c r="Z858" i="1"/>
  <c r="Y858" i="1"/>
  <c r="Y857" i="1"/>
  <c r="Z857" i="1" s="1"/>
  <c r="Y856" i="1"/>
  <c r="Z856" i="1" s="1"/>
  <c r="Y855" i="1"/>
  <c r="Z855" i="1" s="1"/>
  <c r="Z854" i="1"/>
  <c r="Y854" i="1"/>
  <c r="Y853" i="1"/>
  <c r="Z853" i="1" s="1"/>
  <c r="Y852" i="1"/>
  <c r="Z852" i="1" s="1"/>
  <c r="Y851" i="1"/>
  <c r="Z851" i="1" s="1"/>
  <c r="Z850" i="1"/>
  <c r="Y850" i="1"/>
  <c r="Y849" i="1"/>
  <c r="Z849" i="1" s="1"/>
  <c r="Y848" i="1"/>
  <c r="Z848" i="1" s="1"/>
  <c r="Y847" i="1"/>
  <c r="Z847" i="1" s="1"/>
  <c r="Z846" i="1"/>
  <c r="Y846" i="1"/>
  <c r="Y845" i="1"/>
  <c r="Z845" i="1" s="1"/>
  <c r="Y844" i="1"/>
  <c r="Z844" i="1" s="1"/>
  <c r="Y843" i="1"/>
  <c r="Z843" i="1" s="1"/>
  <c r="Z842" i="1"/>
  <c r="Y842" i="1"/>
  <c r="Y841" i="1"/>
  <c r="Z841" i="1" s="1"/>
  <c r="Y840" i="1"/>
  <c r="Z840" i="1" s="1"/>
  <c r="Y839" i="1"/>
  <c r="Z839" i="1" s="1"/>
  <c r="Z838" i="1"/>
  <c r="Y838" i="1"/>
  <c r="Y837" i="1"/>
  <c r="Z837" i="1" s="1"/>
  <c r="Y836" i="1"/>
  <c r="Z836" i="1" s="1"/>
  <c r="Y835" i="1"/>
  <c r="Z835" i="1" s="1"/>
  <c r="Z834" i="1"/>
  <c r="Y834" i="1"/>
  <c r="Y833" i="1"/>
  <c r="Z833" i="1" s="1"/>
  <c r="Y832" i="1"/>
  <c r="Z832" i="1" s="1"/>
  <c r="Y831" i="1"/>
  <c r="Z831" i="1" s="1"/>
  <c r="Z830" i="1"/>
  <c r="Y830" i="1"/>
  <c r="Y829" i="1"/>
  <c r="Z829" i="1" s="1"/>
  <c r="Y828" i="1"/>
  <c r="Z828" i="1" s="1"/>
  <c r="Y827" i="1"/>
  <c r="Z827" i="1" s="1"/>
  <c r="Z826" i="1"/>
  <c r="Y826" i="1"/>
  <c r="Y825" i="1"/>
  <c r="Z825" i="1" s="1"/>
  <c r="Y824" i="1"/>
  <c r="Z824" i="1" s="1"/>
  <c r="Y823" i="1"/>
  <c r="Z823" i="1" s="1"/>
  <c r="Z822" i="1"/>
  <c r="Y822" i="1"/>
  <c r="Y821" i="1"/>
  <c r="Z821" i="1" s="1"/>
  <c r="Y820" i="1"/>
  <c r="Z820" i="1" s="1"/>
  <c r="Y819" i="1"/>
  <c r="Z819" i="1" s="1"/>
  <c r="Z818" i="1"/>
  <c r="Y818" i="1"/>
  <c r="Y817" i="1"/>
  <c r="Z817" i="1" s="1"/>
  <c r="Y816" i="1"/>
  <c r="Z816" i="1" s="1"/>
  <c r="Y815" i="1"/>
  <c r="Z815" i="1" s="1"/>
  <c r="Z814" i="1"/>
  <c r="Y814" i="1"/>
  <c r="Y813" i="1"/>
  <c r="Z813" i="1" s="1"/>
  <c r="Y812" i="1"/>
  <c r="Z812" i="1" s="1"/>
  <c r="Y811" i="1"/>
  <c r="Z811" i="1" s="1"/>
  <c r="Z810" i="1"/>
  <c r="Y810" i="1"/>
  <c r="Y809" i="1"/>
  <c r="Z809" i="1" s="1"/>
  <c r="Y808" i="1"/>
  <c r="Z808" i="1" s="1"/>
  <c r="Y807" i="1"/>
  <c r="Z807" i="1" s="1"/>
  <c r="Z806" i="1"/>
  <c r="Y806" i="1"/>
  <c r="Y805" i="1"/>
  <c r="Z805" i="1" s="1"/>
  <c r="Y804" i="1"/>
  <c r="Z804" i="1" s="1"/>
  <c r="Y803" i="1"/>
  <c r="Z803" i="1" s="1"/>
  <c r="Z802" i="1"/>
  <c r="Y802" i="1"/>
  <c r="Y801" i="1"/>
  <c r="Z801" i="1" s="1"/>
  <c r="Y800" i="1"/>
  <c r="Z800" i="1" s="1"/>
  <c r="Y799" i="1"/>
  <c r="Z799" i="1" s="1"/>
  <c r="Z798" i="1"/>
  <c r="Y798" i="1"/>
  <c r="Y797" i="1"/>
  <c r="Z797" i="1" s="1"/>
  <c r="Y796" i="1"/>
  <c r="Z796" i="1" s="1"/>
  <c r="Y795" i="1"/>
  <c r="Z795" i="1" s="1"/>
  <c r="Z794" i="1"/>
  <c r="Y794" i="1"/>
  <c r="Y793" i="1"/>
  <c r="Z793" i="1" s="1"/>
  <c r="Y792" i="1"/>
  <c r="Z792" i="1" s="1"/>
  <c r="Y791" i="1"/>
  <c r="Z791" i="1" s="1"/>
  <c r="Z790" i="1"/>
  <c r="Y790" i="1"/>
  <c r="Y789" i="1"/>
  <c r="Z789" i="1" s="1"/>
  <c r="Y788" i="1"/>
  <c r="Z788" i="1" s="1"/>
  <c r="Y787" i="1"/>
  <c r="Z787" i="1" s="1"/>
  <c r="Z786" i="1"/>
  <c r="Y786" i="1"/>
  <c r="Y785" i="1"/>
  <c r="Z785" i="1" s="1"/>
  <c r="Y784" i="1"/>
  <c r="Z784" i="1" s="1"/>
  <c r="Y783" i="1"/>
  <c r="Z783" i="1" s="1"/>
  <c r="Z782" i="1"/>
  <c r="Y782" i="1"/>
  <c r="Y781" i="1"/>
  <c r="Z781" i="1" s="1"/>
  <c r="Y780" i="1"/>
  <c r="Z780" i="1" s="1"/>
  <c r="Y779" i="1"/>
  <c r="Z779" i="1" s="1"/>
  <c r="Z778" i="1"/>
  <c r="Y778" i="1"/>
  <c r="Y777" i="1"/>
  <c r="Z777" i="1" s="1"/>
  <c r="Y776" i="1"/>
  <c r="Z776" i="1" s="1"/>
  <c r="Y775" i="1"/>
  <c r="Z775" i="1" s="1"/>
  <c r="Z774" i="1"/>
  <c r="Y774" i="1"/>
  <c r="Y773" i="1"/>
  <c r="Z773" i="1" s="1"/>
  <c r="Y772" i="1"/>
  <c r="Z772" i="1" s="1"/>
  <c r="Y771" i="1"/>
  <c r="Z771" i="1" s="1"/>
  <c r="Z770" i="1"/>
  <c r="Y770" i="1"/>
  <c r="Y769" i="1"/>
  <c r="Z769" i="1" s="1"/>
  <c r="Y768" i="1"/>
  <c r="Z768" i="1" s="1"/>
  <c r="Y767" i="1"/>
  <c r="Z767" i="1" s="1"/>
  <c r="Z766" i="1"/>
  <c r="Y766" i="1"/>
  <c r="Y765" i="1"/>
  <c r="Z765" i="1" s="1"/>
  <c r="Y764" i="1"/>
  <c r="Z764" i="1" s="1"/>
  <c r="Y763" i="1"/>
  <c r="Z763" i="1" s="1"/>
  <c r="Z762" i="1"/>
  <c r="Y762" i="1"/>
  <c r="Y761" i="1"/>
  <c r="Z761" i="1" s="1"/>
  <c r="Y760" i="1"/>
  <c r="Z760" i="1" s="1"/>
  <c r="Y759" i="1"/>
  <c r="Z759" i="1" s="1"/>
  <c r="Z758" i="1"/>
  <c r="Y758" i="1"/>
  <c r="Y757" i="1"/>
  <c r="Z757" i="1" s="1"/>
  <c r="Y756" i="1"/>
  <c r="Z756" i="1" s="1"/>
  <c r="Y755" i="1"/>
  <c r="Z755" i="1" s="1"/>
  <c r="Z754" i="1"/>
  <c r="Y754" i="1"/>
  <c r="Y753" i="1"/>
  <c r="Z753" i="1" s="1"/>
  <c r="Y752" i="1"/>
  <c r="Z752" i="1" s="1"/>
  <c r="Y751" i="1"/>
  <c r="Z751" i="1" s="1"/>
  <c r="Z750" i="1"/>
  <c r="Y750" i="1"/>
  <c r="Y749" i="1"/>
  <c r="Z749" i="1" s="1"/>
  <c r="Y748" i="1"/>
  <c r="Z748" i="1" s="1"/>
  <c r="Y747" i="1"/>
  <c r="Z747" i="1" s="1"/>
  <c r="Z746" i="1"/>
  <c r="Y746" i="1"/>
  <c r="Y745" i="1"/>
  <c r="Z745" i="1" s="1"/>
  <c r="Y744" i="1"/>
  <c r="Z744" i="1" s="1"/>
  <c r="Y743" i="1"/>
  <c r="Z743" i="1" s="1"/>
  <c r="Z742" i="1"/>
  <c r="Y742" i="1"/>
  <c r="Y741" i="1"/>
  <c r="Z741" i="1" s="1"/>
  <c r="Y740" i="1"/>
  <c r="Z740" i="1" s="1"/>
  <c r="Y739" i="1"/>
  <c r="Z739" i="1" s="1"/>
  <c r="Z738" i="1"/>
  <c r="Y738" i="1"/>
  <c r="Y737" i="1"/>
  <c r="Z737" i="1" s="1"/>
  <c r="Y736" i="1"/>
  <c r="Z736" i="1" s="1"/>
  <c r="Y735" i="1"/>
  <c r="Z735" i="1" s="1"/>
  <c r="Z734" i="1"/>
  <c r="Y734" i="1"/>
  <c r="Y733" i="1"/>
  <c r="Z733" i="1" s="1"/>
  <c r="Y732" i="1"/>
  <c r="Z732" i="1" s="1"/>
  <c r="Y731" i="1"/>
  <c r="Z731" i="1" s="1"/>
  <c r="Z730" i="1"/>
  <c r="Y730" i="1"/>
  <c r="Y729" i="1"/>
  <c r="Z729" i="1" s="1"/>
  <c r="Y728" i="1"/>
  <c r="Z728" i="1" s="1"/>
  <c r="Y727" i="1"/>
  <c r="Z727" i="1" s="1"/>
  <c r="Z726" i="1"/>
  <c r="Y726" i="1"/>
  <c r="Y725" i="1"/>
  <c r="Z725" i="1" s="1"/>
  <c r="Y724" i="1"/>
  <c r="Z724" i="1" s="1"/>
  <c r="Y723" i="1"/>
  <c r="Z723" i="1" s="1"/>
  <c r="Z722" i="1"/>
  <c r="Y722" i="1"/>
  <c r="Y721" i="1"/>
  <c r="Z721" i="1" s="1"/>
  <c r="Y720" i="1"/>
  <c r="Z720" i="1" s="1"/>
  <c r="Y719" i="1"/>
  <c r="Z719" i="1" s="1"/>
  <c r="Z718" i="1"/>
  <c r="Y718" i="1"/>
  <c r="Y717" i="1"/>
  <c r="Z717" i="1" s="1"/>
  <c r="Y716" i="1"/>
  <c r="Z716" i="1" s="1"/>
  <c r="Y715" i="1"/>
  <c r="Z715" i="1" s="1"/>
  <c r="Z714" i="1"/>
  <c r="Y714" i="1"/>
  <c r="Y713" i="1"/>
  <c r="Z713" i="1" s="1"/>
  <c r="Y712" i="1"/>
  <c r="Z712" i="1" s="1"/>
  <c r="Y711" i="1"/>
  <c r="Z711" i="1" s="1"/>
  <c r="Z710" i="1"/>
  <c r="Y710" i="1"/>
  <c r="Y709" i="1"/>
  <c r="Z709" i="1" s="1"/>
  <c r="Y708" i="1"/>
  <c r="Z708" i="1" s="1"/>
  <c r="Y707" i="1"/>
  <c r="Z707" i="1" s="1"/>
  <c r="Z706" i="1"/>
  <c r="Y706" i="1"/>
  <c r="Y705" i="1"/>
  <c r="Z705" i="1" s="1"/>
  <c r="Y704" i="1"/>
  <c r="Z704" i="1" s="1"/>
  <c r="Y703" i="1"/>
  <c r="Z703" i="1" s="1"/>
  <c r="Z702" i="1"/>
  <c r="Y702" i="1"/>
  <c r="Y701" i="1"/>
  <c r="Z701" i="1" s="1"/>
  <c r="Y700" i="1"/>
  <c r="Z700" i="1" s="1"/>
  <c r="Y699" i="1"/>
  <c r="Z699" i="1" s="1"/>
  <c r="Z698" i="1"/>
  <c r="Y698" i="1"/>
  <c r="Y697" i="1"/>
  <c r="Z697" i="1" s="1"/>
  <c r="Y696" i="1"/>
  <c r="Z696" i="1" s="1"/>
  <c r="Y695" i="1"/>
  <c r="Z695" i="1" s="1"/>
  <c r="Z694" i="1"/>
  <c r="Y694" i="1"/>
  <c r="Y693" i="1"/>
  <c r="Z693" i="1" s="1"/>
  <c r="Y692" i="1"/>
  <c r="Z692" i="1" s="1"/>
  <c r="AA691" i="1"/>
  <c r="Y691" i="1"/>
  <c r="Z691" i="1" s="1"/>
  <c r="Z690" i="1"/>
  <c r="Y690" i="1"/>
  <c r="Y689" i="1"/>
  <c r="Z689" i="1" s="1"/>
  <c r="Y688" i="1"/>
  <c r="Z688" i="1" s="1"/>
  <c r="Y687" i="1"/>
  <c r="Z687" i="1" s="1"/>
  <c r="Z686" i="1"/>
  <c r="Y686" i="1"/>
  <c r="Y685" i="1"/>
  <c r="Z685" i="1" s="1"/>
  <c r="Y684" i="1"/>
  <c r="Z684" i="1" s="1"/>
  <c r="AA683" i="1"/>
  <c r="Y683" i="1"/>
  <c r="Z683" i="1" s="1"/>
  <c r="Z682" i="1"/>
  <c r="Y682" i="1"/>
  <c r="Y681" i="1"/>
  <c r="Z681" i="1" s="1"/>
  <c r="Y680" i="1"/>
  <c r="Z680" i="1" s="1"/>
  <c r="Y679" i="1"/>
  <c r="Z679" i="1" s="1"/>
  <c r="Z678" i="1"/>
  <c r="Y678" i="1"/>
  <c r="Y677" i="1"/>
  <c r="Z677" i="1" s="1"/>
  <c r="Y676" i="1"/>
  <c r="Z676" i="1" s="1"/>
  <c r="AA675" i="1"/>
  <c r="Y675" i="1"/>
  <c r="Z675" i="1" s="1"/>
  <c r="Z674" i="1"/>
  <c r="Y674" i="1"/>
  <c r="Y673" i="1"/>
  <c r="Z673" i="1" s="1"/>
  <c r="Y672" i="1"/>
  <c r="Z672" i="1" s="1"/>
  <c r="Y671" i="1"/>
  <c r="Z671" i="1" s="1"/>
  <c r="Z670" i="1"/>
  <c r="Y670" i="1"/>
  <c r="Y669" i="1"/>
  <c r="Z669" i="1" s="1"/>
  <c r="Y668" i="1"/>
  <c r="Z668" i="1" s="1"/>
  <c r="AA667" i="1"/>
  <c r="Y667" i="1"/>
  <c r="Z667" i="1" s="1"/>
  <c r="Z666" i="1"/>
  <c r="Y666" i="1"/>
  <c r="Y665" i="1"/>
  <c r="Z665" i="1" s="1"/>
  <c r="Y664" i="1"/>
  <c r="Z664" i="1" s="1"/>
  <c r="Y663" i="1"/>
  <c r="Z663" i="1" s="1"/>
  <c r="Z662" i="1"/>
  <c r="Y662" i="1"/>
  <c r="Y661" i="1"/>
  <c r="Z661" i="1" s="1"/>
  <c r="Y660" i="1"/>
  <c r="Z660" i="1" s="1"/>
  <c r="AA659" i="1"/>
  <c r="Y659" i="1"/>
  <c r="Z659" i="1" s="1"/>
  <c r="Z658" i="1"/>
  <c r="Y658" i="1"/>
  <c r="Y657" i="1"/>
  <c r="Z657" i="1" s="1"/>
  <c r="Y656" i="1"/>
  <c r="Z656" i="1" s="1"/>
  <c r="Y655" i="1"/>
  <c r="Z655" i="1" s="1"/>
  <c r="Z654" i="1"/>
  <c r="Y654" i="1"/>
  <c r="Y653" i="1"/>
  <c r="Z653" i="1" s="1"/>
  <c r="Y652" i="1"/>
  <c r="Z652" i="1" s="1"/>
  <c r="AA651" i="1"/>
  <c r="Y651" i="1"/>
  <c r="Z651" i="1" s="1"/>
  <c r="Z650" i="1"/>
  <c r="Y650" i="1"/>
  <c r="Y649" i="1"/>
  <c r="Z649" i="1" s="1"/>
  <c r="Y648" i="1"/>
  <c r="Z648" i="1" s="1"/>
  <c r="Y647" i="1"/>
  <c r="Z647" i="1" s="1"/>
  <c r="Z646" i="1"/>
  <c r="Y646" i="1"/>
  <c r="Y645" i="1"/>
  <c r="Z645" i="1" s="1"/>
  <c r="Y644" i="1"/>
  <c r="Z644" i="1" s="1"/>
  <c r="AA643" i="1"/>
  <c r="Y643" i="1"/>
  <c r="Z643" i="1" s="1"/>
  <c r="Z642" i="1"/>
  <c r="Y642" i="1"/>
  <c r="Y641" i="1"/>
  <c r="Z641" i="1" s="1"/>
  <c r="Y640" i="1"/>
  <c r="Z640" i="1" s="1"/>
  <c r="Y639" i="1"/>
  <c r="Z639" i="1" s="1"/>
  <c r="Z638" i="1"/>
  <c r="Y638" i="1"/>
  <c r="Y637" i="1"/>
  <c r="Z637" i="1" s="1"/>
  <c r="Y636" i="1"/>
  <c r="Z636" i="1" s="1"/>
  <c r="AA635" i="1"/>
  <c r="Y635" i="1"/>
  <c r="Z635" i="1" s="1"/>
  <c r="Z634" i="1"/>
  <c r="Y634" i="1"/>
  <c r="Y633" i="1"/>
  <c r="Z633" i="1" s="1"/>
  <c r="Y632" i="1"/>
  <c r="Z632" i="1" s="1"/>
  <c r="Y631" i="1"/>
  <c r="Z631" i="1" s="1"/>
  <c r="Z630" i="1"/>
  <c r="Y630" i="1"/>
  <c r="Y629" i="1"/>
  <c r="Z629" i="1" s="1"/>
  <c r="Y628" i="1"/>
  <c r="Z628" i="1" s="1"/>
  <c r="AA627" i="1"/>
  <c r="Y627" i="1"/>
  <c r="Z627" i="1" s="1"/>
  <c r="Z626" i="1"/>
  <c r="Y626" i="1"/>
  <c r="Y625" i="1"/>
  <c r="Z625" i="1" s="1"/>
  <c r="Y624" i="1"/>
  <c r="Z624" i="1" s="1"/>
  <c r="Y623" i="1"/>
  <c r="Z623" i="1" s="1"/>
  <c r="Z622" i="1"/>
  <c r="Y622" i="1"/>
  <c r="Y621" i="1"/>
  <c r="Z621" i="1" s="1"/>
  <c r="Y620" i="1"/>
  <c r="Z620" i="1" s="1"/>
  <c r="AA619" i="1"/>
  <c r="Y619" i="1"/>
  <c r="Z619" i="1" s="1"/>
  <c r="Z618" i="1"/>
  <c r="Y618" i="1"/>
  <c r="Y617" i="1"/>
  <c r="Z617" i="1" s="1"/>
  <c r="Y616" i="1"/>
  <c r="Z616" i="1" s="1"/>
  <c r="Y615" i="1"/>
  <c r="Z615" i="1" s="1"/>
  <c r="Z614" i="1"/>
  <c r="Y614" i="1"/>
  <c r="Y613" i="1"/>
  <c r="Z613" i="1" s="1"/>
  <c r="Y612" i="1"/>
  <c r="Z612" i="1" s="1"/>
  <c r="AA611" i="1"/>
  <c r="Y611" i="1"/>
  <c r="Z611" i="1" s="1"/>
  <c r="Z610" i="1"/>
  <c r="Y610" i="1"/>
  <c r="Y609" i="1"/>
  <c r="Z609" i="1" s="1"/>
  <c r="Y608" i="1"/>
  <c r="Z608" i="1" s="1"/>
  <c r="Y607" i="1"/>
  <c r="Z607" i="1" s="1"/>
  <c r="Z606" i="1"/>
  <c r="Y606" i="1"/>
  <c r="Y605" i="1"/>
  <c r="Z605" i="1" s="1"/>
  <c r="Y604" i="1"/>
  <c r="Z604" i="1" s="1"/>
  <c r="AA603" i="1"/>
  <c r="Y603" i="1"/>
  <c r="Z603" i="1" s="1"/>
  <c r="Z602" i="1"/>
  <c r="Y602" i="1"/>
  <c r="Y601" i="1"/>
  <c r="Z601" i="1" s="1"/>
  <c r="Y600" i="1"/>
  <c r="Z600" i="1" s="1"/>
  <c r="Y599" i="1"/>
  <c r="Z599" i="1" s="1"/>
  <c r="Z598" i="1"/>
  <c r="Y598" i="1"/>
  <c r="Y597" i="1"/>
  <c r="Z597" i="1" s="1"/>
  <c r="Y596" i="1"/>
  <c r="Z596" i="1" s="1"/>
  <c r="AA595" i="1"/>
  <c r="Y595" i="1"/>
  <c r="Z595" i="1" s="1"/>
  <c r="Z594" i="1"/>
  <c r="Y594" i="1"/>
  <c r="Y593" i="1"/>
  <c r="Z593" i="1" s="1"/>
  <c r="Y592" i="1"/>
  <c r="Z592" i="1" s="1"/>
  <c r="Y591" i="1"/>
  <c r="Z591" i="1" s="1"/>
  <c r="Z590" i="1"/>
  <c r="Y590" i="1"/>
  <c r="Y589" i="1"/>
  <c r="Z589" i="1" s="1"/>
  <c r="Y588" i="1"/>
  <c r="Z588" i="1" s="1"/>
  <c r="AA587" i="1"/>
  <c r="Y587" i="1"/>
  <c r="Z587" i="1" s="1"/>
  <c r="Z586" i="1"/>
  <c r="Y586" i="1"/>
  <c r="Y585" i="1"/>
  <c r="Z585" i="1" s="1"/>
  <c r="Y584" i="1"/>
  <c r="Z584" i="1" s="1"/>
  <c r="Y583" i="1"/>
  <c r="Z583" i="1" s="1"/>
  <c r="Z582" i="1"/>
  <c r="Y582" i="1"/>
  <c r="Y581" i="1"/>
  <c r="Z581" i="1" s="1"/>
  <c r="Y580" i="1"/>
  <c r="Z580" i="1" s="1"/>
  <c r="AA579" i="1"/>
  <c r="Y579" i="1"/>
  <c r="Z579" i="1" s="1"/>
  <c r="Z578" i="1"/>
  <c r="Y578" i="1"/>
  <c r="Y577" i="1"/>
  <c r="Z577" i="1" s="1"/>
  <c r="Y576" i="1"/>
  <c r="Z576" i="1" s="1"/>
  <c r="Y575" i="1"/>
  <c r="Z575" i="1" s="1"/>
  <c r="Z574" i="1"/>
  <c r="Y574" i="1"/>
  <c r="Y573" i="1"/>
  <c r="Z573" i="1" s="1"/>
  <c r="Y572" i="1"/>
  <c r="Z572" i="1" s="1"/>
  <c r="AA571" i="1"/>
  <c r="Y571" i="1"/>
  <c r="Z571" i="1" s="1"/>
  <c r="Z570" i="1"/>
  <c r="Y570" i="1"/>
  <c r="Y569" i="1"/>
  <c r="Z569" i="1" s="1"/>
  <c r="Y568" i="1"/>
  <c r="Z568" i="1" s="1"/>
  <c r="Y567" i="1"/>
  <c r="Z567" i="1" s="1"/>
  <c r="Z566" i="1"/>
  <c r="Y566" i="1"/>
  <c r="Y565" i="1"/>
  <c r="Z565" i="1" s="1"/>
  <c r="Y564" i="1"/>
  <c r="Z564" i="1" s="1"/>
  <c r="AA563" i="1"/>
  <c r="Y563" i="1"/>
  <c r="Z563" i="1" s="1"/>
  <c r="Z562" i="1"/>
  <c r="Y562" i="1"/>
  <c r="Y561" i="1"/>
  <c r="Z561" i="1" s="1"/>
  <c r="Y560" i="1"/>
  <c r="Z560" i="1" s="1"/>
  <c r="Y559" i="1"/>
  <c r="Z559" i="1" s="1"/>
  <c r="Z558" i="1"/>
  <c r="Y558" i="1"/>
  <c r="Y557" i="1"/>
  <c r="Z557" i="1" s="1"/>
  <c r="Y556" i="1"/>
  <c r="Z556" i="1" s="1"/>
  <c r="AA555" i="1"/>
  <c r="Y555" i="1"/>
  <c r="Z555" i="1" s="1"/>
  <c r="Z554" i="1"/>
  <c r="Y554" i="1"/>
  <c r="Y553" i="1"/>
  <c r="Z553" i="1" s="1"/>
  <c r="Y552" i="1"/>
  <c r="Z552" i="1" s="1"/>
  <c r="Y551" i="1"/>
  <c r="Z551" i="1" s="1"/>
  <c r="Z550" i="1"/>
  <c r="Y550" i="1"/>
  <c r="Y549" i="1"/>
  <c r="Z549" i="1" s="1"/>
  <c r="Y548" i="1"/>
  <c r="Z548" i="1" s="1"/>
  <c r="AA547" i="1"/>
  <c r="Y547" i="1"/>
  <c r="Z547" i="1" s="1"/>
  <c r="Z546" i="1"/>
  <c r="Y546" i="1"/>
  <c r="Y545" i="1"/>
  <c r="Z545" i="1" s="1"/>
  <c r="Y544" i="1"/>
  <c r="Z544" i="1" s="1"/>
  <c r="Y543" i="1"/>
  <c r="Z543" i="1" s="1"/>
  <c r="Z542" i="1"/>
  <c r="Y542" i="1"/>
  <c r="Y541" i="1"/>
  <c r="Z541" i="1" s="1"/>
  <c r="Y540" i="1"/>
  <c r="Z540" i="1" s="1"/>
  <c r="AA539" i="1"/>
  <c r="Y539" i="1"/>
  <c r="Z539" i="1" s="1"/>
  <c r="Z538" i="1"/>
  <c r="Y538" i="1"/>
  <c r="Y537" i="1"/>
  <c r="Z537" i="1" s="1"/>
  <c r="Y536" i="1"/>
  <c r="Z536" i="1" s="1"/>
  <c r="Y535" i="1"/>
  <c r="Z535" i="1" s="1"/>
  <c r="Z534" i="1"/>
  <c r="Y534" i="1"/>
  <c r="Y533" i="1"/>
  <c r="Z533" i="1" s="1"/>
  <c r="Y532" i="1"/>
  <c r="Z532" i="1" s="1"/>
  <c r="AA531" i="1"/>
  <c r="Y531" i="1"/>
  <c r="Z531" i="1" s="1"/>
  <c r="Z530" i="1"/>
  <c r="Y530" i="1"/>
  <c r="Y529" i="1"/>
  <c r="Z529" i="1" s="1"/>
  <c r="Y528" i="1"/>
  <c r="Z528" i="1" s="1"/>
  <c r="Y527" i="1"/>
  <c r="Z527" i="1" s="1"/>
  <c r="Z526" i="1"/>
  <c r="Y526" i="1"/>
  <c r="Y525" i="1"/>
  <c r="Z525" i="1" s="1"/>
  <c r="Y524" i="1"/>
  <c r="Z524" i="1" s="1"/>
  <c r="AA523" i="1"/>
  <c r="Y523" i="1"/>
  <c r="Z523" i="1" s="1"/>
  <c r="Z522" i="1"/>
  <c r="Y522" i="1"/>
  <c r="Z521" i="1"/>
  <c r="Y521" i="1"/>
  <c r="AD520" i="1"/>
  <c r="AB520" i="1"/>
  <c r="AA520" i="1"/>
  <c r="Y520" i="1"/>
  <c r="Z520" i="1" s="1"/>
  <c r="Z519" i="1"/>
  <c r="Y519" i="1"/>
  <c r="AA518" i="1"/>
  <c r="Z518" i="1"/>
  <c r="Y518" i="1"/>
  <c r="AA517" i="1"/>
  <c r="Z517" i="1"/>
  <c r="Y517" i="1"/>
  <c r="AD516" i="1"/>
  <c r="AB516" i="1"/>
  <c r="AA516" i="1"/>
  <c r="Y516" i="1"/>
  <c r="Z516" i="1" s="1"/>
  <c r="Z515" i="1"/>
  <c r="Y515" i="1"/>
  <c r="Z514" i="1"/>
  <c r="Y514" i="1"/>
  <c r="AA513" i="1"/>
  <c r="Z513" i="1"/>
  <c r="Y513" i="1"/>
  <c r="AD512" i="1"/>
  <c r="AB512" i="1"/>
  <c r="AA512" i="1"/>
  <c r="Y512" i="1"/>
  <c r="Z512" i="1" s="1"/>
  <c r="AB511" i="1"/>
  <c r="Z511" i="1"/>
  <c r="Y511" i="1"/>
  <c r="Z510" i="1"/>
  <c r="Y510" i="1"/>
  <c r="Z509" i="1"/>
  <c r="Y509" i="1"/>
  <c r="AD508" i="1"/>
  <c r="AB508" i="1"/>
  <c r="AA508" i="1"/>
  <c r="Y508" i="1"/>
  <c r="Z508" i="1" s="1"/>
  <c r="AB507" i="1"/>
  <c r="Z507" i="1"/>
  <c r="Y507" i="1"/>
  <c r="AA506" i="1"/>
  <c r="Z506" i="1"/>
  <c r="Y506" i="1"/>
  <c r="Z505" i="1"/>
  <c r="Y505" i="1"/>
  <c r="AD504" i="1"/>
  <c r="AB504" i="1"/>
  <c r="AA504" i="1"/>
  <c r="Y504" i="1"/>
  <c r="Z504" i="1" s="1"/>
  <c r="Z503" i="1"/>
  <c r="Y503" i="1"/>
  <c r="AA502" i="1"/>
  <c r="Z502" i="1"/>
  <c r="Y502" i="1"/>
  <c r="AA501" i="1"/>
  <c r="Z501" i="1"/>
  <c r="Y501" i="1"/>
  <c r="AD500" i="1"/>
  <c r="AB500" i="1"/>
  <c r="AA500" i="1"/>
  <c r="Y500" i="1"/>
  <c r="Z500" i="1" s="1"/>
  <c r="Z499" i="1"/>
  <c r="Y499" i="1"/>
  <c r="Z498" i="1"/>
  <c r="Y498" i="1"/>
  <c r="AA497" i="1"/>
  <c r="Z497" i="1"/>
  <c r="Y497" i="1"/>
  <c r="AD496" i="1"/>
  <c r="AB496" i="1"/>
  <c r="AA496" i="1"/>
  <c r="Y496" i="1"/>
  <c r="Z496" i="1" s="1"/>
  <c r="AB495" i="1"/>
  <c r="Z495" i="1"/>
  <c r="Y495" i="1"/>
  <c r="Z494" i="1"/>
  <c r="Y494" i="1"/>
  <c r="Z493" i="1"/>
  <c r="Y493" i="1"/>
  <c r="AD492" i="1"/>
  <c r="AB492" i="1"/>
  <c r="AA492" i="1"/>
  <c r="Y492" i="1"/>
  <c r="Z492" i="1" s="1"/>
  <c r="AB491" i="1"/>
  <c r="Z491" i="1"/>
  <c r="Y491" i="1"/>
  <c r="AA490" i="1"/>
  <c r="Z490" i="1"/>
  <c r="Y490" i="1"/>
  <c r="Z489" i="1"/>
  <c r="Y489" i="1"/>
  <c r="AD488" i="1"/>
  <c r="AB488" i="1"/>
  <c r="AA488" i="1"/>
  <c r="Y488" i="1"/>
  <c r="Z488" i="1" s="1"/>
  <c r="Z487" i="1"/>
  <c r="Y487" i="1"/>
  <c r="AA486" i="1"/>
  <c r="Z486" i="1"/>
  <c r="Y486" i="1"/>
  <c r="AA485" i="1"/>
  <c r="Z485" i="1"/>
  <c r="Y485" i="1"/>
  <c r="AD484" i="1"/>
  <c r="AB484" i="1"/>
  <c r="AA484" i="1"/>
  <c r="Y484" i="1"/>
  <c r="Z484" i="1" s="1"/>
  <c r="Z483" i="1"/>
  <c r="Y483" i="1"/>
  <c r="Z482" i="1"/>
  <c r="Y482" i="1"/>
  <c r="AA481" i="1"/>
  <c r="Z481" i="1"/>
  <c r="Y481" i="1"/>
  <c r="AD480" i="1"/>
  <c r="AB480" i="1"/>
  <c r="AA480" i="1"/>
  <c r="Y480" i="1"/>
  <c r="Z480" i="1" s="1"/>
  <c r="AB479" i="1"/>
  <c r="Z479" i="1"/>
  <c r="Y479" i="1"/>
  <c r="Z478" i="1"/>
  <c r="Y478" i="1"/>
  <c r="Z477" i="1"/>
  <c r="Y477" i="1"/>
  <c r="AD476" i="1"/>
  <c r="AB476" i="1"/>
  <c r="AA476" i="1"/>
  <c r="Y476" i="1"/>
  <c r="Z476" i="1" s="1"/>
  <c r="AB475" i="1"/>
  <c r="Z475" i="1"/>
  <c r="Y475" i="1"/>
  <c r="AA474" i="1"/>
  <c r="Z474" i="1"/>
  <c r="Y474" i="1"/>
  <c r="Z473" i="1"/>
  <c r="Y473" i="1"/>
  <c r="AD472" i="1"/>
  <c r="AB472" i="1"/>
  <c r="AA472" i="1"/>
  <c r="Y472" i="1"/>
  <c r="Z472" i="1" s="1"/>
  <c r="Z471" i="1"/>
  <c r="Y471" i="1"/>
  <c r="AA470" i="1"/>
  <c r="Z470" i="1"/>
  <c r="Y470" i="1"/>
  <c r="AA469" i="1"/>
  <c r="Z469" i="1"/>
  <c r="Y469" i="1"/>
  <c r="AD468" i="1"/>
  <c r="AB468" i="1"/>
  <c r="AA468" i="1"/>
  <c r="Y468" i="1"/>
  <c r="Z468" i="1" s="1"/>
  <c r="Z467" i="1"/>
  <c r="Y467" i="1"/>
  <c r="Z466" i="1"/>
  <c r="Y466" i="1"/>
  <c r="AA465" i="1"/>
  <c r="Z465" i="1"/>
  <c r="Y465" i="1"/>
  <c r="AD464" i="1"/>
  <c r="AB464" i="1"/>
  <c r="AA464" i="1"/>
  <c r="Y464" i="1"/>
  <c r="Z464" i="1" s="1"/>
  <c r="AB463" i="1"/>
  <c r="Z463" i="1"/>
  <c r="Y463" i="1"/>
  <c r="Z462" i="1"/>
  <c r="Y462" i="1"/>
  <c r="Z461" i="1"/>
  <c r="Y461" i="1"/>
  <c r="AD460" i="1"/>
  <c r="AB460" i="1"/>
  <c r="AA460" i="1"/>
  <c r="Y460" i="1"/>
  <c r="Z460" i="1" s="1"/>
  <c r="AB459" i="1"/>
  <c r="Z459" i="1"/>
  <c r="Y459" i="1"/>
  <c r="AA458" i="1"/>
  <c r="Z458" i="1"/>
  <c r="Y458" i="1"/>
  <c r="Z457" i="1"/>
  <c r="Y457" i="1"/>
  <c r="AD456" i="1"/>
  <c r="AB456" i="1"/>
  <c r="AA456" i="1"/>
  <c r="Y456" i="1"/>
  <c r="Z456" i="1" s="1"/>
  <c r="Z455" i="1"/>
  <c r="Y455" i="1"/>
  <c r="AA454" i="1"/>
  <c r="Z454" i="1"/>
  <c r="Y454" i="1"/>
  <c r="AA453" i="1"/>
  <c r="Z453" i="1"/>
  <c r="Y453" i="1"/>
  <c r="AD452" i="1"/>
  <c r="AB452" i="1"/>
  <c r="AA452" i="1"/>
  <c r="Y452" i="1"/>
  <c r="Z452" i="1" s="1"/>
  <c r="Z451" i="1"/>
  <c r="Y451" i="1"/>
  <c r="Z450" i="1"/>
  <c r="Y450" i="1"/>
  <c r="AA449" i="1"/>
  <c r="Z449" i="1"/>
  <c r="Y449" i="1"/>
  <c r="AD448" i="1"/>
  <c r="AB448" i="1"/>
  <c r="AA448" i="1"/>
  <c r="Y448" i="1"/>
  <c r="Z448" i="1" s="1"/>
  <c r="AB447" i="1"/>
  <c r="Z447" i="1"/>
  <c r="Y447" i="1"/>
  <c r="Z446" i="1"/>
  <c r="Y446" i="1"/>
  <c r="Z445" i="1"/>
  <c r="Y445" i="1"/>
  <c r="AD444" i="1"/>
  <c r="AB444" i="1"/>
  <c r="AA444" i="1"/>
  <c r="Y444" i="1"/>
  <c r="Z444" i="1" s="1"/>
  <c r="AB443" i="1"/>
  <c r="Z443" i="1"/>
  <c r="Y443" i="1"/>
  <c r="AA442" i="1"/>
  <c r="Z442" i="1"/>
  <c r="Y442" i="1"/>
  <c r="Z441" i="1"/>
  <c r="Y441" i="1"/>
  <c r="AD440" i="1"/>
  <c r="AB440" i="1"/>
  <c r="AA440" i="1"/>
  <c r="Y440" i="1"/>
  <c r="Z440" i="1" s="1"/>
  <c r="Z439" i="1"/>
  <c r="Y439" i="1"/>
  <c r="AA438" i="1"/>
  <c r="Z438" i="1"/>
  <c r="Y438" i="1"/>
  <c r="AA437" i="1"/>
  <c r="Z437" i="1"/>
  <c r="Y437" i="1"/>
  <c r="AD436" i="1"/>
  <c r="AB436" i="1"/>
  <c r="AA436" i="1"/>
  <c r="Y436" i="1"/>
  <c r="Z436" i="1" s="1"/>
  <c r="Z435" i="1"/>
  <c r="Y435" i="1"/>
  <c r="Z434" i="1"/>
  <c r="Y434" i="1"/>
  <c r="AA433" i="1"/>
  <c r="Z433" i="1"/>
  <c r="Y433" i="1"/>
  <c r="AD432" i="1"/>
  <c r="AB432" i="1"/>
  <c r="AA432" i="1"/>
  <c r="Y432" i="1"/>
  <c r="Z432" i="1" s="1"/>
  <c r="AB431" i="1"/>
  <c r="Z431" i="1"/>
  <c r="Y431" i="1"/>
  <c r="Z430" i="1"/>
  <c r="Y430" i="1"/>
  <c r="Z429" i="1"/>
  <c r="Y429" i="1"/>
  <c r="AD428" i="1"/>
  <c r="AB428" i="1"/>
  <c r="AA428" i="1"/>
  <c r="Y428" i="1"/>
  <c r="Z428" i="1" s="1"/>
  <c r="AB427" i="1"/>
  <c r="Z427" i="1"/>
  <c r="Y427" i="1"/>
  <c r="AA426" i="1"/>
  <c r="Z426" i="1"/>
  <c r="Y426" i="1"/>
  <c r="Z425" i="1"/>
  <c r="Y425" i="1"/>
  <c r="AD424" i="1"/>
  <c r="AB424" i="1"/>
  <c r="AA424" i="1"/>
  <c r="Y424" i="1"/>
  <c r="Z424" i="1" s="1"/>
  <c r="Z423" i="1"/>
  <c r="Y423" i="1"/>
  <c r="AA422" i="1"/>
  <c r="Z422" i="1"/>
  <c r="Y422" i="1"/>
  <c r="AA421" i="1"/>
  <c r="Z421" i="1"/>
  <c r="Y421" i="1"/>
  <c r="AD420" i="1"/>
  <c r="AB420" i="1"/>
  <c r="AA420" i="1"/>
  <c r="Y420" i="1"/>
  <c r="Z420" i="1" s="1"/>
  <c r="Z419" i="1"/>
  <c r="Y419" i="1"/>
  <c r="Z418" i="1"/>
  <c r="Y418" i="1"/>
  <c r="AA417" i="1"/>
  <c r="Z417" i="1"/>
  <c r="Y417" i="1"/>
  <c r="AD416" i="1"/>
  <c r="AB416" i="1"/>
  <c r="AA416" i="1"/>
  <c r="Y416" i="1"/>
  <c r="Z416" i="1" s="1"/>
  <c r="AB415" i="1"/>
  <c r="Z415" i="1"/>
  <c r="Y415" i="1"/>
  <c r="AA414" i="1"/>
  <c r="Z414" i="1"/>
  <c r="Y414" i="1"/>
  <c r="Z413" i="1"/>
  <c r="Y413" i="1"/>
  <c r="AD412" i="1"/>
  <c r="AB412" i="1"/>
  <c r="AA412" i="1"/>
  <c r="Y412" i="1"/>
  <c r="Z412" i="1" s="1"/>
  <c r="AB411" i="1"/>
  <c r="Z411" i="1"/>
  <c r="Y411" i="1"/>
  <c r="AA410" i="1"/>
  <c r="Z410" i="1"/>
  <c r="Y410" i="1"/>
  <c r="Z409" i="1"/>
  <c r="Y409" i="1"/>
  <c r="AD408" i="1"/>
  <c r="AB408" i="1"/>
  <c r="AA408" i="1"/>
  <c r="Y408" i="1"/>
  <c r="Z408" i="1" s="1"/>
  <c r="Z407" i="1"/>
  <c r="Y407" i="1"/>
  <c r="AA406" i="1"/>
  <c r="Z406" i="1"/>
  <c r="Y406" i="1"/>
  <c r="AA405" i="1"/>
  <c r="Z405" i="1"/>
  <c r="Y405" i="1"/>
  <c r="AD404" i="1"/>
  <c r="AB404" i="1"/>
  <c r="AA404" i="1"/>
  <c r="Y404" i="1"/>
  <c r="Z404" i="1" s="1"/>
  <c r="Z403" i="1"/>
  <c r="Y403" i="1"/>
  <c r="Z402" i="1"/>
  <c r="Y402" i="1"/>
  <c r="AA401" i="1"/>
  <c r="Z401" i="1"/>
  <c r="Y401" i="1"/>
  <c r="AD400" i="1"/>
  <c r="AB400" i="1"/>
  <c r="AA400" i="1"/>
  <c r="Y400" i="1"/>
  <c r="Z400" i="1" s="1"/>
  <c r="AB399" i="1"/>
  <c r="Z399" i="1"/>
  <c r="Y399" i="1"/>
  <c r="Z398" i="1"/>
  <c r="Y398" i="1"/>
  <c r="Z397" i="1"/>
  <c r="Y397" i="1"/>
  <c r="AD396" i="1"/>
  <c r="AB396" i="1"/>
  <c r="AA396" i="1"/>
  <c r="Y396" i="1"/>
  <c r="Z396" i="1" s="1"/>
  <c r="AB395" i="1"/>
  <c r="Z395" i="1"/>
  <c r="Y395" i="1"/>
  <c r="AA394" i="1"/>
  <c r="Z394" i="1"/>
  <c r="Y394" i="1"/>
  <c r="AA393" i="1"/>
  <c r="Z393" i="1"/>
  <c r="Y393" i="1"/>
  <c r="AD392" i="1"/>
  <c r="AB392" i="1"/>
  <c r="AA392" i="1"/>
  <c r="Y392" i="1"/>
  <c r="Z392" i="1" s="1"/>
  <c r="Z391" i="1"/>
  <c r="Y391" i="1"/>
  <c r="AA390" i="1"/>
  <c r="Z390" i="1"/>
  <c r="Y390" i="1"/>
  <c r="AA389" i="1"/>
  <c r="Z389" i="1"/>
  <c r="Y389" i="1"/>
  <c r="AD388" i="1"/>
  <c r="AB388" i="1"/>
  <c r="AA388" i="1"/>
  <c r="Y388" i="1"/>
  <c r="Z388" i="1" s="1"/>
  <c r="Z387" i="1"/>
  <c r="AB387" i="1" s="1"/>
  <c r="Y387" i="1"/>
  <c r="Z386" i="1"/>
  <c r="Y386" i="1"/>
  <c r="AA385" i="1"/>
  <c r="Z385" i="1"/>
  <c r="Y385" i="1"/>
  <c r="AD384" i="1"/>
  <c r="AB384" i="1"/>
  <c r="AA384" i="1"/>
  <c r="Y384" i="1"/>
  <c r="Z384" i="1" s="1"/>
  <c r="AB383" i="1"/>
  <c r="Z383" i="1"/>
  <c r="Y383" i="1"/>
  <c r="Z382" i="1"/>
  <c r="Y382" i="1"/>
  <c r="Z381" i="1"/>
  <c r="Y381" i="1"/>
  <c r="AD380" i="1"/>
  <c r="AB380" i="1"/>
  <c r="AA380" i="1"/>
  <c r="Y380" i="1"/>
  <c r="Z380" i="1" s="1"/>
  <c r="AB379" i="1"/>
  <c r="Z379" i="1"/>
  <c r="Y379" i="1"/>
  <c r="AA378" i="1"/>
  <c r="Z378" i="1"/>
  <c r="Y378" i="1"/>
  <c r="Z377" i="1"/>
  <c r="Y377" i="1"/>
  <c r="AD376" i="1"/>
  <c r="AB376" i="1"/>
  <c r="AA376" i="1"/>
  <c r="Y376" i="1"/>
  <c r="Z376" i="1" s="1"/>
  <c r="Z375" i="1"/>
  <c r="Y375" i="1"/>
  <c r="AA374" i="1"/>
  <c r="Z374" i="1"/>
  <c r="Y374" i="1"/>
  <c r="AA373" i="1"/>
  <c r="Z373" i="1"/>
  <c r="Y373" i="1"/>
  <c r="AD372" i="1"/>
  <c r="AB372" i="1"/>
  <c r="AA372" i="1"/>
  <c r="Y372" i="1"/>
  <c r="Z372" i="1" s="1"/>
  <c r="AB371" i="1"/>
  <c r="Z371" i="1"/>
  <c r="Y371" i="1"/>
  <c r="Z370" i="1"/>
  <c r="Y370" i="1"/>
  <c r="AA369" i="1"/>
  <c r="Z369" i="1"/>
  <c r="Y369" i="1"/>
  <c r="AD368" i="1"/>
  <c r="AB368" i="1"/>
  <c r="AA368" i="1"/>
  <c r="Y368" i="1"/>
  <c r="Z368" i="1" s="1"/>
  <c r="AB367" i="1"/>
  <c r="Z367" i="1"/>
  <c r="Y367" i="1"/>
  <c r="Z366" i="1"/>
  <c r="Y366" i="1"/>
  <c r="Z365" i="1"/>
  <c r="Y365" i="1"/>
  <c r="AD364" i="1"/>
  <c r="AB364" i="1"/>
  <c r="AA364" i="1"/>
  <c r="Y364" i="1"/>
  <c r="Z364" i="1" s="1"/>
  <c r="AB363" i="1"/>
  <c r="Z363" i="1"/>
  <c r="Y363" i="1"/>
  <c r="AA362" i="1"/>
  <c r="Z362" i="1"/>
  <c r="Y362" i="1"/>
  <c r="Z361" i="1"/>
  <c r="Y361" i="1"/>
  <c r="AD360" i="1"/>
  <c r="AB360" i="1"/>
  <c r="AA360" i="1"/>
  <c r="Y360" i="1"/>
  <c r="Z360" i="1" s="1"/>
  <c r="Z359" i="1"/>
  <c r="Y359" i="1"/>
  <c r="AA358" i="1"/>
  <c r="Z358" i="1"/>
  <c r="Y358" i="1"/>
  <c r="AA357" i="1"/>
  <c r="Z357" i="1"/>
  <c r="Y357" i="1"/>
  <c r="AD356" i="1"/>
  <c r="AB356" i="1"/>
  <c r="AA356" i="1"/>
  <c r="Y356" i="1"/>
  <c r="Z356" i="1" s="1"/>
  <c r="Z355" i="1"/>
  <c r="Y355" i="1"/>
  <c r="Z354" i="1"/>
  <c r="Y354" i="1"/>
  <c r="AA353" i="1"/>
  <c r="Z353" i="1"/>
  <c r="Y353" i="1"/>
  <c r="AD352" i="1"/>
  <c r="AB352" i="1"/>
  <c r="AA352" i="1"/>
  <c r="Y352" i="1"/>
  <c r="Z352" i="1" s="1"/>
  <c r="AB351" i="1"/>
  <c r="Z351" i="1"/>
  <c r="Y351" i="1"/>
  <c r="AA350" i="1"/>
  <c r="Z350" i="1"/>
  <c r="Y350" i="1"/>
  <c r="Z349" i="1"/>
  <c r="Y349" i="1"/>
  <c r="AD348" i="1"/>
  <c r="AB348" i="1"/>
  <c r="AA348" i="1"/>
  <c r="Y348" i="1"/>
  <c r="Z348" i="1" s="1"/>
  <c r="AB347" i="1"/>
  <c r="Z347" i="1"/>
  <c r="Y347" i="1"/>
  <c r="AA346" i="1"/>
  <c r="Z346" i="1"/>
  <c r="Y346" i="1"/>
  <c r="Z345" i="1"/>
  <c r="AA345" i="1" s="1"/>
  <c r="Y345" i="1"/>
  <c r="AD344" i="1"/>
  <c r="AB344" i="1"/>
  <c r="AA344" i="1"/>
  <c r="Y344" i="1"/>
  <c r="Z344" i="1" s="1"/>
  <c r="Z343" i="1"/>
  <c r="Y343" i="1"/>
  <c r="AA342" i="1"/>
  <c r="Z342" i="1"/>
  <c r="Y342" i="1"/>
  <c r="AA341" i="1"/>
  <c r="Z341" i="1"/>
  <c r="Y341" i="1"/>
  <c r="AD340" i="1"/>
  <c r="AB340" i="1"/>
  <c r="AA340" i="1"/>
  <c r="Y340" i="1"/>
  <c r="Z340" i="1" s="1"/>
  <c r="Z339" i="1"/>
  <c r="Y339" i="1"/>
  <c r="Z338" i="1"/>
  <c r="Y338" i="1"/>
  <c r="AA337" i="1"/>
  <c r="Z337" i="1"/>
  <c r="Y337" i="1"/>
  <c r="AD336" i="1"/>
  <c r="AB336" i="1"/>
  <c r="AA336" i="1"/>
  <c r="Y336" i="1"/>
  <c r="Z336" i="1" s="1"/>
  <c r="AB335" i="1"/>
  <c r="Z335" i="1"/>
  <c r="Y335" i="1"/>
  <c r="Z334" i="1"/>
  <c r="Y334" i="1"/>
  <c r="Z333" i="1"/>
  <c r="Y333" i="1"/>
  <c r="AD332" i="1"/>
  <c r="AB332" i="1"/>
  <c r="AA332" i="1"/>
  <c r="Y332" i="1"/>
  <c r="Z332" i="1" s="1"/>
  <c r="AB331" i="1"/>
  <c r="Z331" i="1"/>
  <c r="Y331" i="1"/>
  <c r="AA330" i="1"/>
  <c r="Z330" i="1"/>
  <c r="Y330" i="1"/>
  <c r="AA329" i="1"/>
  <c r="Z329" i="1"/>
  <c r="Y329" i="1"/>
  <c r="AD328" i="1"/>
  <c r="AB328" i="1"/>
  <c r="AA328" i="1"/>
  <c r="Y328" i="1"/>
  <c r="Z328" i="1" s="1"/>
  <c r="Z327" i="1"/>
  <c r="Y327" i="1"/>
  <c r="AA326" i="1"/>
  <c r="Z326" i="1"/>
  <c r="Y326" i="1"/>
  <c r="AA325" i="1"/>
  <c r="Z325" i="1"/>
  <c r="Y325" i="1"/>
  <c r="AD324" i="1"/>
  <c r="AB324" i="1"/>
  <c r="AA324" i="1"/>
  <c r="Y324" i="1"/>
  <c r="Z324" i="1" s="1"/>
  <c r="Z323" i="1"/>
  <c r="Y323" i="1"/>
  <c r="Z322" i="1"/>
  <c r="Y322" i="1"/>
  <c r="AA321" i="1"/>
  <c r="Z321" i="1"/>
  <c r="Y321" i="1"/>
  <c r="AD320" i="1"/>
  <c r="AB320" i="1"/>
  <c r="AA320" i="1"/>
  <c r="Y320" i="1"/>
  <c r="Z320" i="1" s="1"/>
  <c r="AB319" i="1"/>
  <c r="Z319" i="1"/>
  <c r="Y319" i="1"/>
  <c r="Z318" i="1"/>
  <c r="Y318" i="1"/>
  <c r="Z317" i="1"/>
  <c r="Y317" i="1"/>
  <c r="AD316" i="1"/>
  <c r="AB316" i="1"/>
  <c r="AA316" i="1"/>
  <c r="Y316" i="1"/>
  <c r="Z316" i="1" s="1"/>
  <c r="AB315" i="1"/>
  <c r="Z315" i="1"/>
  <c r="Y315" i="1"/>
  <c r="AA314" i="1"/>
  <c r="Z314" i="1"/>
  <c r="Y314" i="1"/>
  <c r="Z313" i="1"/>
  <c r="Y313" i="1"/>
  <c r="AD312" i="1"/>
  <c r="AB312" i="1"/>
  <c r="AA312" i="1"/>
  <c r="Y312" i="1"/>
  <c r="Z312" i="1" s="1"/>
  <c r="Z311" i="1"/>
  <c r="Y311" i="1"/>
  <c r="AA310" i="1"/>
  <c r="Z310" i="1"/>
  <c r="Y310" i="1"/>
  <c r="AA309" i="1"/>
  <c r="Z309" i="1"/>
  <c r="Y309" i="1"/>
  <c r="AD308" i="1"/>
  <c r="AB308" i="1"/>
  <c r="AA308" i="1"/>
  <c r="Y308" i="1"/>
  <c r="Z308" i="1" s="1"/>
  <c r="AB307" i="1"/>
  <c r="Z307" i="1"/>
  <c r="Y307" i="1"/>
  <c r="Z306" i="1"/>
  <c r="Y306" i="1"/>
  <c r="AA305" i="1"/>
  <c r="Z305" i="1"/>
  <c r="Y305" i="1"/>
  <c r="AD304" i="1"/>
  <c r="AB304" i="1"/>
  <c r="AA304" i="1"/>
  <c r="Y304" i="1"/>
  <c r="Z304" i="1" s="1"/>
  <c r="AB303" i="1"/>
  <c r="Z303" i="1"/>
  <c r="Y303" i="1"/>
  <c r="Z302" i="1"/>
  <c r="Y302" i="1"/>
  <c r="Z301" i="1"/>
  <c r="Y301" i="1"/>
  <c r="AD300" i="1"/>
  <c r="AB300" i="1"/>
  <c r="AA300" i="1"/>
  <c r="Y300" i="1"/>
  <c r="Z300" i="1" s="1"/>
  <c r="AB299" i="1"/>
  <c r="Z299" i="1"/>
  <c r="Y299" i="1"/>
  <c r="AA298" i="1"/>
  <c r="Z298" i="1"/>
  <c r="Y298" i="1"/>
  <c r="Z297" i="1"/>
  <c r="Y297" i="1"/>
  <c r="AD296" i="1"/>
  <c r="AB296" i="1"/>
  <c r="AA296" i="1"/>
  <c r="Y296" i="1"/>
  <c r="Z296" i="1" s="1"/>
  <c r="Z295" i="1"/>
  <c r="Y295" i="1"/>
  <c r="AA294" i="1"/>
  <c r="Z294" i="1"/>
  <c r="Y294" i="1"/>
  <c r="AA293" i="1"/>
  <c r="Z293" i="1"/>
  <c r="Y293" i="1"/>
  <c r="AD292" i="1"/>
  <c r="AB292" i="1"/>
  <c r="AA292" i="1"/>
  <c r="Y292" i="1"/>
  <c r="Z292" i="1" s="1"/>
  <c r="Z291" i="1"/>
  <c r="Y291" i="1"/>
  <c r="Z290" i="1"/>
  <c r="Y290" i="1"/>
  <c r="AA289" i="1"/>
  <c r="Z289" i="1"/>
  <c r="Y289" i="1"/>
  <c r="AD288" i="1"/>
  <c r="AB288" i="1"/>
  <c r="AA288" i="1"/>
  <c r="Y288" i="1"/>
  <c r="Z288" i="1" s="1"/>
  <c r="AB287" i="1"/>
  <c r="Z287" i="1"/>
  <c r="Y287" i="1"/>
  <c r="AA286" i="1"/>
  <c r="Z286" i="1"/>
  <c r="Y286" i="1"/>
  <c r="Z285" i="1"/>
  <c r="Y285" i="1"/>
  <c r="AD284" i="1"/>
  <c r="AB284" i="1"/>
  <c r="AA284" i="1"/>
  <c r="Y284" i="1"/>
  <c r="Z284" i="1" s="1"/>
  <c r="AB283" i="1"/>
  <c r="Z283" i="1"/>
  <c r="Y283" i="1"/>
  <c r="AA282" i="1"/>
  <c r="Z282" i="1"/>
  <c r="Y282" i="1"/>
  <c r="Z281" i="1"/>
  <c r="Y281" i="1"/>
  <c r="AD280" i="1"/>
  <c r="AB280" i="1"/>
  <c r="AA280" i="1"/>
  <c r="Y280" i="1"/>
  <c r="Z280" i="1" s="1"/>
  <c r="Z279" i="1"/>
  <c r="Y279" i="1"/>
  <c r="AA278" i="1"/>
  <c r="Z278" i="1"/>
  <c r="Y278" i="1"/>
  <c r="Z277" i="1"/>
  <c r="AA277" i="1" s="1"/>
  <c r="Y277" i="1"/>
  <c r="AD276" i="1"/>
  <c r="AB276" i="1"/>
  <c r="AA276" i="1"/>
  <c r="Y276" i="1"/>
  <c r="Z276" i="1" s="1"/>
  <c r="Z275" i="1"/>
  <c r="Y275" i="1"/>
  <c r="Z274" i="1"/>
  <c r="Y274" i="1"/>
  <c r="AA273" i="1"/>
  <c r="Z273" i="1"/>
  <c r="Y273" i="1"/>
  <c r="AD272" i="1"/>
  <c r="AB272" i="1"/>
  <c r="AA272" i="1"/>
  <c r="Y272" i="1"/>
  <c r="Z272" i="1" s="1"/>
  <c r="Z271" i="1"/>
  <c r="Y271" i="1"/>
  <c r="Z270" i="1"/>
  <c r="Y270" i="1"/>
  <c r="Z269" i="1"/>
  <c r="Y269" i="1"/>
  <c r="AD268" i="1"/>
  <c r="AB268" i="1"/>
  <c r="AA268" i="1"/>
  <c r="Y268" i="1"/>
  <c r="Z268" i="1" s="1"/>
  <c r="AB267" i="1"/>
  <c r="Z267" i="1"/>
  <c r="Y267" i="1"/>
  <c r="Z266" i="1"/>
  <c r="Y266" i="1"/>
  <c r="AA265" i="1"/>
  <c r="Z265" i="1"/>
  <c r="Y265" i="1"/>
  <c r="AD264" i="1"/>
  <c r="AB264" i="1"/>
  <c r="AA264" i="1"/>
  <c r="Y264" i="1"/>
  <c r="Z264" i="1" s="1"/>
  <c r="Z263" i="1"/>
  <c r="Y263" i="1"/>
  <c r="AA262" i="1"/>
  <c r="Z262" i="1"/>
  <c r="Y262" i="1"/>
  <c r="AA261" i="1"/>
  <c r="Z261" i="1"/>
  <c r="Y261" i="1"/>
  <c r="AD260" i="1"/>
  <c r="AB260" i="1"/>
  <c r="AA260" i="1"/>
  <c r="Y260" i="1"/>
  <c r="Z260" i="1" s="1"/>
  <c r="Z259" i="1"/>
  <c r="Y259" i="1"/>
  <c r="Z258" i="1"/>
  <c r="Y258" i="1"/>
  <c r="AA257" i="1"/>
  <c r="Z257" i="1"/>
  <c r="Y257" i="1"/>
  <c r="AD256" i="1"/>
  <c r="AB256" i="1"/>
  <c r="AA256" i="1"/>
  <c r="Y256" i="1"/>
  <c r="Z256" i="1" s="1"/>
  <c r="Z255" i="1"/>
  <c r="Y255" i="1"/>
  <c r="Z254" i="1"/>
  <c r="Y254" i="1"/>
  <c r="Z253" i="1"/>
  <c r="Y253" i="1"/>
  <c r="AD252" i="1"/>
  <c r="AB252" i="1"/>
  <c r="AA252" i="1"/>
  <c r="Y252" i="1"/>
  <c r="Z252" i="1" s="1"/>
  <c r="AB251" i="1"/>
  <c r="Z251" i="1"/>
  <c r="Y251" i="1"/>
  <c r="Z250" i="1"/>
  <c r="Y250" i="1"/>
  <c r="Z249" i="1"/>
  <c r="Y249" i="1"/>
  <c r="AD248" i="1"/>
  <c r="AB248" i="1"/>
  <c r="AA248" i="1"/>
  <c r="Y248" i="1"/>
  <c r="Z248" i="1" s="1"/>
  <c r="Z247" i="1"/>
  <c r="Y247" i="1"/>
  <c r="AA246" i="1"/>
  <c r="Z246" i="1"/>
  <c r="Y246" i="1"/>
  <c r="Z245" i="1"/>
  <c r="Y245" i="1"/>
  <c r="AD244" i="1"/>
  <c r="AB244" i="1"/>
  <c r="AA244" i="1"/>
  <c r="Y244" i="1"/>
  <c r="Z244" i="1" s="1"/>
  <c r="AB243" i="1"/>
  <c r="Z243" i="1"/>
  <c r="Y243" i="1"/>
  <c r="Z242" i="1"/>
  <c r="Y242" i="1"/>
  <c r="AA241" i="1"/>
  <c r="Z241" i="1"/>
  <c r="Y241" i="1"/>
  <c r="AD240" i="1"/>
  <c r="AB240" i="1"/>
  <c r="AA240" i="1"/>
  <c r="Y240" i="1"/>
  <c r="Z240" i="1" s="1"/>
  <c r="AB239" i="1"/>
  <c r="Z239" i="1"/>
  <c r="Y239" i="1"/>
  <c r="Z238" i="1"/>
  <c r="AA238" i="1" s="1"/>
  <c r="Y238" i="1"/>
  <c r="Z237" i="1"/>
  <c r="Y237" i="1"/>
  <c r="AD236" i="1"/>
  <c r="AB236" i="1"/>
  <c r="AA236" i="1"/>
  <c r="Y236" i="1"/>
  <c r="Z236" i="1" s="1"/>
  <c r="Z235" i="1"/>
  <c r="Y235" i="1"/>
  <c r="AA234" i="1"/>
  <c r="Z234" i="1"/>
  <c r="Y234" i="1"/>
  <c r="Z233" i="1"/>
  <c r="AA233" i="1" s="1"/>
  <c r="Y233" i="1"/>
  <c r="AD232" i="1"/>
  <c r="AB232" i="1"/>
  <c r="AA232" i="1"/>
  <c r="Y232" i="1"/>
  <c r="Z232" i="1" s="1"/>
  <c r="Z231" i="1"/>
  <c r="Y231" i="1"/>
  <c r="Z230" i="1"/>
  <c r="Y230" i="1"/>
  <c r="AA229" i="1"/>
  <c r="Z229" i="1"/>
  <c r="Y229" i="1"/>
  <c r="AD228" i="1"/>
  <c r="AB228" i="1"/>
  <c r="AA228" i="1"/>
  <c r="Y228" i="1"/>
  <c r="Z228" i="1" s="1"/>
  <c r="Z227" i="1"/>
  <c r="Y227" i="1"/>
  <c r="Z226" i="1"/>
  <c r="Y226" i="1"/>
  <c r="Z225" i="1"/>
  <c r="Y225" i="1"/>
  <c r="AD224" i="1"/>
  <c r="AB224" i="1"/>
  <c r="AA224" i="1"/>
  <c r="Y224" i="1"/>
  <c r="Z224" i="1" s="1"/>
  <c r="AB223" i="1"/>
  <c r="Z223" i="1"/>
  <c r="Y223" i="1"/>
  <c r="Z222" i="1"/>
  <c r="AA222" i="1" s="1"/>
  <c r="Y222" i="1"/>
  <c r="Z221" i="1"/>
  <c r="Y221" i="1"/>
  <c r="AD220" i="1"/>
  <c r="AB220" i="1"/>
  <c r="AA220" i="1"/>
  <c r="Y220" i="1"/>
  <c r="Z220" i="1" s="1"/>
  <c r="Z219" i="1"/>
  <c r="Y219" i="1"/>
  <c r="AA218" i="1"/>
  <c r="Z218" i="1"/>
  <c r="Y218" i="1"/>
  <c r="Z217" i="1"/>
  <c r="AA217" i="1" s="1"/>
  <c r="Y217" i="1"/>
  <c r="AD216" i="1"/>
  <c r="AB216" i="1"/>
  <c r="AA216" i="1"/>
  <c r="Y216" i="1"/>
  <c r="Z216" i="1" s="1"/>
  <c r="Z215" i="1"/>
  <c r="Y215" i="1"/>
  <c r="Z214" i="1"/>
  <c r="Y214" i="1"/>
  <c r="AA213" i="1"/>
  <c r="Z213" i="1"/>
  <c r="Y213" i="1"/>
  <c r="AD212" i="1"/>
  <c r="AB212" i="1"/>
  <c r="AA212" i="1"/>
  <c r="Y212" i="1"/>
  <c r="Z212" i="1" s="1"/>
  <c r="Z211" i="1"/>
  <c r="AB211" i="1" s="1"/>
  <c r="Y211" i="1"/>
  <c r="Z210" i="1"/>
  <c r="Y210" i="1"/>
  <c r="Z209" i="1"/>
  <c r="Y209" i="1"/>
  <c r="AD208" i="1"/>
  <c r="AB208" i="1"/>
  <c r="AA208" i="1"/>
  <c r="Y208" i="1"/>
  <c r="Z208" i="1" s="1"/>
  <c r="AB207" i="1"/>
  <c r="Z207" i="1"/>
  <c r="Y207" i="1"/>
  <c r="Z206" i="1"/>
  <c r="AA206" i="1" s="1"/>
  <c r="Y206" i="1"/>
  <c r="Z205" i="1"/>
  <c r="Y205" i="1"/>
  <c r="AD204" i="1"/>
  <c r="AB204" i="1"/>
  <c r="AA204" i="1"/>
  <c r="Y204" i="1"/>
  <c r="Z204" i="1" s="1"/>
  <c r="Z203" i="1"/>
  <c r="Y203" i="1"/>
  <c r="AA202" i="1"/>
  <c r="Z202" i="1"/>
  <c r="Y202" i="1"/>
  <c r="Z201" i="1"/>
  <c r="Y201" i="1"/>
  <c r="AD200" i="1"/>
  <c r="AB200" i="1"/>
  <c r="AA200" i="1"/>
  <c r="Y200" i="1"/>
  <c r="Z200" i="1" s="1"/>
  <c r="Z199" i="1"/>
  <c r="Y199" i="1"/>
  <c r="Z198" i="1"/>
  <c r="Y198" i="1"/>
  <c r="AA197" i="1"/>
  <c r="Z197" i="1"/>
  <c r="Y197" i="1"/>
  <c r="AD196" i="1"/>
  <c r="AB196" i="1"/>
  <c r="AA196" i="1"/>
  <c r="Y196" i="1"/>
  <c r="Z196" i="1" s="1"/>
  <c r="Z195" i="1"/>
  <c r="AB195" i="1" s="1"/>
  <c r="Y195" i="1"/>
  <c r="Z194" i="1"/>
  <c r="Y194" i="1"/>
  <c r="Z193" i="1"/>
  <c r="Y193" i="1"/>
  <c r="AD192" i="1"/>
  <c r="AB192" i="1"/>
  <c r="AA192" i="1"/>
  <c r="Y192" i="1"/>
  <c r="Z192" i="1" s="1"/>
  <c r="AB191" i="1"/>
  <c r="Z191" i="1"/>
  <c r="Y191" i="1"/>
  <c r="Z190" i="1"/>
  <c r="AA190" i="1" s="1"/>
  <c r="Y190" i="1"/>
  <c r="Z189" i="1"/>
  <c r="Y189" i="1"/>
  <c r="AD188" i="1"/>
  <c r="AB188" i="1"/>
  <c r="AA188" i="1"/>
  <c r="Y188" i="1"/>
  <c r="Z188" i="1" s="1"/>
  <c r="Z187" i="1"/>
  <c r="Y187" i="1"/>
  <c r="AA186" i="1"/>
  <c r="Z186" i="1"/>
  <c r="Y186" i="1"/>
  <c r="Z185" i="1"/>
  <c r="AA185" i="1" s="1"/>
  <c r="Y185" i="1"/>
  <c r="AD184" i="1"/>
  <c r="AB184" i="1"/>
  <c r="AA184" i="1"/>
  <c r="Y184" i="1"/>
  <c r="Z184" i="1" s="1"/>
  <c r="Z183" i="1"/>
  <c r="Y183" i="1"/>
  <c r="Z182" i="1"/>
  <c r="Y182" i="1"/>
  <c r="AA181" i="1"/>
  <c r="Z181" i="1"/>
  <c r="Y181" i="1"/>
  <c r="AD180" i="1"/>
  <c r="AB180" i="1"/>
  <c r="AA180" i="1"/>
  <c r="Y180" i="1"/>
  <c r="Z180" i="1" s="1"/>
  <c r="Z179" i="1"/>
  <c r="AB179" i="1" s="1"/>
  <c r="Y179" i="1"/>
  <c r="Z178" i="1"/>
  <c r="Y178" i="1"/>
  <c r="Z177" i="1"/>
  <c r="Y177" i="1"/>
  <c r="AD176" i="1"/>
  <c r="AB176" i="1"/>
  <c r="AA176" i="1"/>
  <c r="Y176" i="1"/>
  <c r="Z176" i="1" s="1"/>
  <c r="AB175" i="1"/>
  <c r="Z175" i="1"/>
  <c r="Y175" i="1"/>
  <c r="Z174" i="1"/>
  <c r="Y174" i="1"/>
  <c r="Z173" i="1"/>
  <c r="Y173" i="1"/>
  <c r="AD172" i="1"/>
  <c r="AB172" i="1"/>
  <c r="AA172" i="1"/>
  <c r="Y172" i="1"/>
  <c r="Z172" i="1" s="1"/>
  <c r="Z171" i="1"/>
  <c r="Y171" i="1"/>
  <c r="AA170" i="1"/>
  <c r="Z170" i="1"/>
  <c r="Y170" i="1"/>
  <c r="Z169" i="1"/>
  <c r="Y169" i="1"/>
  <c r="AD168" i="1"/>
  <c r="AB168" i="1"/>
  <c r="AA168" i="1"/>
  <c r="Y168" i="1"/>
  <c r="Z168" i="1" s="1"/>
  <c r="Z167" i="1"/>
  <c r="Y167" i="1"/>
  <c r="Z166" i="1"/>
  <c r="Y166" i="1"/>
  <c r="AA165" i="1"/>
  <c r="Z165" i="1"/>
  <c r="Y165" i="1"/>
  <c r="AD164" i="1"/>
  <c r="AB164" i="1"/>
  <c r="AA164" i="1"/>
  <c r="Y164" i="1"/>
  <c r="Z164" i="1" s="1"/>
  <c r="Z163" i="1"/>
  <c r="AB163" i="1" s="1"/>
  <c r="Y163" i="1"/>
  <c r="Z162" i="1"/>
  <c r="Y162" i="1"/>
  <c r="Z161" i="1"/>
  <c r="Y161" i="1"/>
  <c r="AD160" i="1"/>
  <c r="AB160" i="1"/>
  <c r="AA160" i="1"/>
  <c r="Y160" i="1"/>
  <c r="Z160" i="1" s="1"/>
  <c r="AB159" i="1"/>
  <c r="Z159" i="1"/>
  <c r="Y159" i="1"/>
  <c r="Z158" i="1"/>
  <c r="Y158" i="1"/>
  <c r="Z157" i="1"/>
  <c r="Y157" i="1"/>
  <c r="AD156" i="1"/>
  <c r="AB156" i="1"/>
  <c r="AA156" i="1"/>
  <c r="Y156" i="1"/>
  <c r="Z156" i="1" s="1"/>
  <c r="Z155" i="1"/>
  <c r="Y155" i="1"/>
  <c r="AA154" i="1"/>
  <c r="Z154" i="1"/>
  <c r="Y154" i="1"/>
  <c r="Z153" i="1"/>
  <c r="AA153" i="1" s="1"/>
  <c r="Y153" i="1"/>
  <c r="AD152" i="1"/>
  <c r="AB152" i="1"/>
  <c r="AA152" i="1"/>
  <c r="Y152" i="1"/>
  <c r="Z152" i="1" s="1"/>
  <c r="Z151" i="1"/>
  <c r="Y151" i="1"/>
  <c r="Z150" i="1"/>
  <c r="Y150" i="1"/>
  <c r="AA149" i="1"/>
  <c r="Z149" i="1"/>
  <c r="Y149" i="1"/>
  <c r="AD148" i="1"/>
  <c r="AB148" i="1"/>
  <c r="AA148" i="1"/>
  <c r="Y148" i="1"/>
  <c r="Z148" i="1" s="1"/>
  <c r="Z147" i="1"/>
  <c r="AB147" i="1" s="1"/>
  <c r="Y147" i="1"/>
  <c r="Z146" i="1"/>
  <c r="Y146" i="1"/>
  <c r="Z145" i="1"/>
  <c r="Y145" i="1"/>
  <c r="AD144" i="1"/>
  <c r="AB144" i="1"/>
  <c r="AA144" i="1"/>
  <c r="Y144" i="1"/>
  <c r="Z144" i="1" s="1"/>
  <c r="AB143" i="1"/>
  <c r="Z143" i="1"/>
  <c r="Y143" i="1"/>
  <c r="Z142" i="1"/>
  <c r="Y142" i="1"/>
  <c r="Z141" i="1"/>
  <c r="Y141" i="1"/>
  <c r="AD140" i="1"/>
  <c r="AB140" i="1"/>
  <c r="AA140" i="1"/>
  <c r="Y140" i="1"/>
  <c r="Z140" i="1" s="1"/>
  <c r="Z139" i="1"/>
  <c r="Y139" i="1"/>
  <c r="AA138" i="1"/>
  <c r="Z138" i="1"/>
  <c r="Y138" i="1"/>
  <c r="Z137" i="1"/>
  <c r="Y137" i="1"/>
  <c r="AD136" i="1"/>
  <c r="AB136" i="1"/>
  <c r="AA136" i="1"/>
  <c r="Y136" i="1"/>
  <c r="Z136" i="1" s="1"/>
  <c r="Z135" i="1"/>
  <c r="Y135" i="1"/>
  <c r="Z134" i="1"/>
  <c r="Y134" i="1"/>
  <c r="AA133" i="1"/>
  <c r="Z133" i="1"/>
  <c r="Y133" i="1"/>
  <c r="AD132" i="1"/>
  <c r="AB132" i="1"/>
  <c r="AA132" i="1"/>
  <c r="Y132" i="1"/>
  <c r="Z132" i="1" s="1"/>
  <c r="Z131" i="1"/>
  <c r="AB131" i="1" s="1"/>
  <c r="Y131" i="1"/>
  <c r="Z130" i="1"/>
  <c r="Y130" i="1"/>
  <c r="Z129" i="1"/>
  <c r="Y129" i="1"/>
  <c r="AD128" i="1"/>
  <c r="AB128" i="1"/>
  <c r="AA128" i="1"/>
  <c r="Y128" i="1"/>
  <c r="Z128" i="1" s="1"/>
  <c r="AB127" i="1"/>
  <c r="Z127" i="1"/>
  <c r="Y127" i="1"/>
  <c r="Z126" i="1"/>
  <c r="AA126" i="1" s="1"/>
  <c r="Y126" i="1"/>
  <c r="Z125" i="1"/>
  <c r="Y125" i="1"/>
  <c r="AD124" i="1"/>
  <c r="AB124" i="1"/>
  <c r="AA124" i="1"/>
  <c r="Y124" i="1"/>
  <c r="Z124" i="1" s="1"/>
  <c r="Z123" i="1"/>
  <c r="Y123" i="1"/>
  <c r="AA122" i="1"/>
  <c r="Z122" i="1"/>
  <c r="Y122" i="1"/>
  <c r="Z121" i="1"/>
  <c r="Y121" i="1"/>
  <c r="AD120" i="1"/>
  <c r="AB120" i="1"/>
  <c r="AA120" i="1"/>
  <c r="Y120" i="1"/>
  <c r="Z120" i="1" s="1"/>
  <c r="Z119" i="1"/>
  <c r="Y119" i="1"/>
  <c r="Z118" i="1"/>
  <c r="Y118" i="1"/>
  <c r="AA117" i="1"/>
  <c r="Z117" i="1"/>
  <c r="Y117" i="1"/>
  <c r="AD116" i="1"/>
  <c r="AB116" i="1"/>
  <c r="AA116" i="1"/>
  <c r="Y116" i="1"/>
  <c r="Z116" i="1" s="1"/>
  <c r="Z115" i="1"/>
  <c r="AB115" i="1" s="1"/>
  <c r="Y115" i="1"/>
  <c r="Z114" i="1"/>
  <c r="Y114" i="1"/>
  <c r="Z113" i="1"/>
  <c r="Y113" i="1"/>
  <c r="AD112" i="1"/>
  <c r="AB112" i="1"/>
  <c r="AA112" i="1"/>
  <c r="Y112" i="1"/>
  <c r="Z112" i="1" s="1"/>
  <c r="AB111" i="1"/>
  <c r="Z111" i="1"/>
  <c r="Y111" i="1"/>
  <c r="Z110" i="1"/>
  <c r="AA110" i="1" s="1"/>
  <c r="Y110" i="1"/>
  <c r="Z109" i="1"/>
  <c r="Y109" i="1"/>
  <c r="AD108" i="1"/>
  <c r="AB108" i="1"/>
  <c r="AA108" i="1"/>
  <c r="Y108" i="1"/>
  <c r="Z108" i="1" s="1"/>
  <c r="Z107" i="1"/>
  <c r="Y107" i="1"/>
  <c r="AA106" i="1"/>
  <c r="Z106" i="1"/>
  <c r="Y106" i="1"/>
  <c r="Z105" i="1"/>
  <c r="Y105" i="1"/>
  <c r="AD104" i="1"/>
  <c r="AB104" i="1"/>
  <c r="AA104" i="1"/>
  <c r="Y104" i="1"/>
  <c r="Z104" i="1" s="1"/>
  <c r="Z103" i="1"/>
  <c r="Y103" i="1"/>
  <c r="Z102" i="1"/>
  <c r="Y102" i="1"/>
  <c r="AA101" i="1"/>
  <c r="Z101" i="1"/>
  <c r="Y101" i="1"/>
  <c r="AD100" i="1"/>
  <c r="AB100" i="1"/>
  <c r="AA100" i="1"/>
  <c r="Y100" i="1"/>
  <c r="Z100" i="1" s="1"/>
  <c r="Z99" i="1"/>
  <c r="Y99" i="1"/>
  <c r="Z98" i="1"/>
  <c r="Y98" i="1"/>
  <c r="Z97" i="1"/>
  <c r="Y97" i="1"/>
  <c r="AD96" i="1"/>
  <c r="AB96" i="1"/>
  <c r="AA96" i="1"/>
  <c r="Y96" i="1"/>
  <c r="Z96" i="1" s="1"/>
  <c r="AB95" i="1"/>
  <c r="Z95" i="1"/>
  <c r="Y95" i="1"/>
  <c r="Z94" i="1"/>
  <c r="Y94" i="1"/>
  <c r="Z93" i="1"/>
  <c r="Y93" i="1"/>
  <c r="AD92" i="1"/>
  <c r="AB92" i="1"/>
  <c r="AA92" i="1"/>
  <c r="Y92" i="1"/>
  <c r="Z92" i="1" s="1"/>
  <c r="Z91" i="1"/>
  <c r="Y91" i="1"/>
  <c r="AA90" i="1"/>
  <c r="Z90" i="1"/>
  <c r="Y90" i="1"/>
  <c r="Z89" i="1"/>
  <c r="AA89" i="1" s="1"/>
  <c r="Y89" i="1"/>
  <c r="AD88" i="1"/>
  <c r="AB88" i="1"/>
  <c r="AA88" i="1"/>
  <c r="Y88" i="1"/>
  <c r="Z88" i="1" s="1"/>
  <c r="Z87" i="1"/>
  <c r="Y87" i="1"/>
  <c r="Z86" i="1"/>
  <c r="Y86" i="1"/>
  <c r="AA85" i="1"/>
  <c r="Z85" i="1"/>
  <c r="Y85" i="1"/>
  <c r="AD84" i="1"/>
  <c r="AB84" i="1"/>
  <c r="AA84" i="1"/>
  <c r="Y84" i="1"/>
  <c r="Z84" i="1" s="1"/>
  <c r="Z83" i="1"/>
  <c r="Y83" i="1"/>
  <c r="Z82" i="1"/>
  <c r="Y82" i="1"/>
  <c r="Z81" i="1"/>
  <c r="Y81" i="1"/>
  <c r="AD80" i="1"/>
  <c r="AB80" i="1"/>
  <c r="AA80" i="1"/>
  <c r="Y80" i="1"/>
  <c r="Z80" i="1" s="1"/>
  <c r="AB79" i="1"/>
  <c r="Z79" i="1"/>
  <c r="Y79" i="1"/>
  <c r="Z78" i="1"/>
  <c r="AA78" i="1" s="1"/>
  <c r="Y78" i="1"/>
  <c r="Z77" i="1"/>
  <c r="Y77" i="1"/>
  <c r="AD76" i="1"/>
  <c r="AB76" i="1"/>
  <c r="AA76" i="1"/>
  <c r="Y76" i="1"/>
  <c r="Z76" i="1" s="1"/>
  <c r="Z75" i="1"/>
  <c r="Y75" i="1"/>
  <c r="AA74" i="1"/>
  <c r="Z74" i="1"/>
  <c r="Y74" i="1"/>
  <c r="Z73" i="1"/>
  <c r="Y73" i="1"/>
  <c r="AD72" i="1"/>
  <c r="AB72" i="1"/>
  <c r="AA72" i="1"/>
  <c r="Y72" i="1"/>
  <c r="Z72" i="1" s="1"/>
  <c r="Z71" i="1"/>
  <c r="Y71" i="1"/>
  <c r="Z70" i="1"/>
  <c r="Y70" i="1"/>
  <c r="AA69" i="1"/>
  <c r="Z69" i="1"/>
  <c r="Y69" i="1"/>
  <c r="AD68" i="1"/>
  <c r="AB68" i="1"/>
  <c r="AA68" i="1"/>
  <c r="Y68" i="1"/>
  <c r="Z68" i="1" s="1"/>
  <c r="Z67" i="1"/>
  <c r="Y67" i="1"/>
  <c r="Z66" i="1"/>
  <c r="Y66" i="1"/>
  <c r="Z65" i="1"/>
  <c r="Y65" i="1"/>
  <c r="AD64" i="1"/>
  <c r="AB64" i="1"/>
  <c r="AA64" i="1"/>
  <c r="Y64" i="1"/>
  <c r="Z64" i="1" s="1"/>
  <c r="AB63" i="1"/>
  <c r="Z63" i="1"/>
  <c r="Y63" i="1"/>
  <c r="Z62" i="1"/>
  <c r="Y62" i="1"/>
  <c r="Z61" i="1"/>
  <c r="Y61" i="1"/>
  <c r="AD60" i="1"/>
  <c r="AB60" i="1"/>
  <c r="AA60" i="1"/>
  <c r="Y60" i="1"/>
  <c r="Z60" i="1" s="1"/>
  <c r="Z59" i="1"/>
  <c r="Y59" i="1"/>
  <c r="AA58" i="1"/>
  <c r="Z58" i="1"/>
  <c r="Y58" i="1"/>
  <c r="Z57" i="1"/>
  <c r="AA57" i="1" s="1"/>
  <c r="Y57" i="1"/>
  <c r="AD56" i="1"/>
  <c r="AB56" i="1"/>
  <c r="AA56" i="1"/>
  <c r="Y56" i="1"/>
  <c r="Z56" i="1" s="1"/>
  <c r="Z55" i="1"/>
  <c r="Y55" i="1"/>
  <c r="Z54" i="1"/>
  <c r="Y54" i="1"/>
  <c r="AA53" i="1"/>
  <c r="Z53" i="1"/>
  <c r="Y53" i="1"/>
  <c r="AD52" i="1"/>
  <c r="AB52" i="1"/>
  <c r="AA52" i="1"/>
  <c r="Y52" i="1"/>
  <c r="Z52" i="1" s="1"/>
  <c r="Z51" i="1"/>
  <c r="AB51" i="1" s="1"/>
  <c r="Y51" i="1"/>
  <c r="Z50" i="1"/>
  <c r="Y50" i="1"/>
  <c r="Z49" i="1"/>
  <c r="Y49" i="1"/>
  <c r="AD48" i="1"/>
  <c r="AB48" i="1"/>
  <c r="AA48" i="1"/>
  <c r="Y48" i="1"/>
  <c r="Z48" i="1" s="1"/>
  <c r="AB47" i="1"/>
  <c r="Z47" i="1"/>
  <c r="Y47" i="1"/>
  <c r="Z46" i="1"/>
  <c r="AA46" i="1" s="1"/>
  <c r="Y46" i="1"/>
  <c r="Z45" i="1"/>
  <c r="Y45" i="1"/>
  <c r="AD44" i="1"/>
  <c r="AB44" i="1"/>
  <c r="AA44" i="1"/>
  <c r="Y44" i="1"/>
  <c r="Z44" i="1" s="1"/>
  <c r="Z43" i="1"/>
  <c r="Y43" i="1"/>
  <c r="AA42" i="1"/>
  <c r="Z42" i="1"/>
  <c r="Y42" i="1"/>
  <c r="Z41" i="1"/>
  <c r="Y41" i="1"/>
  <c r="AD40" i="1"/>
  <c r="AB40" i="1"/>
  <c r="AA40" i="1"/>
  <c r="Y40" i="1"/>
  <c r="Z40" i="1" s="1"/>
  <c r="Z39" i="1"/>
  <c r="Y39" i="1"/>
  <c r="Z38" i="1"/>
  <c r="Y38" i="1"/>
  <c r="AA37" i="1"/>
  <c r="Z37" i="1"/>
  <c r="Y37" i="1"/>
  <c r="AD36" i="1"/>
  <c r="AB36" i="1"/>
  <c r="AA36" i="1"/>
  <c r="Y36" i="1"/>
  <c r="Z36" i="1" s="1"/>
  <c r="Z35" i="1"/>
  <c r="AB35" i="1" s="1"/>
  <c r="Y35" i="1"/>
  <c r="Z34" i="1"/>
  <c r="Y34" i="1"/>
  <c r="Z33" i="1"/>
  <c r="Y33" i="1"/>
  <c r="AD32" i="1"/>
  <c r="AB32" i="1"/>
  <c r="AA32" i="1"/>
  <c r="Y32" i="1"/>
  <c r="Z32" i="1" s="1"/>
  <c r="AB31" i="1"/>
  <c r="Z31" i="1"/>
  <c r="Y31" i="1"/>
  <c r="Z30" i="1"/>
  <c r="AA30" i="1" s="1"/>
  <c r="Y30" i="1"/>
  <c r="Z29" i="1"/>
  <c r="Y29" i="1"/>
  <c r="AD28" i="1"/>
  <c r="AB28" i="1"/>
  <c r="AA28" i="1"/>
  <c r="Y28" i="1"/>
  <c r="Z28" i="1" s="1"/>
  <c r="Z27" i="1"/>
  <c r="Y27" i="1"/>
  <c r="AA26" i="1"/>
  <c r="Z26" i="1"/>
  <c r="Y26" i="1"/>
  <c r="Z25" i="1"/>
  <c r="Y25" i="1"/>
  <c r="AD24" i="1"/>
  <c r="AB24" i="1"/>
  <c r="AA24" i="1"/>
  <c r="Y24" i="1"/>
  <c r="Z24" i="1" s="1"/>
  <c r="Z23" i="1"/>
  <c r="Y23" i="1"/>
  <c r="Z22" i="1"/>
  <c r="Y22" i="1"/>
  <c r="AA21" i="1"/>
  <c r="Z21" i="1"/>
  <c r="Y21" i="1"/>
  <c r="AD20" i="1"/>
  <c r="AB20" i="1"/>
  <c r="AA20" i="1"/>
  <c r="Y20" i="1"/>
  <c r="Z20" i="1" s="1"/>
  <c r="Z19" i="1"/>
  <c r="AB19" i="1" s="1"/>
  <c r="Y19" i="1"/>
  <c r="Z18" i="1"/>
  <c r="Y18" i="1"/>
  <c r="Z17" i="1"/>
  <c r="Y17" i="1"/>
  <c r="AD16" i="1"/>
  <c r="AB16" i="1"/>
  <c r="AA16" i="1"/>
  <c r="Y16" i="1"/>
  <c r="Z16" i="1" s="1"/>
  <c r="AB15" i="1"/>
  <c r="Z15" i="1"/>
  <c r="Y15" i="1"/>
  <c r="Z14" i="1"/>
  <c r="AA14" i="1" s="1"/>
  <c r="Y14" i="1"/>
  <c r="Z13" i="1"/>
  <c r="Y13" i="1"/>
  <c r="AD12" i="1"/>
  <c r="AB12" i="1"/>
  <c r="AA12" i="1"/>
  <c r="Y12" i="1"/>
  <c r="Z12" i="1" s="1"/>
  <c r="Z11" i="1"/>
  <c r="Y11" i="1"/>
  <c r="AA10" i="1"/>
  <c r="Z10" i="1"/>
  <c r="Y10" i="1"/>
  <c r="Z9" i="1"/>
  <c r="AA9" i="1" s="1"/>
  <c r="Y9" i="1"/>
  <c r="AD8" i="1"/>
  <c r="AB8" i="1"/>
  <c r="AA8" i="1"/>
  <c r="Y8" i="1"/>
  <c r="Z8" i="1" s="1"/>
  <c r="Z7" i="1"/>
  <c r="Y7" i="1"/>
  <c r="Z6" i="1"/>
  <c r="Y6" i="1"/>
  <c r="AA5" i="1"/>
  <c r="Z5" i="1"/>
  <c r="Y5" i="1"/>
  <c r="AD4" i="1"/>
  <c r="AB4" i="1"/>
  <c r="AA4" i="1"/>
  <c r="Y4" i="1"/>
  <c r="Z4" i="1" s="1"/>
  <c r="Z3" i="1"/>
  <c r="Y3" i="1"/>
  <c r="Z2" i="1"/>
  <c r="Y2" i="1"/>
  <c r="AD25" i="1" l="1"/>
  <c r="AB25" i="1"/>
  <c r="AD41" i="1"/>
  <c r="AB41" i="1"/>
  <c r="AB62" i="1"/>
  <c r="AD62" i="1"/>
  <c r="AA67" i="1"/>
  <c r="AD67" i="1"/>
  <c r="AD73" i="1"/>
  <c r="AB73" i="1"/>
  <c r="AA83" i="1"/>
  <c r="AD83" i="1"/>
  <c r="AB94" i="1"/>
  <c r="AD94" i="1"/>
  <c r="AA99" i="1"/>
  <c r="AD99" i="1"/>
  <c r="AD105" i="1"/>
  <c r="AB105" i="1"/>
  <c r="AD121" i="1"/>
  <c r="AB121" i="1"/>
  <c r="AD137" i="1"/>
  <c r="AB137" i="1"/>
  <c r="AB142" i="1"/>
  <c r="AD142" i="1"/>
  <c r="AB158" i="1"/>
  <c r="AD158" i="1"/>
  <c r="AD169" i="1"/>
  <c r="AB169" i="1"/>
  <c r="AB174" i="1"/>
  <c r="AD174" i="1"/>
  <c r="AD201" i="1"/>
  <c r="AB201" i="1"/>
  <c r="AA227" i="1"/>
  <c r="AD227" i="1"/>
  <c r="AA255" i="1"/>
  <c r="AD255" i="1"/>
  <c r="AA259" i="1"/>
  <c r="AD259" i="1"/>
  <c r="AD281" i="1"/>
  <c r="AB281" i="1"/>
  <c r="AB290" i="1"/>
  <c r="AD290" i="1"/>
  <c r="AA290" i="1"/>
  <c r="AB302" i="1"/>
  <c r="AD302" i="1"/>
  <c r="AA311" i="1"/>
  <c r="AD311" i="1"/>
  <c r="AB311" i="1"/>
  <c r="AA323" i="1"/>
  <c r="AD323" i="1"/>
  <c r="AB366" i="1"/>
  <c r="AD366" i="1"/>
  <c r="AD409" i="1"/>
  <c r="AB409" i="1"/>
  <c r="AB462" i="1"/>
  <c r="AD462" i="1"/>
  <c r="AA462" i="1"/>
  <c r="AA515" i="1"/>
  <c r="AD515" i="1"/>
  <c r="AB515" i="1"/>
  <c r="AB551" i="1"/>
  <c r="AD551" i="1"/>
  <c r="AA551" i="1"/>
  <c r="AB647" i="1"/>
  <c r="AD647" i="1"/>
  <c r="AA647" i="1"/>
  <c r="AA676" i="1"/>
  <c r="AD676" i="1"/>
  <c r="AB676" i="1"/>
  <c r="AB719" i="1"/>
  <c r="AD719" i="1"/>
  <c r="AA719" i="1"/>
  <c r="AB735" i="1"/>
  <c r="AD735" i="1"/>
  <c r="AA735" i="1"/>
  <c r="AA780" i="1"/>
  <c r="AD780" i="1"/>
  <c r="AB780" i="1"/>
  <c r="AB783" i="1"/>
  <c r="AD783" i="1"/>
  <c r="AA783" i="1"/>
  <c r="AB799" i="1"/>
  <c r="AD799" i="1"/>
  <c r="AA799" i="1"/>
  <c r="AA844" i="1"/>
  <c r="AD844" i="1"/>
  <c r="AB844" i="1"/>
  <c r="AA876" i="1"/>
  <c r="AD876" i="1"/>
  <c r="AB876" i="1"/>
  <c r="AA908" i="1"/>
  <c r="AD908" i="1"/>
  <c r="AB908" i="1"/>
  <c r="AA940" i="1"/>
  <c r="AD940" i="1"/>
  <c r="AB940" i="1"/>
  <c r="AB1176" i="1"/>
  <c r="AA1176" i="1"/>
  <c r="AD1176" i="1"/>
  <c r="AA1233" i="1"/>
  <c r="AB1233" i="1"/>
  <c r="AD1233" i="1"/>
  <c r="AA1276" i="1"/>
  <c r="AB1276" i="1"/>
  <c r="AD1276" i="1"/>
  <c r="AA1284" i="1"/>
  <c r="AB1284" i="1"/>
  <c r="AD1284" i="1"/>
  <c r="AB1291" i="1"/>
  <c r="AA1291" i="1"/>
  <c r="AD1291" i="1"/>
  <c r="AA23" i="1"/>
  <c r="AD23" i="1"/>
  <c r="AD29" i="1"/>
  <c r="AB29" i="1"/>
  <c r="AA39" i="1"/>
  <c r="AD39" i="1"/>
  <c r="AA41" i="1"/>
  <c r="AD45" i="1"/>
  <c r="AB45" i="1"/>
  <c r="AB50" i="1"/>
  <c r="AD50" i="1"/>
  <c r="AA55" i="1"/>
  <c r="AD55" i="1"/>
  <c r="AD61" i="1"/>
  <c r="AB61" i="1"/>
  <c r="AA62" i="1"/>
  <c r="AB66" i="1"/>
  <c r="AD66" i="1"/>
  <c r="AB67" i="1"/>
  <c r="AA71" i="1"/>
  <c r="AD71" i="1"/>
  <c r="AA73" i="1"/>
  <c r="AD77" i="1"/>
  <c r="AB77" i="1"/>
  <c r="AB82" i="1"/>
  <c r="AD82" i="1"/>
  <c r="AB83" i="1"/>
  <c r="AA87" i="1"/>
  <c r="AD87" i="1"/>
  <c r="AD93" i="1"/>
  <c r="AB93" i="1"/>
  <c r="AA94" i="1"/>
  <c r="AB98" i="1"/>
  <c r="AD98" i="1"/>
  <c r="AB99" i="1"/>
  <c r="AA103" i="1"/>
  <c r="AD103" i="1"/>
  <c r="AA105" i="1"/>
  <c r="AD109" i="1"/>
  <c r="AB109" i="1"/>
  <c r="AB114" i="1"/>
  <c r="AD114" i="1"/>
  <c r="AA119" i="1"/>
  <c r="AD119" i="1"/>
  <c r="AA121" i="1"/>
  <c r="AD125" i="1"/>
  <c r="AB125" i="1"/>
  <c r="AB130" i="1"/>
  <c r="AD130" i="1"/>
  <c r="AA135" i="1"/>
  <c r="AD135" i="1"/>
  <c r="AA137" i="1"/>
  <c r="AD141" i="1"/>
  <c r="AB141" i="1"/>
  <c r="AA142" i="1"/>
  <c r="AB146" i="1"/>
  <c r="AD146" i="1"/>
  <c r="AA151" i="1"/>
  <c r="AD151" i="1"/>
  <c r="AD157" i="1"/>
  <c r="AB157" i="1"/>
  <c r="AA158" i="1"/>
  <c r="AB162" i="1"/>
  <c r="AD162" i="1"/>
  <c r="AA167" i="1"/>
  <c r="AD167" i="1"/>
  <c r="AA169" i="1"/>
  <c r="AD173" i="1"/>
  <c r="AB173" i="1"/>
  <c r="AA174" i="1"/>
  <c r="AB178" i="1"/>
  <c r="AD178" i="1"/>
  <c r="AA183" i="1"/>
  <c r="AD183" i="1"/>
  <c r="AD189" i="1"/>
  <c r="AB189" i="1"/>
  <c r="AB194" i="1"/>
  <c r="AD194" i="1"/>
  <c r="AA199" i="1"/>
  <c r="AD199" i="1"/>
  <c r="AA201" i="1"/>
  <c r="AD205" i="1"/>
  <c r="AB205" i="1"/>
  <c r="AB210" i="1"/>
  <c r="AD210" i="1"/>
  <c r="AA215" i="1"/>
  <c r="AD215" i="1"/>
  <c r="AD221" i="1"/>
  <c r="AB221" i="1"/>
  <c r="AB226" i="1"/>
  <c r="AD226" i="1"/>
  <c r="AB227" i="1"/>
  <c r="AA231" i="1"/>
  <c r="AD231" i="1"/>
  <c r="AD237" i="1"/>
  <c r="AB237" i="1"/>
  <c r="AB242" i="1"/>
  <c r="AD242" i="1"/>
  <c r="AA242" i="1"/>
  <c r="AB250" i="1"/>
  <c r="AD250" i="1"/>
  <c r="AB254" i="1"/>
  <c r="AD254" i="1"/>
  <c r="AB255" i="1"/>
  <c r="AB259" i="1"/>
  <c r="AA263" i="1"/>
  <c r="AD263" i="1"/>
  <c r="AB263" i="1"/>
  <c r="AA271" i="1"/>
  <c r="AD271" i="1"/>
  <c r="AA275" i="1"/>
  <c r="AD275" i="1"/>
  <c r="AA281" i="1"/>
  <c r="AD285" i="1"/>
  <c r="AB285" i="1"/>
  <c r="AA285" i="1"/>
  <c r="AD297" i="1"/>
  <c r="AB297" i="1"/>
  <c r="AA302" i="1"/>
  <c r="AB306" i="1"/>
  <c r="AD306" i="1"/>
  <c r="AA306" i="1"/>
  <c r="AB318" i="1"/>
  <c r="AD318" i="1"/>
  <c r="AB323" i="1"/>
  <c r="AA327" i="1"/>
  <c r="AD327" i="1"/>
  <c r="AB327" i="1"/>
  <c r="AA339" i="1"/>
  <c r="AD339" i="1"/>
  <c r="AD349" i="1"/>
  <c r="AB349" i="1"/>
  <c r="AA349" i="1"/>
  <c r="AD361" i="1"/>
  <c r="AB361" i="1"/>
  <c r="AA366" i="1"/>
  <c r="AB370" i="1"/>
  <c r="AD370" i="1"/>
  <c r="AA370" i="1"/>
  <c r="AB382" i="1"/>
  <c r="AD382" i="1"/>
  <c r="AA391" i="1"/>
  <c r="AD391" i="1"/>
  <c r="AB391" i="1"/>
  <c r="AA403" i="1"/>
  <c r="AD403" i="1"/>
  <c r="AA409" i="1"/>
  <c r="AD413" i="1"/>
  <c r="AB413" i="1"/>
  <c r="AA413" i="1"/>
  <c r="AD425" i="1"/>
  <c r="AB425" i="1"/>
  <c r="AA540" i="1"/>
  <c r="AD540" i="1"/>
  <c r="AB540" i="1"/>
  <c r="AB543" i="1"/>
  <c r="AD543" i="1"/>
  <c r="AA543" i="1"/>
  <c r="AA572" i="1"/>
  <c r="AD572" i="1"/>
  <c r="AB572" i="1"/>
  <c r="AB575" i="1"/>
  <c r="AD575" i="1"/>
  <c r="AA575" i="1"/>
  <c r="AA604" i="1"/>
  <c r="AD604" i="1"/>
  <c r="AB604" i="1"/>
  <c r="AB607" i="1"/>
  <c r="AD607" i="1"/>
  <c r="AA607" i="1"/>
  <c r="AA636" i="1"/>
  <c r="AD636" i="1"/>
  <c r="AB636" i="1"/>
  <c r="AB639" i="1"/>
  <c r="AD639" i="1"/>
  <c r="AA639" i="1"/>
  <c r="AA668" i="1"/>
  <c r="AD668" i="1"/>
  <c r="AB668" i="1"/>
  <c r="AB671" i="1"/>
  <c r="AD671" i="1"/>
  <c r="AA671" i="1"/>
  <c r="AA3" i="1"/>
  <c r="AD3" i="1"/>
  <c r="AA19" i="1"/>
  <c r="AD19" i="1"/>
  <c r="AA35" i="1"/>
  <c r="AD35" i="1"/>
  <c r="AD57" i="1"/>
  <c r="AB57" i="1"/>
  <c r="AB110" i="1"/>
  <c r="AD110" i="1"/>
  <c r="AA115" i="1"/>
  <c r="AD115" i="1"/>
  <c r="AB126" i="1"/>
  <c r="AD126" i="1"/>
  <c r="AA131" i="1"/>
  <c r="AD131" i="1"/>
  <c r="AA147" i="1"/>
  <c r="AD147" i="1"/>
  <c r="AD153" i="1"/>
  <c r="AB153" i="1"/>
  <c r="AA163" i="1"/>
  <c r="AD163" i="1"/>
  <c r="AA179" i="1"/>
  <c r="AD179" i="1"/>
  <c r="AD185" i="1"/>
  <c r="AB185" i="1"/>
  <c r="AA211" i="1"/>
  <c r="AD211" i="1"/>
  <c r="AB222" i="1"/>
  <c r="AD222" i="1"/>
  <c r="AD269" i="1"/>
  <c r="AB269" i="1"/>
  <c r="AA269" i="1"/>
  <c r="AD277" i="1"/>
  <c r="AB277" i="1"/>
  <c r="AD333" i="1"/>
  <c r="AB333" i="1"/>
  <c r="AA333" i="1"/>
  <c r="AD345" i="1"/>
  <c r="AB345" i="1"/>
  <c r="AA375" i="1"/>
  <c r="AD375" i="1"/>
  <c r="AB375" i="1"/>
  <c r="AB430" i="1"/>
  <c r="AD430" i="1"/>
  <c r="AA430" i="1"/>
  <c r="AD441" i="1"/>
  <c r="AB441" i="1"/>
  <c r="AA441" i="1"/>
  <c r="AA483" i="1"/>
  <c r="AD483" i="1"/>
  <c r="AB483" i="1"/>
  <c r="AB494" i="1"/>
  <c r="AD494" i="1"/>
  <c r="AA494" i="1"/>
  <c r="AA580" i="1"/>
  <c r="AD580" i="1"/>
  <c r="AB580" i="1"/>
  <c r="AB615" i="1"/>
  <c r="AD615" i="1"/>
  <c r="AA615" i="1"/>
  <c r="AA644" i="1"/>
  <c r="AD644" i="1"/>
  <c r="AB644" i="1"/>
  <c r="AB703" i="1"/>
  <c r="AD703" i="1"/>
  <c r="AA703" i="1"/>
  <c r="AA732" i="1"/>
  <c r="AD732" i="1"/>
  <c r="AB732" i="1"/>
  <c r="AB751" i="1"/>
  <c r="AD751" i="1"/>
  <c r="AA751" i="1"/>
  <c r="AA764" i="1"/>
  <c r="AD764" i="1"/>
  <c r="AB764" i="1"/>
  <c r="AA812" i="1"/>
  <c r="AD812" i="1"/>
  <c r="AB812" i="1"/>
  <c r="AA828" i="1"/>
  <c r="AD828" i="1"/>
  <c r="AB828" i="1"/>
  <c r="AB831" i="1"/>
  <c r="AD831" i="1"/>
  <c r="AA831" i="1"/>
  <c r="AB847" i="1"/>
  <c r="AD847" i="1"/>
  <c r="AA847" i="1"/>
  <c r="AB863" i="1"/>
  <c r="AD863" i="1"/>
  <c r="AA863" i="1"/>
  <c r="AB879" i="1"/>
  <c r="AD879" i="1"/>
  <c r="AA879" i="1"/>
  <c r="AB895" i="1"/>
  <c r="AD895" i="1"/>
  <c r="AA895" i="1"/>
  <c r="AB911" i="1"/>
  <c r="AD911" i="1"/>
  <c r="AA911" i="1"/>
  <c r="AB927" i="1"/>
  <c r="AD927" i="1"/>
  <c r="AA927" i="1"/>
  <c r="AD943" i="1"/>
  <c r="AB943" i="1"/>
  <c r="AA943" i="1"/>
  <c r="AB1208" i="1"/>
  <c r="AA1208" i="1"/>
  <c r="AD1208" i="1"/>
  <c r="AB1240" i="1"/>
  <c r="AA1240" i="1"/>
  <c r="AD1240" i="1"/>
  <c r="AB2" i="1"/>
  <c r="AD2" i="1"/>
  <c r="AD13" i="1"/>
  <c r="AB13" i="1"/>
  <c r="AB34" i="1"/>
  <c r="AD34" i="1"/>
  <c r="AB6" i="1"/>
  <c r="AD6" i="1"/>
  <c r="AA11" i="1"/>
  <c r="AD11" i="1"/>
  <c r="AA13" i="1"/>
  <c r="AD17" i="1"/>
  <c r="AB17" i="1"/>
  <c r="AB23" i="1"/>
  <c r="AA29" i="1"/>
  <c r="AD33" i="1"/>
  <c r="AB33" i="1"/>
  <c r="AA34" i="1"/>
  <c r="AB39" i="1"/>
  <c r="AA43" i="1"/>
  <c r="AD43" i="1"/>
  <c r="AA45" i="1"/>
  <c r="AD49" i="1"/>
  <c r="AB49" i="1"/>
  <c r="AA50" i="1"/>
  <c r="AB54" i="1"/>
  <c r="AD54" i="1"/>
  <c r="AB55" i="1"/>
  <c r="AA59" i="1"/>
  <c r="AD59" i="1"/>
  <c r="AA61" i="1"/>
  <c r="AD65" i="1"/>
  <c r="AB65" i="1"/>
  <c r="AA66" i="1"/>
  <c r="AB70" i="1"/>
  <c r="AD70" i="1"/>
  <c r="AB71" i="1"/>
  <c r="AA75" i="1"/>
  <c r="AD75" i="1"/>
  <c r="AA77" i="1"/>
  <c r="AD81" i="1"/>
  <c r="AB81" i="1"/>
  <c r="AA82" i="1"/>
  <c r="AB86" i="1"/>
  <c r="AD86" i="1"/>
  <c r="AB87" i="1"/>
  <c r="AA91" i="1"/>
  <c r="AD91" i="1"/>
  <c r="AA93" i="1"/>
  <c r="AD97" i="1"/>
  <c r="AB97" i="1"/>
  <c r="AA98" i="1"/>
  <c r="AB102" i="1"/>
  <c r="AD102" i="1"/>
  <c r="AB103" i="1"/>
  <c r="AA107" i="1"/>
  <c r="AD107" i="1"/>
  <c r="AA109" i="1"/>
  <c r="AD113" i="1"/>
  <c r="AB113" i="1"/>
  <c r="AA114" i="1"/>
  <c r="AB118" i="1"/>
  <c r="AD118" i="1"/>
  <c r="AB119" i="1"/>
  <c r="AA123" i="1"/>
  <c r="AD123" i="1"/>
  <c r="AA125" i="1"/>
  <c r="AD129" i="1"/>
  <c r="AB129" i="1"/>
  <c r="AA130" i="1"/>
  <c r="AB134" i="1"/>
  <c r="AD134" i="1"/>
  <c r="AB135" i="1"/>
  <c r="AA139" i="1"/>
  <c r="AD139" i="1"/>
  <c r="AA141" i="1"/>
  <c r="AD145" i="1"/>
  <c r="AB145" i="1"/>
  <c r="AA146" i="1"/>
  <c r="AB150" i="1"/>
  <c r="AD150" i="1"/>
  <c r="AB151" i="1"/>
  <c r="AA155" i="1"/>
  <c r="AD155" i="1"/>
  <c r="AA157" i="1"/>
  <c r="AD161" i="1"/>
  <c r="AB161" i="1"/>
  <c r="AA162" i="1"/>
  <c r="AB166" i="1"/>
  <c r="AD166" i="1"/>
  <c r="AB167" i="1"/>
  <c r="AA171" i="1"/>
  <c r="AD171" i="1"/>
  <c r="AA173" i="1"/>
  <c r="AD177" i="1"/>
  <c r="AB177" i="1"/>
  <c r="AA178" i="1"/>
  <c r="AB182" i="1"/>
  <c r="AD182" i="1"/>
  <c r="AB183" i="1"/>
  <c r="AA187" i="1"/>
  <c r="AD187" i="1"/>
  <c r="AA189" i="1"/>
  <c r="AD193" i="1"/>
  <c r="AB193" i="1"/>
  <c r="AA194" i="1"/>
  <c r="AB198" i="1"/>
  <c r="AD198" i="1"/>
  <c r="AB199" i="1"/>
  <c r="AA203" i="1"/>
  <c r="AD203" i="1"/>
  <c r="AA205" i="1"/>
  <c r="AD209" i="1"/>
  <c r="AB209" i="1"/>
  <c r="AA210" i="1"/>
  <c r="AB214" i="1"/>
  <c r="AD214" i="1"/>
  <c r="AB215" i="1"/>
  <c r="AA219" i="1"/>
  <c r="AD219" i="1"/>
  <c r="AA221" i="1"/>
  <c r="AD225" i="1"/>
  <c r="AB225" i="1"/>
  <c r="AA226" i="1"/>
  <c r="AB230" i="1"/>
  <c r="AD230" i="1"/>
  <c r="AB231" i="1"/>
  <c r="AA235" i="1"/>
  <c r="AD235" i="1"/>
  <c r="AA237" i="1"/>
  <c r="AD245" i="1"/>
  <c r="AB245" i="1"/>
  <c r="AD249" i="1"/>
  <c r="AB249" i="1"/>
  <c r="AA250" i="1"/>
  <c r="AA254" i="1"/>
  <c r="AB258" i="1"/>
  <c r="AD258" i="1"/>
  <c r="AA258" i="1"/>
  <c r="AB266" i="1"/>
  <c r="AD266" i="1"/>
  <c r="AB270" i="1"/>
  <c r="AD270" i="1"/>
  <c r="AB271" i="1"/>
  <c r="AB275" i="1"/>
  <c r="AA279" i="1"/>
  <c r="AD279" i="1"/>
  <c r="AB279" i="1"/>
  <c r="AA291" i="1"/>
  <c r="AD291" i="1"/>
  <c r="AA297" i="1"/>
  <c r="AD301" i="1"/>
  <c r="AB301" i="1"/>
  <c r="AA301" i="1"/>
  <c r="AD313" i="1"/>
  <c r="AB313" i="1"/>
  <c r="AA318" i="1"/>
  <c r="AB322" i="1"/>
  <c r="AD322" i="1"/>
  <c r="AA322" i="1"/>
  <c r="AB334" i="1"/>
  <c r="AD334" i="1"/>
  <c r="AB339" i="1"/>
  <c r="AA343" i="1"/>
  <c r="AD343" i="1"/>
  <c r="AB343" i="1"/>
  <c r="AA355" i="1"/>
  <c r="AD355" i="1"/>
  <c r="AA361" i="1"/>
  <c r="AD365" i="1"/>
  <c r="AB365" i="1"/>
  <c r="AA365" i="1"/>
  <c r="AD377" i="1"/>
  <c r="AB377" i="1"/>
  <c r="AA382" i="1"/>
  <c r="AB386" i="1"/>
  <c r="AD386" i="1"/>
  <c r="AA386" i="1"/>
  <c r="AB398" i="1"/>
  <c r="AD398" i="1"/>
  <c r="AB403" i="1"/>
  <c r="AA407" i="1"/>
  <c r="AD407" i="1"/>
  <c r="AB407" i="1"/>
  <c r="AA419" i="1"/>
  <c r="AD419" i="1"/>
  <c r="AA425" i="1"/>
  <c r="AD429" i="1"/>
  <c r="AB429" i="1"/>
  <c r="AA429" i="1"/>
  <c r="AA435" i="1"/>
  <c r="AD435" i="1"/>
  <c r="AB435" i="1"/>
  <c r="AB446" i="1"/>
  <c r="AD446" i="1"/>
  <c r="AA446" i="1"/>
  <c r="AD457" i="1"/>
  <c r="AB457" i="1"/>
  <c r="AA457" i="1"/>
  <c r="AA467" i="1"/>
  <c r="AD467" i="1"/>
  <c r="AB467" i="1"/>
  <c r="AB478" i="1"/>
  <c r="AD478" i="1"/>
  <c r="AA478" i="1"/>
  <c r="AD489" i="1"/>
  <c r="AB489" i="1"/>
  <c r="AA489" i="1"/>
  <c r="AA499" i="1"/>
  <c r="AD499" i="1"/>
  <c r="AB499" i="1"/>
  <c r="AB510" i="1"/>
  <c r="AD510" i="1"/>
  <c r="AA510" i="1"/>
  <c r="AA532" i="1"/>
  <c r="AD532" i="1"/>
  <c r="AB532" i="1"/>
  <c r="AB535" i="1"/>
  <c r="AD535" i="1"/>
  <c r="AA535" i="1"/>
  <c r="AA564" i="1"/>
  <c r="AD564" i="1"/>
  <c r="AB564" i="1"/>
  <c r="AB567" i="1"/>
  <c r="AD567" i="1"/>
  <c r="AA567" i="1"/>
  <c r="AA596" i="1"/>
  <c r="AD596" i="1"/>
  <c r="AB596" i="1"/>
  <c r="AB599" i="1"/>
  <c r="AD599" i="1"/>
  <c r="AA599" i="1"/>
  <c r="AA628" i="1"/>
  <c r="AD628" i="1"/>
  <c r="AB628" i="1"/>
  <c r="AB631" i="1"/>
  <c r="AD631" i="1"/>
  <c r="AA631" i="1"/>
  <c r="AA660" i="1"/>
  <c r="AD660" i="1"/>
  <c r="AB660" i="1"/>
  <c r="AB663" i="1"/>
  <c r="AD663" i="1"/>
  <c r="AA663" i="1"/>
  <c r="AA692" i="1"/>
  <c r="AD692" i="1"/>
  <c r="AB692" i="1"/>
  <c r="AB695" i="1"/>
  <c r="AD695" i="1"/>
  <c r="AA695" i="1"/>
  <c r="AA708" i="1"/>
  <c r="AD708" i="1"/>
  <c r="AB708" i="1"/>
  <c r="AB711" i="1"/>
  <c r="AD711" i="1"/>
  <c r="AA711" i="1"/>
  <c r="AA724" i="1"/>
  <c r="AD724" i="1"/>
  <c r="AB724" i="1"/>
  <c r="AB727" i="1"/>
  <c r="AD727" i="1"/>
  <c r="AA727" i="1"/>
  <c r="AA740" i="1"/>
  <c r="AD740" i="1"/>
  <c r="AB740" i="1"/>
  <c r="AB743" i="1"/>
  <c r="AD743" i="1"/>
  <c r="AA743" i="1"/>
  <c r="AA756" i="1"/>
  <c r="AD756" i="1"/>
  <c r="AB756" i="1"/>
  <c r="AB759" i="1"/>
  <c r="AD759" i="1"/>
  <c r="AA759" i="1"/>
  <c r="AA772" i="1"/>
  <c r="AD772" i="1"/>
  <c r="AB772" i="1"/>
  <c r="AB775" i="1"/>
  <c r="AD775" i="1"/>
  <c r="AA775" i="1"/>
  <c r="AD9" i="1"/>
  <c r="AB9" i="1"/>
  <c r="AB14" i="1"/>
  <c r="AD14" i="1"/>
  <c r="AB30" i="1"/>
  <c r="AD30" i="1"/>
  <c r="AB46" i="1"/>
  <c r="AD46" i="1"/>
  <c r="AA51" i="1"/>
  <c r="AD51" i="1"/>
  <c r="AB78" i="1"/>
  <c r="AD78" i="1"/>
  <c r="AD89" i="1"/>
  <c r="AB89" i="1"/>
  <c r="AB190" i="1"/>
  <c r="AD190" i="1"/>
  <c r="AA195" i="1"/>
  <c r="AD195" i="1"/>
  <c r="AB206" i="1"/>
  <c r="AD206" i="1"/>
  <c r="AD217" i="1"/>
  <c r="AB217" i="1"/>
  <c r="AD233" i="1"/>
  <c r="AB233" i="1"/>
  <c r="AB238" i="1"/>
  <c r="AD238" i="1"/>
  <c r="AA247" i="1"/>
  <c r="AD247" i="1"/>
  <c r="AB247" i="1"/>
  <c r="AB354" i="1"/>
  <c r="AD354" i="1"/>
  <c r="AA354" i="1"/>
  <c r="AA387" i="1"/>
  <c r="AD387" i="1"/>
  <c r="AD397" i="1"/>
  <c r="AB397" i="1"/>
  <c r="AA397" i="1"/>
  <c r="AB418" i="1"/>
  <c r="AD418" i="1"/>
  <c r="AA418" i="1"/>
  <c r="AA451" i="1"/>
  <c r="AD451" i="1"/>
  <c r="AB451" i="1"/>
  <c r="AD473" i="1"/>
  <c r="AB473" i="1"/>
  <c r="AA473" i="1"/>
  <c r="AD505" i="1"/>
  <c r="AB505" i="1"/>
  <c r="AA505" i="1"/>
  <c r="AA548" i="1"/>
  <c r="AD548" i="1"/>
  <c r="AB548" i="1"/>
  <c r="AB583" i="1"/>
  <c r="AD583" i="1"/>
  <c r="AA583" i="1"/>
  <c r="AA612" i="1"/>
  <c r="AD612" i="1"/>
  <c r="AB612" i="1"/>
  <c r="AB679" i="1"/>
  <c r="AD679" i="1"/>
  <c r="AA679" i="1"/>
  <c r="AA700" i="1"/>
  <c r="AD700" i="1"/>
  <c r="AB700" i="1"/>
  <c r="AA716" i="1"/>
  <c r="AD716" i="1"/>
  <c r="AB716" i="1"/>
  <c r="AA748" i="1"/>
  <c r="AD748" i="1"/>
  <c r="AB748" i="1"/>
  <c r="AB767" i="1"/>
  <c r="AD767" i="1"/>
  <c r="AA767" i="1"/>
  <c r="AA796" i="1"/>
  <c r="AD796" i="1"/>
  <c r="AB796" i="1"/>
  <c r="AB815" i="1"/>
  <c r="AD815" i="1"/>
  <c r="AA815" i="1"/>
  <c r="AA860" i="1"/>
  <c r="AD860" i="1"/>
  <c r="AB860" i="1"/>
  <c r="AA892" i="1"/>
  <c r="AD892" i="1"/>
  <c r="AB892" i="1"/>
  <c r="AA924" i="1"/>
  <c r="AD924" i="1"/>
  <c r="AB924" i="1"/>
  <c r="AA1169" i="1"/>
  <c r="AB1169" i="1"/>
  <c r="AD1169" i="1"/>
  <c r="AA1201" i="1"/>
  <c r="AB1201" i="1"/>
  <c r="AD1201" i="1"/>
  <c r="AB3" i="1"/>
  <c r="AA7" i="1"/>
  <c r="AD7" i="1"/>
  <c r="AB18" i="1"/>
  <c r="AD18" i="1"/>
  <c r="AA25" i="1"/>
  <c r="AA2" i="1"/>
  <c r="AB7" i="1"/>
  <c r="AA18" i="1"/>
  <c r="AB22" i="1"/>
  <c r="AD22" i="1"/>
  <c r="AA27" i="1"/>
  <c r="AD27" i="1"/>
  <c r="AB38" i="1"/>
  <c r="AD38" i="1"/>
  <c r="AD5" i="1"/>
  <c r="AB5" i="1"/>
  <c r="AA6" i="1"/>
  <c r="AB10" i="1"/>
  <c r="AD10" i="1"/>
  <c r="AB11" i="1"/>
  <c r="AA15" i="1"/>
  <c r="AD15" i="1"/>
  <c r="AA17" i="1"/>
  <c r="AD21" i="1"/>
  <c r="AB21" i="1"/>
  <c r="AA22" i="1"/>
  <c r="AB26" i="1"/>
  <c r="AD26" i="1"/>
  <c r="AB27" i="1"/>
  <c r="AA31" i="1"/>
  <c r="AD31" i="1"/>
  <c r="AA33" i="1"/>
  <c r="AD37" i="1"/>
  <c r="AB37" i="1"/>
  <c r="AA38" i="1"/>
  <c r="AB42" i="1"/>
  <c r="AD42" i="1"/>
  <c r="AB43" i="1"/>
  <c r="AA47" i="1"/>
  <c r="AD47" i="1"/>
  <c r="AA49" i="1"/>
  <c r="AD53" i="1"/>
  <c r="AB53" i="1"/>
  <c r="AA54" i="1"/>
  <c r="AB58" i="1"/>
  <c r="AD58" i="1"/>
  <c r="AB59" i="1"/>
  <c r="AA63" i="1"/>
  <c r="AD63" i="1"/>
  <c r="AA65" i="1"/>
  <c r="AD69" i="1"/>
  <c r="AB69" i="1"/>
  <c r="AA70" i="1"/>
  <c r="AB74" i="1"/>
  <c r="AD74" i="1"/>
  <c r="AB75" i="1"/>
  <c r="AA79" i="1"/>
  <c r="AD79" i="1"/>
  <c r="AA81" i="1"/>
  <c r="AD85" i="1"/>
  <c r="AB85" i="1"/>
  <c r="AA86" i="1"/>
  <c r="AB90" i="1"/>
  <c r="AD90" i="1"/>
  <c r="AB91" i="1"/>
  <c r="AA95" i="1"/>
  <c r="AD95" i="1"/>
  <c r="AA97" i="1"/>
  <c r="AD101" i="1"/>
  <c r="AB101" i="1"/>
  <c r="AA102" i="1"/>
  <c r="AB106" i="1"/>
  <c r="AD106" i="1"/>
  <c r="AB107" i="1"/>
  <c r="AA111" i="1"/>
  <c r="AD111" i="1"/>
  <c r="AA113" i="1"/>
  <c r="AD117" i="1"/>
  <c r="AB117" i="1"/>
  <c r="AA118" i="1"/>
  <c r="AB122" i="1"/>
  <c r="AD122" i="1"/>
  <c r="AB123" i="1"/>
  <c r="AA127" i="1"/>
  <c r="AD127" i="1"/>
  <c r="AA129" i="1"/>
  <c r="AD133" i="1"/>
  <c r="AB133" i="1"/>
  <c r="AA134" i="1"/>
  <c r="AB138" i="1"/>
  <c r="AD138" i="1"/>
  <c r="AB139" i="1"/>
  <c r="AA143" i="1"/>
  <c r="AD143" i="1"/>
  <c r="AA145" i="1"/>
  <c r="AD149" i="1"/>
  <c r="AB149" i="1"/>
  <c r="AA150" i="1"/>
  <c r="AB154" i="1"/>
  <c r="AD154" i="1"/>
  <c r="AB155" i="1"/>
  <c r="AA159" i="1"/>
  <c r="AD159" i="1"/>
  <c r="AA161" i="1"/>
  <c r="AD165" i="1"/>
  <c r="AB165" i="1"/>
  <c r="AA166" i="1"/>
  <c r="AB170" i="1"/>
  <c r="AD170" i="1"/>
  <c r="AB171" i="1"/>
  <c r="AA175" i="1"/>
  <c r="AD175" i="1"/>
  <c r="AA177" i="1"/>
  <c r="AD181" i="1"/>
  <c r="AB181" i="1"/>
  <c r="AA182" i="1"/>
  <c r="AB186" i="1"/>
  <c r="AD186" i="1"/>
  <c r="AB187" i="1"/>
  <c r="AA191" i="1"/>
  <c r="AD191" i="1"/>
  <c r="AA193" i="1"/>
  <c r="AD197" i="1"/>
  <c r="AB197" i="1"/>
  <c r="AA198" i="1"/>
  <c r="AB202" i="1"/>
  <c r="AD202" i="1"/>
  <c r="AB203" i="1"/>
  <c r="AA207" i="1"/>
  <c r="AD207" i="1"/>
  <c r="AA209" i="1"/>
  <c r="AD213" i="1"/>
  <c r="AB213" i="1"/>
  <c r="AA214" i="1"/>
  <c r="AB218" i="1"/>
  <c r="AD218" i="1"/>
  <c r="AB219" i="1"/>
  <c r="AA223" i="1"/>
  <c r="AD223" i="1"/>
  <c r="AA225" i="1"/>
  <c r="AD229" i="1"/>
  <c r="AB229" i="1"/>
  <c r="AA230" i="1"/>
  <c r="AB234" i="1"/>
  <c r="AD234" i="1"/>
  <c r="AB235" i="1"/>
  <c r="AA239" i="1"/>
  <c r="AD239" i="1"/>
  <c r="AA243" i="1"/>
  <c r="AD243" i="1"/>
  <c r="AA245" i="1"/>
  <c r="AA249" i="1"/>
  <c r="AD253" i="1"/>
  <c r="AB253" i="1"/>
  <c r="AA253" i="1"/>
  <c r="AD261" i="1"/>
  <c r="AB261" i="1"/>
  <c r="AD265" i="1"/>
  <c r="AB265" i="1"/>
  <c r="AA266" i="1"/>
  <c r="AA270" i="1"/>
  <c r="AB274" i="1"/>
  <c r="AD274" i="1"/>
  <c r="AA274" i="1"/>
  <c r="AB286" i="1"/>
  <c r="AD286" i="1"/>
  <c r="AB291" i="1"/>
  <c r="AA295" i="1"/>
  <c r="AD295" i="1"/>
  <c r="AB295" i="1"/>
  <c r="AA307" i="1"/>
  <c r="AD307" i="1"/>
  <c r="AA313" i="1"/>
  <c r="AD317" i="1"/>
  <c r="AB317" i="1"/>
  <c r="AA317" i="1"/>
  <c r="AD329" i="1"/>
  <c r="AB329" i="1"/>
  <c r="AA334" i="1"/>
  <c r="AB338" i="1"/>
  <c r="AD338" i="1"/>
  <c r="AA338" i="1"/>
  <c r="AB350" i="1"/>
  <c r="AD350" i="1"/>
  <c r="AB355" i="1"/>
  <c r="AA359" i="1"/>
  <c r="AD359" i="1"/>
  <c r="AB359" i="1"/>
  <c r="AA371" i="1"/>
  <c r="AD371" i="1"/>
  <c r="AA377" i="1"/>
  <c r="AD381" i="1"/>
  <c r="AB381" i="1"/>
  <c r="AA381" i="1"/>
  <c r="AD393" i="1"/>
  <c r="AB393" i="1"/>
  <c r="AA398" i="1"/>
  <c r="AB402" i="1"/>
  <c r="AD402" i="1"/>
  <c r="AA402" i="1"/>
  <c r="AB414" i="1"/>
  <c r="AD414" i="1"/>
  <c r="AB419" i="1"/>
  <c r="AA423" i="1"/>
  <c r="AD423" i="1"/>
  <c r="AB423" i="1"/>
  <c r="AA524" i="1"/>
  <c r="AD524" i="1"/>
  <c r="AB524" i="1"/>
  <c r="AB527" i="1"/>
  <c r="AD527" i="1"/>
  <c r="AA527" i="1"/>
  <c r="AA556" i="1"/>
  <c r="AD556" i="1"/>
  <c r="AB556" i="1"/>
  <c r="AB559" i="1"/>
  <c r="AD559" i="1"/>
  <c r="AA559" i="1"/>
  <c r="AA588" i="1"/>
  <c r="AD588" i="1"/>
  <c r="AB588" i="1"/>
  <c r="AB591" i="1"/>
  <c r="AD591" i="1"/>
  <c r="AA591" i="1"/>
  <c r="AA620" i="1"/>
  <c r="AD620" i="1"/>
  <c r="AB620" i="1"/>
  <c r="AB623" i="1"/>
  <c r="AD623" i="1"/>
  <c r="AA623" i="1"/>
  <c r="AA652" i="1"/>
  <c r="AD652" i="1"/>
  <c r="AB652" i="1"/>
  <c r="AB655" i="1"/>
  <c r="AD655" i="1"/>
  <c r="AA655" i="1"/>
  <c r="AA684" i="1"/>
  <c r="AD684" i="1"/>
  <c r="AB684" i="1"/>
  <c r="AB687" i="1"/>
  <c r="AD687" i="1"/>
  <c r="AA687" i="1"/>
  <c r="AB434" i="1"/>
  <c r="AD434" i="1"/>
  <c r="AA439" i="1"/>
  <c r="AD439" i="1"/>
  <c r="AD445" i="1"/>
  <c r="AB445" i="1"/>
  <c r="AB450" i="1"/>
  <c r="AD450" i="1"/>
  <c r="AA455" i="1"/>
  <c r="AD455" i="1"/>
  <c r="AD461" i="1"/>
  <c r="AB461" i="1"/>
  <c r="AB466" i="1"/>
  <c r="AD466" i="1"/>
  <c r="AA471" i="1"/>
  <c r="AD471" i="1"/>
  <c r="AD477" i="1"/>
  <c r="AB477" i="1"/>
  <c r="AB482" i="1"/>
  <c r="AD482" i="1"/>
  <c r="AA487" i="1"/>
  <c r="AD487" i="1"/>
  <c r="AD493" i="1"/>
  <c r="AB493" i="1"/>
  <c r="AB498" i="1"/>
  <c r="AD498" i="1"/>
  <c r="AA503" i="1"/>
  <c r="AD503" i="1"/>
  <c r="AD509" i="1"/>
  <c r="AB509" i="1"/>
  <c r="AB514" i="1"/>
  <c r="AD514" i="1"/>
  <c r="AA519" i="1"/>
  <c r="AD519" i="1"/>
  <c r="AB519" i="1"/>
  <c r="AD522" i="1"/>
  <c r="AB522" i="1"/>
  <c r="AA522" i="1"/>
  <c r="AD525" i="1"/>
  <c r="AB525" i="1"/>
  <c r="AA525" i="1"/>
  <c r="AD530" i="1"/>
  <c r="AB530" i="1"/>
  <c r="AA530" i="1"/>
  <c r="AD533" i="1"/>
  <c r="AB533" i="1"/>
  <c r="AA533" i="1"/>
  <c r="AD538" i="1"/>
  <c r="AB538" i="1"/>
  <c r="AA538" i="1"/>
  <c r="AD541" i="1"/>
  <c r="AB541" i="1"/>
  <c r="AA541" i="1"/>
  <c r="AD546" i="1"/>
  <c r="AB546" i="1"/>
  <c r="AA546" i="1"/>
  <c r="AD549" i="1"/>
  <c r="AB549" i="1"/>
  <c r="AA549" i="1"/>
  <c r="AD554" i="1"/>
  <c r="AB554" i="1"/>
  <c r="AA554" i="1"/>
  <c r="AD557" i="1"/>
  <c r="AB557" i="1"/>
  <c r="AA557" i="1"/>
  <c r="AD562" i="1"/>
  <c r="AB562" i="1"/>
  <c r="AA562" i="1"/>
  <c r="AD565" i="1"/>
  <c r="AB565" i="1"/>
  <c r="AA565" i="1"/>
  <c r="AD570" i="1"/>
  <c r="AB570" i="1"/>
  <c r="AA570" i="1"/>
  <c r="AD573" i="1"/>
  <c r="AB573" i="1"/>
  <c r="AA573" i="1"/>
  <c r="AD578" i="1"/>
  <c r="AB578" i="1"/>
  <c r="AA578" i="1"/>
  <c r="AD581" i="1"/>
  <c r="AB581" i="1"/>
  <c r="AA581" i="1"/>
  <c r="AD586" i="1"/>
  <c r="AB586" i="1"/>
  <c r="AA586" i="1"/>
  <c r="AD589" i="1"/>
  <c r="AB589" i="1"/>
  <c r="AA589" i="1"/>
  <c r="AD594" i="1"/>
  <c r="AB594" i="1"/>
  <c r="AA594" i="1"/>
  <c r="AD597" i="1"/>
  <c r="AB597" i="1"/>
  <c r="AA597" i="1"/>
  <c r="AD602" i="1"/>
  <c r="AB602" i="1"/>
  <c r="AA602" i="1"/>
  <c r="AD605" i="1"/>
  <c r="AB605" i="1"/>
  <c r="AA605" i="1"/>
  <c r="AD610" i="1"/>
  <c r="AB610" i="1"/>
  <c r="AA610" i="1"/>
  <c r="AD613" i="1"/>
  <c r="AB613" i="1"/>
  <c r="AA613" i="1"/>
  <c r="AD618" i="1"/>
  <c r="AB618" i="1"/>
  <c r="AA618" i="1"/>
  <c r="AD621" i="1"/>
  <c r="AB621" i="1"/>
  <c r="AA621" i="1"/>
  <c r="AD626" i="1"/>
  <c r="AB626" i="1"/>
  <c r="AA626" i="1"/>
  <c r="AD629" i="1"/>
  <c r="AB629" i="1"/>
  <c r="AA629" i="1"/>
  <c r="AD634" i="1"/>
  <c r="AB634" i="1"/>
  <c r="AA634" i="1"/>
  <c r="AD637" i="1"/>
  <c r="AB637" i="1"/>
  <c r="AA637" i="1"/>
  <c r="AD642" i="1"/>
  <c r="AB642" i="1"/>
  <c r="AA642" i="1"/>
  <c r="AD645" i="1"/>
  <c r="AB645" i="1"/>
  <c r="AA645" i="1"/>
  <c r="AD650" i="1"/>
  <c r="AB650" i="1"/>
  <c r="AA650" i="1"/>
  <c r="AD653" i="1"/>
  <c r="AB653" i="1"/>
  <c r="AA653" i="1"/>
  <c r="AD658" i="1"/>
  <c r="AB658" i="1"/>
  <c r="AA658" i="1"/>
  <c r="AD661" i="1"/>
  <c r="AB661" i="1"/>
  <c r="AA661" i="1"/>
  <c r="AD666" i="1"/>
  <c r="AB666" i="1"/>
  <c r="AA666" i="1"/>
  <c r="AD669" i="1"/>
  <c r="AB669" i="1"/>
  <c r="AA669" i="1"/>
  <c r="AD674" i="1"/>
  <c r="AB674" i="1"/>
  <c r="AA674" i="1"/>
  <c r="AD677" i="1"/>
  <c r="AB677" i="1"/>
  <c r="AA677" i="1"/>
  <c r="AD682" i="1"/>
  <c r="AB682" i="1"/>
  <c r="AA682" i="1"/>
  <c r="AD685" i="1"/>
  <c r="AB685" i="1"/>
  <c r="AA685" i="1"/>
  <c r="AD690" i="1"/>
  <c r="AB690" i="1"/>
  <c r="AA690" i="1"/>
  <c r="AD693" i="1"/>
  <c r="AB693" i="1"/>
  <c r="AA693" i="1"/>
  <c r="AD698" i="1"/>
  <c r="AB698" i="1"/>
  <c r="AA698" i="1"/>
  <c r="AD701" i="1"/>
  <c r="AB701" i="1"/>
  <c r="AA701" i="1"/>
  <c r="AD706" i="1"/>
  <c r="AB706" i="1"/>
  <c r="AA706" i="1"/>
  <c r="AD709" i="1"/>
  <c r="AB709" i="1"/>
  <c r="AA709" i="1"/>
  <c r="AD714" i="1"/>
  <c r="AB714" i="1"/>
  <c r="AA714" i="1"/>
  <c r="AD717" i="1"/>
  <c r="AB717" i="1"/>
  <c r="AA717" i="1"/>
  <c r="AD722" i="1"/>
  <c r="AB722" i="1"/>
  <c r="AA722" i="1"/>
  <c r="AD725" i="1"/>
  <c r="AB725" i="1"/>
  <c r="AA725" i="1"/>
  <c r="AD730" i="1"/>
  <c r="AB730" i="1"/>
  <c r="AA730" i="1"/>
  <c r="AD733" i="1"/>
  <c r="AB733" i="1"/>
  <c r="AA733" i="1"/>
  <c r="AD738" i="1"/>
  <c r="AB738" i="1"/>
  <c r="AA738" i="1"/>
  <c r="AD741" i="1"/>
  <c r="AB741" i="1"/>
  <c r="AA741" i="1"/>
  <c r="AD746" i="1"/>
  <c r="AB746" i="1"/>
  <c r="AA746" i="1"/>
  <c r="AD749" i="1"/>
  <c r="AB749" i="1"/>
  <c r="AA749" i="1"/>
  <c r="AD754" i="1"/>
  <c r="AB754" i="1"/>
  <c r="AA754" i="1"/>
  <c r="AD757" i="1"/>
  <c r="AB757" i="1"/>
  <c r="AA757" i="1"/>
  <c r="AD762" i="1"/>
  <c r="AB762" i="1"/>
  <c r="AA762" i="1"/>
  <c r="AD765" i="1"/>
  <c r="AB765" i="1"/>
  <c r="AA765" i="1"/>
  <c r="AD770" i="1"/>
  <c r="AB770" i="1"/>
  <c r="AA770" i="1"/>
  <c r="AD773" i="1"/>
  <c r="AB773" i="1"/>
  <c r="AA773" i="1"/>
  <c r="AD778" i="1"/>
  <c r="AB778" i="1"/>
  <c r="AA778" i="1"/>
  <c r="AD781" i="1"/>
  <c r="AB781" i="1"/>
  <c r="AA781" i="1"/>
  <c r="AA784" i="1"/>
  <c r="AD784" i="1"/>
  <c r="AB784" i="1"/>
  <c r="AB787" i="1"/>
  <c r="AD787" i="1"/>
  <c r="AA787" i="1"/>
  <c r="AA800" i="1"/>
  <c r="AD800" i="1"/>
  <c r="AB800" i="1"/>
  <c r="AB803" i="1"/>
  <c r="AD803" i="1"/>
  <c r="AA803" i="1"/>
  <c r="AA816" i="1"/>
  <c r="AD816" i="1"/>
  <c r="AB816" i="1"/>
  <c r="AB819" i="1"/>
  <c r="AD819" i="1"/>
  <c r="AA819" i="1"/>
  <c r="AA832" i="1"/>
  <c r="AD832" i="1"/>
  <c r="AB832" i="1"/>
  <c r="AB835" i="1"/>
  <c r="AD835" i="1"/>
  <c r="AA835" i="1"/>
  <c r="AA848" i="1"/>
  <c r="AD848" i="1"/>
  <c r="AB848" i="1"/>
  <c r="AB851" i="1"/>
  <c r="AD851" i="1"/>
  <c r="AA851" i="1"/>
  <c r="AA864" i="1"/>
  <c r="AD864" i="1"/>
  <c r="AB864" i="1"/>
  <c r="AB867" i="1"/>
  <c r="AD867" i="1"/>
  <c r="AA867" i="1"/>
  <c r="AA880" i="1"/>
  <c r="AD880" i="1"/>
  <c r="AB880" i="1"/>
  <c r="AB883" i="1"/>
  <c r="AD883" i="1"/>
  <c r="AA883" i="1"/>
  <c r="AA896" i="1"/>
  <c r="AD896" i="1"/>
  <c r="AB896" i="1"/>
  <c r="AB899" i="1"/>
  <c r="AD899" i="1"/>
  <c r="AA899" i="1"/>
  <c r="AA912" i="1"/>
  <c r="AD912" i="1"/>
  <c r="AB912" i="1"/>
  <c r="AB915" i="1"/>
  <c r="AD915" i="1"/>
  <c r="AA915" i="1"/>
  <c r="AA928" i="1"/>
  <c r="AD928" i="1"/>
  <c r="AB928" i="1"/>
  <c r="AB931" i="1"/>
  <c r="AD931" i="1"/>
  <c r="AA931" i="1"/>
  <c r="AB1160" i="1"/>
  <c r="AA1160" i="1"/>
  <c r="AD1160" i="1"/>
  <c r="AB1192" i="1"/>
  <c r="AA1192" i="1"/>
  <c r="AD1192" i="1"/>
  <c r="AB1224" i="1"/>
  <c r="AA1224" i="1"/>
  <c r="AD1224" i="1"/>
  <c r="AA1375" i="1"/>
  <c r="AB1375" i="1"/>
  <c r="AD1375" i="1"/>
  <c r="AD241" i="1"/>
  <c r="AB241" i="1"/>
  <c r="AB246" i="1"/>
  <c r="AD246" i="1"/>
  <c r="AA251" i="1"/>
  <c r="AD251" i="1"/>
  <c r="AD257" i="1"/>
  <c r="AB257" i="1"/>
  <c r="AB262" i="1"/>
  <c r="AD262" i="1"/>
  <c r="AA267" i="1"/>
  <c r="AD267" i="1"/>
  <c r="AD273" i="1"/>
  <c r="AB273" i="1"/>
  <c r="AB278" i="1"/>
  <c r="AD278" i="1"/>
  <c r="AA283" i="1"/>
  <c r="AD283" i="1"/>
  <c r="AD289" i="1"/>
  <c r="AB289" i="1"/>
  <c r="AB294" i="1"/>
  <c r="AD294" i="1"/>
  <c r="AA299" i="1"/>
  <c r="AD299" i="1"/>
  <c r="AD305" i="1"/>
  <c r="AB305" i="1"/>
  <c r="AB310" i="1"/>
  <c r="AD310" i="1"/>
  <c r="AA315" i="1"/>
  <c r="AD315" i="1"/>
  <c r="AD321" i="1"/>
  <c r="AB321" i="1"/>
  <c r="AB326" i="1"/>
  <c r="AD326" i="1"/>
  <c r="AA331" i="1"/>
  <c r="AD331" i="1"/>
  <c r="AD337" i="1"/>
  <c r="AB337" i="1"/>
  <c r="AB342" i="1"/>
  <c r="AD342" i="1"/>
  <c r="AA347" i="1"/>
  <c r="AD347" i="1"/>
  <c r="AD353" i="1"/>
  <c r="AB353" i="1"/>
  <c r="AB358" i="1"/>
  <c r="AD358" i="1"/>
  <c r="AA363" i="1"/>
  <c r="AD363" i="1"/>
  <c r="AD369" i="1"/>
  <c r="AB369" i="1"/>
  <c r="AB374" i="1"/>
  <c r="AD374" i="1"/>
  <c r="AA379" i="1"/>
  <c r="AD379" i="1"/>
  <c r="AD385" i="1"/>
  <c r="AB385" i="1"/>
  <c r="AB390" i="1"/>
  <c r="AD390" i="1"/>
  <c r="AA395" i="1"/>
  <c r="AD395" i="1"/>
  <c r="AD401" i="1"/>
  <c r="AB401" i="1"/>
  <c r="AB406" i="1"/>
  <c r="AD406" i="1"/>
  <c r="AA411" i="1"/>
  <c r="AD411" i="1"/>
  <c r="AD417" i="1"/>
  <c r="AB417" i="1"/>
  <c r="AB422" i="1"/>
  <c r="AD422" i="1"/>
  <c r="AA427" i="1"/>
  <c r="AD427" i="1"/>
  <c r="AD433" i="1"/>
  <c r="AB433" i="1"/>
  <c r="AA434" i="1"/>
  <c r="AB438" i="1"/>
  <c r="AD438" i="1"/>
  <c r="AB439" i="1"/>
  <c r="AA443" i="1"/>
  <c r="AD443" i="1"/>
  <c r="AA445" i="1"/>
  <c r="AD449" i="1"/>
  <c r="AB449" i="1"/>
  <c r="AA450" i="1"/>
  <c r="AB454" i="1"/>
  <c r="AD454" i="1"/>
  <c r="AB455" i="1"/>
  <c r="AA459" i="1"/>
  <c r="AD459" i="1"/>
  <c r="AA461" i="1"/>
  <c r="AD465" i="1"/>
  <c r="AB465" i="1"/>
  <c r="AA466" i="1"/>
  <c r="AB470" i="1"/>
  <c r="AD470" i="1"/>
  <c r="AB471" i="1"/>
  <c r="AA475" i="1"/>
  <c r="AD475" i="1"/>
  <c r="AA477" i="1"/>
  <c r="AD481" i="1"/>
  <c r="AB481" i="1"/>
  <c r="AA482" i="1"/>
  <c r="AB486" i="1"/>
  <c r="AD486" i="1"/>
  <c r="AB487" i="1"/>
  <c r="AA491" i="1"/>
  <c r="AD491" i="1"/>
  <c r="AA493" i="1"/>
  <c r="AD497" i="1"/>
  <c r="AB497" i="1"/>
  <c r="AA498" i="1"/>
  <c r="AB502" i="1"/>
  <c r="AD502" i="1"/>
  <c r="AB503" i="1"/>
  <c r="AA507" i="1"/>
  <c r="AD507" i="1"/>
  <c r="AA509" i="1"/>
  <c r="AD513" i="1"/>
  <c r="AB513" i="1"/>
  <c r="AA514" i="1"/>
  <c r="AB518" i="1"/>
  <c r="AD518" i="1"/>
  <c r="AB523" i="1"/>
  <c r="AD523" i="1"/>
  <c r="AA528" i="1"/>
  <c r="AD528" i="1"/>
  <c r="AB528" i="1"/>
  <c r="AB531" i="1"/>
  <c r="AD531" i="1"/>
  <c r="AA536" i="1"/>
  <c r="AD536" i="1"/>
  <c r="AB536" i="1"/>
  <c r="AB539" i="1"/>
  <c r="AD539" i="1"/>
  <c r="AA544" i="1"/>
  <c r="AD544" i="1"/>
  <c r="AB544" i="1"/>
  <c r="AB547" i="1"/>
  <c r="AD547" i="1"/>
  <c r="AA552" i="1"/>
  <c r="AD552" i="1"/>
  <c r="AB552" i="1"/>
  <c r="AB555" i="1"/>
  <c r="AD555" i="1"/>
  <c r="AA560" i="1"/>
  <c r="AD560" i="1"/>
  <c r="AB560" i="1"/>
  <c r="AB563" i="1"/>
  <c r="AD563" i="1"/>
  <c r="AA568" i="1"/>
  <c r="AD568" i="1"/>
  <c r="AB568" i="1"/>
  <c r="AB571" i="1"/>
  <c r="AD571" i="1"/>
  <c r="AA576" i="1"/>
  <c r="AD576" i="1"/>
  <c r="AB576" i="1"/>
  <c r="AB579" i="1"/>
  <c r="AD579" i="1"/>
  <c r="AA584" i="1"/>
  <c r="AD584" i="1"/>
  <c r="AB584" i="1"/>
  <c r="AB587" i="1"/>
  <c r="AD587" i="1"/>
  <c r="AA592" i="1"/>
  <c r="AD592" i="1"/>
  <c r="AB592" i="1"/>
  <c r="AB595" i="1"/>
  <c r="AD595" i="1"/>
  <c r="AA600" i="1"/>
  <c r="AD600" i="1"/>
  <c r="AB600" i="1"/>
  <c r="AB603" i="1"/>
  <c r="AD603" i="1"/>
  <c r="AA608" i="1"/>
  <c r="AD608" i="1"/>
  <c r="AB608" i="1"/>
  <c r="AB611" i="1"/>
  <c r="AD611" i="1"/>
  <c r="AA616" i="1"/>
  <c r="AD616" i="1"/>
  <c r="AB616" i="1"/>
  <c r="AB619" i="1"/>
  <c r="AD619" i="1"/>
  <c r="AA624" i="1"/>
  <c r="AD624" i="1"/>
  <c r="AB624" i="1"/>
  <c r="AB627" i="1"/>
  <c r="AD627" i="1"/>
  <c r="AA632" i="1"/>
  <c r="AD632" i="1"/>
  <c r="AB632" i="1"/>
  <c r="AB635" i="1"/>
  <c r="AD635" i="1"/>
  <c r="AA640" i="1"/>
  <c r="AD640" i="1"/>
  <c r="AB640" i="1"/>
  <c r="AB643" i="1"/>
  <c r="AD643" i="1"/>
  <c r="AA648" i="1"/>
  <c r="AD648" i="1"/>
  <c r="AB648" i="1"/>
  <c r="AB651" i="1"/>
  <c r="AD651" i="1"/>
  <c r="AA656" i="1"/>
  <c r="AD656" i="1"/>
  <c r="AB656" i="1"/>
  <c r="AB659" i="1"/>
  <c r="AD659" i="1"/>
  <c r="AA664" i="1"/>
  <c r="AD664" i="1"/>
  <c r="AB664" i="1"/>
  <c r="AB667" i="1"/>
  <c r="AD667" i="1"/>
  <c r="AA672" i="1"/>
  <c r="AD672" i="1"/>
  <c r="AB672" i="1"/>
  <c r="AB675" i="1"/>
  <c r="AD675" i="1"/>
  <c r="AA680" i="1"/>
  <c r="AD680" i="1"/>
  <c r="AB680" i="1"/>
  <c r="AB683" i="1"/>
  <c r="AD683" i="1"/>
  <c r="AA688" i="1"/>
  <c r="AD688" i="1"/>
  <c r="AB688" i="1"/>
  <c r="AB691" i="1"/>
  <c r="AD691" i="1"/>
  <c r="AA696" i="1"/>
  <c r="AD696" i="1"/>
  <c r="AB696" i="1"/>
  <c r="AB699" i="1"/>
  <c r="AD699" i="1"/>
  <c r="AA704" i="1"/>
  <c r="AD704" i="1"/>
  <c r="AB704" i="1"/>
  <c r="AB707" i="1"/>
  <c r="AD707" i="1"/>
  <c r="AA712" i="1"/>
  <c r="AD712" i="1"/>
  <c r="AB712" i="1"/>
  <c r="AB715" i="1"/>
  <c r="AD715" i="1"/>
  <c r="AA720" i="1"/>
  <c r="AD720" i="1"/>
  <c r="AB720" i="1"/>
  <c r="AB723" i="1"/>
  <c r="AD723" i="1"/>
  <c r="AA728" i="1"/>
  <c r="AD728" i="1"/>
  <c r="AB728" i="1"/>
  <c r="AB731" i="1"/>
  <c r="AD731" i="1"/>
  <c r="AA736" i="1"/>
  <c r="AD736" i="1"/>
  <c r="AB736" i="1"/>
  <c r="AB739" i="1"/>
  <c r="AD739" i="1"/>
  <c r="AA744" i="1"/>
  <c r="AD744" i="1"/>
  <c r="AB744" i="1"/>
  <c r="AB747" i="1"/>
  <c r="AD747" i="1"/>
  <c r="AA752" i="1"/>
  <c r="AD752" i="1"/>
  <c r="AB752" i="1"/>
  <c r="AB755" i="1"/>
  <c r="AD755" i="1"/>
  <c r="AA760" i="1"/>
  <c r="AD760" i="1"/>
  <c r="AB760" i="1"/>
  <c r="AB763" i="1"/>
  <c r="AD763" i="1"/>
  <c r="AA768" i="1"/>
  <c r="AD768" i="1"/>
  <c r="AB768" i="1"/>
  <c r="AB771" i="1"/>
  <c r="AD771" i="1"/>
  <c r="AA776" i="1"/>
  <c r="AD776" i="1"/>
  <c r="AB776" i="1"/>
  <c r="AB779" i="1"/>
  <c r="AD779" i="1"/>
  <c r="AA788" i="1"/>
  <c r="AD788" i="1"/>
  <c r="AB788" i="1"/>
  <c r="AB791" i="1"/>
  <c r="AD791" i="1"/>
  <c r="AA791" i="1"/>
  <c r="AA804" i="1"/>
  <c r="AD804" i="1"/>
  <c r="AB804" i="1"/>
  <c r="AB807" i="1"/>
  <c r="AD807" i="1"/>
  <c r="AA807" i="1"/>
  <c r="AA820" i="1"/>
  <c r="AD820" i="1"/>
  <c r="AB820" i="1"/>
  <c r="AB823" i="1"/>
  <c r="AD823" i="1"/>
  <c r="AA823" i="1"/>
  <c r="AA836" i="1"/>
  <c r="AD836" i="1"/>
  <c r="AB836" i="1"/>
  <c r="AB839" i="1"/>
  <c r="AD839" i="1"/>
  <c r="AA839" i="1"/>
  <c r="AA852" i="1"/>
  <c r="AD852" i="1"/>
  <c r="AB852" i="1"/>
  <c r="AB855" i="1"/>
  <c r="AD855" i="1"/>
  <c r="AA855" i="1"/>
  <c r="AA868" i="1"/>
  <c r="AD868" i="1"/>
  <c r="AB868" i="1"/>
  <c r="AB871" i="1"/>
  <c r="AD871" i="1"/>
  <c r="AA871" i="1"/>
  <c r="AA884" i="1"/>
  <c r="AD884" i="1"/>
  <c r="AB884" i="1"/>
  <c r="AB887" i="1"/>
  <c r="AD887" i="1"/>
  <c r="AA887" i="1"/>
  <c r="AA900" i="1"/>
  <c r="AD900" i="1"/>
  <c r="AB900" i="1"/>
  <c r="AB903" i="1"/>
  <c r="AD903" i="1"/>
  <c r="AA903" i="1"/>
  <c r="AA916" i="1"/>
  <c r="AD916" i="1"/>
  <c r="AB916" i="1"/>
  <c r="AB919" i="1"/>
  <c r="AD919" i="1"/>
  <c r="AA919" i="1"/>
  <c r="AA932" i="1"/>
  <c r="AD932" i="1"/>
  <c r="AB932" i="1"/>
  <c r="AB935" i="1"/>
  <c r="AD935" i="1"/>
  <c r="AA935" i="1"/>
  <c r="AB1148" i="1"/>
  <c r="AA1148" i="1"/>
  <c r="AD1148" i="1"/>
  <c r="AB1152" i="1"/>
  <c r="AA1152" i="1"/>
  <c r="AD1152" i="1"/>
  <c r="AB1180" i="1"/>
  <c r="AA1180" i="1"/>
  <c r="AD1180" i="1"/>
  <c r="AB1184" i="1"/>
  <c r="AA1184" i="1"/>
  <c r="AD1184" i="1"/>
  <c r="AB1212" i="1"/>
  <c r="AA1212" i="1"/>
  <c r="AD1212" i="1"/>
  <c r="AB1216" i="1"/>
  <c r="AA1216" i="1"/>
  <c r="AD1216" i="1"/>
  <c r="AB1244" i="1"/>
  <c r="AA1244" i="1"/>
  <c r="AD1244" i="1"/>
  <c r="AA1252" i="1"/>
  <c r="AB1252" i="1"/>
  <c r="AD1252" i="1"/>
  <c r="AB1259" i="1"/>
  <c r="AA1259" i="1"/>
  <c r="AD1259" i="1"/>
  <c r="AB282" i="1"/>
  <c r="AD282" i="1"/>
  <c r="AA287" i="1"/>
  <c r="AD287" i="1"/>
  <c r="AD293" i="1"/>
  <c r="AB293" i="1"/>
  <c r="AB298" i="1"/>
  <c r="AD298" i="1"/>
  <c r="AA303" i="1"/>
  <c r="AD303" i="1"/>
  <c r="AD309" i="1"/>
  <c r="AB309" i="1"/>
  <c r="AB314" i="1"/>
  <c r="AD314" i="1"/>
  <c r="AA319" i="1"/>
  <c r="AD319" i="1"/>
  <c r="AD325" i="1"/>
  <c r="AB325" i="1"/>
  <c r="AB330" i="1"/>
  <c r="AD330" i="1"/>
  <c r="AA335" i="1"/>
  <c r="AD335" i="1"/>
  <c r="AD341" i="1"/>
  <c r="AB341" i="1"/>
  <c r="AB346" i="1"/>
  <c r="AD346" i="1"/>
  <c r="AA351" i="1"/>
  <c r="AD351" i="1"/>
  <c r="AD357" i="1"/>
  <c r="AB357" i="1"/>
  <c r="AB362" i="1"/>
  <c r="AD362" i="1"/>
  <c r="AA367" i="1"/>
  <c r="AD367" i="1"/>
  <c r="AD373" i="1"/>
  <c r="AB373" i="1"/>
  <c r="AB378" i="1"/>
  <c r="AD378" i="1"/>
  <c r="AA383" i="1"/>
  <c r="AD383" i="1"/>
  <c r="AD389" i="1"/>
  <c r="AB389" i="1"/>
  <c r="AB394" i="1"/>
  <c r="AD394" i="1"/>
  <c r="AA399" i="1"/>
  <c r="AD399" i="1"/>
  <c r="AD405" i="1"/>
  <c r="AB405" i="1"/>
  <c r="AB410" i="1"/>
  <c r="AD410" i="1"/>
  <c r="AA415" i="1"/>
  <c r="AD415" i="1"/>
  <c r="AD421" i="1"/>
  <c r="AB421" i="1"/>
  <c r="AB426" i="1"/>
  <c r="AD426" i="1"/>
  <c r="AA431" i="1"/>
  <c r="AD431" i="1"/>
  <c r="AD437" i="1"/>
  <c r="AB437" i="1"/>
  <c r="AB442" i="1"/>
  <c r="AD442" i="1"/>
  <c r="AA447" i="1"/>
  <c r="AD447" i="1"/>
  <c r="AD453" i="1"/>
  <c r="AB453" i="1"/>
  <c r="AB458" i="1"/>
  <c r="AD458" i="1"/>
  <c r="AA463" i="1"/>
  <c r="AD463" i="1"/>
  <c r="AD469" i="1"/>
  <c r="AB469" i="1"/>
  <c r="AB474" i="1"/>
  <c r="AD474" i="1"/>
  <c r="AA479" i="1"/>
  <c r="AD479" i="1"/>
  <c r="AD485" i="1"/>
  <c r="AB485" i="1"/>
  <c r="AB490" i="1"/>
  <c r="AD490" i="1"/>
  <c r="AA495" i="1"/>
  <c r="AD495" i="1"/>
  <c r="AD501" i="1"/>
  <c r="AB501" i="1"/>
  <c r="AB506" i="1"/>
  <c r="AD506" i="1"/>
  <c r="AA511" i="1"/>
  <c r="AD511" i="1"/>
  <c r="AD517" i="1"/>
  <c r="AB517" i="1"/>
  <c r="AD521" i="1"/>
  <c r="AB521" i="1"/>
  <c r="AA521" i="1"/>
  <c r="AD526" i="1"/>
  <c r="AB526" i="1"/>
  <c r="AA526" i="1"/>
  <c r="AD529" i="1"/>
  <c r="AB529" i="1"/>
  <c r="AA529" i="1"/>
  <c r="AD534" i="1"/>
  <c r="AB534" i="1"/>
  <c r="AA534" i="1"/>
  <c r="AD537" i="1"/>
  <c r="AB537" i="1"/>
  <c r="AA537" i="1"/>
  <c r="AD542" i="1"/>
  <c r="AB542" i="1"/>
  <c r="AA542" i="1"/>
  <c r="AD545" i="1"/>
  <c r="AB545" i="1"/>
  <c r="AA545" i="1"/>
  <c r="AD550" i="1"/>
  <c r="AB550" i="1"/>
  <c r="AA550" i="1"/>
  <c r="AD553" i="1"/>
  <c r="AB553" i="1"/>
  <c r="AA553" i="1"/>
  <c r="AD558" i="1"/>
  <c r="AB558" i="1"/>
  <c r="AA558" i="1"/>
  <c r="AD561" i="1"/>
  <c r="AB561" i="1"/>
  <c r="AA561" i="1"/>
  <c r="AD566" i="1"/>
  <c r="AB566" i="1"/>
  <c r="AA566" i="1"/>
  <c r="AD569" i="1"/>
  <c r="AB569" i="1"/>
  <c r="AA569" i="1"/>
  <c r="AD574" i="1"/>
  <c r="AB574" i="1"/>
  <c r="AA574" i="1"/>
  <c r="AD577" i="1"/>
  <c r="AB577" i="1"/>
  <c r="AA577" i="1"/>
  <c r="AD582" i="1"/>
  <c r="AB582" i="1"/>
  <c r="AA582" i="1"/>
  <c r="AD585" i="1"/>
  <c r="AB585" i="1"/>
  <c r="AA585" i="1"/>
  <c r="AD590" i="1"/>
  <c r="AB590" i="1"/>
  <c r="AA590" i="1"/>
  <c r="AD593" i="1"/>
  <c r="AB593" i="1"/>
  <c r="AA593" i="1"/>
  <c r="AD598" i="1"/>
  <c r="AB598" i="1"/>
  <c r="AA598" i="1"/>
  <c r="AD601" i="1"/>
  <c r="AB601" i="1"/>
  <c r="AA601" i="1"/>
  <c r="AD606" i="1"/>
  <c r="AB606" i="1"/>
  <c r="AA606" i="1"/>
  <c r="AD609" i="1"/>
  <c r="AB609" i="1"/>
  <c r="AA609" i="1"/>
  <c r="AD614" i="1"/>
  <c r="AB614" i="1"/>
  <c r="AA614" i="1"/>
  <c r="AD617" i="1"/>
  <c r="AB617" i="1"/>
  <c r="AA617" i="1"/>
  <c r="AD622" i="1"/>
  <c r="AB622" i="1"/>
  <c r="AA622" i="1"/>
  <c r="AD625" i="1"/>
  <c r="AB625" i="1"/>
  <c r="AA625" i="1"/>
  <c r="AD630" i="1"/>
  <c r="AB630" i="1"/>
  <c r="AA630" i="1"/>
  <c r="AD633" i="1"/>
  <c r="AB633" i="1"/>
  <c r="AA633" i="1"/>
  <c r="AD638" i="1"/>
  <c r="AB638" i="1"/>
  <c r="AA638" i="1"/>
  <c r="AD641" i="1"/>
  <c r="AB641" i="1"/>
  <c r="AA641" i="1"/>
  <c r="AD646" i="1"/>
  <c r="AB646" i="1"/>
  <c r="AA646" i="1"/>
  <c r="AD649" i="1"/>
  <c r="AB649" i="1"/>
  <c r="AA649" i="1"/>
  <c r="AD654" i="1"/>
  <c r="AB654" i="1"/>
  <c r="AA654" i="1"/>
  <c r="AD657" i="1"/>
  <c r="AB657" i="1"/>
  <c r="AA657" i="1"/>
  <c r="AD662" i="1"/>
  <c r="AB662" i="1"/>
  <c r="AA662" i="1"/>
  <c r="AD665" i="1"/>
  <c r="AB665" i="1"/>
  <c r="AA665" i="1"/>
  <c r="AD670" i="1"/>
  <c r="AB670" i="1"/>
  <c r="AA670" i="1"/>
  <c r="AD673" i="1"/>
  <c r="AB673" i="1"/>
  <c r="AA673" i="1"/>
  <c r="AD678" i="1"/>
  <c r="AB678" i="1"/>
  <c r="AA678" i="1"/>
  <c r="AD681" i="1"/>
  <c r="AB681" i="1"/>
  <c r="AA681" i="1"/>
  <c r="AD686" i="1"/>
  <c r="AB686" i="1"/>
  <c r="AA686" i="1"/>
  <c r="AD689" i="1"/>
  <c r="AB689" i="1"/>
  <c r="AA689" i="1"/>
  <c r="AD694" i="1"/>
  <c r="AB694" i="1"/>
  <c r="AA694" i="1"/>
  <c r="AD697" i="1"/>
  <c r="AB697" i="1"/>
  <c r="AA697" i="1"/>
  <c r="AA699" i="1"/>
  <c r="AD702" i="1"/>
  <c r="AB702" i="1"/>
  <c r="AA702" i="1"/>
  <c r="AD705" i="1"/>
  <c r="AB705" i="1"/>
  <c r="AA705" i="1"/>
  <c r="AA707" i="1"/>
  <c r="AD710" i="1"/>
  <c r="AB710" i="1"/>
  <c r="AA710" i="1"/>
  <c r="AD713" i="1"/>
  <c r="AB713" i="1"/>
  <c r="AA713" i="1"/>
  <c r="AA715" i="1"/>
  <c r="AD718" i="1"/>
  <c r="AB718" i="1"/>
  <c r="AA718" i="1"/>
  <c r="AD721" i="1"/>
  <c r="AB721" i="1"/>
  <c r="AA721" i="1"/>
  <c r="AA723" i="1"/>
  <c r="AD726" i="1"/>
  <c r="AB726" i="1"/>
  <c r="AA726" i="1"/>
  <c r="AD729" i="1"/>
  <c r="AB729" i="1"/>
  <c r="AA729" i="1"/>
  <c r="AA731" i="1"/>
  <c r="AD734" i="1"/>
  <c r="AB734" i="1"/>
  <c r="AA734" i="1"/>
  <c r="AD737" i="1"/>
  <c r="AB737" i="1"/>
  <c r="AA737" i="1"/>
  <c r="AA739" i="1"/>
  <c r="AD742" i="1"/>
  <c r="AB742" i="1"/>
  <c r="AA742" i="1"/>
  <c r="AD745" i="1"/>
  <c r="AB745" i="1"/>
  <c r="AA745" i="1"/>
  <c r="AA747" i="1"/>
  <c r="AD750" i="1"/>
  <c r="AB750" i="1"/>
  <c r="AA750" i="1"/>
  <c r="AD753" i="1"/>
  <c r="AB753" i="1"/>
  <c r="AA753" i="1"/>
  <c r="AA755" i="1"/>
  <c r="AD758" i="1"/>
  <c r="AB758" i="1"/>
  <c r="AA758" i="1"/>
  <c r="AD761" i="1"/>
  <c r="AB761" i="1"/>
  <c r="AA761" i="1"/>
  <c r="AA763" i="1"/>
  <c r="AD766" i="1"/>
  <c r="AB766" i="1"/>
  <c r="AA766" i="1"/>
  <c r="AD769" i="1"/>
  <c r="AB769" i="1"/>
  <c r="AA769" i="1"/>
  <c r="AA771" i="1"/>
  <c r="AD774" i="1"/>
  <c r="AB774" i="1"/>
  <c r="AA774" i="1"/>
  <c r="AD777" i="1"/>
  <c r="AB777" i="1"/>
  <c r="AA777" i="1"/>
  <c r="AA779" i="1"/>
  <c r="AD782" i="1"/>
  <c r="AB782" i="1"/>
  <c r="AA782" i="1"/>
  <c r="AA792" i="1"/>
  <c r="AD792" i="1"/>
  <c r="AB792" i="1"/>
  <c r="AB795" i="1"/>
  <c r="AD795" i="1"/>
  <c r="AA795" i="1"/>
  <c r="AA808" i="1"/>
  <c r="AD808" i="1"/>
  <c r="AB808" i="1"/>
  <c r="AB811" i="1"/>
  <c r="AD811" i="1"/>
  <c r="AA811" i="1"/>
  <c r="AA824" i="1"/>
  <c r="AD824" i="1"/>
  <c r="AB824" i="1"/>
  <c r="AB827" i="1"/>
  <c r="AD827" i="1"/>
  <c r="AA827" i="1"/>
  <c r="AA840" i="1"/>
  <c r="AD840" i="1"/>
  <c r="AB840" i="1"/>
  <c r="AB843" i="1"/>
  <c r="AD843" i="1"/>
  <c r="AA843" i="1"/>
  <c r="AA856" i="1"/>
  <c r="AD856" i="1"/>
  <c r="AB856" i="1"/>
  <c r="AB859" i="1"/>
  <c r="AD859" i="1"/>
  <c r="AA859" i="1"/>
  <c r="AA872" i="1"/>
  <c r="AD872" i="1"/>
  <c r="AB872" i="1"/>
  <c r="AB875" i="1"/>
  <c r="AD875" i="1"/>
  <c r="AA875" i="1"/>
  <c r="AA888" i="1"/>
  <c r="AD888" i="1"/>
  <c r="AB888" i="1"/>
  <c r="AB891" i="1"/>
  <c r="AD891" i="1"/>
  <c r="AA891" i="1"/>
  <c r="AA904" i="1"/>
  <c r="AD904" i="1"/>
  <c r="AB904" i="1"/>
  <c r="AB907" i="1"/>
  <c r="AD907" i="1"/>
  <c r="AA907" i="1"/>
  <c r="AA920" i="1"/>
  <c r="AD920" i="1"/>
  <c r="AB920" i="1"/>
  <c r="AB923" i="1"/>
  <c r="AD923" i="1"/>
  <c r="AA923" i="1"/>
  <c r="AA936" i="1"/>
  <c r="AD936" i="1"/>
  <c r="AB936" i="1"/>
  <c r="AB939" i="1"/>
  <c r="AD939" i="1"/>
  <c r="AA939" i="1"/>
  <c r="AA1153" i="1"/>
  <c r="AB1153" i="1"/>
  <c r="AD1153" i="1"/>
  <c r="AA1185" i="1"/>
  <c r="AB1185" i="1"/>
  <c r="AD1185" i="1"/>
  <c r="AA1217" i="1"/>
  <c r="AB1217" i="1"/>
  <c r="AD1217" i="1"/>
  <c r="AD1293" i="1"/>
  <c r="AB1293" i="1"/>
  <c r="AA1293" i="1"/>
  <c r="AD1309" i="1"/>
  <c r="AB1309" i="1"/>
  <c r="AA1309" i="1"/>
  <c r="AD786" i="1"/>
  <c r="AB786" i="1"/>
  <c r="AA786" i="1"/>
  <c r="AD790" i="1"/>
  <c r="AB790" i="1"/>
  <c r="AA790" i="1"/>
  <c r="AD794" i="1"/>
  <c r="AB794" i="1"/>
  <c r="AA794" i="1"/>
  <c r="AD798" i="1"/>
  <c r="AB798" i="1"/>
  <c r="AA798" i="1"/>
  <c r="AD810" i="1"/>
  <c r="AB810" i="1"/>
  <c r="AA810" i="1"/>
  <c r="AD814" i="1"/>
  <c r="AB814" i="1"/>
  <c r="AA814" i="1"/>
  <c r="AD818" i="1"/>
  <c r="AB818" i="1"/>
  <c r="AA818" i="1"/>
  <c r="AD822" i="1"/>
  <c r="AB822" i="1"/>
  <c r="AA822" i="1"/>
  <c r="AD826" i="1"/>
  <c r="AB826" i="1"/>
  <c r="AA826" i="1"/>
  <c r="AD830" i="1"/>
  <c r="AB830" i="1"/>
  <c r="AA830" i="1"/>
  <c r="AD834" i="1"/>
  <c r="AB834" i="1"/>
  <c r="AA834" i="1"/>
  <c r="AD838" i="1"/>
  <c r="AB838" i="1"/>
  <c r="AA838" i="1"/>
  <c r="AD842" i="1"/>
  <c r="AB842" i="1"/>
  <c r="AA842" i="1"/>
  <c r="AD846" i="1"/>
  <c r="AB846" i="1"/>
  <c r="AA846" i="1"/>
  <c r="AD850" i="1"/>
  <c r="AB850" i="1"/>
  <c r="AA850" i="1"/>
  <c r="AD854" i="1"/>
  <c r="AB854" i="1"/>
  <c r="AA854" i="1"/>
  <c r="AD858" i="1"/>
  <c r="AB858" i="1"/>
  <c r="AA858" i="1"/>
  <c r="AD862" i="1"/>
  <c r="AB862" i="1"/>
  <c r="AA862" i="1"/>
  <c r="AD866" i="1"/>
  <c r="AB866" i="1"/>
  <c r="AA866" i="1"/>
  <c r="AD870" i="1"/>
  <c r="AB870" i="1"/>
  <c r="AA870" i="1"/>
  <c r="AD874" i="1"/>
  <c r="AB874" i="1"/>
  <c r="AA874" i="1"/>
  <c r="AD878" i="1"/>
  <c r="AB878" i="1"/>
  <c r="AA878" i="1"/>
  <c r="AD918" i="1"/>
  <c r="AB918" i="1"/>
  <c r="AA918" i="1"/>
  <c r="AD922" i="1"/>
  <c r="AB922" i="1"/>
  <c r="AA922" i="1"/>
  <c r="AD926" i="1"/>
  <c r="AB926" i="1"/>
  <c r="AA926" i="1"/>
  <c r="AD938" i="1"/>
  <c r="AB938" i="1"/>
  <c r="AA938" i="1"/>
  <c r="AD942" i="1"/>
  <c r="AB942" i="1"/>
  <c r="AA942" i="1"/>
  <c r="AB944" i="1"/>
  <c r="AD944" i="1"/>
  <c r="AB948" i="1"/>
  <c r="AD948" i="1"/>
  <c r="AB952" i="1"/>
  <c r="AD952" i="1"/>
  <c r="AD958" i="1"/>
  <c r="AB958" i="1"/>
  <c r="AA958" i="1"/>
  <c r="AB960" i="1"/>
  <c r="AD960" i="1"/>
  <c r="AD966" i="1"/>
  <c r="AB966" i="1"/>
  <c r="AA966" i="1"/>
  <c r="AD970" i="1"/>
  <c r="AB970" i="1"/>
  <c r="AA970" i="1"/>
  <c r="AB972" i="1"/>
  <c r="AD972" i="1"/>
  <c r="AB976" i="1"/>
  <c r="AD976" i="1"/>
  <c r="AD982" i="1"/>
  <c r="AB982" i="1"/>
  <c r="AA982" i="1"/>
  <c r="AD986" i="1"/>
  <c r="AB986" i="1"/>
  <c r="AA986" i="1"/>
  <c r="AB988" i="1"/>
  <c r="AD988" i="1"/>
  <c r="AB992" i="1"/>
  <c r="AD992" i="1"/>
  <c r="AD998" i="1"/>
  <c r="AB998" i="1"/>
  <c r="AA998" i="1"/>
  <c r="AB1000" i="1"/>
  <c r="AD1000" i="1"/>
  <c r="AB1004" i="1"/>
  <c r="AD1004" i="1"/>
  <c r="AD1010" i="1"/>
  <c r="AB1010" i="1"/>
  <c r="AA1010" i="1"/>
  <c r="AB1012" i="1"/>
  <c r="AD1012" i="1"/>
  <c r="AB1016" i="1"/>
  <c r="AD1016" i="1"/>
  <c r="AB1020" i="1"/>
  <c r="AD1020" i="1"/>
  <c r="AD1026" i="1"/>
  <c r="AB1026" i="1"/>
  <c r="AA1026" i="1"/>
  <c r="AB1028" i="1"/>
  <c r="AD1028" i="1"/>
  <c r="AB1032" i="1"/>
  <c r="AD1032" i="1"/>
  <c r="AB1036" i="1"/>
  <c r="AD1036" i="1"/>
  <c r="AD1042" i="1"/>
  <c r="AB1042" i="1"/>
  <c r="AA1042" i="1"/>
  <c r="AD1046" i="1"/>
  <c r="AB1046" i="1"/>
  <c r="AA1046" i="1"/>
  <c r="AB1048" i="1"/>
  <c r="AD1048" i="1"/>
  <c r="AB1052" i="1"/>
  <c r="AD1052" i="1"/>
  <c r="AB1056" i="1"/>
  <c r="AD1056" i="1"/>
  <c r="AD1062" i="1"/>
  <c r="AB1062" i="1"/>
  <c r="AA1062" i="1"/>
  <c r="AD1066" i="1"/>
  <c r="AB1066" i="1"/>
  <c r="AA1066" i="1"/>
  <c r="AB1068" i="1"/>
  <c r="AD1068" i="1"/>
  <c r="AB1072" i="1"/>
  <c r="AD1072" i="1"/>
  <c r="AD1078" i="1"/>
  <c r="AB1078" i="1"/>
  <c r="AA1078" i="1"/>
  <c r="AD1082" i="1"/>
  <c r="AB1082" i="1"/>
  <c r="AA1082" i="1"/>
  <c r="AB1084" i="1"/>
  <c r="AD1084" i="1"/>
  <c r="AB1088" i="1"/>
  <c r="AD1088" i="1"/>
  <c r="AB1092" i="1"/>
  <c r="AD1092" i="1"/>
  <c r="AD1098" i="1"/>
  <c r="AB1098" i="1"/>
  <c r="AA1098" i="1"/>
  <c r="AB1100" i="1"/>
  <c r="AD1100" i="1"/>
  <c r="AD1106" i="1"/>
  <c r="AB1106" i="1"/>
  <c r="AA1106" i="1"/>
  <c r="AB1108" i="1"/>
  <c r="AD1108" i="1"/>
  <c r="AB1112" i="1"/>
  <c r="AD1112" i="1"/>
  <c r="AB1116" i="1"/>
  <c r="AD1116" i="1"/>
  <c r="AD1122" i="1"/>
  <c r="AB1122" i="1"/>
  <c r="AA1122" i="1"/>
  <c r="AD1126" i="1"/>
  <c r="AB1126" i="1"/>
  <c r="AA1126" i="1"/>
  <c r="AB1128" i="1"/>
  <c r="AD1128" i="1"/>
  <c r="AB1132" i="1"/>
  <c r="AD1132" i="1"/>
  <c r="AB1136" i="1"/>
  <c r="AD1136" i="1"/>
  <c r="AD1142" i="1"/>
  <c r="AB1142" i="1"/>
  <c r="AA1142" i="1"/>
  <c r="AA1149" i="1"/>
  <c r="AB1149" i="1"/>
  <c r="AD1149" i="1"/>
  <c r="AB1156" i="1"/>
  <c r="AA1156" i="1"/>
  <c r="AD1156" i="1"/>
  <c r="AA1181" i="1"/>
  <c r="AB1181" i="1"/>
  <c r="AD1181" i="1"/>
  <c r="AA1205" i="1"/>
  <c r="AB1205" i="1"/>
  <c r="AA1213" i="1"/>
  <c r="AB1213" i="1"/>
  <c r="AD1213" i="1"/>
  <c r="AB1220" i="1"/>
  <c r="AA1220" i="1"/>
  <c r="AD1220" i="1"/>
  <c r="AA1225" i="1"/>
  <c r="AB1225" i="1"/>
  <c r="AB1269" i="1"/>
  <c r="AD1269" i="1"/>
  <c r="AB1302" i="1"/>
  <c r="AA1302" i="1"/>
  <c r="AD1302" i="1"/>
  <c r="AA1367" i="1"/>
  <c r="AB1367" i="1"/>
  <c r="AD802" i="1"/>
  <c r="AB802" i="1"/>
  <c r="AA802" i="1"/>
  <c r="AD806" i="1"/>
  <c r="AB806" i="1"/>
  <c r="AA806" i="1"/>
  <c r="AD882" i="1"/>
  <c r="AB882" i="1"/>
  <c r="AA882" i="1"/>
  <c r="AD886" i="1"/>
  <c r="AB886" i="1"/>
  <c r="AA886" i="1"/>
  <c r="AD890" i="1"/>
  <c r="AB890" i="1"/>
  <c r="AA890" i="1"/>
  <c r="AD894" i="1"/>
  <c r="AB894" i="1"/>
  <c r="AA894" i="1"/>
  <c r="AD898" i="1"/>
  <c r="AB898" i="1"/>
  <c r="AA898" i="1"/>
  <c r="AD902" i="1"/>
  <c r="AB902" i="1"/>
  <c r="AA902" i="1"/>
  <c r="AD906" i="1"/>
  <c r="AB906" i="1"/>
  <c r="AA906" i="1"/>
  <c r="AD910" i="1"/>
  <c r="AB910" i="1"/>
  <c r="AA910" i="1"/>
  <c r="AD914" i="1"/>
  <c r="AB914" i="1"/>
  <c r="AA914" i="1"/>
  <c r="AD930" i="1"/>
  <c r="AB930" i="1"/>
  <c r="AA930" i="1"/>
  <c r="AD934" i="1"/>
  <c r="AB934" i="1"/>
  <c r="AA934" i="1"/>
  <c r="AD946" i="1"/>
  <c r="AB946" i="1"/>
  <c r="AA946" i="1"/>
  <c r="AD950" i="1"/>
  <c r="AB950" i="1"/>
  <c r="AA950" i="1"/>
  <c r="AD954" i="1"/>
  <c r="AB954" i="1"/>
  <c r="AA954" i="1"/>
  <c r="AB956" i="1"/>
  <c r="AD956" i="1"/>
  <c r="AD962" i="1"/>
  <c r="AB962" i="1"/>
  <c r="AA962" i="1"/>
  <c r="AB964" i="1"/>
  <c r="AD964" i="1"/>
  <c r="AB968" i="1"/>
  <c r="AD968" i="1"/>
  <c r="AD974" i="1"/>
  <c r="AB974" i="1"/>
  <c r="AA974" i="1"/>
  <c r="AD978" i="1"/>
  <c r="AB978" i="1"/>
  <c r="AA978" i="1"/>
  <c r="AB980" i="1"/>
  <c r="AD980" i="1"/>
  <c r="AB984" i="1"/>
  <c r="AD984" i="1"/>
  <c r="AD990" i="1"/>
  <c r="AB990" i="1"/>
  <c r="AA990" i="1"/>
  <c r="AD994" i="1"/>
  <c r="AB994" i="1"/>
  <c r="AA994" i="1"/>
  <c r="AB996" i="1"/>
  <c r="AD996" i="1"/>
  <c r="AD1002" i="1"/>
  <c r="AB1002" i="1"/>
  <c r="AA1002" i="1"/>
  <c r="AD1006" i="1"/>
  <c r="AB1006" i="1"/>
  <c r="AA1006" i="1"/>
  <c r="AB1008" i="1"/>
  <c r="AD1008" i="1"/>
  <c r="AD1014" i="1"/>
  <c r="AB1014" i="1"/>
  <c r="AA1014" i="1"/>
  <c r="AD1018" i="1"/>
  <c r="AB1018" i="1"/>
  <c r="AA1018" i="1"/>
  <c r="AD1022" i="1"/>
  <c r="AB1022" i="1"/>
  <c r="AA1022" i="1"/>
  <c r="AB1024" i="1"/>
  <c r="AD1024" i="1"/>
  <c r="AD1030" i="1"/>
  <c r="AB1030" i="1"/>
  <c r="AA1030" i="1"/>
  <c r="AD1034" i="1"/>
  <c r="AB1034" i="1"/>
  <c r="AA1034" i="1"/>
  <c r="AD1038" i="1"/>
  <c r="AB1038" i="1"/>
  <c r="AA1038" i="1"/>
  <c r="AB1040" i="1"/>
  <c r="AD1040" i="1"/>
  <c r="AB1044" i="1"/>
  <c r="AD1044" i="1"/>
  <c r="AD1050" i="1"/>
  <c r="AB1050" i="1"/>
  <c r="AA1050" i="1"/>
  <c r="AD1054" i="1"/>
  <c r="AB1054" i="1"/>
  <c r="AA1054" i="1"/>
  <c r="AD1058" i="1"/>
  <c r="AB1058" i="1"/>
  <c r="AA1058" i="1"/>
  <c r="AB1060" i="1"/>
  <c r="AD1060" i="1"/>
  <c r="AB1064" i="1"/>
  <c r="AD1064" i="1"/>
  <c r="AD1070" i="1"/>
  <c r="AB1070" i="1"/>
  <c r="AA1070" i="1"/>
  <c r="AD1074" i="1"/>
  <c r="AB1074" i="1"/>
  <c r="AA1074" i="1"/>
  <c r="AB1076" i="1"/>
  <c r="AD1076" i="1"/>
  <c r="AB1080" i="1"/>
  <c r="AD1080" i="1"/>
  <c r="AD1086" i="1"/>
  <c r="AB1086" i="1"/>
  <c r="AA1086" i="1"/>
  <c r="AD1090" i="1"/>
  <c r="AB1090" i="1"/>
  <c r="AA1090" i="1"/>
  <c r="AD1094" i="1"/>
  <c r="AB1094" i="1"/>
  <c r="AA1094" i="1"/>
  <c r="AB1096" i="1"/>
  <c r="AD1096" i="1"/>
  <c r="AD1102" i="1"/>
  <c r="AB1102" i="1"/>
  <c r="AA1102" i="1"/>
  <c r="AB1104" i="1"/>
  <c r="AD1104" i="1"/>
  <c r="AD1110" i="1"/>
  <c r="AB1110" i="1"/>
  <c r="AA1110" i="1"/>
  <c r="AD1114" i="1"/>
  <c r="AB1114" i="1"/>
  <c r="AA1114" i="1"/>
  <c r="AD1118" i="1"/>
  <c r="AB1118" i="1"/>
  <c r="AA1118" i="1"/>
  <c r="AB1120" i="1"/>
  <c r="AD1120" i="1"/>
  <c r="AB1124" i="1"/>
  <c r="AD1124" i="1"/>
  <c r="AD1130" i="1"/>
  <c r="AB1130" i="1"/>
  <c r="AA1130" i="1"/>
  <c r="AD1134" i="1"/>
  <c r="AB1134" i="1"/>
  <c r="AA1134" i="1"/>
  <c r="AD1138" i="1"/>
  <c r="AB1138" i="1"/>
  <c r="AA1138" i="1"/>
  <c r="AB1140" i="1"/>
  <c r="AD1140" i="1"/>
  <c r="AB1144" i="1"/>
  <c r="AD1144" i="1"/>
  <c r="AA1161" i="1"/>
  <c r="AB1161" i="1"/>
  <c r="AA1173" i="1"/>
  <c r="AB1173" i="1"/>
  <c r="AB1188" i="1"/>
  <c r="AA1188" i="1"/>
  <c r="AD1188" i="1"/>
  <c r="AA1193" i="1"/>
  <c r="AB1193" i="1"/>
  <c r="AA1237" i="1"/>
  <c r="AB1237" i="1"/>
  <c r="AB1245" i="1"/>
  <c r="AD1245" i="1"/>
  <c r="AA1245" i="1"/>
  <c r="AB1263" i="1"/>
  <c r="AA1263" i="1"/>
  <c r="AD1263" i="1"/>
  <c r="AB1277" i="1"/>
  <c r="AD1277" i="1"/>
  <c r="AA1277" i="1"/>
  <c r="AB1294" i="1"/>
  <c r="AA1294" i="1"/>
  <c r="AD1294" i="1"/>
  <c r="AB1358" i="1"/>
  <c r="AA1358" i="1"/>
  <c r="AD1358" i="1"/>
  <c r="AB1370" i="1"/>
  <c r="AA1370" i="1"/>
  <c r="AD1370" i="1"/>
  <c r="AD785" i="1"/>
  <c r="AB785" i="1"/>
  <c r="AD789" i="1"/>
  <c r="AB789" i="1"/>
  <c r="AD793" i="1"/>
  <c r="AB793" i="1"/>
  <c r="AD797" i="1"/>
  <c r="AB797" i="1"/>
  <c r="AD801" i="1"/>
  <c r="AB801" i="1"/>
  <c r="AD805" i="1"/>
  <c r="AB805" i="1"/>
  <c r="AD809" i="1"/>
  <c r="AB809" i="1"/>
  <c r="AD813" i="1"/>
  <c r="AB813" i="1"/>
  <c r="AD817" i="1"/>
  <c r="AB817" i="1"/>
  <c r="AD821" i="1"/>
  <c r="AB821" i="1"/>
  <c r="AD825" i="1"/>
  <c r="AB825" i="1"/>
  <c r="AD829" i="1"/>
  <c r="AB829" i="1"/>
  <c r="AD833" i="1"/>
  <c r="AB833" i="1"/>
  <c r="AD837" i="1"/>
  <c r="AB837" i="1"/>
  <c r="AD841" i="1"/>
  <c r="AB841" i="1"/>
  <c r="AD845" i="1"/>
  <c r="AB845" i="1"/>
  <c r="AD849" i="1"/>
  <c r="AB849" i="1"/>
  <c r="AD853" i="1"/>
  <c r="AB853" i="1"/>
  <c r="AD857" i="1"/>
  <c r="AB857" i="1"/>
  <c r="AD861" i="1"/>
  <c r="AB861" i="1"/>
  <c r="AD865" i="1"/>
  <c r="AB865" i="1"/>
  <c r="AD869" i="1"/>
  <c r="AB869" i="1"/>
  <c r="AD873" i="1"/>
  <c r="AB873" i="1"/>
  <c r="AD877" i="1"/>
  <c r="AB877" i="1"/>
  <c r="AD881" i="1"/>
  <c r="AB881" i="1"/>
  <c r="AD885" i="1"/>
  <c r="AB885" i="1"/>
  <c r="AD889" i="1"/>
  <c r="AB889" i="1"/>
  <c r="AD893" i="1"/>
  <c r="AB893" i="1"/>
  <c r="AD897" i="1"/>
  <c r="AB897" i="1"/>
  <c r="AD901" i="1"/>
  <c r="AB901" i="1"/>
  <c r="AD905" i="1"/>
  <c r="AB905" i="1"/>
  <c r="AD909" i="1"/>
  <c r="AB909" i="1"/>
  <c r="AD913" i="1"/>
  <c r="AB913" i="1"/>
  <c r="AD917" i="1"/>
  <c r="AB917" i="1"/>
  <c r="AD921" i="1"/>
  <c r="AB921" i="1"/>
  <c r="AD925" i="1"/>
  <c r="AB925" i="1"/>
  <c r="AD929" i="1"/>
  <c r="AB929" i="1"/>
  <c r="AD933" i="1"/>
  <c r="AB933" i="1"/>
  <c r="AD937" i="1"/>
  <c r="AB937" i="1"/>
  <c r="AD941" i="1"/>
  <c r="AB941" i="1"/>
  <c r="AA944" i="1"/>
  <c r="AA948" i="1"/>
  <c r="AA952" i="1"/>
  <c r="AA956" i="1"/>
  <c r="AA960" i="1"/>
  <c r="AA964" i="1"/>
  <c r="AA968" i="1"/>
  <c r="AA972" i="1"/>
  <c r="AA976" i="1"/>
  <c r="AA980" i="1"/>
  <c r="AA984" i="1"/>
  <c r="AA988" i="1"/>
  <c r="AA992" i="1"/>
  <c r="AA996" i="1"/>
  <c r="AA1000" i="1"/>
  <c r="AA1004" i="1"/>
  <c r="AA1008" i="1"/>
  <c r="AA1012" i="1"/>
  <c r="AA1016" i="1"/>
  <c r="AA1020" i="1"/>
  <c r="AA1024" i="1"/>
  <c r="AA1028" i="1"/>
  <c r="AA1032" i="1"/>
  <c r="AA1036" i="1"/>
  <c r="AA1040" i="1"/>
  <c r="AA1044" i="1"/>
  <c r="AA1048" i="1"/>
  <c r="AA1052" i="1"/>
  <c r="AA1056" i="1"/>
  <c r="AA1060" i="1"/>
  <c r="AA1064" i="1"/>
  <c r="AA1068" i="1"/>
  <c r="AA1072" i="1"/>
  <c r="AA1076" i="1"/>
  <c r="AA1080" i="1"/>
  <c r="AA1084" i="1"/>
  <c r="AA1088" i="1"/>
  <c r="AA1092" i="1"/>
  <c r="AA1096" i="1"/>
  <c r="AA1100" i="1"/>
  <c r="AA1104" i="1"/>
  <c r="AA1108" i="1"/>
  <c r="AA1112" i="1"/>
  <c r="AA1116" i="1"/>
  <c r="AA1120" i="1"/>
  <c r="AA1124" i="1"/>
  <c r="AA1128" i="1"/>
  <c r="AA1132" i="1"/>
  <c r="AA1136" i="1"/>
  <c r="AA1140" i="1"/>
  <c r="AA1144" i="1"/>
  <c r="AD1161" i="1"/>
  <c r="AB1164" i="1"/>
  <c r="AA1164" i="1"/>
  <c r="AD1164" i="1"/>
  <c r="AB1168" i="1"/>
  <c r="AA1168" i="1"/>
  <c r="AD1168" i="1"/>
  <c r="AD1173" i="1"/>
  <c r="AD1193" i="1"/>
  <c r="AB1196" i="1"/>
  <c r="AA1196" i="1"/>
  <c r="AD1196" i="1"/>
  <c r="AB1200" i="1"/>
  <c r="AA1200" i="1"/>
  <c r="AD1200" i="1"/>
  <c r="AD1205" i="1"/>
  <c r="AD1225" i="1"/>
  <c r="AB1228" i="1"/>
  <c r="AA1228" i="1"/>
  <c r="AD1228" i="1"/>
  <c r="AB1232" i="1"/>
  <c r="AA1232" i="1"/>
  <c r="AD1232" i="1"/>
  <c r="AD1237" i="1"/>
  <c r="AB1255" i="1"/>
  <c r="AA1255" i="1"/>
  <c r="AD1255" i="1"/>
  <c r="AD1258" i="1"/>
  <c r="AA1258" i="1"/>
  <c r="AB1258" i="1"/>
  <c r="AA1269" i="1"/>
  <c r="AB1273" i="1"/>
  <c r="AD1273" i="1"/>
  <c r="AA1273" i="1"/>
  <c r="AB1287" i="1"/>
  <c r="AA1287" i="1"/>
  <c r="AD1287" i="1"/>
  <c r="AD1290" i="1"/>
  <c r="AA1290" i="1"/>
  <c r="AB1290" i="1"/>
  <c r="AB1322" i="1"/>
  <c r="AA1322" i="1"/>
  <c r="AD1322" i="1"/>
  <c r="AB1330" i="1"/>
  <c r="AA1330" i="1"/>
  <c r="AD1330" i="1"/>
  <c r="AB1338" i="1"/>
  <c r="AA1338" i="1"/>
  <c r="AD1338" i="1"/>
  <c r="AA1347" i="1"/>
  <c r="AD1347" i="1"/>
  <c r="AB1350" i="1"/>
  <c r="AA1350" i="1"/>
  <c r="AD1350" i="1"/>
  <c r="AB1354" i="1"/>
  <c r="AA1354" i="1"/>
  <c r="AD1354" i="1"/>
  <c r="AD1367" i="1"/>
  <c r="AA1371" i="1"/>
  <c r="AD1371" i="1"/>
  <c r="AB1371" i="1"/>
  <c r="AA785" i="1"/>
  <c r="AA789" i="1"/>
  <c r="AA793" i="1"/>
  <c r="AA797" i="1"/>
  <c r="AA801" i="1"/>
  <c r="AA805" i="1"/>
  <c r="AA809" i="1"/>
  <c r="AA813" i="1"/>
  <c r="AA817" i="1"/>
  <c r="AA821" i="1"/>
  <c r="AA825" i="1"/>
  <c r="AA829" i="1"/>
  <c r="AA833" i="1"/>
  <c r="AA837" i="1"/>
  <c r="AA841" i="1"/>
  <c r="AA845" i="1"/>
  <c r="AA849" i="1"/>
  <c r="AA853" i="1"/>
  <c r="AA857" i="1"/>
  <c r="AA861" i="1"/>
  <c r="AA865" i="1"/>
  <c r="AA869" i="1"/>
  <c r="AA873" i="1"/>
  <c r="AA877" i="1"/>
  <c r="AA881" i="1"/>
  <c r="AA885" i="1"/>
  <c r="AA889" i="1"/>
  <c r="AA893" i="1"/>
  <c r="AA897" i="1"/>
  <c r="AA901" i="1"/>
  <c r="AA905" i="1"/>
  <c r="AA909" i="1"/>
  <c r="AA913" i="1"/>
  <c r="AA917" i="1"/>
  <c r="AA921" i="1"/>
  <c r="AA925" i="1"/>
  <c r="AA929" i="1"/>
  <c r="AA933" i="1"/>
  <c r="AA937" i="1"/>
  <c r="AA941" i="1"/>
  <c r="AA945" i="1"/>
  <c r="AD945" i="1"/>
  <c r="AD947" i="1"/>
  <c r="AB947" i="1"/>
  <c r="AA947" i="1"/>
  <c r="AA949" i="1"/>
  <c r="AD949" i="1"/>
  <c r="AD951" i="1"/>
  <c r="AB951" i="1"/>
  <c r="AA951" i="1"/>
  <c r="AA953" i="1"/>
  <c r="AD953" i="1"/>
  <c r="AD955" i="1"/>
  <c r="AB955" i="1"/>
  <c r="AA955" i="1"/>
  <c r="AA957" i="1"/>
  <c r="AD957" i="1"/>
  <c r="AD959" i="1"/>
  <c r="AB959" i="1"/>
  <c r="AA959" i="1"/>
  <c r="AA961" i="1"/>
  <c r="AD961" i="1"/>
  <c r="AD963" i="1"/>
  <c r="AB963" i="1"/>
  <c r="AA963" i="1"/>
  <c r="AA965" i="1"/>
  <c r="AD965" i="1"/>
  <c r="AD967" i="1"/>
  <c r="AB967" i="1"/>
  <c r="AA967" i="1"/>
  <c r="AA969" i="1"/>
  <c r="AD969" i="1"/>
  <c r="AD971" i="1"/>
  <c r="AB971" i="1"/>
  <c r="AA971" i="1"/>
  <c r="AA973" i="1"/>
  <c r="AD973" i="1"/>
  <c r="AD975" i="1"/>
  <c r="AB975" i="1"/>
  <c r="AA975" i="1"/>
  <c r="AA977" i="1"/>
  <c r="AD977" i="1"/>
  <c r="AD979" i="1"/>
  <c r="AB979" i="1"/>
  <c r="AA979" i="1"/>
  <c r="AA981" i="1"/>
  <c r="AD981" i="1"/>
  <c r="AD983" i="1"/>
  <c r="AB983" i="1"/>
  <c r="AA983" i="1"/>
  <c r="AA985" i="1"/>
  <c r="AD985" i="1"/>
  <c r="AD987" i="1"/>
  <c r="AB987" i="1"/>
  <c r="AA987" i="1"/>
  <c r="AA989" i="1"/>
  <c r="AD989" i="1"/>
  <c r="AD991" i="1"/>
  <c r="AB991" i="1"/>
  <c r="AA991" i="1"/>
  <c r="AA993" i="1"/>
  <c r="AD993" i="1"/>
  <c r="AD995" i="1"/>
  <c r="AB995" i="1"/>
  <c r="AA995" i="1"/>
  <c r="AA997" i="1"/>
  <c r="AD997" i="1"/>
  <c r="AD999" i="1"/>
  <c r="AB999" i="1"/>
  <c r="AA999" i="1"/>
  <c r="AA1001" i="1"/>
  <c r="AD1001" i="1"/>
  <c r="AD1003" i="1"/>
  <c r="AB1003" i="1"/>
  <c r="AA1003" i="1"/>
  <c r="AA1005" i="1"/>
  <c r="AD1005" i="1"/>
  <c r="AD1007" i="1"/>
  <c r="AB1007" i="1"/>
  <c r="AA1007" i="1"/>
  <c r="AA1009" i="1"/>
  <c r="AD1009" i="1"/>
  <c r="AD1011" i="1"/>
  <c r="AB1011" i="1"/>
  <c r="AA1011" i="1"/>
  <c r="AA1013" i="1"/>
  <c r="AD1013" i="1"/>
  <c r="AD1015" i="1"/>
  <c r="AB1015" i="1"/>
  <c r="AA1015" i="1"/>
  <c r="AA1017" i="1"/>
  <c r="AD1017" i="1"/>
  <c r="AD1019" i="1"/>
  <c r="AB1019" i="1"/>
  <c r="AA1019" i="1"/>
  <c r="AA1021" i="1"/>
  <c r="AD1021" i="1"/>
  <c r="AD1023" i="1"/>
  <c r="AB1023" i="1"/>
  <c r="AA1023" i="1"/>
  <c r="AA1025" i="1"/>
  <c r="AD1025" i="1"/>
  <c r="AD1027" i="1"/>
  <c r="AB1027" i="1"/>
  <c r="AA1027" i="1"/>
  <c r="AA1029" i="1"/>
  <c r="AD1029" i="1"/>
  <c r="AD1031" i="1"/>
  <c r="AB1031" i="1"/>
  <c r="AA1031" i="1"/>
  <c r="AA1033" i="1"/>
  <c r="AD1033" i="1"/>
  <c r="AD1035" i="1"/>
  <c r="AB1035" i="1"/>
  <c r="AA1035" i="1"/>
  <c r="AA1037" i="1"/>
  <c r="AD1037" i="1"/>
  <c r="AD1039" i="1"/>
  <c r="AB1039" i="1"/>
  <c r="AA1039" i="1"/>
  <c r="AA1041" i="1"/>
  <c r="AD1041" i="1"/>
  <c r="AD1043" i="1"/>
  <c r="AB1043" i="1"/>
  <c r="AA1043" i="1"/>
  <c r="AA1045" i="1"/>
  <c r="AD1045" i="1"/>
  <c r="AD1047" i="1"/>
  <c r="AB1047" i="1"/>
  <c r="AA1047" i="1"/>
  <c r="AA1049" i="1"/>
  <c r="AD1049" i="1"/>
  <c r="AD1051" i="1"/>
  <c r="AB1051" i="1"/>
  <c r="AA1051" i="1"/>
  <c r="AA1053" i="1"/>
  <c r="AD1053" i="1"/>
  <c r="AD1055" i="1"/>
  <c r="AB1055" i="1"/>
  <c r="AA1055" i="1"/>
  <c r="AA1057" i="1"/>
  <c r="AD1057" i="1"/>
  <c r="AD1059" i="1"/>
  <c r="AB1059" i="1"/>
  <c r="AA1059" i="1"/>
  <c r="AA1061" i="1"/>
  <c r="AD1061" i="1"/>
  <c r="AD1063" i="1"/>
  <c r="AB1063" i="1"/>
  <c r="AA1063" i="1"/>
  <c r="AA1065" i="1"/>
  <c r="AD1065" i="1"/>
  <c r="AD1067" i="1"/>
  <c r="AB1067" i="1"/>
  <c r="AA1067" i="1"/>
  <c r="AA1069" i="1"/>
  <c r="AD1069" i="1"/>
  <c r="AD1071" i="1"/>
  <c r="AB1071" i="1"/>
  <c r="AA1071" i="1"/>
  <c r="AA1073" i="1"/>
  <c r="AD1073" i="1"/>
  <c r="AD1075" i="1"/>
  <c r="AB1075" i="1"/>
  <c r="AA1075" i="1"/>
  <c r="AA1077" i="1"/>
  <c r="AD1077" i="1"/>
  <c r="AD1079" i="1"/>
  <c r="AB1079" i="1"/>
  <c r="AA1079" i="1"/>
  <c r="AA1081" i="1"/>
  <c r="AD1081" i="1"/>
  <c r="AD1083" i="1"/>
  <c r="AB1083" i="1"/>
  <c r="AA1083" i="1"/>
  <c r="AA1085" i="1"/>
  <c r="AD1085" i="1"/>
  <c r="AD1087" i="1"/>
  <c r="AB1087" i="1"/>
  <c r="AA1087" i="1"/>
  <c r="AA1089" i="1"/>
  <c r="AD1089" i="1"/>
  <c r="AD1091" i="1"/>
  <c r="AB1091" i="1"/>
  <c r="AA1091" i="1"/>
  <c r="AA1093" i="1"/>
  <c r="AD1093" i="1"/>
  <c r="AD1095" i="1"/>
  <c r="AB1095" i="1"/>
  <c r="AA1095" i="1"/>
  <c r="AA1097" i="1"/>
  <c r="AD1097" i="1"/>
  <c r="AD1099" i="1"/>
  <c r="AB1099" i="1"/>
  <c r="AA1099" i="1"/>
  <c r="AA1101" i="1"/>
  <c r="AD1101" i="1"/>
  <c r="AD1103" i="1"/>
  <c r="AB1103" i="1"/>
  <c r="AA1103" i="1"/>
  <c r="AA1105" i="1"/>
  <c r="AD1105" i="1"/>
  <c r="AD1107" i="1"/>
  <c r="AB1107" i="1"/>
  <c r="AA1107" i="1"/>
  <c r="AA1109" i="1"/>
  <c r="AD1109" i="1"/>
  <c r="AD1111" i="1"/>
  <c r="AB1111" i="1"/>
  <c r="AA1111" i="1"/>
  <c r="AA1113" i="1"/>
  <c r="AD1113" i="1"/>
  <c r="AD1115" i="1"/>
  <c r="AB1115" i="1"/>
  <c r="AA1115" i="1"/>
  <c r="AA1117" i="1"/>
  <c r="AD1117" i="1"/>
  <c r="AD1119" i="1"/>
  <c r="AB1119" i="1"/>
  <c r="AA1119" i="1"/>
  <c r="AA1121" i="1"/>
  <c r="AD1121" i="1"/>
  <c r="AD1123" i="1"/>
  <c r="AB1123" i="1"/>
  <c r="AA1123" i="1"/>
  <c r="AA1125" i="1"/>
  <c r="AD1125" i="1"/>
  <c r="AD1127" i="1"/>
  <c r="AB1127" i="1"/>
  <c r="AA1127" i="1"/>
  <c r="AA1129" i="1"/>
  <c r="AD1129" i="1"/>
  <c r="AD1131" i="1"/>
  <c r="AB1131" i="1"/>
  <c r="AA1131" i="1"/>
  <c r="AA1133" i="1"/>
  <c r="AD1133" i="1"/>
  <c r="AD1135" i="1"/>
  <c r="AB1135" i="1"/>
  <c r="AA1135" i="1"/>
  <c r="AA1137" i="1"/>
  <c r="AD1137" i="1"/>
  <c r="AD1139" i="1"/>
  <c r="AB1139" i="1"/>
  <c r="AA1139" i="1"/>
  <c r="AA1141" i="1"/>
  <c r="AD1141" i="1"/>
  <c r="AD1143" i="1"/>
  <c r="AB1143" i="1"/>
  <c r="AA1143" i="1"/>
  <c r="AA1145" i="1"/>
  <c r="AB1145" i="1"/>
  <c r="AA1157" i="1"/>
  <c r="AB1157" i="1"/>
  <c r="AA1165" i="1"/>
  <c r="AB1165" i="1"/>
  <c r="AD1165" i="1"/>
  <c r="AB1172" i="1"/>
  <c r="AA1172" i="1"/>
  <c r="AD1172" i="1"/>
  <c r="AA1177" i="1"/>
  <c r="AB1177" i="1"/>
  <c r="AA1189" i="1"/>
  <c r="AB1189" i="1"/>
  <c r="AA1197" i="1"/>
  <c r="AB1197" i="1"/>
  <c r="AD1197" i="1"/>
  <c r="AB1204" i="1"/>
  <c r="AA1204" i="1"/>
  <c r="AD1204" i="1"/>
  <c r="AA1209" i="1"/>
  <c r="AB1209" i="1"/>
  <c r="AA1221" i="1"/>
  <c r="AB1221" i="1"/>
  <c r="AA1229" i="1"/>
  <c r="AB1229" i="1"/>
  <c r="AD1229" i="1"/>
  <c r="AB1236" i="1"/>
  <c r="AA1236" i="1"/>
  <c r="AD1236" i="1"/>
  <c r="AA1241" i="1"/>
  <c r="AB1241" i="1"/>
  <c r="AA1248" i="1"/>
  <c r="AB1248" i="1"/>
  <c r="AD1250" i="1"/>
  <c r="AA1250" i="1"/>
  <c r="AA1256" i="1"/>
  <c r="AB1256" i="1"/>
  <c r="AD1256" i="1"/>
  <c r="AB1265" i="1"/>
  <c r="AD1265" i="1"/>
  <c r="AA1265" i="1"/>
  <c r="AB1267" i="1"/>
  <c r="AA1267" i="1"/>
  <c r="AD1267" i="1"/>
  <c r="AA1280" i="1"/>
  <c r="AB1280" i="1"/>
  <c r="AD1282" i="1"/>
  <c r="AA1282" i="1"/>
  <c r="AA1288" i="1"/>
  <c r="AB1288" i="1"/>
  <c r="AD1288" i="1"/>
  <c r="AB1347" i="1"/>
  <c r="AA1351" i="1"/>
  <c r="AD1351" i="1"/>
  <c r="AB1351" i="1"/>
  <c r="AB1249" i="1"/>
  <c r="AD1249" i="1"/>
  <c r="AA1249" i="1"/>
  <c r="AB1253" i="1"/>
  <c r="AD1253" i="1"/>
  <c r="AA1260" i="1"/>
  <c r="AB1260" i="1"/>
  <c r="AD1260" i="1"/>
  <c r="AA1264" i="1"/>
  <c r="AB1264" i="1"/>
  <c r="AD1266" i="1"/>
  <c r="AA1266" i="1"/>
  <c r="AB1271" i="1"/>
  <c r="AA1271" i="1"/>
  <c r="AD1271" i="1"/>
  <c r="AB1275" i="1"/>
  <c r="AA1275" i="1"/>
  <c r="AB1281" i="1"/>
  <c r="AD1281" i="1"/>
  <c r="AA1281" i="1"/>
  <c r="AB1285" i="1"/>
  <c r="AD1285" i="1"/>
  <c r="AB1292" i="1"/>
  <c r="AD1292" i="1"/>
  <c r="AA1292" i="1"/>
  <c r="AB1298" i="1"/>
  <c r="AA1298" i="1"/>
  <c r="AD1298" i="1"/>
  <c r="AB1306" i="1"/>
  <c r="AA1306" i="1"/>
  <c r="AD1306" i="1"/>
  <c r="AB1314" i="1"/>
  <c r="AA1314" i="1"/>
  <c r="AB1318" i="1"/>
  <c r="AA1318" i="1"/>
  <c r="AD1325" i="1"/>
  <c r="AB1325" i="1"/>
  <c r="AA1325" i="1"/>
  <c r="AD1341" i="1"/>
  <c r="AB1341" i="1"/>
  <c r="AA1341" i="1"/>
  <c r="AB1362" i="1"/>
  <c r="AA1362" i="1"/>
  <c r="AD1362" i="1"/>
  <c r="AB1247" i="1"/>
  <c r="AA1247" i="1"/>
  <c r="AD1247" i="1"/>
  <c r="AB1251" i="1"/>
  <c r="AA1251" i="1"/>
  <c r="AA1253" i="1"/>
  <c r="AB1257" i="1"/>
  <c r="AD1257" i="1"/>
  <c r="AA1257" i="1"/>
  <c r="AB1261" i="1"/>
  <c r="AD1261" i="1"/>
  <c r="AD1264" i="1"/>
  <c r="AB1266" i="1"/>
  <c r="AA1268" i="1"/>
  <c r="AB1268" i="1"/>
  <c r="AD1268" i="1"/>
  <c r="AA1272" i="1"/>
  <c r="AB1272" i="1"/>
  <c r="AD1274" i="1"/>
  <c r="AA1274" i="1"/>
  <c r="AD1275" i="1"/>
  <c r="AB1279" i="1"/>
  <c r="AA1279" i="1"/>
  <c r="AD1279" i="1"/>
  <c r="AB1283" i="1"/>
  <c r="AA1283" i="1"/>
  <c r="AA1285" i="1"/>
  <c r="AB1289" i="1"/>
  <c r="AD1289" i="1"/>
  <c r="AA1289" i="1"/>
  <c r="AD1314" i="1"/>
  <c r="AD1316" i="1"/>
  <c r="AA1316" i="1"/>
  <c r="AB1316" i="1"/>
  <c r="AD1318" i="1"/>
  <c r="AD1320" i="1"/>
  <c r="AA1320" i="1"/>
  <c r="AB1326" i="1"/>
  <c r="AA1326" i="1"/>
  <c r="AD1326" i="1"/>
  <c r="AB1334" i="1"/>
  <c r="AA1334" i="1"/>
  <c r="AD1334" i="1"/>
  <c r="AD1147" i="1"/>
  <c r="AA1147" i="1"/>
  <c r="AD1151" i="1"/>
  <c r="AA1151" i="1"/>
  <c r="AD1155" i="1"/>
  <c r="AA1155" i="1"/>
  <c r="AD1159" i="1"/>
  <c r="AA1159" i="1"/>
  <c r="AD1163" i="1"/>
  <c r="AA1163" i="1"/>
  <c r="AD1167" i="1"/>
  <c r="AA1167" i="1"/>
  <c r="AD1171" i="1"/>
  <c r="AA1171" i="1"/>
  <c r="AD1175" i="1"/>
  <c r="AA1175" i="1"/>
  <c r="AD1179" i="1"/>
  <c r="AA1179" i="1"/>
  <c r="AD1183" i="1"/>
  <c r="AA1183" i="1"/>
  <c r="AD1187" i="1"/>
  <c r="AA1187" i="1"/>
  <c r="AD1191" i="1"/>
  <c r="AA1191" i="1"/>
  <c r="AD1195" i="1"/>
  <c r="AA1195" i="1"/>
  <c r="AD1199" i="1"/>
  <c r="AA1199" i="1"/>
  <c r="AD1203" i="1"/>
  <c r="AA1203" i="1"/>
  <c r="AD1207" i="1"/>
  <c r="AA1207" i="1"/>
  <c r="AD1211" i="1"/>
  <c r="AA1211" i="1"/>
  <c r="AD1215" i="1"/>
  <c r="AA1215" i="1"/>
  <c r="AD1219" i="1"/>
  <c r="AA1219" i="1"/>
  <c r="AD1223" i="1"/>
  <c r="AA1223" i="1"/>
  <c r="AD1227" i="1"/>
  <c r="AA1227" i="1"/>
  <c r="AD1231" i="1"/>
  <c r="AA1231" i="1"/>
  <c r="AD1235" i="1"/>
  <c r="AA1235" i="1"/>
  <c r="AD1239" i="1"/>
  <c r="AA1239" i="1"/>
  <c r="AD1243" i="1"/>
  <c r="AA1243" i="1"/>
  <c r="AD1246" i="1"/>
  <c r="AA1246" i="1"/>
  <c r="AD1254" i="1"/>
  <c r="AA1254" i="1"/>
  <c r="AD1262" i="1"/>
  <c r="AA1262" i="1"/>
  <c r="AD1270" i="1"/>
  <c r="AA1270" i="1"/>
  <c r="AD1278" i="1"/>
  <c r="AA1278" i="1"/>
  <c r="AD1286" i="1"/>
  <c r="AA1286" i="1"/>
  <c r="AD1300" i="1"/>
  <c r="AA1300" i="1"/>
  <c r="AB1300" i="1"/>
  <c r="AD1304" i="1"/>
  <c r="AA1304" i="1"/>
  <c r="AB1310" i="1"/>
  <c r="AA1310" i="1"/>
  <c r="AD1310" i="1"/>
  <c r="AD1332" i="1"/>
  <c r="AA1332" i="1"/>
  <c r="AB1332" i="1"/>
  <c r="AD1336" i="1"/>
  <c r="AA1336" i="1"/>
  <c r="AB1342" i="1"/>
  <c r="AA1342" i="1"/>
  <c r="AD1342" i="1"/>
  <c r="AA1363" i="1"/>
  <c r="AD1363" i="1"/>
  <c r="AB1366" i="1"/>
  <c r="AA1366" i="1"/>
  <c r="AD1366" i="1"/>
  <c r="AD1369" i="1"/>
  <c r="AB1369" i="1"/>
  <c r="AA1369" i="1"/>
  <c r="AD1296" i="1"/>
  <c r="AA1296" i="1"/>
  <c r="AD1301" i="1"/>
  <c r="AB1301" i="1"/>
  <c r="AA1301" i="1"/>
  <c r="AD1308" i="1"/>
  <c r="AA1308" i="1"/>
  <c r="AB1308" i="1"/>
  <c r="AD1312" i="1"/>
  <c r="AA1312" i="1"/>
  <c r="AD1317" i="1"/>
  <c r="AB1317" i="1"/>
  <c r="AA1317" i="1"/>
  <c r="AD1324" i="1"/>
  <c r="AA1324" i="1"/>
  <c r="AB1324" i="1"/>
  <c r="AD1328" i="1"/>
  <c r="AA1328" i="1"/>
  <c r="AD1333" i="1"/>
  <c r="AB1333" i="1"/>
  <c r="AA1333" i="1"/>
  <c r="AD1340" i="1"/>
  <c r="AA1340" i="1"/>
  <c r="AB1340" i="1"/>
  <c r="AB1346" i="1"/>
  <c r="AA1346" i="1"/>
  <c r="AD1346" i="1"/>
  <c r="AA1359" i="1"/>
  <c r="AB1359" i="1"/>
  <c r="AB1374" i="1"/>
  <c r="AA1374" i="1"/>
  <c r="AD1374" i="1"/>
  <c r="AD1297" i="1"/>
  <c r="AB1297" i="1"/>
  <c r="AA1297" i="1"/>
  <c r="AD1305" i="1"/>
  <c r="AB1305" i="1"/>
  <c r="AA1305" i="1"/>
  <c r="AD1313" i="1"/>
  <c r="AB1313" i="1"/>
  <c r="AA1313" i="1"/>
  <c r="AD1321" i="1"/>
  <c r="AB1321" i="1"/>
  <c r="AA1321" i="1"/>
  <c r="AD1329" i="1"/>
  <c r="AB1329" i="1"/>
  <c r="AA1329" i="1"/>
  <c r="AD1337" i="1"/>
  <c r="AB1337" i="1"/>
  <c r="AA1337" i="1"/>
  <c r="AD1373" i="1"/>
  <c r="AB1373" i="1"/>
  <c r="AD1377" i="1"/>
  <c r="AB1377" i="1"/>
  <c r="AA1377" i="1"/>
  <c r="AD1345" i="1"/>
  <c r="AB1345" i="1"/>
  <c r="AD1349" i="1"/>
  <c r="AB1349" i="1"/>
  <c r="AD1353" i="1"/>
  <c r="AB1353" i="1"/>
  <c r="AD1357" i="1"/>
  <c r="AB1357" i="1"/>
  <c r="AD1361" i="1"/>
  <c r="AB1361" i="1"/>
  <c r="AD1365" i="1"/>
  <c r="AB1365" i="1"/>
</calcChain>
</file>

<file path=xl/sharedStrings.xml><?xml version="1.0" encoding="utf-8"?>
<sst xmlns="http://schemas.openxmlformats.org/spreadsheetml/2006/main" count="20576" uniqueCount="1245">
  <si>
    <t>IMPORTADOR</t>
  </si>
  <si>
    <t>PAÍS DE ORIGEN</t>
  </si>
  <si>
    <t>PAIS DE PROCEDENCIA</t>
  </si>
  <si>
    <t>CIUDAD EMBARQUE</t>
  </si>
  <si>
    <t>VIA DE TRANSPORTE</t>
  </si>
  <si>
    <t>ADUANA</t>
  </si>
  <si>
    <t>PARTIDA ARANCELARIA</t>
  </si>
  <si>
    <t>DESCRIPCIÓN ARANCELARIA</t>
  </si>
  <si>
    <t>DESCRIPCION PRODUCTO COMERCIAL</t>
  </si>
  <si>
    <t>MARCA</t>
  </si>
  <si>
    <t>ESTADO DE MERCANCIA</t>
  </si>
  <si>
    <t>BULTOS</t>
  </si>
  <si>
    <t>CANTIDAD</t>
  </si>
  <si>
    <t>UNIDAD DE MEDIDA</t>
  </si>
  <si>
    <t>ADVALOREM</t>
  </si>
  <si>
    <t>US$ FOB</t>
  </si>
  <si>
    <t>US$ FLETE</t>
  </si>
  <si>
    <t>US$ SEGURO</t>
  </si>
  <si>
    <t>US$ CIF</t>
  </si>
  <si>
    <t>CARACTERISTICAS</t>
  </si>
  <si>
    <t>PRODUCTO</t>
  </si>
  <si>
    <t>MARCA COMERCIAL</t>
  </si>
  <si>
    <t>MODELO MERCADERIA</t>
  </si>
  <si>
    <t>US$ FOB UNIT</t>
  </si>
  <si>
    <t>US UNIT. COSTO</t>
  </si>
  <si>
    <t>FOB UNIT. EMCOVELE</t>
  </si>
  <si>
    <t>FOB CLIENTE UNIT</t>
  </si>
  <si>
    <t>PVP UNIT</t>
  </si>
  <si>
    <t>FOB CLIENTE 2024</t>
  </si>
  <si>
    <t>PVP 2024</t>
  </si>
  <si>
    <t>EMPRESA COMERCIAL VELA LEIVA EMCOVELE S.A.</t>
  </si>
  <si>
    <t>GERMANY</t>
  </si>
  <si>
    <t>BELGIUM</t>
  </si>
  <si>
    <t>BRUXELLES (BRUSSEL)</t>
  </si>
  <si>
    <t>AEREA</t>
  </si>
  <si>
    <t>QUITO</t>
  </si>
  <si>
    <t>Los demás</t>
  </si>
  <si>
    <t>TUBO</t>
  </si>
  <si>
    <t>ATLAS COPCO</t>
  </si>
  <si>
    <t>NUEVA</t>
  </si>
  <si>
    <t>KILOGRAMO BRUTO</t>
  </si>
  <si>
    <t>REPUESTOS PARA COMPRESORES</t>
  </si>
  <si>
    <t>0070-6002-09</t>
  </si>
  <si>
    <t>REPUESTOS</t>
  </si>
  <si>
    <t>SPAIN</t>
  </si>
  <si>
    <t>0070-6002-15</t>
  </si>
  <si>
    <t>MANGUERA</t>
  </si>
  <si>
    <t>0070-6002-48</t>
  </si>
  <si>
    <t>0070-6002-68</t>
  </si>
  <si>
    <t>Pasadores, clavijas y chavetas</t>
  </si>
  <si>
    <t>PASADOR</t>
  </si>
  <si>
    <t>0101-1951-40</t>
  </si>
  <si>
    <t>SWEDEN</t>
  </si>
  <si>
    <t>Las demás</t>
  </si>
  <si>
    <t>TUERCA</t>
  </si>
  <si>
    <t>0295-3107-00</t>
  </si>
  <si>
    <t>ARANDELA</t>
  </si>
  <si>
    <t>0333-6107-00</t>
  </si>
  <si>
    <t>FRANCE</t>
  </si>
  <si>
    <t>Correas de transmisión sin fin, sin estriar, de sección trapezoidal, de circunferencia exterior superior a 60 cm pero inferior o igual a 180 cm</t>
  </si>
  <si>
    <t>BANDAS</t>
  </si>
  <si>
    <t>0367-0100-56</t>
  </si>
  <si>
    <t>INDIA</t>
  </si>
  <si>
    <t>AMORTIGUADOR PUFFER</t>
  </si>
  <si>
    <t>NUMERO DE UNIDADES</t>
  </si>
  <si>
    <t>0392-1100-22</t>
  </si>
  <si>
    <t>ITALY</t>
  </si>
  <si>
    <t>AMORTIGUADOR DE VIBRACIONES</t>
  </si>
  <si>
    <t>0392-1100-25</t>
  </si>
  <si>
    <t>ANTWERPEN</t>
  </si>
  <si>
    <t>MARITIMO</t>
  </si>
  <si>
    <t>GUAYAQUIL MARITIMO</t>
  </si>
  <si>
    <t>REPUESTOS PARA COMPRESOR</t>
  </si>
  <si>
    <t>0392-1100-28</t>
  </si>
  <si>
    <t>SM</t>
  </si>
  <si>
    <t>REPUESTOS DE MAQUINARIA</t>
  </si>
  <si>
    <t>AMORTIGUADOR</t>
  </si>
  <si>
    <t>DAMPER VIBRATION</t>
  </si>
  <si>
    <t>0392-1100-29</t>
  </si>
  <si>
    <t>0392-1100-39</t>
  </si>
  <si>
    <t>RODAMIENTOS DE BOLAS</t>
  </si>
  <si>
    <t>RODAMIENTOS</t>
  </si>
  <si>
    <t>0502-1090-44</t>
  </si>
  <si>
    <t>RODAMIENTOS DE RODILLOS CILINDRICOS</t>
  </si>
  <si>
    <t>0508-1100-46</t>
  </si>
  <si>
    <t>De aleaciones de cobre</t>
  </si>
  <si>
    <t>TEE</t>
  </si>
  <si>
    <t>0560-4401-43</t>
  </si>
  <si>
    <t>Con accesorios</t>
  </si>
  <si>
    <t>0574-8000-21</t>
  </si>
  <si>
    <t>0574-8000-22</t>
  </si>
  <si>
    <t>0574-8000-24</t>
  </si>
  <si>
    <t>0574-8000-25</t>
  </si>
  <si>
    <t>0574-8000-26</t>
  </si>
  <si>
    <t>0574-8000-44</t>
  </si>
  <si>
    <t>ENSAMBLADO DE LA MANGUERA</t>
  </si>
  <si>
    <t>0574-8002-18</t>
  </si>
  <si>
    <t>0574-8002-19</t>
  </si>
  <si>
    <t>0574-8002-21</t>
  </si>
  <si>
    <t>0574-8002-25</t>
  </si>
  <si>
    <t>0574-8002-30</t>
  </si>
  <si>
    <t>0574-8002-43</t>
  </si>
  <si>
    <t>0574-8002-55</t>
  </si>
  <si>
    <t>0574-8002-64</t>
  </si>
  <si>
    <t>0574-8002-65</t>
  </si>
  <si>
    <t>0574-8002-66</t>
  </si>
  <si>
    <t>0574-8002-67</t>
  </si>
  <si>
    <t>0574-8002-71</t>
  </si>
  <si>
    <t>0574-8002-76</t>
  </si>
  <si>
    <t>0574-8002-79</t>
  </si>
  <si>
    <t>0574-8002-81</t>
  </si>
  <si>
    <t>0574-8235-32</t>
  </si>
  <si>
    <t>0574-8235-42</t>
  </si>
  <si>
    <t>0574-8841-39</t>
  </si>
  <si>
    <t>0574-8845-16</t>
  </si>
  <si>
    <t>MANGUERA M16X1 5 X</t>
  </si>
  <si>
    <t>0574-9911-44</t>
  </si>
  <si>
    <t>MANGUERA M38X1 5 X</t>
  </si>
  <si>
    <t>0574-9918-24</t>
  </si>
  <si>
    <t>0575-0125-68</t>
  </si>
  <si>
    <t>0575-0361-18</t>
  </si>
  <si>
    <t>0575-0791-37</t>
  </si>
  <si>
    <t>CODO ACOPLAMIENTO</t>
  </si>
  <si>
    <t>0583-8120-64</t>
  </si>
  <si>
    <t>POLAND</t>
  </si>
  <si>
    <t>Codos, tees, yees, cruces, para presiones superior o igual a 150 psi</t>
  </si>
  <si>
    <t>COUPLING</t>
  </si>
  <si>
    <t>0634-1001-45</t>
  </si>
  <si>
    <t>DENMARK</t>
  </si>
  <si>
    <t>Manufacturas de grafito o de otros carbonos, para usos distintos de los eléctricos</t>
  </si>
  <si>
    <t>EMPAQUE</t>
  </si>
  <si>
    <t>0650-1000-98</t>
  </si>
  <si>
    <t>Arandelas (incluidas las arandelas de muelle [resorte])</t>
  </si>
  <si>
    <t>GASKET</t>
  </si>
  <si>
    <t>0653-1293-00</t>
  </si>
  <si>
    <t>TAIWAN</t>
  </si>
  <si>
    <t>Tornillos, pernos, arandelas y accesorios análogos de uso general</t>
  </si>
  <si>
    <t>0661-1000-38</t>
  </si>
  <si>
    <t>0661-1000-40</t>
  </si>
  <si>
    <t>0661-1000-44</t>
  </si>
  <si>
    <t>MALTA</t>
  </si>
  <si>
    <t>Juntas o empaquetaduras</t>
  </si>
  <si>
    <t>O-RING</t>
  </si>
  <si>
    <t>0663-2101-97</t>
  </si>
  <si>
    <t>0663-2103-11</t>
  </si>
  <si>
    <t>0663-2105-90</t>
  </si>
  <si>
    <t>0663-2106-15</t>
  </si>
  <si>
    <t>0663-2106-17</t>
  </si>
  <si>
    <t>0663-2107-78</t>
  </si>
  <si>
    <t>0663-2107-89</t>
  </si>
  <si>
    <t>0663-2109-49</t>
  </si>
  <si>
    <t>0663-2109-68</t>
  </si>
  <si>
    <t>0663-2114-23</t>
  </si>
  <si>
    <t>0663-2122-71</t>
  </si>
  <si>
    <t>PLUG 1/4 A</t>
  </si>
  <si>
    <t>0686-3716-01</t>
  </si>
  <si>
    <t>UNITED STATES</t>
  </si>
  <si>
    <t>VALVULA DE SEGURIDAD</t>
  </si>
  <si>
    <t>0830-1008-35</t>
  </si>
  <si>
    <t>0830-1009-98</t>
  </si>
  <si>
    <t>Aplica a válvulas para uso domiciliario</t>
  </si>
  <si>
    <t>VALVULAS</t>
  </si>
  <si>
    <t>0830-1011-41</t>
  </si>
  <si>
    <t>Para medida o control de presión. Para mercancías que no correspondan a dispositivos médicos de uso y consumo humano</t>
  </si>
  <si>
    <t>MANOMETRO</t>
  </si>
  <si>
    <t>0872-1000-96</t>
  </si>
  <si>
    <t>ELEMENTO FILTRO DE AIRE</t>
  </si>
  <si>
    <t>1030-1070-00</t>
  </si>
  <si>
    <t>EMPRESA COMERCIAL VELA LEIVA EMCOVELE S.A</t>
  </si>
  <si>
    <t>CUBICULO DE ETIQUETAS</t>
  </si>
  <si>
    <t>1079-9926-38</t>
  </si>
  <si>
    <t>Aparatos de empalme o conexión para una tensión inferior o igual a 260 V e intensidad inferior o igual a 30 A</t>
  </si>
  <si>
    <t>CONECTOR</t>
  </si>
  <si>
    <t>1088-0031-26</t>
  </si>
  <si>
    <t>1088-0031-32</t>
  </si>
  <si>
    <t>1088-0037-80</t>
  </si>
  <si>
    <t>1088-0037-81</t>
  </si>
  <si>
    <t>LOS DEMAS</t>
  </si>
  <si>
    <t>SWITCH DE TEMPERATURA</t>
  </si>
  <si>
    <t>1089-0376-11</t>
  </si>
  <si>
    <t>1089-0376-46</t>
  </si>
  <si>
    <t>SWITCH TEMPERATURA</t>
  </si>
  <si>
    <t>1089-0397-33</t>
  </si>
  <si>
    <t>SWITCH DE PRESION</t>
  </si>
  <si>
    <t>VALVULA</t>
  </si>
  <si>
    <t>1089-0428-14</t>
  </si>
  <si>
    <t>SENSOR TEMPERATURA</t>
  </si>
  <si>
    <t>1089-0574-15</t>
  </si>
  <si>
    <t>1089-0574-70</t>
  </si>
  <si>
    <t>SEN TEMAPERATURA</t>
  </si>
  <si>
    <t>1089-0574-72</t>
  </si>
  <si>
    <t>VALVULA SOLENOIDE</t>
  </si>
  <si>
    <t>1089-0580-09</t>
  </si>
  <si>
    <t>1089-0580-12</t>
  </si>
  <si>
    <t>1089-0580-22</t>
  </si>
  <si>
    <t>APARATOS DE EMPALME O CONEXION PARA UNA TENSION INFERIOR O IGUAL A 260 V E INTENSIDAD INFERIOR O IGUAL A 30 A</t>
  </si>
  <si>
    <t>1089-0599-02</t>
  </si>
  <si>
    <t>1089-0620-52</t>
  </si>
  <si>
    <t>1089-0620-60</t>
  </si>
  <si>
    <t>1089-0621-13</t>
  </si>
  <si>
    <t>1089-0621-16</t>
  </si>
  <si>
    <t>1089-0621-42</t>
  </si>
  <si>
    <t>1089-0637-16</t>
  </si>
  <si>
    <t>1089-0637-17</t>
  </si>
  <si>
    <t>1089-0640-16</t>
  </si>
  <si>
    <t>1089-0641-01</t>
  </si>
  <si>
    <t>1089-0641-12</t>
  </si>
  <si>
    <t>1089-0641-16</t>
  </si>
  <si>
    <t>1089-0702-14</t>
  </si>
  <si>
    <t>1089-0735-36</t>
  </si>
  <si>
    <t>1089-0735-41</t>
  </si>
  <si>
    <t>Llaves presentadas aisladamente</t>
  </si>
  <si>
    <t>LLAVES</t>
  </si>
  <si>
    <t>1089-9068-01</t>
  </si>
  <si>
    <t>SWITZERLAND</t>
  </si>
  <si>
    <t>FILTRO</t>
  </si>
  <si>
    <t>1089-9339-72</t>
  </si>
  <si>
    <t>PARA MEDIDA O CONTROL DE PRESIÓN</t>
  </si>
  <si>
    <t>SENSOR PRESION</t>
  </si>
  <si>
    <t>1089-9625-13</t>
  </si>
  <si>
    <t>1089-9625-16</t>
  </si>
  <si>
    <t>CHINA</t>
  </si>
  <si>
    <t>1092-0126-00</t>
  </si>
  <si>
    <t>1202-7228-01</t>
  </si>
  <si>
    <t>1202-7228-02</t>
  </si>
  <si>
    <t>1202-8522-03</t>
  </si>
  <si>
    <t>Para dispositivos de cierre de tuberías de alta presión</t>
  </si>
  <si>
    <t>1202-8992-00</t>
  </si>
  <si>
    <t>FILTRO AIRE</t>
  </si>
  <si>
    <t>1503-0189-00</t>
  </si>
  <si>
    <t>KIT VALVULA REPARACION</t>
  </si>
  <si>
    <t>1503-5800-60</t>
  </si>
  <si>
    <t>KIT MANTEMIENTO VALVULA</t>
  </si>
  <si>
    <t>KIT VALVULA</t>
  </si>
  <si>
    <t>KIT ANILLOS DE PISTON</t>
  </si>
  <si>
    <t>1503-5809-66</t>
  </si>
  <si>
    <t>JUEGO DE ANILLOS DE PISTON</t>
  </si>
  <si>
    <t>KIT ANILLOS PISTON</t>
  </si>
  <si>
    <t>"Arancel 0% para cabezas y/o cartucho de cierre cerámico; otros elementos de cierre (valvulitas o cabezas con tornillos ascendente); manijas, volantes y botones para apertura y cierre de caudal en artículos de grifería; picos de grifería; rosetas (set com</t>
  </si>
  <si>
    <t>VALVULA DE CIERRE DE ACEITE/PISTON</t>
  </si>
  <si>
    <t>1613-2359-00</t>
  </si>
  <si>
    <t>FILTRO ACEITE</t>
  </si>
  <si>
    <t>1613-6105-90</t>
  </si>
  <si>
    <t>Los  demás</t>
  </si>
  <si>
    <t>RESORTE</t>
  </si>
  <si>
    <t>1613-6817-01</t>
  </si>
  <si>
    <t>Los demás, soldados, de sección circular, de acero inoxidable</t>
  </si>
  <si>
    <t>ASSEMBLY</t>
  </si>
  <si>
    <t>1613-7630-00</t>
  </si>
  <si>
    <t>UNITED KINGDOM</t>
  </si>
  <si>
    <t>PAD ANTIVIBRACION</t>
  </si>
  <si>
    <t>1613-8334-00</t>
  </si>
  <si>
    <t>1613-8430-00</t>
  </si>
  <si>
    <t>ELEMENTO FILTRANTE</t>
  </si>
  <si>
    <t>1613-8720-00</t>
  </si>
  <si>
    <t>ELEMENTO FILTRO</t>
  </si>
  <si>
    <t>1613-8722-81</t>
  </si>
  <si>
    <t>ELEMENTO FILTRO AIRE</t>
  </si>
  <si>
    <t>1613-9001-00</t>
  </si>
  <si>
    <t>MEXICO</t>
  </si>
  <si>
    <t>Indicadores de nivel</t>
  </si>
  <si>
    <t>INDICADOR DE NIVEL</t>
  </si>
  <si>
    <t>1613-9020-00</t>
  </si>
  <si>
    <t>ELEMENTO DE ACOPLAMIENTO</t>
  </si>
  <si>
    <t>1613-9313-00</t>
  </si>
  <si>
    <t>1613-9503-00</t>
  </si>
  <si>
    <t>Sin accesorios</t>
  </si>
  <si>
    <t>1614-6428-00</t>
  </si>
  <si>
    <t>LOS DEMÁS. Aplica para cables para transmisión de datos.Art. 1 de la resolución 10-2014 COMEX.</t>
  </si>
  <si>
    <t>CABLE</t>
  </si>
  <si>
    <t>1614-8126-03</t>
  </si>
  <si>
    <t>Los demás. RTE INEN 021 Y RTE INEN 098</t>
  </si>
  <si>
    <t>CABLES</t>
  </si>
  <si>
    <t>CARCASA DE FILTRO</t>
  </si>
  <si>
    <t>1614-8671-00</t>
  </si>
  <si>
    <t>TUNISIA</t>
  </si>
  <si>
    <t>PARTES</t>
  </si>
  <si>
    <t>ACOPLAMIENTOS DE ELEMENTOS</t>
  </si>
  <si>
    <t>1614-8738-00</t>
  </si>
  <si>
    <t>1614-8791-00</t>
  </si>
  <si>
    <t>1614-8959-00</t>
  </si>
  <si>
    <t>JOINT SET</t>
  </si>
  <si>
    <t>1614-9063-00</t>
  </si>
  <si>
    <t>JOINT</t>
  </si>
  <si>
    <t>1614-9064-00</t>
  </si>
  <si>
    <t>Estirados o laminados en frío</t>
  </si>
  <si>
    <t>LINEA DE CALENTAMIENTO</t>
  </si>
  <si>
    <t>1614-9142-00</t>
  </si>
  <si>
    <t>INDICADORES DE NIVEL</t>
  </si>
  <si>
    <t>1614-9184-00</t>
  </si>
  <si>
    <t>INDICADOR NIVEL</t>
  </si>
  <si>
    <t>1616-5108-00</t>
  </si>
  <si>
    <t>COJINETE</t>
  </si>
  <si>
    <t>1616-5664-00</t>
  </si>
  <si>
    <t>AROS DE OBTURACIÓN (RETENES O RETENEDORES)</t>
  </si>
  <si>
    <t>ANILLO DE SELLO</t>
  </si>
  <si>
    <t>1616-5742-80</t>
  </si>
  <si>
    <t>SELLO LIP</t>
  </si>
  <si>
    <t>1616-6055-00</t>
  </si>
  <si>
    <t>De aleaciones de cobre:</t>
  </si>
  <si>
    <t>NOZZLE</t>
  </si>
  <si>
    <t>1616-6915-00</t>
  </si>
  <si>
    <t>De compresores</t>
  </si>
  <si>
    <t>KIT SERVICIO AIR-END</t>
  </si>
  <si>
    <t>1616-7382-91</t>
  </si>
  <si>
    <t>ELEMENTOS DE SERVICIO</t>
  </si>
  <si>
    <t>1616-7535-92</t>
  </si>
  <si>
    <t>ELEMENTO SERVICIO</t>
  </si>
  <si>
    <t>COMPRESOR</t>
  </si>
  <si>
    <t>1616-8841-90</t>
  </si>
  <si>
    <t>SILENCIADOR</t>
  </si>
  <si>
    <t>1617-6173-00</t>
  </si>
  <si>
    <t>1619-2798-00</t>
  </si>
  <si>
    <t>KIT VALVULA TERMOSTATICA</t>
  </si>
  <si>
    <t>1619-7560-00</t>
  </si>
  <si>
    <t>1621-1389-99</t>
  </si>
  <si>
    <t>DIAFRAGMA REPUESTO</t>
  </si>
  <si>
    <t>1621-1663-00</t>
  </si>
  <si>
    <t>FILTRO DE ACEITE</t>
  </si>
  <si>
    <t>1621-7378-90</t>
  </si>
  <si>
    <t>1621-9633-00</t>
  </si>
  <si>
    <t>1621-9636-00</t>
  </si>
  <si>
    <t>1622-0015-00</t>
  </si>
  <si>
    <t>TUBO RETORNO DE ACEITE</t>
  </si>
  <si>
    <t>1622-0017-00</t>
  </si>
  <si>
    <t>1622-0071-00</t>
  </si>
  <si>
    <t>1622-0492-00</t>
  </si>
  <si>
    <t>1622-0590-00</t>
  </si>
  <si>
    <t>ENFRIADOR</t>
  </si>
  <si>
    <t>1622-0594-07</t>
  </si>
  <si>
    <t>1622-0658-00</t>
  </si>
  <si>
    <t>VARILLA PISTON</t>
  </si>
  <si>
    <t>1622-1773-31</t>
  </si>
  <si>
    <t>VASTAGO DE PISTON</t>
  </si>
  <si>
    <t>1622-1855-01</t>
  </si>
  <si>
    <t>CABLE SENSOR TEMPERATURA</t>
  </si>
  <si>
    <t>1622-3056-10</t>
  </si>
  <si>
    <t>ROMANIA</t>
  </si>
  <si>
    <t>Partes</t>
  </si>
  <si>
    <t>MOTOR REDUCTOR C111</t>
  </si>
  <si>
    <t>1622-3110-35</t>
  </si>
  <si>
    <t>Engranajes y ruedas de fricción, excepto las ruedas dentadas y demás órganos elementales de transmisión presentados aisladamente</t>
  </si>
  <si>
    <t>ENGRANAJE</t>
  </si>
  <si>
    <t>ELEMENTO DE ENGRANAJE</t>
  </si>
  <si>
    <t>1622-3110-36</t>
  </si>
  <si>
    <t>ELEMENTO ENGRANAJE</t>
  </si>
  <si>
    <t>1622-3154-00</t>
  </si>
  <si>
    <t>TUBO FX910XF</t>
  </si>
  <si>
    <t>1622-3155-00</t>
  </si>
  <si>
    <t>NETHERLANDS</t>
  </si>
  <si>
    <t>ASSY VAVLULA DE DESCARGA</t>
  </si>
  <si>
    <t>1622-3490-80</t>
  </si>
  <si>
    <t>1622-3548-11</t>
  </si>
  <si>
    <t>1622-3548-12</t>
  </si>
  <si>
    <t>PISTON DE VARILLA</t>
  </si>
  <si>
    <t>1622-3688-31</t>
  </si>
  <si>
    <t>ENGRANAJE MOTORR</t>
  </si>
  <si>
    <t>1622-3692-57</t>
  </si>
  <si>
    <t>ENGRANAJE ELEMENTO</t>
  </si>
  <si>
    <t>1622-3692-58</t>
  </si>
  <si>
    <t>KIT VALVULA DE DESCARGA</t>
  </si>
  <si>
    <t>1622-3694-80</t>
  </si>
  <si>
    <t>KIT DE VALVULA DE DESCARGA</t>
  </si>
  <si>
    <t>ENFRIADOR ACEITE</t>
  </si>
  <si>
    <t>1622-3766-00</t>
  </si>
  <si>
    <t>1622-4232-07</t>
  </si>
  <si>
    <t>1622-5117-00</t>
  </si>
  <si>
    <t>1622-5126-00</t>
  </si>
  <si>
    <t>RESORTES</t>
  </si>
  <si>
    <t>1622-5662-00</t>
  </si>
  <si>
    <t>1622-6302-12</t>
  </si>
  <si>
    <t>1622-6302-19</t>
  </si>
  <si>
    <t>1622-6302-22</t>
  </si>
  <si>
    <t>1622-6302-29</t>
  </si>
  <si>
    <t>1622-6302-30</t>
  </si>
  <si>
    <t>1622-6990-00</t>
  </si>
  <si>
    <t>JUEGO DE ENGRANAJE</t>
  </si>
  <si>
    <t>1622-6993-75</t>
  </si>
  <si>
    <t>SET ENGRANAJES</t>
  </si>
  <si>
    <t>KIT SERVICIO DE VALVULA DE ADMISION</t>
  </si>
  <si>
    <t>1622-8786-88</t>
  </si>
  <si>
    <t>HUNGARY</t>
  </si>
  <si>
    <t>VALVULA DE CIERRE DE ACEITE</t>
  </si>
  <si>
    <t>1622-9089-20</t>
  </si>
  <si>
    <t>1623-0518-00</t>
  </si>
  <si>
    <t>1623-0519-00</t>
  </si>
  <si>
    <t>TAPA</t>
  </si>
  <si>
    <t>1623-0540-00</t>
  </si>
  <si>
    <t>BUSHING</t>
  </si>
  <si>
    <t>1623-0904-00</t>
  </si>
  <si>
    <t>CONJUNTO DE VALVULA</t>
  </si>
  <si>
    <t>1623-1567-80</t>
  </si>
  <si>
    <t>MONTAJE VALVULA DE DESCARGA</t>
  </si>
  <si>
    <t>1623-1810-80</t>
  </si>
  <si>
    <t>VALVULA ASSEMBLY</t>
  </si>
  <si>
    <t>PRENSA DE VALVULA</t>
  </si>
  <si>
    <t>1623-4457-03</t>
  </si>
  <si>
    <t>COLECTOR DE AIRE</t>
  </si>
  <si>
    <t>1623-9645-00</t>
  </si>
  <si>
    <t>1623-9925-00</t>
  </si>
  <si>
    <t>Accesorios de tubería (por ejemplo: empalmes (racores), codos, manguitos) de aluminio.</t>
  </si>
  <si>
    <t>1624-0636-05</t>
  </si>
  <si>
    <t>1624-0636-07</t>
  </si>
  <si>
    <t>NIPLE HEXAGONAL</t>
  </si>
  <si>
    <t>1624-0637-00</t>
  </si>
  <si>
    <t>Óxido de aluminio, excepto el corindón artificial</t>
  </si>
  <si>
    <t>TUBO ASSEMBLY</t>
  </si>
  <si>
    <t>1624-0999-81</t>
  </si>
  <si>
    <t>1624-0999-82</t>
  </si>
  <si>
    <t>MEDIDOR PRESION</t>
  </si>
  <si>
    <t>1624-1172-00</t>
  </si>
  <si>
    <t>FILTOR SECADOR</t>
  </si>
  <si>
    <t>FILTRO SECADOR</t>
  </si>
  <si>
    <t>1624-2293-00</t>
  </si>
  <si>
    <t>THAILAND</t>
  </si>
  <si>
    <t>1624-2615-08</t>
  </si>
  <si>
    <t>COMPRESOR NN27</t>
  </si>
  <si>
    <t>1624-2615-09</t>
  </si>
  <si>
    <t>DRENAJE AUTOMATICO</t>
  </si>
  <si>
    <t>1624-2950-80</t>
  </si>
  <si>
    <t>VALVULA DRENAJE</t>
  </si>
  <si>
    <t>PANEL DE CONTROL</t>
  </si>
  <si>
    <t>1624-9405-00</t>
  </si>
  <si>
    <t>1625-0033-08</t>
  </si>
  <si>
    <t>LOS DEMÁS</t>
  </si>
  <si>
    <t>1625-2062-10</t>
  </si>
  <si>
    <t>STUD</t>
  </si>
  <si>
    <t>1625-4618-01</t>
  </si>
  <si>
    <t>1625-4800-50</t>
  </si>
  <si>
    <t>Filtros electrostáticos de aire u otros gases</t>
  </si>
  <si>
    <t>SEPARADOR ACEITE</t>
  </si>
  <si>
    <t>1625-4811-51</t>
  </si>
  <si>
    <t>TUBO M40X1,5X11</t>
  </si>
  <si>
    <t>1625-4817-80</t>
  </si>
  <si>
    <t>CONVERTIDOR FRECUENCIA</t>
  </si>
  <si>
    <t>1625-4832-02</t>
  </si>
  <si>
    <t>1625-4847-01</t>
  </si>
  <si>
    <t>MANGUERA M22X1,5</t>
  </si>
  <si>
    <t>1625-4847-02</t>
  </si>
  <si>
    <t>MANGUERA M12X1,5</t>
  </si>
  <si>
    <t>1625-4847-04</t>
  </si>
  <si>
    <t>1625-4847-05</t>
  </si>
  <si>
    <t>1625-4847-07</t>
  </si>
  <si>
    <t>1625-4847-08</t>
  </si>
  <si>
    <t>1625-4847-09</t>
  </si>
  <si>
    <t>1625-4847-10</t>
  </si>
  <si>
    <t>1625-5701-10</t>
  </si>
  <si>
    <t>LINEA RECUPERACION DE TUBERIA</t>
  </si>
  <si>
    <t>1625-5705-00</t>
  </si>
  <si>
    <t>NIPPLE</t>
  </si>
  <si>
    <t>1625-5805-10</t>
  </si>
  <si>
    <t>1625-5953-00</t>
  </si>
  <si>
    <t>1625-7004-81</t>
  </si>
  <si>
    <t>MANGUERA 560</t>
  </si>
  <si>
    <t>SCAVENGE LINE ASSEMBLY</t>
  </si>
  <si>
    <t>1625-7038-00</t>
  </si>
  <si>
    <t>MONTAJE LINEA DE EVACUACION</t>
  </si>
  <si>
    <t>MONTAJE LINEA DESCARGA</t>
  </si>
  <si>
    <t>JUNTA DE SELLO</t>
  </si>
  <si>
    <t>1625-7999-30</t>
  </si>
  <si>
    <t>1625-7999-40</t>
  </si>
  <si>
    <t>1625-8228-01</t>
  </si>
  <si>
    <t>Válvulas reductoras de presión</t>
  </si>
  <si>
    <t>VALVULA REGULADORA</t>
  </si>
  <si>
    <t>1625-8757-00</t>
  </si>
  <si>
    <t>VALVULA REDUCTORA</t>
  </si>
  <si>
    <t>VENTILADOR</t>
  </si>
  <si>
    <t>1625-8988-89</t>
  </si>
  <si>
    <t>KIT VALVULA DE DRENAJE</t>
  </si>
  <si>
    <t>1627-1806-10</t>
  </si>
  <si>
    <t>VALVULA DE DRENAJE AUTOMATICO</t>
  </si>
  <si>
    <t>DRENAJE AUTOMATICO LD20</t>
  </si>
  <si>
    <t>VALVULA DRENAJE AUTOMATICO LD20</t>
  </si>
  <si>
    <t>LOS DEMÁS. Se excluyen cables para transmisión de datos.</t>
  </si>
  <si>
    <t>1629-2141-69</t>
  </si>
  <si>
    <t>1629-2141-93</t>
  </si>
  <si>
    <t>1629-3076-00</t>
  </si>
  <si>
    <t>1630-0406-99</t>
  </si>
  <si>
    <t>FILTRO AIRE/ACEITE</t>
  </si>
  <si>
    <t>1630-0408-99</t>
  </si>
  <si>
    <t>1630-0409-99</t>
  </si>
  <si>
    <t>LAS DEMAS</t>
  </si>
  <si>
    <t>ACEITE</t>
  </si>
  <si>
    <t>PREPARACIONES LUBRICANTES</t>
  </si>
  <si>
    <t>1630-0542-00</t>
  </si>
  <si>
    <t>CZECH REPUBLIC</t>
  </si>
  <si>
    <t>1630-0589-03</t>
  </si>
  <si>
    <t>1630-1126-00</t>
  </si>
  <si>
    <t>Válvulas de retención</t>
  </si>
  <si>
    <t>VALVULA CHECK</t>
  </si>
  <si>
    <t>1630-1161-00</t>
  </si>
  <si>
    <t>METRO CUBICO REAL</t>
  </si>
  <si>
    <t>ACEITES</t>
  </si>
  <si>
    <t>1630-1442-00</t>
  </si>
  <si>
    <t>LOS DEMÁS, CON DISPOSITIVO REGISTRADOR</t>
  </si>
  <si>
    <t>KIT INSTALACION</t>
  </si>
  <si>
    <t>1630-2039-20</t>
  </si>
  <si>
    <t>1630-2181-88</t>
  </si>
  <si>
    <t>1630-2201-36</t>
  </si>
  <si>
    <t>1630-3902-57</t>
  </si>
  <si>
    <t>ENTRADA FILTRO AIRE</t>
  </si>
  <si>
    <t>1630-3904-08</t>
  </si>
  <si>
    <t>HEXAGON PLUG R1</t>
  </si>
  <si>
    <t>1630-5582-00</t>
  </si>
  <si>
    <t>1630-7783-99</t>
  </si>
  <si>
    <t>"LOS DEMAS_(solo para aquellas mercancías diferentes a ""pernos de cabeza de botón oval y sus tuercas""_NO INEN)"</t>
  </si>
  <si>
    <t>TORNILLO SET</t>
  </si>
  <si>
    <t>1635-1552-00</t>
  </si>
  <si>
    <t>1635-2925-00</t>
  </si>
  <si>
    <t>PISTON</t>
  </si>
  <si>
    <t>1635-3388-02</t>
  </si>
  <si>
    <t>1635-4929-00</t>
  </si>
  <si>
    <t>SELLO</t>
  </si>
  <si>
    <t>1635-5401-01</t>
  </si>
  <si>
    <t>DESCARGADOR</t>
  </si>
  <si>
    <t>1635-5407-81</t>
  </si>
  <si>
    <t>REDUCTOR PRESION</t>
  </si>
  <si>
    <t>1635-6036-00</t>
  </si>
  <si>
    <t>VALVULA DE PRESION</t>
  </si>
  <si>
    <t>1635-6036-10</t>
  </si>
  <si>
    <t>ENFRIADOR DE ACEITE</t>
  </si>
  <si>
    <t>1635-6698-00</t>
  </si>
  <si>
    <t>1635-7883-00</t>
  </si>
  <si>
    <t>BUFFER</t>
  </si>
  <si>
    <t>1635-8302-00</t>
  </si>
  <si>
    <t>1635-8394-00</t>
  </si>
  <si>
    <t>VALVULA PRESION</t>
  </si>
  <si>
    <t>1635-8572-80</t>
  </si>
  <si>
    <t>VALVULA PRESSURE</t>
  </si>
  <si>
    <t>1635-8629-00</t>
  </si>
  <si>
    <t>1635-8630-00</t>
  </si>
  <si>
    <t>1635-8631-00</t>
  </si>
  <si>
    <t>PLATE</t>
  </si>
  <si>
    <t>1830-0141-96</t>
  </si>
  <si>
    <t>1830-0181-77</t>
  </si>
  <si>
    <t>VALVULA CIERRE DE ACEITE</t>
  </si>
  <si>
    <t>1830-0194-45</t>
  </si>
  <si>
    <t>1830-0204-79</t>
  </si>
  <si>
    <t>1837-0018-81</t>
  </si>
  <si>
    <t>KIT FILTRO AIRE</t>
  </si>
  <si>
    <t>1837-0018-83</t>
  </si>
  <si>
    <t>KIT FILTRO ACEITE</t>
  </si>
  <si>
    <t>1837-0018-84</t>
  </si>
  <si>
    <t>1837-0018-85</t>
  </si>
  <si>
    <t>LOS DEMÁS:</t>
  </si>
  <si>
    <t>KIT DE CONECTIVIDAD</t>
  </si>
  <si>
    <t>1837-0024-27</t>
  </si>
  <si>
    <t>1837-0057-03</t>
  </si>
  <si>
    <t>KIT FILTRO A 5-7KW</t>
  </si>
  <si>
    <t>1837-0063-48</t>
  </si>
  <si>
    <t>KIT FILTRO</t>
  </si>
  <si>
    <t>1837-0064-41</t>
  </si>
  <si>
    <t>1837-0080-04</t>
  </si>
  <si>
    <t>1837-0082-54</t>
  </si>
  <si>
    <t>KIT SEPARADOR</t>
  </si>
  <si>
    <t>1837-0082-56</t>
  </si>
  <si>
    <t>BRAZIL</t>
  </si>
  <si>
    <t>KIT CONECTORES PARA MOTOR</t>
  </si>
  <si>
    <t>1837-0085-12</t>
  </si>
  <si>
    <t>1837-0289-58</t>
  </si>
  <si>
    <t>KIT SEPARADOR ACEITE</t>
  </si>
  <si>
    <t>1837-0289-64</t>
  </si>
  <si>
    <t>PANEL DE CONTROL MK55 TOUCH</t>
  </si>
  <si>
    <t>1837-0310-14</t>
  </si>
  <si>
    <t>KIT MK5S TOUCH</t>
  </si>
  <si>
    <t>1837-0310-16</t>
  </si>
  <si>
    <t>1900-5200-13</t>
  </si>
  <si>
    <t>1900-5204-00</t>
  </si>
  <si>
    <t>SWITCH PRESION</t>
  </si>
  <si>
    <t>2200-6006-82</t>
  </si>
  <si>
    <t>2200-9005-32</t>
  </si>
  <si>
    <t>KIT REPUESTO DESCARGADOR</t>
  </si>
  <si>
    <t>2200-9009-61</t>
  </si>
  <si>
    <t>REPUESTOS DESCARGADOR</t>
  </si>
  <si>
    <t>REPUESTOS DESCARGADOR VALVULA</t>
  </si>
  <si>
    <t>KIT VALVULA DRENAJE</t>
  </si>
  <si>
    <t>2200-9020-17</t>
  </si>
  <si>
    <t>DRENAJE DESGASTE</t>
  </si>
  <si>
    <t>2202-2124-21</t>
  </si>
  <si>
    <t>TAPON P/LLENADO DE ACEITE</t>
  </si>
  <si>
    <t>2202-7050-01</t>
  </si>
  <si>
    <t>2202-7050-02</t>
  </si>
  <si>
    <t>2202-7050-03</t>
  </si>
  <si>
    <t>2202-7050-04</t>
  </si>
  <si>
    <t>2202-7298-01</t>
  </si>
  <si>
    <t>LIT VALVULA DE DRENAJE</t>
  </si>
  <si>
    <t>2202-8159-31</t>
  </si>
  <si>
    <t>DRENAJE ELECTRONICO</t>
  </si>
  <si>
    <t>2202-8159-32</t>
  </si>
  <si>
    <t>2202-8159-40</t>
  </si>
  <si>
    <t>DRENAJE LD 200V</t>
  </si>
  <si>
    <t>VALVULA SEGURIDAD</t>
  </si>
  <si>
    <t>2202-8891-01</t>
  </si>
  <si>
    <t>2202-8891-02</t>
  </si>
  <si>
    <t>2202-8891-05</t>
  </si>
  <si>
    <t>2202-9132-02</t>
  </si>
  <si>
    <t>De Acero y sus aleaciones</t>
  </si>
  <si>
    <t>POLEA</t>
  </si>
  <si>
    <t>2202-9148-06</t>
  </si>
  <si>
    <t>2202-9259-04</t>
  </si>
  <si>
    <t>FILTRO SEPARADOR ACEITE/AIRE</t>
  </si>
  <si>
    <t>2202-9294-50</t>
  </si>
  <si>
    <t>SEPARADOR ACEITE/AIRE</t>
  </si>
  <si>
    <t>2202-9295-50</t>
  </si>
  <si>
    <t>2202-9296-50</t>
  </si>
  <si>
    <t>2202-9297-00</t>
  </si>
  <si>
    <t>MANGUERA FLEXIBLE</t>
  </si>
  <si>
    <t>2202-9325-01</t>
  </si>
  <si>
    <t>BLOQUE D/INSTRUMENTOS W/N</t>
  </si>
  <si>
    <t>2202-9379-86</t>
  </si>
  <si>
    <t>DESCARGADOR AIRE</t>
  </si>
  <si>
    <t>2202-9829-00</t>
  </si>
  <si>
    <t>2203-0387-00</t>
  </si>
  <si>
    <t>SLOVENIA</t>
  </si>
  <si>
    <t>VENTILADOR D400 MULTI</t>
  </si>
  <si>
    <t>VNTILADOR</t>
  </si>
  <si>
    <t>2203-0488-00</t>
  </si>
  <si>
    <t>2203-0999-21</t>
  </si>
  <si>
    <t>2204-1031-00</t>
  </si>
  <si>
    <t>2204-1042-00</t>
  </si>
  <si>
    <t>MANGUERA AIRE-ACEITE</t>
  </si>
  <si>
    <t>2204-1077-00</t>
  </si>
  <si>
    <t>2204-1209-01</t>
  </si>
  <si>
    <t>2204-1321-01</t>
  </si>
  <si>
    <t>2204-1321-02</t>
  </si>
  <si>
    <t>2204-1546-01</t>
  </si>
  <si>
    <t>2204-1556-56</t>
  </si>
  <si>
    <t>2204-1861-54</t>
  </si>
  <si>
    <t>MONTAJE DE TUBO</t>
  </si>
  <si>
    <t>2204-2082-81</t>
  </si>
  <si>
    <t>VALVULA DRENAJE AUTOMATICO</t>
  </si>
  <si>
    <t>2204-2134-10</t>
  </si>
  <si>
    <t>DRENAJE LDI 200V</t>
  </si>
  <si>
    <t>VALVULA DRENAJE LDI</t>
  </si>
  <si>
    <t>DESCARGADOR C40/C4</t>
  </si>
  <si>
    <t>2204-2138-14</t>
  </si>
  <si>
    <t>SENSOR</t>
  </si>
  <si>
    <t>2205-0313-01</t>
  </si>
  <si>
    <t>KIT SENSOR PRESS</t>
  </si>
  <si>
    <t>Para mercancías que no correspondan a dispositivos médicos de uso y consumo humano</t>
  </si>
  <si>
    <t>KIT DE PRESION</t>
  </si>
  <si>
    <t>KIT SENSOR PRESION</t>
  </si>
  <si>
    <t>KIT SERVICIO B B</t>
  </si>
  <si>
    <t>2230-0018-09</t>
  </si>
  <si>
    <t>KIT SERVICIO</t>
  </si>
  <si>
    <t>2230-0018-12</t>
  </si>
  <si>
    <t>LOS DEMAS, INCLUIDOS LOS RODAMIENTOS COMBINADOS</t>
  </si>
  <si>
    <t>2230-0020-00</t>
  </si>
  <si>
    <t>2230-5018-70</t>
  </si>
  <si>
    <t>2230-5018-71</t>
  </si>
  <si>
    <t>2235-2544-00</t>
  </si>
  <si>
    <t>DAMPER</t>
  </si>
  <si>
    <t>Reducción &lt;&lt;niple No-Go&gt;&gt;</t>
  </si>
  <si>
    <t>2235-6421-00</t>
  </si>
  <si>
    <t>2236-0438-80</t>
  </si>
  <si>
    <t>AUSTRIA</t>
  </si>
  <si>
    <t>GRASAS LUBRICANTES</t>
  </si>
  <si>
    <t>2892-6100-20</t>
  </si>
  <si>
    <t>2901-0000-00</t>
  </si>
  <si>
    <t>VALVULA DESCARGADOR</t>
  </si>
  <si>
    <t>2901-0002-01</t>
  </si>
  <si>
    <t>SEPARADOR DE ACEITE</t>
  </si>
  <si>
    <t>2901-0003-00</t>
  </si>
  <si>
    <t>KIT SEPARADOR ACEITE/AIRE</t>
  </si>
  <si>
    <t>KIT SERVICIO VALVULA</t>
  </si>
  <si>
    <t>2901-0007-00</t>
  </si>
  <si>
    <t>KIT SERVICIO VALVULA CHECK</t>
  </si>
  <si>
    <t>2901-0014-00</t>
  </si>
  <si>
    <t>KIT VALVULA CHECK</t>
  </si>
  <si>
    <t>2901-0014-50</t>
  </si>
  <si>
    <t>SEPARADOR</t>
  </si>
  <si>
    <t>2901-0070-00</t>
  </si>
  <si>
    <t>KIT TERMOSTATO</t>
  </si>
  <si>
    <t>2901-0074-00</t>
  </si>
  <si>
    <t>Los demás, incluidos los rodamientos combinados</t>
  </si>
  <si>
    <t>RODAMIENTO</t>
  </si>
  <si>
    <t>2901-0189-00</t>
  </si>
  <si>
    <t>2901-0212-00</t>
  </si>
  <si>
    <t>SEPARADOR DE ACEITE/AIRE</t>
  </si>
  <si>
    <t>2901-0213-01</t>
  </si>
  <si>
    <t>SEPARADOR G</t>
  </si>
  <si>
    <t>SET RECONT WD80</t>
  </si>
  <si>
    <t>2901-0215-00</t>
  </si>
  <si>
    <t>SET RECOND WD80</t>
  </si>
  <si>
    <t>KIT VALVULA CONTROL/STOP</t>
  </si>
  <si>
    <t>2901-0217-04</t>
  </si>
  <si>
    <t>KIT VALVULA DE RETENCION/STOP ACEITE</t>
  </si>
  <si>
    <t>KIT VALVULA RETENCION/STOP ACEITE</t>
  </si>
  <si>
    <t>KIT MANTENIMIENTO VALVULA</t>
  </si>
  <si>
    <t>2901-0218-00</t>
  </si>
  <si>
    <t>Los demás rodamientos de rodillos cilíndricos, incluidos los ensamblajes de jaulas y rodillos</t>
  </si>
  <si>
    <t>2901-0231-00</t>
  </si>
  <si>
    <t>KIT MANTENIMIENTO</t>
  </si>
  <si>
    <t>2901-0298-01</t>
  </si>
  <si>
    <t>KIT VALVULA DESCARGA</t>
  </si>
  <si>
    <t>2901-0302-00</t>
  </si>
  <si>
    <t>2901-0338-03</t>
  </si>
  <si>
    <t>GRASAS LUBRICANTE</t>
  </si>
  <si>
    <t>KIT SELLO EJE</t>
  </si>
  <si>
    <t>2901-0561-00</t>
  </si>
  <si>
    <t>KIT SELLO DE EJE</t>
  </si>
  <si>
    <t>2901-0563-00</t>
  </si>
  <si>
    <t>2901-0566-02</t>
  </si>
  <si>
    <t>2901-0566-22</t>
  </si>
  <si>
    <t>KIT VALVULA DRENAJE MANUAL</t>
  </si>
  <si>
    <t>2901-0611-00</t>
  </si>
  <si>
    <t>SET VALVULA DESGASTE</t>
  </si>
  <si>
    <t>2901-0633-20</t>
  </si>
  <si>
    <t>CONJUNTO DE DESGASTE</t>
  </si>
  <si>
    <t>KIT VALVULA DESGASTE</t>
  </si>
  <si>
    <t>UNIDAD DE VALVULA</t>
  </si>
  <si>
    <t>2901-0635-20</t>
  </si>
  <si>
    <t>KIT UNIDAD DE VALVULA</t>
  </si>
  <si>
    <t>2901-0709-00</t>
  </si>
  <si>
    <t>2901-0748-00</t>
  </si>
  <si>
    <t>VALVULA DRENAJE WSD80</t>
  </si>
  <si>
    <t>2901-0750-00</t>
  </si>
  <si>
    <t>2901-0779-00</t>
  </si>
  <si>
    <t>2901-0779-01</t>
  </si>
  <si>
    <t>2901-0865-01</t>
  </si>
  <si>
    <t>2901-0866-01</t>
  </si>
  <si>
    <t>FILTRO GA/X</t>
  </si>
  <si>
    <t>KIT FILTRO SEPARADOR</t>
  </si>
  <si>
    <t>2901-0919-00</t>
  </si>
  <si>
    <t>FILTRO SEPARADOR</t>
  </si>
  <si>
    <t>KIT SEPARADOR FILTRO</t>
  </si>
  <si>
    <t>KIT MONTAJE DE ELEMENTOS</t>
  </si>
  <si>
    <t>2901-0919-20</t>
  </si>
  <si>
    <t>KIT MANTENIMIENTO VALVULA DE PRESION</t>
  </si>
  <si>
    <t>2901-0997-00</t>
  </si>
  <si>
    <t>KIT VALVULA PRESION MINIMA</t>
  </si>
  <si>
    <t>KIT ANTIRETORNO NON</t>
  </si>
  <si>
    <t>2901-1077-00</t>
  </si>
  <si>
    <t>KIT VALVULA NO RETORNO</t>
  </si>
  <si>
    <t>KIT VALVULA SIN RETORNO</t>
  </si>
  <si>
    <t>KIT VALVULA CIERRE/ACEITE</t>
  </si>
  <si>
    <t>2901-1084-01</t>
  </si>
  <si>
    <t>2901-1089-01</t>
  </si>
  <si>
    <t>KIT REPARACION VALVULA TERMOSTATICA</t>
  </si>
  <si>
    <t>2901-1095-00</t>
  </si>
  <si>
    <t>KIT VALVULA TERMOSTATO</t>
  </si>
  <si>
    <t>VALVULA TERMOSTATO</t>
  </si>
  <si>
    <t>KIT SELLO</t>
  </si>
  <si>
    <t>2901-1097-00</t>
  </si>
  <si>
    <t>PREVENCION - MANTENIMIENTO</t>
  </si>
  <si>
    <t>2901-1292-00</t>
  </si>
  <si>
    <t>KIT MANTENIMIENTO PREVENTIVO</t>
  </si>
  <si>
    <t>2901-1292-41</t>
  </si>
  <si>
    <t>SET TUBOS DE SALIDA</t>
  </si>
  <si>
    <t>2901-1397-00</t>
  </si>
  <si>
    <t>KIT ELEMENTOS</t>
  </si>
  <si>
    <t>2901-1399-00</t>
  </si>
  <si>
    <t>CARBÓN ACTIVADO</t>
  </si>
  <si>
    <t>SERVICIO OSC DIBT</t>
  </si>
  <si>
    <t>2901-1400-31</t>
  </si>
  <si>
    <t>Carbón activado</t>
  </si>
  <si>
    <t>KIT SERVICE OSC</t>
  </si>
  <si>
    <t>KIT LINEA DE DESCARGA</t>
  </si>
  <si>
    <t>2901-1452-00</t>
  </si>
  <si>
    <t>NO REQUIERE INEN PRODUCTOS DISTINTOS DE PERFILES CORRUGADOS Y POSTES DE ACERO GUARDAVIAS</t>
  </si>
  <si>
    <t>2901-1453-00</t>
  </si>
  <si>
    <t>KIT VAVULA PRESION MINIMA</t>
  </si>
  <si>
    <t>KIT DE TERMOSTATO</t>
  </si>
  <si>
    <t>2901-1454-00</t>
  </si>
  <si>
    <t>2901-1463-00</t>
  </si>
  <si>
    <t>2901-1464-00</t>
  </si>
  <si>
    <t>DRENAJE ELECTRICO</t>
  </si>
  <si>
    <t>2901-1465-51</t>
  </si>
  <si>
    <t>KIT DE SELLO</t>
  </si>
  <si>
    <t>2901-1569-00</t>
  </si>
  <si>
    <t>KIT SELLO LIP</t>
  </si>
  <si>
    <t>KIT SELLO DEL EJE</t>
  </si>
  <si>
    <t>2901-1580-00</t>
  </si>
  <si>
    <t>KIT DE SERVICIO MS50/100A</t>
  </si>
  <si>
    <t>2901-1601-00</t>
  </si>
  <si>
    <t>KIT VALVULA RETORNO ACEITE</t>
  </si>
  <si>
    <t>2901-1615-00</t>
  </si>
  <si>
    <t>KIT LINEA EVACUACION</t>
  </si>
  <si>
    <t>2901-1616-00</t>
  </si>
  <si>
    <t>2901-1617-00</t>
  </si>
  <si>
    <t>KIT VALVULA TERMOSTATICA TROPICAL</t>
  </si>
  <si>
    <t>2901-1618-00</t>
  </si>
  <si>
    <t>TERMO TROPICAL</t>
  </si>
  <si>
    <t>2901-1622-00</t>
  </si>
  <si>
    <t>VALVULA DE DESCARGA</t>
  </si>
  <si>
    <t>VALVULA DE ENTRADA</t>
  </si>
  <si>
    <t>2901-1626-00</t>
  </si>
  <si>
    <t>SEPARACIONES DE ACEITE</t>
  </si>
  <si>
    <t>2901-1626-10</t>
  </si>
  <si>
    <t>MONTAJE DE ELEMENTOS</t>
  </si>
  <si>
    <t>2901-1639-00</t>
  </si>
  <si>
    <t>ELEMENTOS MONTAJE</t>
  </si>
  <si>
    <t>2901-1641-01</t>
  </si>
  <si>
    <t>2901-1643-00</t>
  </si>
  <si>
    <t>ELEMENTO MOUNTIN</t>
  </si>
  <si>
    <t>2901-1644-00</t>
  </si>
  <si>
    <t>MONTAJE ELEMENTOS</t>
  </si>
  <si>
    <t>2901-1646-00</t>
  </si>
  <si>
    <t>ELEMENTO OVERHAU</t>
  </si>
  <si>
    <t>2901-1702-00</t>
  </si>
  <si>
    <t>2901-1875-00</t>
  </si>
  <si>
    <t>2901-1910-21</t>
  </si>
  <si>
    <t>2901-1910-22</t>
  </si>
  <si>
    <t>KIT REPUESTO DISPLAYCARD</t>
  </si>
  <si>
    <t>2901-1920-01</t>
  </si>
  <si>
    <t>2901-1944-02</t>
  </si>
  <si>
    <t>2901-1947-02</t>
  </si>
  <si>
    <t>2901-1948-02</t>
  </si>
  <si>
    <t>MOTOR OVERHAUL</t>
  </si>
  <si>
    <t>2901-1951-01</t>
  </si>
  <si>
    <t>2901-1952-00</t>
  </si>
  <si>
    <t>2901-1953-00</t>
  </si>
  <si>
    <t>MOTOR OVERH</t>
  </si>
  <si>
    <t>COJINETES</t>
  </si>
  <si>
    <t>KIT SELLO LIP GA</t>
  </si>
  <si>
    <t>2901-1955-00</t>
  </si>
  <si>
    <t>KIT MONTAJE ELEMENTOS</t>
  </si>
  <si>
    <t>2901-1957-00</t>
  </si>
  <si>
    <t>KIT ELEMENTOS MONTAJE</t>
  </si>
  <si>
    <t>2901-1958-00</t>
  </si>
  <si>
    <t>2901-1959-00</t>
  </si>
  <si>
    <t>KIT ELEMENT OVE</t>
  </si>
  <si>
    <t>KIT VALVULA STOP ACEITE</t>
  </si>
  <si>
    <t>2901-1960-00</t>
  </si>
  <si>
    <t>KIT VALVULA DE CIERRE DE ACEITE</t>
  </si>
  <si>
    <t>2901-1961-00</t>
  </si>
  <si>
    <t>LLENADO DE AIRE Y ACEITE</t>
  </si>
  <si>
    <t>2901-1962-00</t>
  </si>
  <si>
    <t>2901-1963-00</t>
  </si>
  <si>
    <t>SEPARADORDE ACEITE</t>
  </si>
  <si>
    <t>2901-1970-00</t>
  </si>
  <si>
    <t>FILTRO QD35</t>
  </si>
  <si>
    <t>2901-2005-02</t>
  </si>
  <si>
    <t>FILTRO QD50</t>
  </si>
  <si>
    <t>2901-2005-03</t>
  </si>
  <si>
    <t>2901-2005-04</t>
  </si>
  <si>
    <t>2901-2005-05</t>
  </si>
  <si>
    <t>FILTRO QD31</t>
  </si>
  <si>
    <t>2901-2005-08</t>
  </si>
  <si>
    <t>2901-2005-50</t>
  </si>
  <si>
    <t>2901-2006-10</t>
  </si>
  <si>
    <t>VALVULA RETENCION</t>
  </si>
  <si>
    <t>2901-2006-11</t>
  </si>
  <si>
    <t>VAVULA ANTI-RETORNO</t>
  </si>
  <si>
    <t>KIT FILTRO CUBICULO</t>
  </si>
  <si>
    <t>2901-2006-12</t>
  </si>
  <si>
    <t>2901-2006-16</t>
  </si>
  <si>
    <t>2901-2006-50</t>
  </si>
  <si>
    <t>FILTRO/SEPARADOR</t>
  </si>
  <si>
    <t>SEPARADOR FILTRO</t>
  </si>
  <si>
    <t>2901-2006-51</t>
  </si>
  <si>
    <t>KIT SERVICIO VALVULA PRESION</t>
  </si>
  <si>
    <t>2901-2006-53</t>
  </si>
  <si>
    <t>2901-2006-54</t>
  </si>
  <si>
    <t>Rodamientos de bolas</t>
  </si>
  <si>
    <t>KIT JUNTA DE BOQUE INSTRUMENTOS</t>
  </si>
  <si>
    <t>2901-2006-56</t>
  </si>
  <si>
    <t>KIT VALVULA RETENCION</t>
  </si>
  <si>
    <t>2901-2012-00</t>
  </si>
  <si>
    <t>KIT DE REACONDICIONAMIENTO DE ELEMENTOS</t>
  </si>
  <si>
    <t>2901-2015-00</t>
  </si>
  <si>
    <t>2901-2016-00</t>
  </si>
  <si>
    <t>2901-2017-00</t>
  </si>
  <si>
    <t>KIT VALVULA OSV/CV</t>
  </si>
  <si>
    <t>2901-2018-00</t>
  </si>
  <si>
    <t>2901-2020-00</t>
  </si>
  <si>
    <t>2901-2021-00</t>
  </si>
  <si>
    <t>2901-2023-00</t>
  </si>
  <si>
    <t>2901-2024-00</t>
  </si>
  <si>
    <t>KIT MOTOR OVERH</t>
  </si>
  <si>
    <t>2901-2047-00</t>
  </si>
  <si>
    <t>MONTAJE DE ELEMENTO</t>
  </si>
  <si>
    <t>2901-2049-00</t>
  </si>
  <si>
    <t>KI T ELEMENTOS DE MONTAJE</t>
  </si>
  <si>
    <t>2901-2051-00</t>
  </si>
  <si>
    <t>2901-2052-00</t>
  </si>
  <si>
    <t>2901-2053-00</t>
  </si>
  <si>
    <t>2901-2055-00</t>
  </si>
  <si>
    <t>KIT SEPARADOR DE FILTRO/ACEITE</t>
  </si>
  <si>
    <t>2901-2079-11</t>
  </si>
  <si>
    <t>2901-2079-12</t>
  </si>
  <si>
    <t>2901-2079-13</t>
  </si>
  <si>
    <t>2901-2079-14</t>
  </si>
  <si>
    <t>2901-2079-15</t>
  </si>
  <si>
    <t>2901-2079-16</t>
  </si>
  <si>
    <t>2901-2079-17</t>
  </si>
  <si>
    <t>2901-2079-32</t>
  </si>
  <si>
    <t>2901-2079-33</t>
  </si>
  <si>
    <t>2901-2079-34</t>
  </si>
  <si>
    <t>2901-2079-35</t>
  </si>
  <si>
    <t>2901-2079-36</t>
  </si>
  <si>
    <t>2901-2079-37</t>
  </si>
  <si>
    <t>2901-2079-50</t>
  </si>
  <si>
    <t>FILTRO UD15</t>
  </si>
  <si>
    <t>2901-2079-51</t>
  </si>
  <si>
    <t>2901-2079-53</t>
  </si>
  <si>
    <t>FILTRO UD75</t>
  </si>
  <si>
    <t>2901-2079-54</t>
  </si>
  <si>
    <t>2901-2080-10</t>
  </si>
  <si>
    <t>2901-2080-32</t>
  </si>
  <si>
    <t>2901-2080-34</t>
  </si>
  <si>
    <t>2901-3000-00</t>
  </si>
  <si>
    <t>2901-3000-01</t>
  </si>
  <si>
    <t>2901-3000-02</t>
  </si>
  <si>
    <t>KIT FILTRO DD/D</t>
  </si>
  <si>
    <t>2901-3000-03</t>
  </si>
  <si>
    <t>2901-3000-04</t>
  </si>
  <si>
    <t>2901-3000-05</t>
  </si>
  <si>
    <t>KIT DE FILTRO DD/D</t>
  </si>
  <si>
    <t>2901-3000-06</t>
  </si>
  <si>
    <t>2901-3000-07</t>
  </si>
  <si>
    <t>2901-3000-08</t>
  </si>
  <si>
    <t>2901-3000-09</t>
  </si>
  <si>
    <t>2901-3000-10</t>
  </si>
  <si>
    <t>2901-3000-11</t>
  </si>
  <si>
    <t>2901-3001-01</t>
  </si>
  <si>
    <t>KIT FILTRO PD/P</t>
  </si>
  <si>
    <t>2901-3001-02</t>
  </si>
  <si>
    <t>2901-3001-03</t>
  </si>
  <si>
    <t>2901-3001-04</t>
  </si>
  <si>
    <t>2901-3001-05</t>
  </si>
  <si>
    <t>KIT DE FILTRO PD/P</t>
  </si>
  <si>
    <t>2901-3001-06</t>
  </si>
  <si>
    <t>KIT FILTRO PD/D</t>
  </si>
  <si>
    <t>2901-3001-07</t>
  </si>
  <si>
    <t>2901-3001-08</t>
  </si>
  <si>
    <t>2901-3001-09</t>
  </si>
  <si>
    <t>2901-3001-10</t>
  </si>
  <si>
    <t>2901-3001-11</t>
  </si>
  <si>
    <t>KIT FILTRO UD 2</t>
  </si>
  <si>
    <t>2901-3004-03</t>
  </si>
  <si>
    <t>2901-3004-04</t>
  </si>
  <si>
    <t>2901-3004-05</t>
  </si>
  <si>
    <t>2901-3004-06</t>
  </si>
  <si>
    <t>KIT FILTRO UD 1</t>
  </si>
  <si>
    <t>2901-3004-07</t>
  </si>
  <si>
    <t>2901-3004-09</t>
  </si>
  <si>
    <t>KIT FILTRO UD 3</t>
  </si>
  <si>
    <t>2901-3004-10</t>
  </si>
  <si>
    <t>2901-3004-11</t>
  </si>
  <si>
    <t>2901-3500-00</t>
  </si>
  <si>
    <t>2901-3501-00</t>
  </si>
  <si>
    <t>2901-3504-00</t>
  </si>
  <si>
    <t>2901-3506-00</t>
  </si>
  <si>
    <t>2901-3513-00</t>
  </si>
  <si>
    <t>2901-3531-00</t>
  </si>
  <si>
    <t>KIT VALVULA TERMICA</t>
  </si>
  <si>
    <t>2901-3532-00</t>
  </si>
  <si>
    <t>2901-3533-00</t>
  </si>
  <si>
    <t>2901-3537-00</t>
  </si>
  <si>
    <t>KIT VALVULA TERMOTATICO</t>
  </si>
  <si>
    <t>2901-3545-00</t>
  </si>
  <si>
    <t>KIT VALVULAS MPV+THV 71</t>
  </si>
  <si>
    <t>2901-3568-64</t>
  </si>
  <si>
    <t>KIT VALVULAS MPV+THV 83</t>
  </si>
  <si>
    <t>2901-3568-65</t>
  </si>
  <si>
    <t>KIT SERVICIO VCU</t>
  </si>
  <si>
    <t>2901-3581-00</t>
  </si>
  <si>
    <t>2901-5005-00</t>
  </si>
  <si>
    <t>EJE SELLADO</t>
  </si>
  <si>
    <t>2901-9195-00</t>
  </si>
  <si>
    <t>2901-9200-00</t>
  </si>
  <si>
    <t>2901-9200-20</t>
  </si>
  <si>
    <t>2901-9200-30</t>
  </si>
  <si>
    <t>2901-9200-40</t>
  </si>
  <si>
    <t>SEPARADOR AIRE/ACEITE</t>
  </si>
  <si>
    <t>2901-9200-70</t>
  </si>
  <si>
    <t>2901-9900-33</t>
  </si>
  <si>
    <t>2901-9900-78</t>
  </si>
  <si>
    <t>2901-9900-96</t>
  </si>
  <si>
    <t>Los demás:</t>
  </si>
  <si>
    <t>2901-9900-97</t>
  </si>
  <si>
    <t>2901-9900-98</t>
  </si>
  <si>
    <t>KIT VALVULA ENTRADA</t>
  </si>
  <si>
    <t>2901-9900-99</t>
  </si>
  <si>
    <t>2901-9901-03</t>
  </si>
  <si>
    <t>2901-9904-20</t>
  </si>
  <si>
    <t>2901-9904-21</t>
  </si>
  <si>
    <t>KIT VALVULA DESCARGADOR</t>
  </si>
  <si>
    <t>2901-9904-23</t>
  </si>
  <si>
    <t>KIT SENSOR PUNTO</t>
  </si>
  <si>
    <t>2901-9905-61</t>
  </si>
  <si>
    <t>2901-9905-64</t>
  </si>
  <si>
    <t>2901-9906-85</t>
  </si>
  <si>
    <t>SET DE C200 ELEMENTOS</t>
  </si>
  <si>
    <t>2901-9907-41</t>
  </si>
  <si>
    <t>2901-9908-15</t>
  </si>
  <si>
    <t>2901-9908-16</t>
  </si>
  <si>
    <t>VALVULA NO RETORNO</t>
  </si>
  <si>
    <t>2901-9908-18</t>
  </si>
  <si>
    <t>2901-9908-23</t>
  </si>
  <si>
    <t>2901-9908-29</t>
  </si>
  <si>
    <t>2901-9909-24</t>
  </si>
  <si>
    <t>KIT RECONSTRUCCION DE RODAMIENTOS</t>
  </si>
  <si>
    <t>2901-9909-58</t>
  </si>
  <si>
    <t>2902-0161-00</t>
  </si>
  <si>
    <t>KIT DESCARGADOR</t>
  </si>
  <si>
    <t>2902-0161-01</t>
  </si>
  <si>
    <t>VALVULA DESCARGA</t>
  </si>
  <si>
    <t>VALVULA ANTI-RETORNO</t>
  </si>
  <si>
    <t>2902-0370-00</t>
  </si>
  <si>
    <t>2903-0337-01</t>
  </si>
  <si>
    <t>2903-0351-01</t>
  </si>
  <si>
    <t>2903-0623-01</t>
  </si>
  <si>
    <t>ELEMENTO DE FILTRO DE AIRE</t>
  </si>
  <si>
    <t>2903-1012-00</t>
  </si>
  <si>
    <t>2903-1021-29</t>
  </si>
  <si>
    <t>2903-1021-42</t>
  </si>
  <si>
    <t>2903-1023-01</t>
  </si>
  <si>
    <t>2903-1024-01</t>
  </si>
  <si>
    <t>2903-1024-03</t>
  </si>
  <si>
    <t>2903-1024-04</t>
  </si>
  <si>
    <t>2903-1024-23</t>
  </si>
  <si>
    <t>2903-1024-26</t>
  </si>
  <si>
    <t>2903-7407-00</t>
  </si>
  <si>
    <t>2903-7526-00</t>
  </si>
  <si>
    <t>2903-7836-00</t>
  </si>
  <si>
    <t>KIT DE SERVICIO VALVULA</t>
  </si>
  <si>
    <t>2904-5000-69</t>
  </si>
  <si>
    <t>2904-5002-00</t>
  </si>
  <si>
    <t>2906-0005-02</t>
  </si>
  <si>
    <t>KIT FILTRO AIRE/ACEITE</t>
  </si>
  <si>
    <t>2906-0021-00</t>
  </si>
  <si>
    <t>2906-005-02</t>
  </si>
  <si>
    <t>2906-0093-00</t>
  </si>
  <si>
    <t>2906-0098-00</t>
  </si>
  <si>
    <t>Para carburante, aceite o refrigerante de los demás motores</t>
  </si>
  <si>
    <t>KIT BOMBA DE ACEITE</t>
  </si>
  <si>
    <t>2906-0178-00</t>
  </si>
  <si>
    <t>2906-0186-00</t>
  </si>
  <si>
    <t>KIT GEARBOX OVERHAUL</t>
  </si>
  <si>
    <t>2906-0218-00</t>
  </si>
  <si>
    <t>Rodamientos de rodillos en forma de tonel</t>
  </si>
  <si>
    <t>2906-0222-00</t>
  </si>
  <si>
    <t>2906-0230-00</t>
  </si>
  <si>
    <t>KIT SERVICIO MONTAJE ELEMENTOS</t>
  </si>
  <si>
    <t>2906-0234-00</t>
  </si>
  <si>
    <t>2906-0235-00</t>
  </si>
  <si>
    <t>KIT SERVICIO MD100-400</t>
  </si>
  <si>
    <t>2906-0305-00</t>
  </si>
  <si>
    <t>2906-0374-00</t>
  </si>
  <si>
    <t>KIT VALVULA DE ENTRADA</t>
  </si>
  <si>
    <t>2906-0375-00</t>
  </si>
  <si>
    <t>2906-0403-00</t>
  </si>
  <si>
    <t>2906-0413-00</t>
  </si>
  <si>
    <t>KIT ANILLO DE EJE TRANSMISION</t>
  </si>
  <si>
    <t>2906-0418-00</t>
  </si>
  <si>
    <t>2906-0515-00</t>
  </si>
  <si>
    <t>2906-0563-00</t>
  </si>
  <si>
    <t>ELEMENTO SELLO DEL EJE</t>
  </si>
  <si>
    <t>2906-0656-00</t>
  </si>
  <si>
    <t>SELLO DE EJE DE TRANSMISION</t>
  </si>
  <si>
    <t>SELLO EJE IMPULSION</t>
  </si>
  <si>
    <t>KIT SERVICIO ENFRIADOR</t>
  </si>
  <si>
    <t>2906-0663-00</t>
  </si>
  <si>
    <t>2906-0664-00</t>
  </si>
  <si>
    <t>FILTRO ACEITE/AIRE</t>
  </si>
  <si>
    <t>KIT MANTENIMIENTO FILTRO</t>
  </si>
  <si>
    <t>2906-0665-00</t>
  </si>
  <si>
    <t>INTERCAMBIO DE ELEMENTOS LP</t>
  </si>
  <si>
    <t>2906-0726-00</t>
  </si>
  <si>
    <t>INTERCAMBIO DE ELEMENTOS HP</t>
  </si>
  <si>
    <t>2906-0727-00</t>
  </si>
  <si>
    <t>SEPARADOR AIRE ACEITE</t>
  </si>
  <si>
    <t>2906-0730-00</t>
  </si>
  <si>
    <t>2906-0746-00</t>
  </si>
  <si>
    <t>2906-0752-00</t>
  </si>
  <si>
    <t>2906-0753-00</t>
  </si>
  <si>
    <t>2906-0826-00</t>
  </si>
  <si>
    <t>2906-0952-00</t>
  </si>
  <si>
    <t>2906-0955-00</t>
  </si>
  <si>
    <t>2906-0958-00</t>
  </si>
  <si>
    <t>JUNTA</t>
  </si>
  <si>
    <t>2906-0959-00</t>
  </si>
  <si>
    <t>2906-0972-00</t>
  </si>
  <si>
    <t>2906-0973-00</t>
  </si>
  <si>
    <t>VICTAULIC CPLG</t>
  </si>
  <si>
    <t>2906-0975-00</t>
  </si>
  <si>
    <t>VALVULA PRESION MINIMA</t>
  </si>
  <si>
    <t>2906-6002-00</t>
  </si>
  <si>
    <t>2908-8500-00</t>
  </si>
  <si>
    <t>PARA COMPRESORES</t>
  </si>
  <si>
    <t>2908-8514-00</t>
  </si>
  <si>
    <t>2908-8521-00</t>
  </si>
  <si>
    <t>KIT SERVICIO ELEMENTO OVERH</t>
  </si>
  <si>
    <t>2910-4053-00</t>
  </si>
  <si>
    <t>KIT REPARACION DE ELEMENTO</t>
  </si>
  <si>
    <t>2914-9300-00</t>
  </si>
  <si>
    <t>2914-9304-00</t>
  </si>
  <si>
    <t>ELEMENTO CARTUCHO DE SEGURIDAD</t>
  </si>
  <si>
    <t>2914-9305-00</t>
  </si>
  <si>
    <t>KIT DESECANTE CD260</t>
  </si>
  <si>
    <t>3001-1500-52</t>
  </si>
  <si>
    <t>OXIDO DE ALUMINIO, EXCEPTO EL CORINDON ARTIFICIAL</t>
  </si>
  <si>
    <t>KIT DESECANTE</t>
  </si>
  <si>
    <t>3001-1500-77</t>
  </si>
  <si>
    <t>3001-1513-00</t>
  </si>
  <si>
    <t>3001-1513-03</t>
  </si>
  <si>
    <t>3001-1602-16</t>
  </si>
  <si>
    <t>3001-1602-19</t>
  </si>
  <si>
    <t>3001-1608-03</t>
  </si>
  <si>
    <t>SET SELLO DE PUNTA</t>
  </si>
  <si>
    <t>3001-1702-10</t>
  </si>
  <si>
    <t>JGO SELLOS DE PUNTA</t>
  </si>
  <si>
    <t>3001-1702-20</t>
  </si>
  <si>
    <t>3001-1702-30</t>
  </si>
  <si>
    <t>3001-1723-00</t>
  </si>
  <si>
    <t>3001-5006-50</t>
  </si>
  <si>
    <t>3001-5006-52</t>
  </si>
  <si>
    <t>3001-5006-55</t>
  </si>
  <si>
    <t>3001-5006-59</t>
  </si>
  <si>
    <t>SERVICIO QDT</t>
  </si>
  <si>
    <t>3001-5009-01</t>
  </si>
  <si>
    <t>SERVICE QDT</t>
  </si>
  <si>
    <t>SERVIICO QDT</t>
  </si>
  <si>
    <t>3001-5009-02</t>
  </si>
  <si>
    <t>KIT SERVICE QDT</t>
  </si>
  <si>
    <t>3001-5009-04</t>
  </si>
  <si>
    <t>KIT SERVICIO QDT</t>
  </si>
  <si>
    <t>MANTENIMIENTO PREVENTIVO</t>
  </si>
  <si>
    <t>3001-5190-00</t>
  </si>
  <si>
    <t>3001-5200-00</t>
  </si>
  <si>
    <t>3001-5249-74</t>
  </si>
  <si>
    <t>3001-5311-09</t>
  </si>
  <si>
    <t>3001-5311-14</t>
  </si>
  <si>
    <t>3001-5311-16</t>
  </si>
  <si>
    <t>3001-5311-17</t>
  </si>
  <si>
    <t>3001-5311-18</t>
  </si>
  <si>
    <t>KIT ENFRIADOR</t>
  </si>
  <si>
    <t>3001-5311-21</t>
  </si>
  <si>
    <t>KIT VALVULA GA160-315</t>
  </si>
  <si>
    <t>3001-5311-22</t>
  </si>
  <si>
    <t>3001-5311-50</t>
  </si>
  <si>
    <t>6211-1115-69</t>
  </si>
  <si>
    <t>VALVULA ANTIRETORNO</t>
  </si>
  <si>
    <t>6229-0317-00</t>
  </si>
  <si>
    <t>CONTAINER FOR COMPRESSED</t>
  </si>
  <si>
    <t>REPUESTOS/PARTES PARA COMPRESORES</t>
  </si>
  <si>
    <t>8101-0180-60</t>
  </si>
  <si>
    <t>RECIPIENTES PARA GAS COMPRIMIDO</t>
  </si>
  <si>
    <t>8101-0207-69</t>
  </si>
  <si>
    <t>8101-0218-09</t>
  </si>
  <si>
    <t>8101-0218-25</t>
  </si>
  <si>
    <t>8102-0218-09</t>
  </si>
  <si>
    <t>8102-0250-07</t>
  </si>
  <si>
    <t>VALVULA DE DRENAJA ELECTRONICA</t>
  </si>
  <si>
    <t>8102-0419-54</t>
  </si>
  <si>
    <t>FILTRO DE AIRE</t>
  </si>
  <si>
    <t>8102-0434-14</t>
  </si>
  <si>
    <t>8102-0434-30</t>
  </si>
  <si>
    <t>KIT VALVULAS</t>
  </si>
  <si>
    <t>8102-0465-57</t>
  </si>
  <si>
    <t>KIT VALVULA TWD</t>
  </si>
  <si>
    <t>VALVULA TWD 110V</t>
  </si>
  <si>
    <t>VALVULA TWD</t>
  </si>
  <si>
    <t>VALVULA IWD 105</t>
  </si>
  <si>
    <t>8102-0480-11</t>
  </si>
  <si>
    <t>VALVULA IWD 500</t>
  </si>
  <si>
    <t>8102-0480-41</t>
  </si>
  <si>
    <t>Los demás.</t>
  </si>
  <si>
    <t>SECADOR</t>
  </si>
  <si>
    <t>8102-2277-15</t>
  </si>
  <si>
    <t>8102-2277-17</t>
  </si>
  <si>
    <t>8102-2278-02</t>
  </si>
  <si>
    <t>8102-2278-03</t>
  </si>
  <si>
    <t>8102-2278-04</t>
  </si>
  <si>
    <t>8102-2293-32</t>
  </si>
  <si>
    <t>8102-2293-33</t>
  </si>
  <si>
    <t>8102-2293-34</t>
  </si>
  <si>
    <t>8102-2293-46</t>
  </si>
  <si>
    <t>8102-2293-47</t>
  </si>
  <si>
    <t>8102-3720-08</t>
  </si>
  <si>
    <t>8102-3720-12</t>
  </si>
  <si>
    <t>8102-3720-14</t>
  </si>
  <si>
    <t>8102-3720-16</t>
  </si>
  <si>
    <t>8102-3720-18</t>
  </si>
  <si>
    <t>PARTES/REPUESTOS PARA COMPRESOR</t>
  </si>
  <si>
    <t>8102-3720-36</t>
  </si>
  <si>
    <t>8102-3723-06</t>
  </si>
  <si>
    <t>8102-3723-08</t>
  </si>
  <si>
    <t>8102-3723-12</t>
  </si>
  <si>
    <t>8102-3723-14</t>
  </si>
  <si>
    <t>8102-3723-16</t>
  </si>
  <si>
    <t>8102-3723-18</t>
  </si>
  <si>
    <t>8102-3723-22</t>
  </si>
  <si>
    <t>8102-3724-04</t>
  </si>
  <si>
    <t>8102-3724-06</t>
  </si>
  <si>
    <t>8102-3724-12</t>
  </si>
  <si>
    <t>PARTES/REPUESTOS PARA COMPRESORES</t>
  </si>
  <si>
    <t>8102-3724-14</t>
  </si>
  <si>
    <t>8102-3724-54</t>
  </si>
  <si>
    <t>8102-3727-06</t>
  </si>
  <si>
    <t>8102-3727-12</t>
  </si>
  <si>
    <t>8102-3727-14</t>
  </si>
  <si>
    <t>8102-3727-16</t>
  </si>
  <si>
    <t>8102-3727-18</t>
  </si>
  <si>
    <t>De potencia superior o igual a 30 kW (40 HP) e inferior a 262,5 kW (352 HP)</t>
  </si>
  <si>
    <t>COMPRESOR PISTON</t>
  </si>
  <si>
    <t>8115-43004-04</t>
  </si>
  <si>
    <t>De potencia inferior a 30 kW (40 HP)</t>
  </si>
  <si>
    <t>8115-4302-10</t>
  </si>
  <si>
    <t>COMPRESOR TORNILLO</t>
  </si>
  <si>
    <t>8152-1037-99</t>
  </si>
  <si>
    <t>8152-1038-02</t>
  </si>
  <si>
    <t>8152-1038-04</t>
  </si>
  <si>
    <t>8152-1038-10</t>
  </si>
  <si>
    <t>8152-1038-12</t>
  </si>
  <si>
    <t>8152-1038-58</t>
  </si>
  <si>
    <t>8152-1292-77</t>
  </si>
  <si>
    <t>8153-0028-97</t>
  </si>
  <si>
    <t>8153-0038-53</t>
  </si>
  <si>
    <t>8153-0048-10</t>
  </si>
  <si>
    <t>8153-1877-63</t>
  </si>
  <si>
    <t>8153-1877-71</t>
  </si>
  <si>
    <t>8153-1878-05</t>
  </si>
  <si>
    <t>8153-2911-28</t>
  </si>
  <si>
    <t>8153-2919-20</t>
  </si>
  <si>
    <t>8153-2929-28</t>
  </si>
  <si>
    <t>8153-2929-69</t>
  </si>
  <si>
    <t>8153-2938-01</t>
  </si>
  <si>
    <t>8153-3318-90</t>
  </si>
  <si>
    <t>8153-3353-65</t>
  </si>
  <si>
    <t>8153-3358-39</t>
  </si>
  <si>
    <t>8153-3358-43</t>
  </si>
  <si>
    <t>8153-3365-75</t>
  </si>
  <si>
    <t>8153-6182-54</t>
  </si>
  <si>
    <t>8153-6182-96</t>
  </si>
  <si>
    <t>8153-6192-11</t>
  </si>
  <si>
    <t>8153-6192-52</t>
  </si>
  <si>
    <t>8153-6192-60</t>
  </si>
  <si>
    <t>8153-6193-36</t>
  </si>
  <si>
    <t>8153-6537-31</t>
  </si>
  <si>
    <t>8153-6537-72</t>
  </si>
  <si>
    <t>8153-6620-96</t>
  </si>
  <si>
    <t>ACOPLAMIENTO TIPO CODO</t>
  </si>
  <si>
    <t>9740-2004-32</t>
  </si>
  <si>
    <t>MIAMI</t>
  </si>
  <si>
    <t>BOLIGRAFO DE GRABADO</t>
  </si>
  <si>
    <t>Taladradoras, perforadoras y similares</t>
  </si>
  <si>
    <t>AMOLADORA ANGULAR</t>
  </si>
  <si>
    <t>Ajustables</t>
  </si>
  <si>
    <t>LLAVES AJUSTABLES</t>
  </si>
  <si>
    <t>KIT DE PARTE DE VALVULA</t>
  </si>
  <si>
    <t>ENGRANAJE PLASTICO</t>
  </si>
  <si>
    <t>KIT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</si>
</sst>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1" fillId="2" borderId="0" xfId="0" applyNumberFormat="1" applyFont="1" applyFill="1"/>
    <xf numFmtId="4" fontId="1" fillId="3" borderId="0" xfId="0" applyNumberFormat="1" applyFont="1" applyFill="1"/>
    <xf numFmtId="4" fontId="1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94C3-0922-4F95-808C-B68BA50A3175}">
  <dimension ref="A1:AD1377"/>
  <sheetViews>
    <sheetView tabSelected="1" topLeftCell="U159" workbookViewId="0">
      <selection activeCell="W174" sqref="W174"/>
    </sheetView>
  </sheetViews>
  <sheetFormatPr defaultColWidth="11.5546875" defaultRowHeight="14.4" x14ac:dyDescent="0.3"/>
  <cols>
    <col min="1" max="1" width="49.33203125" bestFit="1" customWidth="1"/>
    <col min="2" max="2" width="17" style="8" bestFit="1" customWidth="1"/>
    <col min="3" max="3" width="22.5546875" style="8" bestFit="1" customWidth="1"/>
    <col min="4" max="4" width="22.44140625" style="8" bestFit="1" customWidth="1"/>
    <col min="5" max="5" width="20.44140625" style="8" bestFit="1" customWidth="1"/>
    <col min="6" max="6" width="21.5546875" style="8" bestFit="1" customWidth="1"/>
    <col min="7" max="7" width="23.109375" bestFit="1" customWidth="1"/>
    <col min="8" max="8" width="215.109375" bestFit="1" customWidth="1"/>
    <col min="9" max="9" width="45.6640625" bestFit="1" customWidth="1"/>
    <col min="10" max="10" width="14.109375" bestFit="1" customWidth="1"/>
    <col min="11" max="11" width="23.44140625" bestFit="1" customWidth="1"/>
    <col min="12" max="12" width="8.5546875" bestFit="1" customWidth="1"/>
    <col min="13" max="13" width="10.44140625" bestFit="1" customWidth="1"/>
    <col min="14" max="14" width="22.5546875" bestFit="1" customWidth="1"/>
    <col min="15" max="15" width="12.6640625" bestFit="1" customWidth="1"/>
    <col min="16" max="16" width="9" bestFit="1" customWidth="1"/>
    <col min="17" max="17" width="10.88671875" bestFit="1" customWidth="1"/>
    <col min="18" max="18" width="13" bestFit="1" customWidth="1"/>
    <col min="19" max="19" width="9" bestFit="1" customWidth="1"/>
    <col min="20" max="21" width="42.33203125" bestFit="1" customWidth="1"/>
    <col min="22" max="22" width="19.44140625" bestFit="1" customWidth="1"/>
    <col min="23" max="23" width="13.5546875" customWidth="1"/>
    <col min="24" max="24" width="13.88671875" bestFit="1" customWidth="1"/>
    <col min="25" max="25" width="9.109375" style="9" bestFit="1" customWidth="1"/>
    <col min="26" max="26" width="21.33203125" style="9" bestFit="1" customWidth="1"/>
    <col min="27" max="27" width="17" style="5" bestFit="1" customWidth="1"/>
    <col min="28" max="29" width="11.44140625" style="6"/>
    <col min="258" max="258" width="49.33203125" bestFit="1" customWidth="1"/>
    <col min="259" max="259" width="17" bestFit="1" customWidth="1"/>
    <col min="260" max="260" width="22.5546875" bestFit="1" customWidth="1"/>
    <col min="261" max="261" width="22.44140625" bestFit="1" customWidth="1"/>
    <col min="262" max="262" width="20.44140625" bestFit="1" customWidth="1"/>
    <col min="263" max="263" width="21.5546875" bestFit="1" customWidth="1"/>
    <col min="264" max="264" width="23.109375" bestFit="1" customWidth="1"/>
    <col min="265" max="265" width="215.109375" bestFit="1" customWidth="1"/>
    <col min="266" max="266" width="45.6640625" bestFit="1" customWidth="1"/>
    <col min="267" max="267" width="14.109375" bestFit="1" customWidth="1"/>
    <col min="268" max="268" width="23.44140625" bestFit="1" customWidth="1"/>
    <col min="269" max="269" width="8.5546875" bestFit="1" customWidth="1"/>
    <col min="270" max="270" width="10.44140625" bestFit="1" customWidth="1"/>
    <col min="271" max="271" width="22.5546875" bestFit="1" customWidth="1"/>
    <col min="272" max="272" width="12.6640625" bestFit="1" customWidth="1"/>
    <col min="273" max="273" width="9" bestFit="1" customWidth="1"/>
    <col min="274" max="274" width="10.88671875" bestFit="1" customWidth="1"/>
    <col min="275" max="275" width="13" bestFit="1" customWidth="1"/>
    <col min="276" max="276" width="9" bestFit="1" customWidth="1"/>
    <col min="277" max="278" width="42.33203125" bestFit="1" customWidth="1"/>
    <col min="279" max="279" width="19.44140625" bestFit="1" customWidth="1"/>
    <col min="280" max="280" width="22" bestFit="1" customWidth="1"/>
    <col min="281" max="281" width="13.88671875" bestFit="1" customWidth="1"/>
    <col min="514" max="514" width="49.33203125" bestFit="1" customWidth="1"/>
    <col min="515" max="515" width="17" bestFit="1" customWidth="1"/>
    <col min="516" max="516" width="22.5546875" bestFit="1" customWidth="1"/>
    <col min="517" max="517" width="22.44140625" bestFit="1" customWidth="1"/>
    <col min="518" max="518" width="20.44140625" bestFit="1" customWidth="1"/>
    <col min="519" max="519" width="21.5546875" bestFit="1" customWidth="1"/>
    <col min="520" max="520" width="23.109375" bestFit="1" customWidth="1"/>
    <col min="521" max="521" width="215.109375" bestFit="1" customWidth="1"/>
    <col min="522" max="522" width="45.6640625" bestFit="1" customWidth="1"/>
    <col min="523" max="523" width="14.109375" bestFit="1" customWidth="1"/>
    <col min="524" max="524" width="23.44140625" bestFit="1" customWidth="1"/>
    <col min="525" max="525" width="8.5546875" bestFit="1" customWidth="1"/>
    <col min="526" max="526" width="10.44140625" bestFit="1" customWidth="1"/>
    <col min="527" max="527" width="22.5546875" bestFit="1" customWidth="1"/>
    <col min="528" max="528" width="12.6640625" bestFit="1" customWidth="1"/>
    <col min="529" max="529" width="9" bestFit="1" customWidth="1"/>
    <col min="530" max="530" width="10.88671875" bestFit="1" customWidth="1"/>
    <col min="531" max="531" width="13" bestFit="1" customWidth="1"/>
    <col min="532" max="532" width="9" bestFit="1" customWidth="1"/>
    <col min="533" max="534" width="42.33203125" bestFit="1" customWidth="1"/>
    <col min="535" max="535" width="19.44140625" bestFit="1" customWidth="1"/>
    <col min="536" max="536" width="22" bestFit="1" customWidth="1"/>
    <col min="537" max="537" width="13.88671875" bestFit="1" customWidth="1"/>
    <col min="770" max="770" width="49.33203125" bestFit="1" customWidth="1"/>
    <col min="771" max="771" width="17" bestFit="1" customWidth="1"/>
    <col min="772" max="772" width="22.5546875" bestFit="1" customWidth="1"/>
    <col min="773" max="773" width="22.44140625" bestFit="1" customWidth="1"/>
    <col min="774" max="774" width="20.44140625" bestFit="1" customWidth="1"/>
    <col min="775" max="775" width="21.5546875" bestFit="1" customWidth="1"/>
    <col min="776" max="776" width="23.109375" bestFit="1" customWidth="1"/>
    <col min="777" max="777" width="215.109375" bestFit="1" customWidth="1"/>
    <col min="778" max="778" width="45.6640625" bestFit="1" customWidth="1"/>
    <col min="779" max="779" width="14.109375" bestFit="1" customWidth="1"/>
    <col min="780" max="780" width="23.44140625" bestFit="1" customWidth="1"/>
    <col min="781" max="781" width="8.5546875" bestFit="1" customWidth="1"/>
    <col min="782" max="782" width="10.44140625" bestFit="1" customWidth="1"/>
    <col min="783" max="783" width="22.5546875" bestFit="1" customWidth="1"/>
    <col min="784" max="784" width="12.6640625" bestFit="1" customWidth="1"/>
    <col min="785" max="785" width="9" bestFit="1" customWidth="1"/>
    <col min="786" max="786" width="10.88671875" bestFit="1" customWidth="1"/>
    <col min="787" max="787" width="13" bestFit="1" customWidth="1"/>
    <col min="788" max="788" width="9" bestFit="1" customWidth="1"/>
    <col min="789" max="790" width="42.33203125" bestFit="1" customWidth="1"/>
    <col min="791" max="791" width="19.44140625" bestFit="1" customWidth="1"/>
    <col min="792" max="792" width="22" bestFit="1" customWidth="1"/>
    <col min="793" max="793" width="13.88671875" bestFit="1" customWidth="1"/>
    <col min="1026" max="1026" width="49.33203125" bestFit="1" customWidth="1"/>
    <col min="1027" max="1027" width="17" bestFit="1" customWidth="1"/>
    <col min="1028" max="1028" width="22.5546875" bestFit="1" customWidth="1"/>
    <col min="1029" max="1029" width="22.44140625" bestFit="1" customWidth="1"/>
    <col min="1030" max="1030" width="20.44140625" bestFit="1" customWidth="1"/>
    <col min="1031" max="1031" width="21.5546875" bestFit="1" customWidth="1"/>
    <col min="1032" max="1032" width="23.109375" bestFit="1" customWidth="1"/>
    <col min="1033" max="1033" width="215.109375" bestFit="1" customWidth="1"/>
    <col min="1034" max="1034" width="45.6640625" bestFit="1" customWidth="1"/>
    <col min="1035" max="1035" width="14.109375" bestFit="1" customWidth="1"/>
    <col min="1036" max="1036" width="23.44140625" bestFit="1" customWidth="1"/>
    <col min="1037" max="1037" width="8.5546875" bestFit="1" customWidth="1"/>
    <col min="1038" max="1038" width="10.44140625" bestFit="1" customWidth="1"/>
    <col min="1039" max="1039" width="22.5546875" bestFit="1" customWidth="1"/>
    <col min="1040" max="1040" width="12.6640625" bestFit="1" customWidth="1"/>
    <col min="1041" max="1041" width="9" bestFit="1" customWidth="1"/>
    <col min="1042" max="1042" width="10.88671875" bestFit="1" customWidth="1"/>
    <col min="1043" max="1043" width="13" bestFit="1" customWidth="1"/>
    <col min="1044" max="1044" width="9" bestFit="1" customWidth="1"/>
    <col min="1045" max="1046" width="42.33203125" bestFit="1" customWidth="1"/>
    <col min="1047" max="1047" width="19.44140625" bestFit="1" customWidth="1"/>
    <col min="1048" max="1048" width="22" bestFit="1" customWidth="1"/>
    <col min="1049" max="1049" width="13.88671875" bestFit="1" customWidth="1"/>
    <col min="1282" max="1282" width="49.33203125" bestFit="1" customWidth="1"/>
    <col min="1283" max="1283" width="17" bestFit="1" customWidth="1"/>
    <col min="1284" max="1284" width="22.5546875" bestFit="1" customWidth="1"/>
    <col min="1285" max="1285" width="22.44140625" bestFit="1" customWidth="1"/>
    <col min="1286" max="1286" width="20.44140625" bestFit="1" customWidth="1"/>
    <col min="1287" max="1287" width="21.5546875" bestFit="1" customWidth="1"/>
    <col min="1288" max="1288" width="23.109375" bestFit="1" customWidth="1"/>
    <col min="1289" max="1289" width="215.109375" bestFit="1" customWidth="1"/>
    <col min="1290" max="1290" width="45.6640625" bestFit="1" customWidth="1"/>
    <col min="1291" max="1291" width="14.109375" bestFit="1" customWidth="1"/>
    <col min="1292" max="1292" width="23.44140625" bestFit="1" customWidth="1"/>
    <col min="1293" max="1293" width="8.5546875" bestFit="1" customWidth="1"/>
    <col min="1294" max="1294" width="10.44140625" bestFit="1" customWidth="1"/>
    <col min="1295" max="1295" width="22.5546875" bestFit="1" customWidth="1"/>
    <col min="1296" max="1296" width="12.6640625" bestFit="1" customWidth="1"/>
    <col min="1297" max="1297" width="9" bestFit="1" customWidth="1"/>
    <col min="1298" max="1298" width="10.88671875" bestFit="1" customWidth="1"/>
    <col min="1299" max="1299" width="13" bestFit="1" customWidth="1"/>
    <col min="1300" max="1300" width="9" bestFit="1" customWidth="1"/>
    <col min="1301" max="1302" width="42.33203125" bestFit="1" customWidth="1"/>
    <col min="1303" max="1303" width="19.44140625" bestFit="1" customWidth="1"/>
    <col min="1304" max="1304" width="22" bestFit="1" customWidth="1"/>
    <col min="1305" max="1305" width="13.88671875" bestFit="1" customWidth="1"/>
    <col min="1538" max="1538" width="49.33203125" bestFit="1" customWidth="1"/>
    <col min="1539" max="1539" width="17" bestFit="1" customWidth="1"/>
    <col min="1540" max="1540" width="22.5546875" bestFit="1" customWidth="1"/>
    <col min="1541" max="1541" width="22.44140625" bestFit="1" customWidth="1"/>
    <col min="1542" max="1542" width="20.44140625" bestFit="1" customWidth="1"/>
    <col min="1543" max="1543" width="21.5546875" bestFit="1" customWidth="1"/>
    <col min="1544" max="1544" width="23.109375" bestFit="1" customWidth="1"/>
    <col min="1545" max="1545" width="215.109375" bestFit="1" customWidth="1"/>
    <col min="1546" max="1546" width="45.6640625" bestFit="1" customWidth="1"/>
    <col min="1547" max="1547" width="14.109375" bestFit="1" customWidth="1"/>
    <col min="1548" max="1548" width="23.44140625" bestFit="1" customWidth="1"/>
    <col min="1549" max="1549" width="8.5546875" bestFit="1" customWidth="1"/>
    <col min="1550" max="1550" width="10.44140625" bestFit="1" customWidth="1"/>
    <col min="1551" max="1551" width="22.5546875" bestFit="1" customWidth="1"/>
    <col min="1552" max="1552" width="12.6640625" bestFit="1" customWidth="1"/>
    <col min="1553" max="1553" width="9" bestFit="1" customWidth="1"/>
    <col min="1554" max="1554" width="10.88671875" bestFit="1" customWidth="1"/>
    <col min="1555" max="1555" width="13" bestFit="1" customWidth="1"/>
    <col min="1556" max="1556" width="9" bestFit="1" customWidth="1"/>
    <col min="1557" max="1558" width="42.33203125" bestFit="1" customWidth="1"/>
    <col min="1559" max="1559" width="19.44140625" bestFit="1" customWidth="1"/>
    <col min="1560" max="1560" width="22" bestFit="1" customWidth="1"/>
    <col min="1561" max="1561" width="13.88671875" bestFit="1" customWidth="1"/>
    <col min="1794" max="1794" width="49.33203125" bestFit="1" customWidth="1"/>
    <col min="1795" max="1795" width="17" bestFit="1" customWidth="1"/>
    <col min="1796" max="1796" width="22.5546875" bestFit="1" customWidth="1"/>
    <col min="1797" max="1797" width="22.44140625" bestFit="1" customWidth="1"/>
    <col min="1798" max="1798" width="20.44140625" bestFit="1" customWidth="1"/>
    <col min="1799" max="1799" width="21.5546875" bestFit="1" customWidth="1"/>
    <col min="1800" max="1800" width="23.109375" bestFit="1" customWidth="1"/>
    <col min="1801" max="1801" width="215.109375" bestFit="1" customWidth="1"/>
    <col min="1802" max="1802" width="45.6640625" bestFit="1" customWidth="1"/>
    <col min="1803" max="1803" width="14.109375" bestFit="1" customWidth="1"/>
    <col min="1804" max="1804" width="23.44140625" bestFit="1" customWidth="1"/>
    <col min="1805" max="1805" width="8.5546875" bestFit="1" customWidth="1"/>
    <col min="1806" max="1806" width="10.44140625" bestFit="1" customWidth="1"/>
    <col min="1807" max="1807" width="22.5546875" bestFit="1" customWidth="1"/>
    <col min="1808" max="1808" width="12.6640625" bestFit="1" customWidth="1"/>
    <col min="1809" max="1809" width="9" bestFit="1" customWidth="1"/>
    <col min="1810" max="1810" width="10.88671875" bestFit="1" customWidth="1"/>
    <col min="1811" max="1811" width="13" bestFit="1" customWidth="1"/>
    <col min="1812" max="1812" width="9" bestFit="1" customWidth="1"/>
    <col min="1813" max="1814" width="42.33203125" bestFit="1" customWidth="1"/>
    <col min="1815" max="1815" width="19.44140625" bestFit="1" customWidth="1"/>
    <col min="1816" max="1816" width="22" bestFit="1" customWidth="1"/>
    <col min="1817" max="1817" width="13.88671875" bestFit="1" customWidth="1"/>
    <col min="2050" max="2050" width="49.33203125" bestFit="1" customWidth="1"/>
    <col min="2051" max="2051" width="17" bestFit="1" customWidth="1"/>
    <col min="2052" max="2052" width="22.5546875" bestFit="1" customWidth="1"/>
    <col min="2053" max="2053" width="22.44140625" bestFit="1" customWidth="1"/>
    <col min="2054" max="2054" width="20.44140625" bestFit="1" customWidth="1"/>
    <col min="2055" max="2055" width="21.5546875" bestFit="1" customWidth="1"/>
    <col min="2056" max="2056" width="23.109375" bestFit="1" customWidth="1"/>
    <col min="2057" max="2057" width="215.109375" bestFit="1" customWidth="1"/>
    <col min="2058" max="2058" width="45.6640625" bestFit="1" customWidth="1"/>
    <col min="2059" max="2059" width="14.109375" bestFit="1" customWidth="1"/>
    <col min="2060" max="2060" width="23.44140625" bestFit="1" customWidth="1"/>
    <col min="2061" max="2061" width="8.5546875" bestFit="1" customWidth="1"/>
    <col min="2062" max="2062" width="10.44140625" bestFit="1" customWidth="1"/>
    <col min="2063" max="2063" width="22.5546875" bestFit="1" customWidth="1"/>
    <col min="2064" max="2064" width="12.6640625" bestFit="1" customWidth="1"/>
    <col min="2065" max="2065" width="9" bestFit="1" customWidth="1"/>
    <col min="2066" max="2066" width="10.88671875" bestFit="1" customWidth="1"/>
    <col min="2067" max="2067" width="13" bestFit="1" customWidth="1"/>
    <col min="2068" max="2068" width="9" bestFit="1" customWidth="1"/>
    <col min="2069" max="2070" width="42.33203125" bestFit="1" customWidth="1"/>
    <col min="2071" max="2071" width="19.44140625" bestFit="1" customWidth="1"/>
    <col min="2072" max="2072" width="22" bestFit="1" customWidth="1"/>
    <col min="2073" max="2073" width="13.88671875" bestFit="1" customWidth="1"/>
    <col min="2306" max="2306" width="49.33203125" bestFit="1" customWidth="1"/>
    <col min="2307" max="2307" width="17" bestFit="1" customWidth="1"/>
    <col min="2308" max="2308" width="22.5546875" bestFit="1" customWidth="1"/>
    <col min="2309" max="2309" width="22.44140625" bestFit="1" customWidth="1"/>
    <col min="2310" max="2310" width="20.44140625" bestFit="1" customWidth="1"/>
    <col min="2311" max="2311" width="21.5546875" bestFit="1" customWidth="1"/>
    <col min="2312" max="2312" width="23.109375" bestFit="1" customWidth="1"/>
    <col min="2313" max="2313" width="215.109375" bestFit="1" customWidth="1"/>
    <col min="2314" max="2314" width="45.6640625" bestFit="1" customWidth="1"/>
    <col min="2315" max="2315" width="14.109375" bestFit="1" customWidth="1"/>
    <col min="2316" max="2316" width="23.44140625" bestFit="1" customWidth="1"/>
    <col min="2317" max="2317" width="8.5546875" bestFit="1" customWidth="1"/>
    <col min="2318" max="2318" width="10.44140625" bestFit="1" customWidth="1"/>
    <col min="2319" max="2319" width="22.5546875" bestFit="1" customWidth="1"/>
    <col min="2320" max="2320" width="12.6640625" bestFit="1" customWidth="1"/>
    <col min="2321" max="2321" width="9" bestFit="1" customWidth="1"/>
    <col min="2322" max="2322" width="10.88671875" bestFit="1" customWidth="1"/>
    <col min="2323" max="2323" width="13" bestFit="1" customWidth="1"/>
    <col min="2324" max="2324" width="9" bestFit="1" customWidth="1"/>
    <col min="2325" max="2326" width="42.33203125" bestFit="1" customWidth="1"/>
    <col min="2327" max="2327" width="19.44140625" bestFit="1" customWidth="1"/>
    <col min="2328" max="2328" width="22" bestFit="1" customWidth="1"/>
    <col min="2329" max="2329" width="13.88671875" bestFit="1" customWidth="1"/>
    <col min="2562" max="2562" width="49.33203125" bestFit="1" customWidth="1"/>
    <col min="2563" max="2563" width="17" bestFit="1" customWidth="1"/>
    <col min="2564" max="2564" width="22.5546875" bestFit="1" customWidth="1"/>
    <col min="2565" max="2565" width="22.44140625" bestFit="1" customWidth="1"/>
    <col min="2566" max="2566" width="20.44140625" bestFit="1" customWidth="1"/>
    <col min="2567" max="2567" width="21.5546875" bestFit="1" customWidth="1"/>
    <col min="2568" max="2568" width="23.109375" bestFit="1" customWidth="1"/>
    <col min="2569" max="2569" width="215.109375" bestFit="1" customWidth="1"/>
    <col min="2570" max="2570" width="45.6640625" bestFit="1" customWidth="1"/>
    <col min="2571" max="2571" width="14.109375" bestFit="1" customWidth="1"/>
    <col min="2572" max="2572" width="23.44140625" bestFit="1" customWidth="1"/>
    <col min="2573" max="2573" width="8.5546875" bestFit="1" customWidth="1"/>
    <col min="2574" max="2574" width="10.44140625" bestFit="1" customWidth="1"/>
    <col min="2575" max="2575" width="22.5546875" bestFit="1" customWidth="1"/>
    <col min="2576" max="2576" width="12.6640625" bestFit="1" customWidth="1"/>
    <col min="2577" max="2577" width="9" bestFit="1" customWidth="1"/>
    <col min="2578" max="2578" width="10.88671875" bestFit="1" customWidth="1"/>
    <col min="2579" max="2579" width="13" bestFit="1" customWidth="1"/>
    <col min="2580" max="2580" width="9" bestFit="1" customWidth="1"/>
    <col min="2581" max="2582" width="42.33203125" bestFit="1" customWidth="1"/>
    <col min="2583" max="2583" width="19.44140625" bestFit="1" customWidth="1"/>
    <col min="2584" max="2584" width="22" bestFit="1" customWidth="1"/>
    <col min="2585" max="2585" width="13.88671875" bestFit="1" customWidth="1"/>
    <col min="2818" max="2818" width="49.33203125" bestFit="1" customWidth="1"/>
    <col min="2819" max="2819" width="17" bestFit="1" customWidth="1"/>
    <col min="2820" max="2820" width="22.5546875" bestFit="1" customWidth="1"/>
    <col min="2821" max="2821" width="22.44140625" bestFit="1" customWidth="1"/>
    <col min="2822" max="2822" width="20.44140625" bestFit="1" customWidth="1"/>
    <col min="2823" max="2823" width="21.5546875" bestFit="1" customWidth="1"/>
    <col min="2824" max="2824" width="23.109375" bestFit="1" customWidth="1"/>
    <col min="2825" max="2825" width="215.109375" bestFit="1" customWidth="1"/>
    <col min="2826" max="2826" width="45.6640625" bestFit="1" customWidth="1"/>
    <col min="2827" max="2827" width="14.109375" bestFit="1" customWidth="1"/>
    <col min="2828" max="2828" width="23.44140625" bestFit="1" customWidth="1"/>
    <col min="2829" max="2829" width="8.5546875" bestFit="1" customWidth="1"/>
    <col min="2830" max="2830" width="10.44140625" bestFit="1" customWidth="1"/>
    <col min="2831" max="2831" width="22.5546875" bestFit="1" customWidth="1"/>
    <col min="2832" max="2832" width="12.6640625" bestFit="1" customWidth="1"/>
    <col min="2833" max="2833" width="9" bestFit="1" customWidth="1"/>
    <col min="2834" max="2834" width="10.88671875" bestFit="1" customWidth="1"/>
    <col min="2835" max="2835" width="13" bestFit="1" customWidth="1"/>
    <col min="2836" max="2836" width="9" bestFit="1" customWidth="1"/>
    <col min="2837" max="2838" width="42.33203125" bestFit="1" customWidth="1"/>
    <col min="2839" max="2839" width="19.44140625" bestFit="1" customWidth="1"/>
    <col min="2840" max="2840" width="22" bestFit="1" customWidth="1"/>
    <col min="2841" max="2841" width="13.88671875" bestFit="1" customWidth="1"/>
    <col min="3074" max="3074" width="49.33203125" bestFit="1" customWidth="1"/>
    <col min="3075" max="3075" width="17" bestFit="1" customWidth="1"/>
    <col min="3076" max="3076" width="22.5546875" bestFit="1" customWidth="1"/>
    <col min="3077" max="3077" width="22.44140625" bestFit="1" customWidth="1"/>
    <col min="3078" max="3078" width="20.44140625" bestFit="1" customWidth="1"/>
    <col min="3079" max="3079" width="21.5546875" bestFit="1" customWidth="1"/>
    <col min="3080" max="3080" width="23.109375" bestFit="1" customWidth="1"/>
    <col min="3081" max="3081" width="215.109375" bestFit="1" customWidth="1"/>
    <col min="3082" max="3082" width="45.6640625" bestFit="1" customWidth="1"/>
    <col min="3083" max="3083" width="14.109375" bestFit="1" customWidth="1"/>
    <col min="3084" max="3084" width="23.44140625" bestFit="1" customWidth="1"/>
    <col min="3085" max="3085" width="8.5546875" bestFit="1" customWidth="1"/>
    <col min="3086" max="3086" width="10.44140625" bestFit="1" customWidth="1"/>
    <col min="3087" max="3087" width="22.5546875" bestFit="1" customWidth="1"/>
    <col min="3088" max="3088" width="12.6640625" bestFit="1" customWidth="1"/>
    <col min="3089" max="3089" width="9" bestFit="1" customWidth="1"/>
    <col min="3090" max="3090" width="10.88671875" bestFit="1" customWidth="1"/>
    <col min="3091" max="3091" width="13" bestFit="1" customWidth="1"/>
    <col min="3092" max="3092" width="9" bestFit="1" customWidth="1"/>
    <col min="3093" max="3094" width="42.33203125" bestFit="1" customWidth="1"/>
    <col min="3095" max="3095" width="19.44140625" bestFit="1" customWidth="1"/>
    <col min="3096" max="3096" width="22" bestFit="1" customWidth="1"/>
    <col min="3097" max="3097" width="13.88671875" bestFit="1" customWidth="1"/>
    <col min="3330" max="3330" width="49.33203125" bestFit="1" customWidth="1"/>
    <col min="3331" max="3331" width="17" bestFit="1" customWidth="1"/>
    <col min="3332" max="3332" width="22.5546875" bestFit="1" customWidth="1"/>
    <col min="3333" max="3333" width="22.44140625" bestFit="1" customWidth="1"/>
    <col min="3334" max="3334" width="20.44140625" bestFit="1" customWidth="1"/>
    <col min="3335" max="3335" width="21.5546875" bestFit="1" customWidth="1"/>
    <col min="3336" max="3336" width="23.109375" bestFit="1" customWidth="1"/>
    <col min="3337" max="3337" width="215.109375" bestFit="1" customWidth="1"/>
    <col min="3338" max="3338" width="45.6640625" bestFit="1" customWidth="1"/>
    <col min="3339" max="3339" width="14.109375" bestFit="1" customWidth="1"/>
    <col min="3340" max="3340" width="23.44140625" bestFit="1" customWidth="1"/>
    <col min="3341" max="3341" width="8.5546875" bestFit="1" customWidth="1"/>
    <col min="3342" max="3342" width="10.44140625" bestFit="1" customWidth="1"/>
    <col min="3343" max="3343" width="22.5546875" bestFit="1" customWidth="1"/>
    <col min="3344" max="3344" width="12.6640625" bestFit="1" customWidth="1"/>
    <col min="3345" max="3345" width="9" bestFit="1" customWidth="1"/>
    <col min="3346" max="3346" width="10.88671875" bestFit="1" customWidth="1"/>
    <col min="3347" max="3347" width="13" bestFit="1" customWidth="1"/>
    <col min="3348" max="3348" width="9" bestFit="1" customWidth="1"/>
    <col min="3349" max="3350" width="42.33203125" bestFit="1" customWidth="1"/>
    <col min="3351" max="3351" width="19.44140625" bestFit="1" customWidth="1"/>
    <col min="3352" max="3352" width="22" bestFit="1" customWidth="1"/>
    <col min="3353" max="3353" width="13.88671875" bestFit="1" customWidth="1"/>
    <col min="3586" max="3586" width="49.33203125" bestFit="1" customWidth="1"/>
    <col min="3587" max="3587" width="17" bestFit="1" customWidth="1"/>
    <col min="3588" max="3588" width="22.5546875" bestFit="1" customWidth="1"/>
    <col min="3589" max="3589" width="22.44140625" bestFit="1" customWidth="1"/>
    <col min="3590" max="3590" width="20.44140625" bestFit="1" customWidth="1"/>
    <col min="3591" max="3591" width="21.5546875" bestFit="1" customWidth="1"/>
    <col min="3592" max="3592" width="23.109375" bestFit="1" customWidth="1"/>
    <col min="3593" max="3593" width="215.109375" bestFit="1" customWidth="1"/>
    <col min="3594" max="3594" width="45.6640625" bestFit="1" customWidth="1"/>
    <col min="3595" max="3595" width="14.109375" bestFit="1" customWidth="1"/>
    <col min="3596" max="3596" width="23.44140625" bestFit="1" customWidth="1"/>
    <col min="3597" max="3597" width="8.5546875" bestFit="1" customWidth="1"/>
    <col min="3598" max="3598" width="10.44140625" bestFit="1" customWidth="1"/>
    <col min="3599" max="3599" width="22.5546875" bestFit="1" customWidth="1"/>
    <col min="3600" max="3600" width="12.6640625" bestFit="1" customWidth="1"/>
    <col min="3601" max="3601" width="9" bestFit="1" customWidth="1"/>
    <col min="3602" max="3602" width="10.88671875" bestFit="1" customWidth="1"/>
    <col min="3603" max="3603" width="13" bestFit="1" customWidth="1"/>
    <col min="3604" max="3604" width="9" bestFit="1" customWidth="1"/>
    <col min="3605" max="3606" width="42.33203125" bestFit="1" customWidth="1"/>
    <col min="3607" max="3607" width="19.44140625" bestFit="1" customWidth="1"/>
    <col min="3608" max="3608" width="22" bestFit="1" customWidth="1"/>
    <col min="3609" max="3609" width="13.88671875" bestFit="1" customWidth="1"/>
    <col min="3842" max="3842" width="49.33203125" bestFit="1" customWidth="1"/>
    <col min="3843" max="3843" width="17" bestFit="1" customWidth="1"/>
    <col min="3844" max="3844" width="22.5546875" bestFit="1" customWidth="1"/>
    <col min="3845" max="3845" width="22.44140625" bestFit="1" customWidth="1"/>
    <col min="3846" max="3846" width="20.44140625" bestFit="1" customWidth="1"/>
    <col min="3847" max="3847" width="21.5546875" bestFit="1" customWidth="1"/>
    <col min="3848" max="3848" width="23.109375" bestFit="1" customWidth="1"/>
    <col min="3849" max="3849" width="215.109375" bestFit="1" customWidth="1"/>
    <col min="3850" max="3850" width="45.6640625" bestFit="1" customWidth="1"/>
    <col min="3851" max="3851" width="14.109375" bestFit="1" customWidth="1"/>
    <col min="3852" max="3852" width="23.44140625" bestFit="1" customWidth="1"/>
    <col min="3853" max="3853" width="8.5546875" bestFit="1" customWidth="1"/>
    <col min="3854" max="3854" width="10.44140625" bestFit="1" customWidth="1"/>
    <col min="3855" max="3855" width="22.5546875" bestFit="1" customWidth="1"/>
    <col min="3856" max="3856" width="12.6640625" bestFit="1" customWidth="1"/>
    <col min="3857" max="3857" width="9" bestFit="1" customWidth="1"/>
    <col min="3858" max="3858" width="10.88671875" bestFit="1" customWidth="1"/>
    <col min="3859" max="3859" width="13" bestFit="1" customWidth="1"/>
    <col min="3860" max="3860" width="9" bestFit="1" customWidth="1"/>
    <col min="3861" max="3862" width="42.33203125" bestFit="1" customWidth="1"/>
    <col min="3863" max="3863" width="19.44140625" bestFit="1" customWidth="1"/>
    <col min="3864" max="3864" width="22" bestFit="1" customWidth="1"/>
    <col min="3865" max="3865" width="13.88671875" bestFit="1" customWidth="1"/>
    <col min="4098" max="4098" width="49.33203125" bestFit="1" customWidth="1"/>
    <col min="4099" max="4099" width="17" bestFit="1" customWidth="1"/>
    <col min="4100" max="4100" width="22.5546875" bestFit="1" customWidth="1"/>
    <col min="4101" max="4101" width="22.44140625" bestFit="1" customWidth="1"/>
    <col min="4102" max="4102" width="20.44140625" bestFit="1" customWidth="1"/>
    <col min="4103" max="4103" width="21.5546875" bestFit="1" customWidth="1"/>
    <col min="4104" max="4104" width="23.109375" bestFit="1" customWidth="1"/>
    <col min="4105" max="4105" width="215.109375" bestFit="1" customWidth="1"/>
    <col min="4106" max="4106" width="45.6640625" bestFit="1" customWidth="1"/>
    <col min="4107" max="4107" width="14.109375" bestFit="1" customWidth="1"/>
    <col min="4108" max="4108" width="23.44140625" bestFit="1" customWidth="1"/>
    <col min="4109" max="4109" width="8.5546875" bestFit="1" customWidth="1"/>
    <col min="4110" max="4110" width="10.44140625" bestFit="1" customWidth="1"/>
    <col min="4111" max="4111" width="22.5546875" bestFit="1" customWidth="1"/>
    <col min="4112" max="4112" width="12.6640625" bestFit="1" customWidth="1"/>
    <col min="4113" max="4113" width="9" bestFit="1" customWidth="1"/>
    <col min="4114" max="4114" width="10.88671875" bestFit="1" customWidth="1"/>
    <col min="4115" max="4115" width="13" bestFit="1" customWidth="1"/>
    <col min="4116" max="4116" width="9" bestFit="1" customWidth="1"/>
    <col min="4117" max="4118" width="42.33203125" bestFit="1" customWidth="1"/>
    <col min="4119" max="4119" width="19.44140625" bestFit="1" customWidth="1"/>
    <col min="4120" max="4120" width="22" bestFit="1" customWidth="1"/>
    <col min="4121" max="4121" width="13.88671875" bestFit="1" customWidth="1"/>
    <col min="4354" max="4354" width="49.33203125" bestFit="1" customWidth="1"/>
    <col min="4355" max="4355" width="17" bestFit="1" customWidth="1"/>
    <col min="4356" max="4356" width="22.5546875" bestFit="1" customWidth="1"/>
    <col min="4357" max="4357" width="22.44140625" bestFit="1" customWidth="1"/>
    <col min="4358" max="4358" width="20.44140625" bestFit="1" customWidth="1"/>
    <col min="4359" max="4359" width="21.5546875" bestFit="1" customWidth="1"/>
    <col min="4360" max="4360" width="23.109375" bestFit="1" customWidth="1"/>
    <col min="4361" max="4361" width="215.109375" bestFit="1" customWidth="1"/>
    <col min="4362" max="4362" width="45.6640625" bestFit="1" customWidth="1"/>
    <col min="4363" max="4363" width="14.109375" bestFit="1" customWidth="1"/>
    <col min="4364" max="4364" width="23.44140625" bestFit="1" customWidth="1"/>
    <col min="4365" max="4365" width="8.5546875" bestFit="1" customWidth="1"/>
    <col min="4366" max="4366" width="10.44140625" bestFit="1" customWidth="1"/>
    <col min="4367" max="4367" width="22.5546875" bestFit="1" customWidth="1"/>
    <col min="4368" max="4368" width="12.6640625" bestFit="1" customWidth="1"/>
    <col min="4369" max="4369" width="9" bestFit="1" customWidth="1"/>
    <col min="4370" max="4370" width="10.88671875" bestFit="1" customWidth="1"/>
    <col min="4371" max="4371" width="13" bestFit="1" customWidth="1"/>
    <col min="4372" max="4372" width="9" bestFit="1" customWidth="1"/>
    <col min="4373" max="4374" width="42.33203125" bestFit="1" customWidth="1"/>
    <col min="4375" max="4375" width="19.44140625" bestFit="1" customWidth="1"/>
    <col min="4376" max="4376" width="22" bestFit="1" customWidth="1"/>
    <col min="4377" max="4377" width="13.88671875" bestFit="1" customWidth="1"/>
    <col min="4610" max="4610" width="49.33203125" bestFit="1" customWidth="1"/>
    <col min="4611" max="4611" width="17" bestFit="1" customWidth="1"/>
    <col min="4612" max="4612" width="22.5546875" bestFit="1" customWidth="1"/>
    <col min="4613" max="4613" width="22.44140625" bestFit="1" customWidth="1"/>
    <col min="4614" max="4614" width="20.44140625" bestFit="1" customWidth="1"/>
    <col min="4615" max="4615" width="21.5546875" bestFit="1" customWidth="1"/>
    <col min="4616" max="4616" width="23.109375" bestFit="1" customWidth="1"/>
    <col min="4617" max="4617" width="215.109375" bestFit="1" customWidth="1"/>
    <col min="4618" max="4618" width="45.6640625" bestFit="1" customWidth="1"/>
    <col min="4619" max="4619" width="14.109375" bestFit="1" customWidth="1"/>
    <col min="4620" max="4620" width="23.44140625" bestFit="1" customWidth="1"/>
    <col min="4621" max="4621" width="8.5546875" bestFit="1" customWidth="1"/>
    <col min="4622" max="4622" width="10.44140625" bestFit="1" customWidth="1"/>
    <col min="4623" max="4623" width="22.5546875" bestFit="1" customWidth="1"/>
    <col min="4624" max="4624" width="12.6640625" bestFit="1" customWidth="1"/>
    <col min="4625" max="4625" width="9" bestFit="1" customWidth="1"/>
    <col min="4626" max="4626" width="10.88671875" bestFit="1" customWidth="1"/>
    <col min="4627" max="4627" width="13" bestFit="1" customWidth="1"/>
    <col min="4628" max="4628" width="9" bestFit="1" customWidth="1"/>
    <col min="4629" max="4630" width="42.33203125" bestFit="1" customWidth="1"/>
    <col min="4631" max="4631" width="19.44140625" bestFit="1" customWidth="1"/>
    <col min="4632" max="4632" width="22" bestFit="1" customWidth="1"/>
    <col min="4633" max="4633" width="13.88671875" bestFit="1" customWidth="1"/>
    <col min="4866" max="4866" width="49.33203125" bestFit="1" customWidth="1"/>
    <col min="4867" max="4867" width="17" bestFit="1" customWidth="1"/>
    <col min="4868" max="4868" width="22.5546875" bestFit="1" customWidth="1"/>
    <col min="4869" max="4869" width="22.44140625" bestFit="1" customWidth="1"/>
    <col min="4870" max="4870" width="20.44140625" bestFit="1" customWidth="1"/>
    <col min="4871" max="4871" width="21.5546875" bestFit="1" customWidth="1"/>
    <col min="4872" max="4872" width="23.109375" bestFit="1" customWidth="1"/>
    <col min="4873" max="4873" width="215.109375" bestFit="1" customWidth="1"/>
    <col min="4874" max="4874" width="45.6640625" bestFit="1" customWidth="1"/>
    <col min="4875" max="4875" width="14.109375" bestFit="1" customWidth="1"/>
    <col min="4876" max="4876" width="23.44140625" bestFit="1" customWidth="1"/>
    <col min="4877" max="4877" width="8.5546875" bestFit="1" customWidth="1"/>
    <col min="4878" max="4878" width="10.44140625" bestFit="1" customWidth="1"/>
    <col min="4879" max="4879" width="22.5546875" bestFit="1" customWidth="1"/>
    <col min="4880" max="4880" width="12.6640625" bestFit="1" customWidth="1"/>
    <col min="4881" max="4881" width="9" bestFit="1" customWidth="1"/>
    <col min="4882" max="4882" width="10.88671875" bestFit="1" customWidth="1"/>
    <col min="4883" max="4883" width="13" bestFit="1" customWidth="1"/>
    <col min="4884" max="4884" width="9" bestFit="1" customWidth="1"/>
    <col min="4885" max="4886" width="42.33203125" bestFit="1" customWidth="1"/>
    <col min="4887" max="4887" width="19.44140625" bestFit="1" customWidth="1"/>
    <col min="4888" max="4888" width="22" bestFit="1" customWidth="1"/>
    <col min="4889" max="4889" width="13.88671875" bestFit="1" customWidth="1"/>
    <col min="5122" max="5122" width="49.33203125" bestFit="1" customWidth="1"/>
    <col min="5123" max="5123" width="17" bestFit="1" customWidth="1"/>
    <col min="5124" max="5124" width="22.5546875" bestFit="1" customWidth="1"/>
    <col min="5125" max="5125" width="22.44140625" bestFit="1" customWidth="1"/>
    <col min="5126" max="5126" width="20.44140625" bestFit="1" customWidth="1"/>
    <col min="5127" max="5127" width="21.5546875" bestFit="1" customWidth="1"/>
    <col min="5128" max="5128" width="23.109375" bestFit="1" customWidth="1"/>
    <col min="5129" max="5129" width="215.109375" bestFit="1" customWidth="1"/>
    <col min="5130" max="5130" width="45.6640625" bestFit="1" customWidth="1"/>
    <col min="5131" max="5131" width="14.109375" bestFit="1" customWidth="1"/>
    <col min="5132" max="5132" width="23.44140625" bestFit="1" customWidth="1"/>
    <col min="5133" max="5133" width="8.5546875" bestFit="1" customWidth="1"/>
    <col min="5134" max="5134" width="10.44140625" bestFit="1" customWidth="1"/>
    <col min="5135" max="5135" width="22.5546875" bestFit="1" customWidth="1"/>
    <col min="5136" max="5136" width="12.6640625" bestFit="1" customWidth="1"/>
    <col min="5137" max="5137" width="9" bestFit="1" customWidth="1"/>
    <col min="5138" max="5138" width="10.88671875" bestFit="1" customWidth="1"/>
    <col min="5139" max="5139" width="13" bestFit="1" customWidth="1"/>
    <col min="5140" max="5140" width="9" bestFit="1" customWidth="1"/>
    <col min="5141" max="5142" width="42.33203125" bestFit="1" customWidth="1"/>
    <col min="5143" max="5143" width="19.44140625" bestFit="1" customWidth="1"/>
    <col min="5144" max="5144" width="22" bestFit="1" customWidth="1"/>
    <col min="5145" max="5145" width="13.88671875" bestFit="1" customWidth="1"/>
    <col min="5378" max="5378" width="49.33203125" bestFit="1" customWidth="1"/>
    <col min="5379" max="5379" width="17" bestFit="1" customWidth="1"/>
    <col min="5380" max="5380" width="22.5546875" bestFit="1" customWidth="1"/>
    <col min="5381" max="5381" width="22.44140625" bestFit="1" customWidth="1"/>
    <col min="5382" max="5382" width="20.44140625" bestFit="1" customWidth="1"/>
    <col min="5383" max="5383" width="21.5546875" bestFit="1" customWidth="1"/>
    <col min="5384" max="5384" width="23.109375" bestFit="1" customWidth="1"/>
    <col min="5385" max="5385" width="215.109375" bestFit="1" customWidth="1"/>
    <col min="5386" max="5386" width="45.6640625" bestFit="1" customWidth="1"/>
    <col min="5387" max="5387" width="14.109375" bestFit="1" customWidth="1"/>
    <col min="5388" max="5388" width="23.44140625" bestFit="1" customWidth="1"/>
    <col min="5389" max="5389" width="8.5546875" bestFit="1" customWidth="1"/>
    <col min="5390" max="5390" width="10.44140625" bestFit="1" customWidth="1"/>
    <col min="5391" max="5391" width="22.5546875" bestFit="1" customWidth="1"/>
    <col min="5392" max="5392" width="12.6640625" bestFit="1" customWidth="1"/>
    <col min="5393" max="5393" width="9" bestFit="1" customWidth="1"/>
    <col min="5394" max="5394" width="10.88671875" bestFit="1" customWidth="1"/>
    <col min="5395" max="5395" width="13" bestFit="1" customWidth="1"/>
    <col min="5396" max="5396" width="9" bestFit="1" customWidth="1"/>
    <col min="5397" max="5398" width="42.33203125" bestFit="1" customWidth="1"/>
    <col min="5399" max="5399" width="19.44140625" bestFit="1" customWidth="1"/>
    <col min="5400" max="5400" width="22" bestFit="1" customWidth="1"/>
    <col min="5401" max="5401" width="13.88671875" bestFit="1" customWidth="1"/>
    <col min="5634" max="5634" width="49.33203125" bestFit="1" customWidth="1"/>
    <col min="5635" max="5635" width="17" bestFit="1" customWidth="1"/>
    <col min="5636" max="5636" width="22.5546875" bestFit="1" customWidth="1"/>
    <col min="5637" max="5637" width="22.44140625" bestFit="1" customWidth="1"/>
    <col min="5638" max="5638" width="20.44140625" bestFit="1" customWidth="1"/>
    <col min="5639" max="5639" width="21.5546875" bestFit="1" customWidth="1"/>
    <col min="5640" max="5640" width="23.109375" bestFit="1" customWidth="1"/>
    <col min="5641" max="5641" width="215.109375" bestFit="1" customWidth="1"/>
    <col min="5642" max="5642" width="45.6640625" bestFit="1" customWidth="1"/>
    <col min="5643" max="5643" width="14.109375" bestFit="1" customWidth="1"/>
    <col min="5644" max="5644" width="23.44140625" bestFit="1" customWidth="1"/>
    <col min="5645" max="5645" width="8.5546875" bestFit="1" customWidth="1"/>
    <col min="5646" max="5646" width="10.44140625" bestFit="1" customWidth="1"/>
    <col min="5647" max="5647" width="22.5546875" bestFit="1" customWidth="1"/>
    <col min="5648" max="5648" width="12.6640625" bestFit="1" customWidth="1"/>
    <col min="5649" max="5649" width="9" bestFit="1" customWidth="1"/>
    <col min="5650" max="5650" width="10.88671875" bestFit="1" customWidth="1"/>
    <col min="5651" max="5651" width="13" bestFit="1" customWidth="1"/>
    <col min="5652" max="5652" width="9" bestFit="1" customWidth="1"/>
    <col min="5653" max="5654" width="42.33203125" bestFit="1" customWidth="1"/>
    <col min="5655" max="5655" width="19.44140625" bestFit="1" customWidth="1"/>
    <col min="5656" max="5656" width="22" bestFit="1" customWidth="1"/>
    <col min="5657" max="5657" width="13.88671875" bestFit="1" customWidth="1"/>
    <col min="5890" max="5890" width="49.33203125" bestFit="1" customWidth="1"/>
    <col min="5891" max="5891" width="17" bestFit="1" customWidth="1"/>
    <col min="5892" max="5892" width="22.5546875" bestFit="1" customWidth="1"/>
    <col min="5893" max="5893" width="22.44140625" bestFit="1" customWidth="1"/>
    <col min="5894" max="5894" width="20.44140625" bestFit="1" customWidth="1"/>
    <col min="5895" max="5895" width="21.5546875" bestFit="1" customWidth="1"/>
    <col min="5896" max="5896" width="23.109375" bestFit="1" customWidth="1"/>
    <col min="5897" max="5897" width="215.109375" bestFit="1" customWidth="1"/>
    <col min="5898" max="5898" width="45.6640625" bestFit="1" customWidth="1"/>
    <col min="5899" max="5899" width="14.109375" bestFit="1" customWidth="1"/>
    <col min="5900" max="5900" width="23.44140625" bestFit="1" customWidth="1"/>
    <col min="5901" max="5901" width="8.5546875" bestFit="1" customWidth="1"/>
    <col min="5902" max="5902" width="10.44140625" bestFit="1" customWidth="1"/>
    <col min="5903" max="5903" width="22.5546875" bestFit="1" customWidth="1"/>
    <col min="5904" max="5904" width="12.6640625" bestFit="1" customWidth="1"/>
    <col min="5905" max="5905" width="9" bestFit="1" customWidth="1"/>
    <col min="5906" max="5906" width="10.88671875" bestFit="1" customWidth="1"/>
    <col min="5907" max="5907" width="13" bestFit="1" customWidth="1"/>
    <col min="5908" max="5908" width="9" bestFit="1" customWidth="1"/>
    <col min="5909" max="5910" width="42.33203125" bestFit="1" customWidth="1"/>
    <col min="5911" max="5911" width="19.44140625" bestFit="1" customWidth="1"/>
    <col min="5912" max="5912" width="22" bestFit="1" customWidth="1"/>
    <col min="5913" max="5913" width="13.88671875" bestFit="1" customWidth="1"/>
    <col min="6146" max="6146" width="49.33203125" bestFit="1" customWidth="1"/>
    <col min="6147" max="6147" width="17" bestFit="1" customWidth="1"/>
    <col min="6148" max="6148" width="22.5546875" bestFit="1" customWidth="1"/>
    <col min="6149" max="6149" width="22.44140625" bestFit="1" customWidth="1"/>
    <col min="6150" max="6150" width="20.44140625" bestFit="1" customWidth="1"/>
    <col min="6151" max="6151" width="21.5546875" bestFit="1" customWidth="1"/>
    <col min="6152" max="6152" width="23.109375" bestFit="1" customWidth="1"/>
    <col min="6153" max="6153" width="215.109375" bestFit="1" customWidth="1"/>
    <col min="6154" max="6154" width="45.6640625" bestFit="1" customWidth="1"/>
    <col min="6155" max="6155" width="14.109375" bestFit="1" customWidth="1"/>
    <col min="6156" max="6156" width="23.44140625" bestFit="1" customWidth="1"/>
    <col min="6157" max="6157" width="8.5546875" bestFit="1" customWidth="1"/>
    <col min="6158" max="6158" width="10.44140625" bestFit="1" customWidth="1"/>
    <col min="6159" max="6159" width="22.5546875" bestFit="1" customWidth="1"/>
    <col min="6160" max="6160" width="12.6640625" bestFit="1" customWidth="1"/>
    <col min="6161" max="6161" width="9" bestFit="1" customWidth="1"/>
    <col min="6162" max="6162" width="10.88671875" bestFit="1" customWidth="1"/>
    <col min="6163" max="6163" width="13" bestFit="1" customWidth="1"/>
    <col min="6164" max="6164" width="9" bestFit="1" customWidth="1"/>
    <col min="6165" max="6166" width="42.33203125" bestFit="1" customWidth="1"/>
    <col min="6167" max="6167" width="19.44140625" bestFit="1" customWidth="1"/>
    <col min="6168" max="6168" width="22" bestFit="1" customWidth="1"/>
    <col min="6169" max="6169" width="13.88671875" bestFit="1" customWidth="1"/>
    <col min="6402" max="6402" width="49.33203125" bestFit="1" customWidth="1"/>
    <col min="6403" max="6403" width="17" bestFit="1" customWidth="1"/>
    <col min="6404" max="6404" width="22.5546875" bestFit="1" customWidth="1"/>
    <col min="6405" max="6405" width="22.44140625" bestFit="1" customWidth="1"/>
    <col min="6406" max="6406" width="20.44140625" bestFit="1" customWidth="1"/>
    <col min="6407" max="6407" width="21.5546875" bestFit="1" customWidth="1"/>
    <col min="6408" max="6408" width="23.109375" bestFit="1" customWidth="1"/>
    <col min="6409" max="6409" width="215.109375" bestFit="1" customWidth="1"/>
    <col min="6410" max="6410" width="45.6640625" bestFit="1" customWidth="1"/>
    <col min="6411" max="6411" width="14.109375" bestFit="1" customWidth="1"/>
    <col min="6412" max="6412" width="23.44140625" bestFit="1" customWidth="1"/>
    <col min="6413" max="6413" width="8.5546875" bestFit="1" customWidth="1"/>
    <col min="6414" max="6414" width="10.44140625" bestFit="1" customWidth="1"/>
    <col min="6415" max="6415" width="22.5546875" bestFit="1" customWidth="1"/>
    <col min="6416" max="6416" width="12.6640625" bestFit="1" customWidth="1"/>
    <col min="6417" max="6417" width="9" bestFit="1" customWidth="1"/>
    <col min="6418" max="6418" width="10.88671875" bestFit="1" customWidth="1"/>
    <col min="6419" max="6419" width="13" bestFit="1" customWidth="1"/>
    <col min="6420" max="6420" width="9" bestFit="1" customWidth="1"/>
    <col min="6421" max="6422" width="42.33203125" bestFit="1" customWidth="1"/>
    <col min="6423" max="6423" width="19.44140625" bestFit="1" customWidth="1"/>
    <col min="6424" max="6424" width="22" bestFit="1" customWidth="1"/>
    <col min="6425" max="6425" width="13.88671875" bestFit="1" customWidth="1"/>
    <col min="6658" max="6658" width="49.33203125" bestFit="1" customWidth="1"/>
    <col min="6659" max="6659" width="17" bestFit="1" customWidth="1"/>
    <col min="6660" max="6660" width="22.5546875" bestFit="1" customWidth="1"/>
    <col min="6661" max="6661" width="22.44140625" bestFit="1" customWidth="1"/>
    <col min="6662" max="6662" width="20.44140625" bestFit="1" customWidth="1"/>
    <col min="6663" max="6663" width="21.5546875" bestFit="1" customWidth="1"/>
    <col min="6664" max="6664" width="23.109375" bestFit="1" customWidth="1"/>
    <col min="6665" max="6665" width="215.109375" bestFit="1" customWidth="1"/>
    <col min="6666" max="6666" width="45.6640625" bestFit="1" customWidth="1"/>
    <col min="6667" max="6667" width="14.109375" bestFit="1" customWidth="1"/>
    <col min="6668" max="6668" width="23.44140625" bestFit="1" customWidth="1"/>
    <col min="6669" max="6669" width="8.5546875" bestFit="1" customWidth="1"/>
    <col min="6670" max="6670" width="10.44140625" bestFit="1" customWidth="1"/>
    <col min="6671" max="6671" width="22.5546875" bestFit="1" customWidth="1"/>
    <col min="6672" max="6672" width="12.6640625" bestFit="1" customWidth="1"/>
    <col min="6673" max="6673" width="9" bestFit="1" customWidth="1"/>
    <col min="6674" max="6674" width="10.88671875" bestFit="1" customWidth="1"/>
    <col min="6675" max="6675" width="13" bestFit="1" customWidth="1"/>
    <col min="6676" max="6676" width="9" bestFit="1" customWidth="1"/>
    <col min="6677" max="6678" width="42.33203125" bestFit="1" customWidth="1"/>
    <col min="6679" max="6679" width="19.44140625" bestFit="1" customWidth="1"/>
    <col min="6680" max="6680" width="22" bestFit="1" customWidth="1"/>
    <col min="6681" max="6681" width="13.88671875" bestFit="1" customWidth="1"/>
    <col min="6914" max="6914" width="49.33203125" bestFit="1" customWidth="1"/>
    <col min="6915" max="6915" width="17" bestFit="1" customWidth="1"/>
    <col min="6916" max="6916" width="22.5546875" bestFit="1" customWidth="1"/>
    <col min="6917" max="6917" width="22.44140625" bestFit="1" customWidth="1"/>
    <col min="6918" max="6918" width="20.44140625" bestFit="1" customWidth="1"/>
    <col min="6919" max="6919" width="21.5546875" bestFit="1" customWidth="1"/>
    <col min="6920" max="6920" width="23.109375" bestFit="1" customWidth="1"/>
    <col min="6921" max="6921" width="215.109375" bestFit="1" customWidth="1"/>
    <col min="6922" max="6922" width="45.6640625" bestFit="1" customWidth="1"/>
    <col min="6923" max="6923" width="14.109375" bestFit="1" customWidth="1"/>
    <col min="6924" max="6924" width="23.44140625" bestFit="1" customWidth="1"/>
    <col min="6925" max="6925" width="8.5546875" bestFit="1" customWidth="1"/>
    <col min="6926" max="6926" width="10.44140625" bestFit="1" customWidth="1"/>
    <col min="6927" max="6927" width="22.5546875" bestFit="1" customWidth="1"/>
    <col min="6928" max="6928" width="12.6640625" bestFit="1" customWidth="1"/>
    <col min="6929" max="6929" width="9" bestFit="1" customWidth="1"/>
    <col min="6930" max="6930" width="10.88671875" bestFit="1" customWidth="1"/>
    <col min="6931" max="6931" width="13" bestFit="1" customWidth="1"/>
    <col min="6932" max="6932" width="9" bestFit="1" customWidth="1"/>
    <col min="6933" max="6934" width="42.33203125" bestFit="1" customWidth="1"/>
    <col min="6935" max="6935" width="19.44140625" bestFit="1" customWidth="1"/>
    <col min="6936" max="6936" width="22" bestFit="1" customWidth="1"/>
    <col min="6937" max="6937" width="13.88671875" bestFit="1" customWidth="1"/>
    <col min="7170" max="7170" width="49.33203125" bestFit="1" customWidth="1"/>
    <col min="7171" max="7171" width="17" bestFit="1" customWidth="1"/>
    <col min="7172" max="7172" width="22.5546875" bestFit="1" customWidth="1"/>
    <col min="7173" max="7173" width="22.44140625" bestFit="1" customWidth="1"/>
    <col min="7174" max="7174" width="20.44140625" bestFit="1" customWidth="1"/>
    <col min="7175" max="7175" width="21.5546875" bestFit="1" customWidth="1"/>
    <col min="7176" max="7176" width="23.109375" bestFit="1" customWidth="1"/>
    <col min="7177" max="7177" width="215.109375" bestFit="1" customWidth="1"/>
    <col min="7178" max="7178" width="45.6640625" bestFit="1" customWidth="1"/>
    <col min="7179" max="7179" width="14.109375" bestFit="1" customWidth="1"/>
    <col min="7180" max="7180" width="23.44140625" bestFit="1" customWidth="1"/>
    <col min="7181" max="7181" width="8.5546875" bestFit="1" customWidth="1"/>
    <col min="7182" max="7182" width="10.44140625" bestFit="1" customWidth="1"/>
    <col min="7183" max="7183" width="22.5546875" bestFit="1" customWidth="1"/>
    <col min="7184" max="7184" width="12.6640625" bestFit="1" customWidth="1"/>
    <col min="7185" max="7185" width="9" bestFit="1" customWidth="1"/>
    <col min="7186" max="7186" width="10.88671875" bestFit="1" customWidth="1"/>
    <col min="7187" max="7187" width="13" bestFit="1" customWidth="1"/>
    <col min="7188" max="7188" width="9" bestFit="1" customWidth="1"/>
    <col min="7189" max="7190" width="42.33203125" bestFit="1" customWidth="1"/>
    <col min="7191" max="7191" width="19.44140625" bestFit="1" customWidth="1"/>
    <col min="7192" max="7192" width="22" bestFit="1" customWidth="1"/>
    <col min="7193" max="7193" width="13.88671875" bestFit="1" customWidth="1"/>
    <col min="7426" max="7426" width="49.33203125" bestFit="1" customWidth="1"/>
    <col min="7427" max="7427" width="17" bestFit="1" customWidth="1"/>
    <col min="7428" max="7428" width="22.5546875" bestFit="1" customWidth="1"/>
    <col min="7429" max="7429" width="22.44140625" bestFit="1" customWidth="1"/>
    <col min="7430" max="7430" width="20.44140625" bestFit="1" customWidth="1"/>
    <col min="7431" max="7431" width="21.5546875" bestFit="1" customWidth="1"/>
    <col min="7432" max="7432" width="23.109375" bestFit="1" customWidth="1"/>
    <col min="7433" max="7433" width="215.109375" bestFit="1" customWidth="1"/>
    <col min="7434" max="7434" width="45.6640625" bestFit="1" customWidth="1"/>
    <col min="7435" max="7435" width="14.109375" bestFit="1" customWidth="1"/>
    <col min="7436" max="7436" width="23.44140625" bestFit="1" customWidth="1"/>
    <col min="7437" max="7437" width="8.5546875" bestFit="1" customWidth="1"/>
    <col min="7438" max="7438" width="10.44140625" bestFit="1" customWidth="1"/>
    <col min="7439" max="7439" width="22.5546875" bestFit="1" customWidth="1"/>
    <col min="7440" max="7440" width="12.6640625" bestFit="1" customWidth="1"/>
    <col min="7441" max="7441" width="9" bestFit="1" customWidth="1"/>
    <col min="7442" max="7442" width="10.88671875" bestFit="1" customWidth="1"/>
    <col min="7443" max="7443" width="13" bestFit="1" customWidth="1"/>
    <col min="7444" max="7444" width="9" bestFit="1" customWidth="1"/>
    <col min="7445" max="7446" width="42.33203125" bestFit="1" customWidth="1"/>
    <col min="7447" max="7447" width="19.44140625" bestFit="1" customWidth="1"/>
    <col min="7448" max="7448" width="22" bestFit="1" customWidth="1"/>
    <col min="7449" max="7449" width="13.88671875" bestFit="1" customWidth="1"/>
    <col min="7682" max="7682" width="49.33203125" bestFit="1" customWidth="1"/>
    <col min="7683" max="7683" width="17" bestFit="1" customWidth="1"/>
    <col min="7684" max="7684" width="22.5546875" bestFit="1" customWidth="1"/>
    <col min="7685" max="7685" width="22.44140625" bestFit="1" customWidth="1"/>
    <col min="7686" max="7686" width="20.44140625" bestFit="1" customWidth="1"/>
    <col min="7687" max="7687" width="21.5546875" bestFit="1" customWidth="1"/>
    <col min="7688" max="7688" width="23.109375" bestFit="1" customWidth="1"/>
    <col min="7689" max="7689" width="215.109375" bestFit="1" customWidth="1"/>
    <col min="7690" max="7690" width="45.6640625" bestFit="1" customWidth="1"/>
    <col min="7691" max="7691" width="14.109375" bestFit="1" customWidth="1"/>
    <col min="7692" max="7692" width="23.44140625" bestFit="1" customWidth="1"/>
    <col min="7693" max="7693" width="8.5546875" bestFit="1" customWidth="1"/>
    <col min="7694" max="7694" width="10.44140625" bestFit="1" customWidth="1"/>
    <col min="7695" max="7695" width="22.5546875" bestFit="1" customWidth="1"/>
    <col min="7696" max="7696" width="12.6640625" bestFit="1" customWidth="1"/>
    <col min="7697" max="7697" width="9" bestFit="1" customWidth="1"/>
    <col min="7698" max="7698" width="10.88671875" bestFit="1" customWidth="1"/>
    <col min="7699" max="7699" width="13" bestFit="1" customWidth="1"/>
    <col min="7700" max="7700" width="9" bestFit="1" customWidth="1"/>
    <col min="7701" max="7702" width="42.33203125" bestFit="1" customWidth="1"/>
    <col min="7703" max="7703" width="19.44140625" bestFit="1" customWidth="1"/>
    <col min="7704" max="7704" width="22" bestFit="1" customWidth="1"/>
    <col min="7705" max="7705" width="13.88671875" bestFit="1" customWidth="1"/>
    <col min="7938" max="7938" width="49.33203125" bestFit="1" customWidth="1"/>
    <col min="7939" max="7939" width="17" bestFit="1" customWidth="1"/>
    <col min="7940" max="7940" width="22.5546875" bestFit="1" customWidth="1"/>
    <col min="7941" max="7941" width="22.44140625" bestFit="1" customWidth="1"/>
    <col min="7942" max="7942" width="20.44140625" bestFit="1" customWidth="1"/>
    <col min="7943" max="7943" width="21.5546875" bestFit="1" customWidth="1"/>
    <col min="7944" max="7944" width="23.109375" bestFit="1" customWidth="1"/>
    <col min="7945" max="7945" width="215.109375" bestFit="1" customWidth="1"/>
    <col min="7946" max="7946" width="45.6640625" bestFit="1" customWidth="1"/>
    <col min="7947" max="7947" width="14.109375" bestFit="1" customWidth="1"/>
    <col min="7948" max="7948" width="23.44140625" bestFit="1" customWidth="1"/>
    <col min="7949" max="7949" width="8.5546875" bestFit="1" customWidth="1"/>
    <col min="7950" max="7950" width="10.44140625" bestFit="1" customWidth="1"/>
    <col min="7951" max="7951" width="22.5546875" bestFit="1" customWidth="1"/>
    <col min="7952" max="7952" width="12.6640625" bestFit="1" customWidth="1"/>
    <col min="7953" max="7953" width="9" bestFit="1" customWidth="1"/>
    <col min="7954" max="7954" width="10.88671875" bestFit="1" customWidth="1"/>
    <col min="7955" max="7955" width="13" bestFit="1" customWidth="1"/>
    <col min="7956" max="7956" width="9" bestFit="1" customWidth="1"/>
    <col min="7957" max="7958" width="42.33203125" bestFit="1" customWidth="1"/>
    <col min="7959" max="7959" width="19.44140625" bestFit="1" customWidth="1"/>
    <col min="7960" max="7960" width="22" bestFit="1" customWidth="1"/>
    <col min="7961" max="7961" width="13.88671875" bestFit="1" customWidth="1"/>
    <col min="8194" max="8194" width="49.33203125" bestFit="1" customWidth="1"/>
    <col min="8195" max="8195" width="17" bestFit="1" customWidth="1"/>
    <col min="8196" max="8196" width="22.5546875" bestFit="1" customWidth="1"/>
    <col min="8197" max="8197" width="22.44140625" bestFit="1" customWidth="1"/>
    <col min="8198" max="8198" width="20.44140625" bestFit="1" customWidth="1"/>
    <col min="8199" max="8199" width="21.5546875" bestFit="1" customWidth="1"/>
    <col min="8200" max="8200" width="23.109375" bestFit="1" customWidth="1"/>
    <col min="8201" max="8201" width="215.109375" bestFit="1" customWidth="1"/>
    <col min="8202" max="8202" width="45.6640625" bestFit="1" customWidth="1"/>
    <col min="8203" max="8203" width="14.109375" bestFit="1" customWidth="1"/>
    <col min="8204" max="8204" width="23.44140625" bestFit="1" customWidth="1"/>
    <col min="8205" max="8205" width="8.5546875" bestFit="1" customWidth="1"/>
    <col min="8206" max="8206" width="10.44140625" bestFit="1" customWidth="1"/>
    <col min="8207" max="8207" width="22.5546875" bestFit="1" customWidth="1"/>
    <col min="8208" max="8208" width="12.6640625" bestFit="1" customWidth="1"/>
    <col min="8209" max="8209" width="9" bestFit="1" customWidth="1"/>
    <col min="8210" max="8210" width="10.88671875" bestFit="1" customWidth="1"/>
    <col min="8211" max="8211" width="13" bestFit="1" customWidth="1"/>
    <col min="8212" max="8212" width="9" bestFit="1" customWidth="1"/>
    <col min="8213" max="8214" width="42.33203125" bestFit="1" customWidth="1"/>
    <col min="8215" max="8215" width="19.44140625" bestFit="1" customWidth="1"/>
    <col min="8216" max="8216" width="22" bestFit="1" customWidth="1"/>
    <col min="8217" max="8217" width="13.88671875" bestFit="1" customWidth="1"/>
    <col min="8450" max="8450" width="49.33203125" bestFit="1" customWidth="1"/>
    <col min="8451" max="8451" width="17" bestFit="1" customWidth="1"/>
    <col min="8452" max="8452" width="22.5546875" bestFit="1" customWidth="1"/>
    <col min="8453" max="8453" width="22.44140625" bestFit="1" customWidth="1"/>
    <col min="8454" max="8454" width="20.44140625" bestFit="1" customWidth="1"/>
    <col min="8455" max="8455" width="21.5546875" bestFit="1" customWidth="1"/>
    <col min="8456" max="8456" width="23.109375" bestFit="1" customWidth="1"/>
    <col min="8457" max="8457" width="215.109375" bestFit="1" customWidth="1"/>
    <col min="8458" max="8458" width="45.6640625" bestFit="1" customWidth="1"/>
    <col min="8459" max="8459" width="14.109375" bestFit="1" customWidth="1"/>
    <col min="8460" max="8460" width="23.44140625" bestFit="1" customWidth="1"/>
    <col min="8461" max="8461" width="8.5546875" bestFit="1" customWidth="1"/>
    <col min="8462" max="8462" width="10.44140625" bestFit="1" customWidth="1"/>
    <col min="8463" max="8463" width="22.5546875" bestFit="1" customWidth="1"/>
    <col min="8464" max="8464" width="12.6640625" bestFit="1" customWidth="1"/>
    <col min="8465" max="8465" width="9" bestFit="1" customWidth="1"/>
    <col min="8466" max="8466" width="10.88671875" bestFit="1" customWidth="1"/>
    <col min="8467" max="8467" width="13" bestFit="1" customWidth="1"/>
    <col min="8468" max="8468" width="9" bestFit="1" customWidth="1"/>
    <col min="8469" max="8470" width="42.33203125" bestFit="1" customWidth="1"/>
    <col min="8471" max="8471" width="19.44140625" bestFit="1" customWidth="1"/>
    <col min="8472" max="8472" width="22" bestFit="1" customWidth="1"/>
    <col min="8473" max="8473" width="13.88671875" bestFit="1" customWidth="1"/>
    <col min="8706" max="8706" width="49.33203125" bestFit="1" customWidth="1"/>
    <col min="8707" max="8707" width="17" bestFit="1" customWidth="1"/>
    <col min="8708" max="8708" width="22.5546875" bestFit="1" customWidth="1"/>
    <col min="8709" max="8709" width="22.44140625" bestFit="1" customWidth="1"/>
    <col min="8710" max="8710" width="20.44140625" bestFit="1" customWidth="1"/>
    <col min="8711" max="8711" width="21.5546875" bestFit="1" customWidth="1"/>
    <col min="8712" max="8712" width="23.109375" bestFit="1" customWidth="1"/>
    <col min="8713" max="8713" width="215.109375" bestFit="1" customWidth="1"/>
    <col min="8714" max="8714" width="45.6640625" bestFit="1" customWidth="1"/>
    <col min="8715" max="8715" width="14.109375" bestFit="1" customWidth="1"/>
    <col min="8716" max="8716" width="23.44140625" bestFit="1" customWidth="1"/>
    <col min="8717" max="8717" width="8.5546875" bestFit="1" customWidth="1"/>
    <col min="8718" max="8718" width="10.44140625" bestFit="1" customWidth="1"/>
    <col min="8719" max="8719" width="22.5546875" bestFit="1" customWidth="1"/>
    <col min="8720" max="8720" width="12.6640625" bestFit="1" customWidth="1"/>
    <col min="8721" max="8721" width="9" bestFit="1" customWidth="1"/>
    <col min="8722" max="8722" width="10.88671875" bestFit="1" customWidth="1"/>
    <col min="8723" max="8723" width="13" bestFit="1" customWidth="1"/>
    <col min="8724" max="8724" width="9" bestFit="1" customWidth="1"/>
    <col min="8725" max="8726" width="42.33203125" bestFit="1" customWidth="1"/>
    <col min="8727" max="8727" width="19.44140625" bestFit="1" customWidth="1"/>
    <col min="8728" max="8728" width="22" bestFit="1" customWidth="1"/>
    <col min="8729" max="8729" width="13.88671875" bestFit="1" customWidth="1"/>
    <col min="8962" max="8962" width="49.33203125" bestFit="1" customWidth="1"/>
    <col min="8963" max="8963" width="17" bestFit="1" customWidth="1"/>
    <col min="8964" max="8964" width="22.5546875" bestFit="1" customWidth="1"/>
    <col min="8965" max="8965" width="22.44140625" bestFit="1" customWidth="1"/>
    <col min="8966" max="8966" width="20.44140625" bestFit="1" customWidth="1"/>
    <col min="8967" max="8967" width="21.5546875" bestFit="1" customWidth="1"/>
    <col min="8968" max="8968" width="23.109375" bestFit="1" customWidth="1"/>
    <col min="8969" max="8969" width="215.109375" bestFit="1" customWidth="1"/>
    <col min="8970" max="8970" width="45.6640625" bestFit="1" customWidth="1"/>
    <col min="8971" max="8971" width="14.109375" bestFit="1" customWidth="1"/>
    <col min="8972" max="8972" width="23.44140625" bestFit="1" customWidth="1"/>
    <col min="8973" max="8973" width="8.5546875" bestFit="1" customWidth="1"/>
    <col min="8974" max="8974" width="10.44140625" bestFit="1" customWidth="1"/>
    <col min="8975" max="8975" width="22.5546875" bestFit="1" customWidth="1"/>
    <col min="8976" max="8976" width="12.6640625" bestFit="1" customWidth="1"/>
    <col min="8977" max="8977" width="9" bestFit="1" customWidth="1"/>
    <col min="8978" max="8978" width="10.88671875" bestFit="1" customWidth="1"/>
    <col min="8979" max="8979" width="13" bestFit="1" customWidth="1"/>
    <col min="8980" max="8980" width="9" bestFit="1" customWidth="1"/>
    <col min="8981" max="8982" width="42.33203125" bestFit="1" customWidth="1"/>
    <col min="8983" max="8983" width="19.44140625" bestFit="1" customWidth="1"/>
    <col min="8984" max="8984" width="22" bestFit="1" customWidth="1"/>
    <col min="8985" max="8985" width="13.88671875" bestFit="1" customWidth="1"/>
    <col min="9218" max="9218" width="49.33203125" bestFit="1" customWidth="1"/>
    <col min="9219" max="9219" width="17" bestFit="1" customWidth="1"/>
    <col min="9220" max="9220" width="22.5546875" bestFit="1" customWidth="1"/>
    <col min="9221" max="9221" width="22.44140625" bestFit="1" customWidth="1"/>
    <col min="9222" max="9222" width="20.44140625" bestFit="1" customWidth="1"/>
    <col min="9223" max="9223" width="21.5546875" bestFit="1" customWidth="1"/>
    <col min="9224" max="9224" width="23.109375" bestFit="1" customWidth="1"/>
    <col min="9225" max="9225" width="215.109375" bestFit="1" customWidth="1"/>
    <col min="9226" max="9226" width="45.6640625" bestFit="1" customWidth="1"/>
    <col min="9227" max="9227" width="14.109375" bestFit="1" customWidth="1"/>
    <col min="9228" max="9228" width="23.44140625" bestFit="1" customWidth="1"/>
    <col min="9229" max="9229" width="8.5546875" bestFit="1" customWidth="1"/>
    <col min="9230" max="9230" width="10.44140625" bestFit="1" customWidth="1"/>
    <col min="9231" max="9231" width="22.5546875" bestFit="1" customWidth="1"/>
    <col min="9232" max="9232" width="12.6640625" bestFit="1" customWidth="1"/>
    <col min="9233" max="9233" width="9" bestFit="1" customWidth="1"/>
    <col min="9234" max="9234" width="10.88671875" bestFit="1" customWidth="1"/>
    <col min="9235" max="9235" width="13" bestFit="1" customWidth="1"/>
    <col min="9236" max="9236" width="9" bestFit="1" customWidth="1"/>
    <col min="9237" max="9238" width="42.33203125" bestFit="1" customWidth="1"/>
    <col min="9239" max="9239" width="19.44140625" bestFit="1" customWidth="1"/>
    <col min="9240" max="9240" width="22" bestFit="1" customWidth="1"/>
    <col min="9241" max="9241" width="13.88671875" bestFit="1" customWidth="1"/>
    <col min="9474" max="9474" width="49.33203125" bestFit="1" customWidth="1"/>
    <col min="9475" max="9475" width="17" bestFit="1" customWidth="1"/>
    <col min="9476" max="9476" width="22.5546875" bestFit="1" customWidth="1"/>
    <col min="9477" max="9477" width="22.44140625" bestFit="1" customWidth="1"/>
    <col min="9478" max="9478" width="20.44140625" bestFit="1" customWidth="1"/>
    <col min="9479" max="9479" width="21.5546875" bestFit="1" customWidth="1"/>
    <col min="9480" max="9480" width="23.109375" bestFit="1" customWidth="1"/>
    <col min="9481" max="9481" width="215.109375" bestFit="1" customWidth="1"/>
    <col min="9482" max="9482" width="45.6640625" bestFit="1" customWidth="1"/>
    <col min="9483" max="9483" width="14.109375" bestFit="1" customWidth="1"/>
    <col min="9484" max="9484" width="23.44140625" bestFit="1" customWidth="1"/>
    <col min="9485" max="9485" width="8.5546875" bestFit="1" customWidth="1"/>
    <col min="9486" max="9486" width="10.44140625" bestFit="1" customWidth="1"/>
    <col min="9487" max="9487" width="22.5546875" bestFit="1" customWidth="1"/>
    <col min="9488" max="9488" width="12.6640625" bestFit="1" customWidth="1"/>
    <col min="9489" max="9489" width="9" bestFit="1" customWidth="1"/>
    <col min="9490" max="9490" width="10.88671875" bestFit="1" customWidth="1"/>
    <col min="9491" max="9491" width="13" bestFit="1" customWidth="1"/>
    <col min="9492" max="9492" width="9" bestFit="1" customWidth="1"/>
    <col min="9493" max="9494" width="42.33203125" bestFit="1" customWidth="1"/>
    <col min="9495" max="9495" width="19.44140625" bestFit="1" customWidth="1"/>
    <col min="9496" max="9496" width="22" bestFit="1" customWidth="1"/>
    <col min="9497" max="9497" width="13.88671875" bestFit="1" customWidth="1"/>
    <col min="9730" max="9730" width="49.33203125" bestFit="1" customWidth="1"/>
    <col min="9731" max="9731" width="17" bestFit="1" customWidth="1"/>
    <col min="9732" max="9732" width="22.5546875" bestFit="1" customWidth="1"/>
    <col min="9733" max="9733" width="22.44140625" bestFit="1" customWidth="1"/>
    <col min="9734" max="9734" width="20.44140625" bestFit="1" customWidth="1"/>
    <col min="9735" max="9735" width="21.5546875" bestFit="1" customWidth="1"/>
    <col min="9736" max="9736" width="23.109375" bestFit="1" customWidth="1"/>
    <col min="9737" max="9737" width="215.109375" bestFit="1" customWidth="1"/>
    <col min="9738" max="9738" width="45.6640625" bestFit="1" customWidth="1"/>
    <col min="9739" max="9739" width="14.109375" bestFit="1" customWidth="1"/>
    <col min="9740" max="9740" width="23.44140625" bestFit="1" customWidth="1"/>
    <col min="9741" max="9741" width="8.5546875" bestFit="1" customWidth="1"/>
    <col min="9742" max="9742" width="10.44140625" bestFit="1" customWidth="1"/>
    <col min="9743" max="9743" width="22.5546875" bestFit="1" customWidth="1"/>
    <col min="9744" max="9744" width="12.6640625" bestFit="1" customWidth="1"/>
    <col min="9745" max="9745" width="9" bestFit="1" customWidth="1"/>
    <col min="9746" max="9746" width="10.88671875" bestFit="1" customWidth="1"/>
    <col min="9747" max="9747" width="13" bestFit="1" customWidth="1"/>
    <col min="9748" max="9748" width="9" bestFit="1" customWidth="1"/>
    <col min="9749" max="9750" width="42.33203125" bestFit="1" customWidth="1"/>
    <col min="9751" max="9751" width="19.44140625" bestFit="1" customWidth="1"/>
    <col min="9752" max="9752" width="22" bestFit="1" customWidth="1"/>
    <col min="9753" max="9753" width="13.88671875" bestFit="1" customWidth="1"/>
    <col min="9986" max="9986" width="49.33203125" bestFit="1" customWidth="1"/>
    <col min="9987" max="9987" width="17" bestFit="1" customWidth="1"/>
    <col min="9988" max="9988" width="22.5546875" bestFit="1" customWidth="1"/>
    <col min="9989" max="9989" width="22.44140625" bestFit="1" customWidth="1"/>
    <col min="9990" max="9990" width="20.44140625" bestFit="1" customWidth="1"/>
    <col min="9991" max="9991" width="21.5546875" bestFit="1" customWidth="1"/>
    <col min="9992" max="9992" width="23.109375" bestFit="1" customWidth="1"/>
    <col min="9993" max="9993" width="215.109375" bestFit="1" customWidth="1"/>
    <col min="9994" max="9994" width="45.6640625" bestFit="1" customWidth="1"/>
    <col min="9995" max="9995" width="14.109375" bestFit="1" customWidth="1"/>
    <col min="9996" max="9996" width="23.44140625" bestFit="1" customWidth="1"/>
    <col min="9997" max="9997" width="8.5546875" bestFit="1" customWidth="1"/>
    <col min="9998" max="9998" width="10.44140625" bestFit="1" customWidth="1"/>
    <col min="9999" max="9999" width="22.5546875" bestFit="1" customWidth="1"/>
    <col min="10000" max="10000" width="12.6640625" bestFit="1" customWidth="1"/>
    <col min="10001" max="10001" width="9" bestFit="1" customWidth="1"/>
    <col min="10002" max="10002" width="10.88671875" bestFit="1" customWidth="1"/>
    <col min="10003" max="10003" width="13" bestFit="1" customWidth="1"/>
    <col min="10004" max="10004" width="9" bestFit="1" customWidth="1"/>
    <col min="10005" max="10006" width="42.33203125" bestFit="1" customWidth="1"/>
    <col min="10007" max="10007" width="19.44140625" bestFit="1" customWidth="1"/>
    <col min="10008" max="10008" width="22" bestFit="1" customWidth="1"/>
    <col min="10009" max="10009" width="13.88671875" bestFit="1" customWidth="1"/>
    <col min="10242" max="10242" width="49.33203125" bestFit="1" customWidth="1"/>
    <col min="10243" max="10243" width="17" bestFit="1" customWidth="1"/>
    <col min="10244" max="10244" width="22.5546875" bestFit="1" customWidth="1"/>
    <col min="10245" max="10245" width="22.44140625" bestFit="1" customWidth="1"/>
    <col min="10246" max="10246" width="20.44140625" bestFit="1" customWidth="1"/>
    <col min="10247" max="10247" width="21.5546875" bestFit="1" customWidth="1"/>
    <col min="10248" max="10248" width="23.109375" bestFit="1" customWidth="1"/>
    <col min="10249" max="10249" width="215.109375" bestFit="1" customWidth="1"/>
    <col min="10250" max="10250" width="45.6640625" bestFit="1" customWidth="1"/>
    <col min="10251" max="10251" width="14.109375" bestFit="1" customWidth="1"/>
    <col min="10252" max="10252" width="23.44140625" bestFit="1" customWidth="1"/>
    <col min="10253" max="10253" width="8.5546875" bestFit="1" customWidth="1"/>
    <col min="10254" max="10254" width="10.44140625" bestFit="1" customWidth="1"/>
    <col min="10255" max="10255" width="22.5546875" bestFit="1" customWidth="1"/>
    <col min="10256" max="10256" width="12.6640625" bestFit="1" customWidth="1"/>
    <col min="10257" max="10257" width="9" bestFit="1" customWidth="1"/>
    <col min="10258" max="10258" width="10.88671875" bestFit="1" customWidth="1"/>
    <col min="10259" max="10259" width="13" bestFit="1" customWidth="1"/>
    <col min="10260" max="10260" width="9" bestFit="1" customWidth="1"/>
    <col min="10261" max="10262" width="42.33203125" bestFit="1" customWidth="1"/>
    <col min="10263" max="10263" width="19.44140625" bestFit="1" customWidth="1"/>
    <col min="10264" max="10264" width="22" bestFit="1" customWidth="1"/>
    <col min="10265" max="10265" width="13.88671875" bestFit="1" customWidth="1"/>
    <col min="10498" max="10498" width="49.33203125" bestFit="1" customWidth="1"/>
    <col min="10499" max="10499" width="17" bestFit="1" customWidth="1"/>
    <col min="10500" max="10500" width="22.5546875" bestFit="1" customWidth="1"/>
    <col min="10501" max="10501" width="22.44140625" bestFit="1" customWidth="1"/>
    <col min="10502" max="10502" width="20.44140625" bestFit="1" customWidth="1"/>
    <col min="10503" max="10503" width="21.5546875" bestFit="1" customWidth="1"/>
    <col min="10504" max="10504" width="23.109375" bestFit="1" customWidth="1"/>
    <col min="10505" max="10505" width="215.109375" bestFit="1" customWidth="1"/>
    <col min="10506" max="10506" width="45.6640625" bestFit="1" customWidth="1"/>
    <col min="10507" max="10507" width="14.109375" bestFit="1" customWidth="1"/>
    <col min="10508" max="10508" width="23.44140625" bestFit="1" customWidth="1"/>
    <col min="10509" max="10509" width="8.5546875" bestFit="1" customWidth="1"/>
    <col min="10510" max="10510" width="10.44140625" bestFit="1" customWidth="1"/>
    <col min="10511" max="10511" width="22.5546875" bestFit="1" customWidth="1"/>
    <col min="10512" max="10512" width="12.6640625" bestFit="1" customWidth="1"/>
    <col min="10513" max="10513" width="9" bestFit="1" customWidth="1"/>
    <col min="10514" max="10514" width="10.88671875" bestFit="1" customWidth="1"/>
    <col min="10515" max="10515" width="13" bestFit="1" customWidth="1"/>
    <col min="10516" max="10516" width="9" bestFit="1" customWidth="1"/>
    <col min="10517" max="10518" width="42.33203125" bestFit="1" customWidth="1"/>
    <col min="10519" max="10519" width="19.44140625" bestFit="1" customWidth="1"/>
    <col min="10520" max="10520" width="22" bestFit="1" customWidth="1"/>
    <col min="10521" max="10521" width="13.88671875" bestFit="1" customWidth="1"/>
    <col min="10754" max="10754" width="49.33203125" bestFit="1" customWidth="1"/>
    <col min="10755" max="10755" width="17" bestFit="1" customWidth="1"/>
    <col min="10756" max="10756" width="22.5546875" bestFit="1" customWidth="1"/>
    <col min="10757" max="10757" width="22.44140625" bestFit="1" customWidth="1"/>
    <col min="10758" max="10758" width="20.44140625" bestFit="1" customWidth="1"/>
    <col min="10759" max="10759" width="21.5546875" bestFit="1" customWidth="1"/>
    <col min="10760" max="10760" width="23.109375" bestFit="1" customWidth="1"/>
    <col min="10761" max="10761" width="215.109375" bestFit="1" customWidth="1"/>
    <col min="10762" max="10762" width="45.6640625" bestFit="1" customWidth="1"/>
    <col min="10763" max="10763" width="14.109375" bestFit="1" customWidth="1"/>
    <col min="10764" max="10764" width="23.44140625" bestFit="1" customWidth="1"/>
    <col min="10765" max="10765" width="8.5546875" bestFit="1" customWidth="1"/>
    <col min="10766" max="10766" width="10.44140625" bestFit="1" customWidth="1"/>
    <col min="10767" max="10767" width="22.5546875" bestFit="1" customWidth="1"/>
    <col min="10768" max="10768" width="12.6640625" bestFit="1" customWidth="1"/>
    <col min="10769" max="10769" width="9" bestFit="1" customWidth="1"/>
    <col min="10770" max="10770" width="10.88671875" bestFit="1" customWidth="1"/>
    <col min="10771" max="10771" width="13" bestFit="1" customWidth="1"/>
    <col min="10772" max="10772" width="9" bestFit="1" customWidth="1"/>
    <col min="10773" max="10774" width="42.33203125" bestFit="1" customWidth="1"/>
    <col min="10775" max="10775" width="19.44140625" bestFit="1" customWidth="1"/>
    <col min="10776" max="10776" width="22" bestFit="1" customWidth="1"/>
    <col min="10777" max="10777" width="13.88671875" bestFit="1" customWidth="1"/>
    <col min="11010" max="11010" width="49.33203125" bestFit="1" customWidth="1"/>
    <col min="11011" max="11011" width="17" bestFit="1" customWidth="1"/>
    <col min="11012" max="11012" width="22.5546875" bestFit="1" customWidth="1"/>
    <col min="11013" max="11013" width="22.44140625" bestFit="1" customWidth="1"/>
    <col min="11014" max="11014" width="20.44140625" bestFit="1" customWidth="1"/>
    <col min="11015" max="11015" width="21.5546875" bestFit="1" customWidth="1"/>
    <col min="11016" max="11016" width="23.109375" bestFit="1" customWidth="1"/>
    <col min="11017" max="11017" width="215.109375" bestFit="1" customWidth="1"/>
    <col min="11018" max="11018" width="45.6640625" bestFit="1" customWidth="1"/>
    <col min="11019" max="11019" width="14.109375" bestFit="1" customWidth="1"/>
    <col min="11020" max="11020" width="23.44140625" bestFit="1" customWidth="1"/>
    <col min="11021" max="11021" width="8.5546875" bestFit="1" customWidth="1"/>
    <col min="11022" max="11022" width="10.44140625" bestFit="1" customWidth="1"/>
    <col min="11023" max="11023" width="22.5546875" bestFit="1" customWidth="1"/>
    <col min="11024" max="11024" width="12.6640625" bestFit="1" customWidth="1"/>
    <col min="11025" max="11025" width="9" bestFit="1" customWidth="1"/>
    <col min="11026" max="11026" width="10.88671875" bestFit="1" customWidth="1"/>
    <col min="11027" max="11027" width="13" bestFit="1" customWidth="1"/>
    <col min="11028" max="11028" width="9" bestFit="1" customWidth="1"/>
    <col min="11029" max="11030" width="42.33203125" bestFit="1" customWidth="1"/>
    <col min="11031" max="11031" width="19.44140625" bestFit="1" customWidth="1"/>
    <col min="11032" max="11032" width="22" bestFit="1" customWidth="1"/>
    <col min="11033" max="11033" width="13.88671875" bestFit="1" customWidth="1"/>
    <col min="11266" max="11266" width="49.33203125" bestFit="1" customWidth="1"/>
    <col min="11267" max="11267" width="17" bestFit="1" customWidth="1"/>
    <col min="11268" max="11268" width="22.5546875" bestFit="1" customWidth="1"/>
    <col min="11269" max="11269" width="22.44140625" bestFit="1" customWidth="1"/>
    <col min="11270" max="11270" width="20.44140625" bestFit="1" customWidth="1"/>
    <col min="11271" max="11271" width="21.5546875" bestFit="1" customWidth="1"/>
    <col min="11272" max="11272" width="23.109375" bestFit="1" customWidth="1"/>
    <col min="11273" max="11273" width="215.109375" bestFit="1" customWidth="1"/>
    <col min="11274" max="11274" width="45.6640625" bestFit="1" customWidth="1"/>
    <col min="11275" max="11275" width="14.109375" bestFit="1" customWidth="1"/>
    <col min="11276" max="11276" width="23.44140625" bestFit="1" customWidth="1"/>
    <col min="11277" max="11277" width="8.5546875" bestFit="1" customWidth="1"/>
    <col min="11278" max="11278" width="10.44140625" bestFit="1" customWidth="1"/>
    <col min="11279" max="11279" width="22.5546875" bestFit="1" customWidth="1"/>
    <col min="11280" max="11280" width="12.6640625" bestFit="1" customWidth="1"/>
    <col min="11281" max="11281" width="9" bestFit="1" customWidth="1"/>
    <col min="11282" max="11282" width="10.88671875" bestFit="1" customWidth="1"/>
    <col min="11283" max="11283" width="13" bestFit="1" customWidth="1"/>
    <col min="11284" max="11284" width="9" bestFit="1" customWidth="1"/>
    <col min="11285" max="11286" width="42.33203125" bestFit="1" customWidth="1"/>
    <col min="11287" max="11287" width="19.44140625" bestFit="1" customWidth="1"/>
    <col min="11288" max="11288" width="22" bestFit="1" customWidth="1"/>
    <col min="11289" max="11289" width="13.88671875" bestFit="1" customWidth="1"/>
    <col min="11522" max="11522" width="49.33203125" bestFit="1" customWidth="1"/>
    <col min="11523" max="11523" width="17" bestFit="1" customWidth="1"/>
    <col min="11524" max="11524" width="22.5546875" bestFit="1" customWidth="1"/>
    <col min="11525" max="11525" width="22.44140625" bestFit="1" customWidth="1"/>
    <col min="11526" max="11526" width="20.44140625" bestFit="1" customWidth="1"/>
    <col min="11527" max="11527" width="21.5546875" bestFit="1" customWidth="1"/>
    <col min="11528" max="11528" width="23.109375" bestFit="1" customWidth="1"/>
    <col min="11529" max="11529" width="215.109375" bestFit="1" customWidth="1"/>
    <col min="11530" max="11530" width="45.6640625" bestFit="1" customWidth="1"/>
    <col min="11531" max="11531" width="14.109375" bestFit="1" customWidth="1"/>
    <col min="11532" max="11532" width="23.44140625" bestFit="1" customWidth="1"/>
    <col min="11533" max="11533" width="8.5546875" bestFit="1" customWidth="1"/>
    <col min="11534" max="11534" width="10.44140625" bestFit="1" customWidth="1"/>
    <col min="11535" max="11535" width="22.5546875" bestFit="1" customWidth="1"/>
    <col min="11536" max="11536" width="12.6640625" bestFit="1" customWidth="1"/>
    <col min="11537" max="11537" width="9" bestFit="1" customWidth="1"/>
    <col min="11538" max="11538" width="10.88671875" bestFit="1" customWidth="1"/>
    <col min="11539" max="11539" width="13" bestFit="1" customWidth="1"/>
    <col min="11540" max="11540" width="9" bestFit="1" customWidth="1"/>
    <col min="11541" max="11542" width="42.33203125" bestFit="1" customWidth="1"/>
    <col min="11543" max="11543" width="19.44140625" bestFit="1" customWidth="1"/>
    <col min="11544" max="11544" width="22" bestFit="1" customWidth="1"/>
    <col min="11545" max="11545" width="13.88671875" bestFit="1" customWidth="1"/>
    <col min="11778" max="11778" width="49.33203125" bestFit="1" customWidth="1"/>
    <col min="11779" max="11779" width="17" bestFit="1" customWidth="1"/>
    <col min="11780" max="11780" width="22.5546875" bestFit="1" customWidth="1"/>
    <col min="11781" max="11781" width="22.44140625" bestFit="1" customWidth="1"/>
    <col min="11782" max="11782" width="20.44140625" bestFit="1" customWidth="1"/>
    <col min="11783" max="11783" width="21.5546875" bestFit="1" customWidth="1"/>
    <col min="11784" max="11784" width="23.109375" bestFit="1" customWidth="1"/>
    <col min="11785" max="11785" width="215.109375" bestFit="1" customWidth="1"/>
    <col min="11786" max="11786" width="45.6640625" bestFit="1" customWidth="1"/>
    <col min="11787" max="11787" width="14.109375" bestFit="1" customWidth="1"/>
    <col min="11788" max="11788" width="23.44140625" bestFit="1" customWidth="1"/>
    <col min="11789" max="11789" width="8.5546875" bestFit="1" customWidth="1"/>
    <col min="11790" max="11790" width="10.44140625" bestFit="1" customWidth="1"/>
    <col min="11791" max="11791" width="22.5546875" bestFit="1" customWidth="1"/>
    <col min="11792" max="11792" width="12.6640625" bestFit="1" customWidth="1"/>
    <col min="11793" max="11793" width="9" bestFit="1" customWidth="1"/>
    <col min="11794" max="11794" width="10.88671875" bestFit="1" customWidth="1"/>
    <col min="11795" max="11795" width="13" bestFit="1" customWidth="1"/>
    <col min="11796" max="11796" width="9" bestFit="1" customWidth="1"/>
    <col min="11797" max="11798" width="42.33203125" bestFit="1" customWidth="1"/>
    <col min="11799" max="11799" width="19.44140625" bestFit="1" customWidth="1"/>
    <col min="11800" max="11800" width="22" bestFit="1" customWidth="1"/>
    <col min="11801" max="11801" width="13.88671875" bestFit="1" customWidth="1"/>
    <col min="12034" max="12034" width="49.33203125" bestFit="1" customWidth="1"/>
    <col min="12035" max="12035" width="17" bestFit="1" customWidth="1"/>
    <col min="12036" max="12036" width="22.5546875" bestFit="1" customWidth="1"/>
    <col min="12037" max="12037" width="22.44140625" bestFit="1" customWidth="1"/>
    <col min="12038" max="12038" width="20.44140625" bestFit="1" customWidth="1"/>
    <col min="12039" max="12039" width="21.5546875" bestFit="1" customWidth="1"/>
    <col min="12040" max="12040" width="23.109375" bestFit="1" customWidth="1"/>
    <col min="12041" max="12041" width="215.109375" bestFit="1" customWidth="1"/>
    <col min="12042" max="12042" width="45.6640625" bestFit="1" customWidth="1"/>
    <col min="12043" max="12043" width="14.109375" bestFit="1" customWidth="1"/>
    <col min="12044" max="12044" width="23.44140625" bestFit="1" customWidth="1"/>
    <col min="12045" max="12045" width="8.5546875" bestFit="1" customWidth="1"/>
    <col min="12046" max="12046" width="10.44140625" bestFit="1" customWidth="1"/>
    <col min="12047" max="12047" width="22.5546875" bestFit="1" customWidth="1"/>
    <col min="12048" max="12048" width="12.6640625" bestFit="1" customWidth="1"/>
    <col min="12049" max="12049" width="9" bestFit="1" customWidth="1"/>
    <col min="12050" max="12050" width="10.88671875" bestFit="1" customWidth="1"/>
    <col min="12051" max="12051" width="13" bestFit="1" customWidth="1"/>
    <col min="12052" max="12052" width="9" bestFit="1" customWidth="1"/>
    <col min="12053" max="12054" width="42.33203125" bestFit="1" customWidth="1"/>
    <col min="12055" max="12055" width="19.44140625" bestFit="1" customWidth="1"/>
    <col min="12056" max="12056" width="22" bestFit="1" customWidth="1"/>
    <col min="12057" max="12057" width="13.88671875" bestFit="1" customWidth="1"/>
    <col min="12290" max="12290" width="49.33203125" bestFit="1" customWidth="1"/>
    <col min="12291" max="12291" width="17" bestFit="1" customWidth="1"/>
    <col min="12292" max="12292" width="22.5546875" bestFit="1" customWidth="1"/>
    <col min="12293" max="12293" width="22.44140625" bestFit="1" customWidth="1"/>
    <col min="12294" max="12294" width="20.44140625" bestFit="1" customWidth="1"/>
    <col min="12295" max="12295" width="21.5546875" bestFit="1" customWidth="1"/>
    <col min="12296" max="12296" width="23.109375" bestFit="1" customWidth="1"/>
    <col min="12297" max="12297" width="215.109375" bestFit="1" customWidth="1"/>
    <col min="12298" max="12298" width="45.6640625" bestFit="1" customWidth="1"/>
    <col min="12299" max="12299" width="14.109375" bestFit="1" customWidth="1"/>
    <col min="12300" max="12300" width="23.44140625" bestFit="1" customWidth="1"/>
    <col min="12301" max="12301" width="8.5546875" bestFit="1" customWidth="1"/>
    <col min="12302" max="12302" width="10.44140625" bestFit="1" customWidth="1"/>
    <col min="12303" max="12303" width="22.5546875" bestFit="1" customWidth="1"/>
    <col min="12304" max="12304" width="12.6640625" bestFit="1" customWidth="1"/>
    <col min="12305" max="12305" width="9" bestFit="1" customWidth="1"/>
    <col min="12306" max="12306" width="10.88671875" bestFit="1" customWidth="1"/>
    <col min="12307" max="12307" width="13" bestFit="1" customWidth="1"/>
    <col min="12308" max="12308" width="9" bestFit="1" customWidth="1"/>
    <col min="12309" max="12310" width="42.33203125" bestFit="1" customWidth="1"/>
    <col min="12311" max="12311" width="19.44140625" bestFit="1" customWidth="1"/>
    <col min="12312" max="12312" width="22" bestFit="1" customWidth="1"/>
    <col min="12313" max="12313" width="13.88671875" bestFit="1" customWidth="1"/>
    <col min="12546" max="12546" width="49.33203125" bestFit="1" customWidth="1"/>
    <col min="12547" max="12547" width="17" bestFit="1" customWidth="1"/>
    <col min="12548" max="12548" width="22.5546875" bestFit="1" customWidth="1"/>
    <col min="12549" max="12549" width="22.44140625" bestFit="1" customWidth="1"/>
    <col min="12550" max="12550" width="20.44140625" bestFit="1" customWidth="1"/>
    <col min="12551" max="12551" width="21.5546875" bestFit="1" customWidth="1"/>
    <col min="12552" max="12552" width="23.109375" bestFit="1" customWidth="1"/>
    <col min="12553" max="12553" width="215.109375" bestFit="1" customWidth="1"/>
    <col min="12554" max="12554" width="45.6640625" bestFit="1" customWidth="1"/>
    <col min="12555" max="12555" width="14.109375" bestFit="1" customWidth="1"/>
    <col min="12556" max="12556" width="23.44140625" bestFit="1" customWidth="1"/>
    <col min="12557" max="12557" width="8.5546875" bestFit="1" customWidth="1"/>
    <col min="12558" max="12558" width="10.44140625" bestFit="1" customWidth="1"/>
    <col min="12559" max="12559" width="22.5546875" bestFit="1" customWidth="1"/>
    <col min="12560" max="12560" width="12.6640625" bestFit="1" customWidth="1"/>
    <col min="12561" max="12561" width="9" bestFit="1" customWidth="1"/>
    <col min="12562" max="12562" width="10.88671875" bestFit="1" customWidth="1"/>
    <col min="12563" max="12563" width="13" bestFit="1" customWidth="1"/>
    <col min="12564" max="12564" width="9" bestFit="1" customWidth="1"/>
    <col min="12565" max="12566" width="42.33203125" bestFit="1" customWidth="1"/>
    <col min="12567" max="12567" width="19.44140625" bestFit="1" customWidth="1"/>
    <col min="12568" max="12568" width="22" bestFit="1" customWidth="1"/>
    <col min="12569" max="12569" width="13.88671875" bestFit="1" customWidth="1"/>
    <col min="12802" max="12802" width="49.33203125" bestFit="1" customWidth="1"/>
    <col min="12803" max="12803" width="17" bestFit="1" customWidth="1"/>
    <col min="12804" max="12804" width="22.5546875" bestFit="1" customWidth="1"/>
    <col min="12805" max="12805" width="22.44140625" bestFit="1" customWidth="1"/>
    <col min="12806" max="12806" width="20.44140625" bestFit="1" customWidth="1"/>
    <col min="12807" max="12807" width="21.5546875" bestFit="1" customWidth="1"/>
    <col min="12808" max="12808" width="23.109375" bestFit="1" customWidth="1"/>
    <col min="12809" max="12809" width="215.109375" bestFit="1" customWidth="1"/>
    <col min="12810" max="12810" width="45.6640625" bestFit="1" customWidth="1"/>
    <col min="12811" max="12811" width="14.109375" bestFit="1" customWidth="1"/>
    <col min="12812" max="12812" width="23.44140625" bestFit="1" customWidth="1"/>
    <col min="12813" max="12813" width="8.5546875" bestFit="1" customWidth="1"/>
    <col min="12814" max="12814" width="10.44140625" bestFit="1" customWidth="1"/>
    <col min="12815" max="12815" width="22.5546875" bestFit="1" customWidth="1"/>
    <col min="12816" max="12816" width="12.6640625" bestFit="1" customWidth="1"/>
    <col min="12817" max="12817" width="9" bestFit="1" customWidth="1"/>
    <col min="12818" max="12818" width="10.88671875" bestFit="1" customWidth="1"/>
    <col min="12819" max="12819" width="13" bestFit="1" customWidth="1"/>
    <col min="12820" max="12820" width="9" bestFit="1" customWidth="1"/>
    <col min="12821" max="12822" width="42.33203125" bestFit="1" customWidth="1"/>
    <col min="12823" max="12823" width="19.44140625" bestFit="1" customWidth="1"/>
    <col min="12824" max="12824" width="22" bestFit="1" customWidth="1"/>
    <col min="12825" max="12825" width="13.88671875" bestFit="1" customWidth="1"/>
    <col min="13058" max="13058" width="49.33203125" bestFit="1" customWidth="1"/>
    <col min="13059" max="13059" width="17" bestFit="1" customWidth="1"/>
    <col min="13060" max="13060" width="22.5546875" bestFit="1" customWidth="1"/>
    <col min="13061" max="13061" width="22.44140625" bestFit="1" customWidth="1"/>
    <col min="13062" max="13062" width="20.44140625" bestFit="1" customWidth="1"/>
    <col min="13063" max="13063" width="21.5546875" bestFit="1" customWidth="1"/>
    <col min="13064" max="13064" width="23.109375" bestFit="1" customWidth="1"/>
    <col min="13065" max="13065" width="215.109375" bestFit="1" customWidth="1"/>
    <col min="13066" max="13066" width="45.6640625" bestFit="1" customWidth="1"/>
    <col min="13067" max="13067" width="14.109375" bestFit="1" customWidth="1"/>
    <col min="13068" max="13068" width="23.44140625" bestFit="1" customWidth="1"/>
    <col min="13069" max="13069" width="8.5546875" bestFit="1" customWidth="1"/>
    <col min="13070" max="13070" width="10.44140625" bestFit="1" customWidth="1"/>
    <col min="13071" max="13071" width="22.5546875" bestFit="1" customWidth="1"/>
    <col min="13072" max="13072" width="12.6640625" bestFit="1" customWidth="1"/>
    <col min="13073" max="13073" width="9" bestFit="1" customWidth="1"/>
    <col min="13074" max="13074" width="10.88671875" bestFit="1" customWidth="1"/>
    <col min="13075" max="13075" width="13" bestFit="1" customWidth="1"/>
    <col min="13076" max="13076" width="9" bestFit="1" customWidth="1"/>
    <col min="13077" max="13078" width="42.33203125" bestFit="1" customWidth="1"/>
    <col min="13079" max="13079" width="19.44140625" bestFit="1" customWidth="1"/>
    <col min="13080" max="13080" width="22" bestFit="1" customWidth="1"/>
    <col min="13081" max="13081" width="13.88671875" bestFit="1" customWidth="1"/>
    <col min="13314" max="13314" width="49.33203125" bestFit="1" customWidth="1"/>
    <col min="13315" max="13315" width="17" bestFit="1" customWidth="1"/>
    <col min="13316" max="13316" width="22.5546875" bestFit="1" customWidth="1"/>
    <col min="13317" max="13317" width="22.44140625" bestFit="1" customWidth="1"/>
    <col min="13318" max="13318" width="20.44140625" bestFit="1" customWidth="1"/>
    <col min="13319" max="13319" width="21.5546875" bestFit="1" customWidth="1"/>
    <col min="13320" max="13320" width="23.109375" bestFit="1" customWidth="1"/>
    <col min="13321" max="13321" width="215.109375" bestFit="1" customWidth="1"/>
    <col min="13322" max="13322" width="45.6640625" bestFit="1" customWidth="1"/>
    <col min="13323" max="13323" width="14.109375" bestFit="1" customWidth="1"/>
    <col min="13324" max="13324" width="23.44140625" bestFit="1" customWidth="1"/>
    <col min="13325" max="13325" width="8.5546875" bestFit="1" customWidth="1"/>
    <col min="13326" max="13326" width="10.44140625" bestFit="1" customWidth="1"/>
    <col min="13327" max="13327" width="22.5546875" bestFit="1" customWidth="1"/>
    <col min="13328" max="13328" width="12.6640625" bestFit="1" customWidth="1"/>
    <col min="13329" max="13329" width="9" bestFit="1" customWidth="1"/>
    <col min="13330" max="13330" width="10.88671875" bestFit="1" customWidth="1"/>
    <col min="13331" max="13331" width="13" bestFit="1" customWidth="1"/>
    <col min="13332" max="13332" width="9" bestFit="1" customWidth="1"/>
    <col min="13333" max="13334" width="42.33203125" bestFit="1" customWidth="1"/>
    <col min="13335" max="13335" width="19.44140625" bestFit="1" customWidth="1"/>
    <col min="13336" max="13336" width="22" bestFit="1" customWidth="1"/>
    <col min="13337" max="13337" width="13.88671875" bestFit="1" customWidth="1"/>
    <col min="13570" max="13570" width="49.33203125" bestFit="1" customWidth="1"/>
    <col min="13571" max="13571" width="17" bestFit="1" customWidth="1"/>
    <col min="13572" max="13572" width="22.5546875" bestFit="1" customWidth="1"/>
    <col min="13573" max="13573" width="22.44140625" bestFit="1" customWidth="1"/>
    <col min="13574" max="13574" width="20.44140625" bestFit="1" customWidth="1"/>
    <col min="13575" max="13575" width="21.5546875" bestFit="1" customWidth="1"/>
    <col min="13576" max="13576" width="23.109375" bestFit="1" customWidth="1"/>
    <col min="13577" max="13577" width="215.109375" bestFit="1" customWidth="1"/>
    <col min="13578" max="13578" width="45.6640625" bestFit="1" customWidth="1"/>
    <col min="13579" max="13579" width="14.109375" bestFit="1" customWidth="1"/>
    <col min="13580" max="13580" width="23.44140625" bestFit="1" customWidth="1"/>
    <col min="13581" max="13581" width="8.5546875" bestFit="1" customWidth="1"/>
    <col min="13582" max="13582" width="10.44140625" bestFit="1" customWidth="1"/>
    <col min="13583" max="13583" width="22.5546875" bestFit="1" customWidth="1"/>
    <col min="13584" max="13584" width="12.6640625" bestFit="1" customWidth="1"/>
    <col min="13585" max="13585" width="9" bestFit="1" customWidth="1"/>
    <col min="13586" max="13586" width="10.88671875" bestFit="1" customWidth="1"/>
    <col min="13587" max="13587" width="13" bestFit="1" customWidth="1"/>
    <col min="13588" max="13588" width="9" bestFit="1" customWidth="1"/>
    <col min="13589" max="13590" width="42.33203125" bestFit="1" customWidth="1"/>
    <col min="13591" max="13591" width="19.44140625" bestFit="1" customWidth="1"/>
    <col min="13592" max="13592" width="22" bestFit="1" customWidth="1"/>
    <col min="13593" max="13593" width="13.88671875" bestFit="1" customWidth="1"/>
    <col min="13826" max="13826" width="49.33203125" bestFit="1" customWidth="1"/>
    <col min="13827" max="13827" width="17" bestFit="1" customWidth="1"/>
    <col min="13828" max="13828" width="22.5546875" bestFit="1" customWidth="1"/>
    <col min="13829" max="13829" width="22.44140625" bestFit="1" customWidth="1"/>
    <col min="13830" max="13830" width="20.44140625" bestFit="1" customWidth="1"/>
    <col min="13831" max="13831" width="21.5546875" bestFit="1" customWidth="1"/>
    <col min="13832" max="13832" width="23.109375" bestFit="1" customWidth="1"/>
    <col min="13833" max="13833" width="215.109375" bestFit="1" customWidth="1"/>
    <col min="13834" max="13834" width="45.6640625" bestFit="1" customWidth="1"/>
    <col min="13835" max="13835" width="14.109375" bestFit="1" customWidth="1"/>
    <col min="13836" max="13836" width="23.44140625" bestFit="1" customWidth="1"/>
    <col min="13837" max="13837" width="8.5546875" bestFit="1" customWidth="1"/>
    <col min="13838" max="13838" width="10.44140625" bestFit="1" customWidth="1"/>
    <col min="13839" max="13839" width="22.5546875" bestFit="1" customWidth="1"/>
    <col min="13840" max="13840" width="12.6640625" bestFit="1" customWidth="1"/>
    <col min="13841" max="13841" width="9" bestFit="1" customWidth="1"/>
    <col min="13842" max="13842" width="10.88671875" bestFit="1" customWidth="1"/>
    <col min="13843" max="13843" width="13" bestFit="1" customWidth="1"/>
    <col min="13844" max="13844" width="9" bestFit="1" customWidth="1"/>
    <col min="13845" max="13846" width="42.33203125" bestFit="1" customWidth="1"/>
    <col min="13847" max="13847" width="19.44140625" bestFit="1" customWidth="1"/>
    <col min="13848" max="13848" width="22" bestFit="1" customWidth="1"/>
    <col min="13849" max="13849" width="13.88671875" bestFit="1" customWidth="1"/>
    <col min="14082" max="14082" width="49.33203125" bestFit="1" customWidth="1"/>
    <col min="14083" max="14083" width="17" bestFit="1" customWidth="1"/>
    <col min="14084" max="14084" width="22.5546875" bestFit="1" customWidth="1"/>
    <col min="14085" max="14085" width="22.44140625" bestFit="1" customWidth="1"/>
    <col min="14086" max="14086" width="20.44140625" bestFit="1" customWidth="1"/>
    <col min="14087" max="14087" width="21.5546875" bestFit="1" customWidth="1"/>
    <col min="14088" max="14088" width="23.109375" bestFit="1" customWidth="1"/>
    <col min="14089" max="14089" width="215.109375" bestFit="1" customWidth="1"/>
    <col min="14090" max="14090" width="45.6640625" bestFit="1" customWidth="1"/>
    <col min="14091" max="14091" width="14.109375" bestFit="1" customWidth="1"/>
    <col min="14092" max="14092" width="23.44140625" bestFit="1" customWidth="1"/>
    <col min="14093" max="14093" width="8.5546875" bestFit="1" customWidth="1"/>
    <col min="14094" max="14094" width="10.44140625" bestFit="1" customWidth="1"/>
    <col min="14095" max="14095" width="22.5546875" bestFit="1" customWidth="1"/>
    <col min="14096" max="14096" width="12.6640625" bestFit="1" customWidth="1"/>
    <col min="14097" max="14097" width="9" bestFit="1" customWidth="1"/>
    <col min="14098" max="14098" width="10.88671875" bestFit="1" customWidth="1"/>
    <col min="14099" max="14099" width="13" bestFit="1" customWidth="1"/>
    <col min="14100" max="14100" width="9" bestFit="1" customWidth="1"/>
    <col min="14101" max="14102" width="42.33203125" bestFit="1" customWidth="1"/>
    <col min="14103" max="14103" width="19.44140625" bestFit="1" customWidth="1"/>
    <col min="14104" max="14104" width="22" bestFit="1" customWidth="1"/>
    <col min="14105" max="14105" width="13.88671875" bestFit="1" customWidth="1"/>
    <col min="14338" max="14338" width="49.33203125" bestFit="1" customWidth="1"/>
    <col min="14339" max="14339" width="17" bestFit="1" customWidth="1"/>
    <col min="14340" max="14340" width="22.5546875" bestFit="1" customWidth="1"/>
    <col min="14341" max="14341" width="22.44140625" bestFit="1" customWidth="1"/>
    <col min="14342" max="14342" width="20.44140625" bestFit="1" customWidth="1"/>
    <col min="14343" max="14343" width="21.5546875" bestFit="1" customWidth="1"/>
    <col min="14344" max="14344" width="23.109375" bestFit="1" customWidth="1"/>
    <col min="14345" max="14345" width="215.109375" bestFit="1" customWidth="1"/>
    <col min="14346" max="14346" width="45.6640625" bestFit="1" customWidth="1"/>
    <col min="14347" max="14347" width="14.109375" bestFit="1" customWidth="1"/>
    <col min="14348" max="14348" width="23.44140625" bestFit="1" customWidth="1"/>
    <col min="14349" max="14349" width="8.5546875" bestFit="1" customWidth="1"/>
    <col min="14350" max="14350" width="10.44140625" bestFit="1" customWidth="1"/>
    <col min="14351" max="14351" width="22.5546875" bestFit="1" customWidth="1"/>
    <col min="14352" max="14352" width="12.6640625" bestFit="1" customWidth="1"/>
    <col min="14353" max="14353" width="9" bestFit="1" customWidth="1"/>
    <col min="14354" max="14354" width="10.88671875" bestFit="1" customWidth="1"/>
    <col min="14355" max="14355" width="13" bestFit="1" customWidth="1"/>
    <col min="14356" max="14356" width="9" bestFit="1" customWidth="1"/>
    <col min="14357" max="14358" width="42.33203125" bestFit="1" customWidth="1"/>
    <col min="14359" max="14359" width="19.44140625" bestFit="1" customWidth="1"/>
    <col min="14360" max="14360" width="22" bestFit="1" customWidth="1"/>
    <col min="14361" max="14361" width="13.88671875" bestFit="1" customWidth="1"/>
    <col min="14594" max="14594" width="49.33203125" bestFit="1" customWidth="1"/>
    <col min="14595" max="14595" width="17" bestFit="1" customWidth="1"/>
    <col min="14596" max="14596" width="22.5546875" bestFit="1" customWidth="1"/>
    <col min="14597" max="14597" width="22.44140625" bestFit="1" customWidth="1"/>
    <col min="14598" max="14598" width="20.44140625" bestFit="1" customWidth="1"/>
    <col min="14599" max="14599" width="21.5546875" bestFit="1" customWidth="1"/>
    <col min="14600" max="14600" width="23.109375" bestFit="1" customWidth="1"/>
    <col min="14601" max="14601" width="215.109375" bestFit="1" customWidth="1"/>
    <col min="14602" max="14602" width="45.6640625" bestFit="1" customWidth="1"/>
    <col min="14603" max="14603" width="14.109375" bestFit="1" customWidth="1"/>
    <col min="14604" max="14604" width="23.44140625" bestFit="1" customWidth="1"/>
    <col min="14605" max="14605" width="8.5546875" bestFit="1" customWidth="1"/>
    <col min="14606" max="14606" width="10.44140625" bestFit="1" customWidth="1"/>
    <col min="14607" max="14607" width="22.5546875" bestFit="1" customWidth="1"/>
    <col min="14608" max="14608" width="12.6640625" bestFit="1" customWidth="1"/>
    <col min="14609" max="14609" width="9" bestFit="1" customWidth="1"/>
    <col min="14610" max="14610" width="10.88671875" bestFit="1" customWidth="1"/>
    <col min="14611" max="14611" width="13" bestFit="1" customWidth="1"/>
    <col min="14612" max="14612" width="9" bestFit="1" customWidth="1"/>
    <col min="14613" max="14614" width="42.33203125" bestFit="1" customWidth="1"/>
    <col min="14615" max="14615" width="19.44140625" bestFit="1" customWidth="1"/>
    <col min="14616" max="14616" width="22" bestFit="1" customWidth="1"/>
    <col min="14617" max="14617" width="13.88671875" bestFit="1" customWidth="1"/>
    <col min="14850" max="14850" width="49.33203125" bestFit="1" customWidth="1"/>
    <col min="14851" max="14851" width="17" bestFit="1" customWidth="1"/>
    <col min="14852" max="14852" width="22.5546875" bestFit="1" customWidth="1"/>
    <col min="14853" max="14853" width="22.44140625" bestFit="1" customWidth="1"/>
    <col min="14854" max="14854" width="20.44140625" bestFit="1" customWidth="1"/>
    <col min="14855" max="14855" width="21.5546875" bestFit="1" customWidth="1"/>
    <col min="14856" max="14856" width="23.109375" bestFit="1" customWidth="1"/>
    <col min="14857" max="14857" width="215.109375" bestFit="1" customWidth="1"/>
    <col min="14858" max="14858" width="45.6640625" bestFit="1" customWidth="1"/>
    <col min="14859" max="14859" width="14.109375" bestFit="1" customWidth="1"/>
    <col min="14860" max="14860" width="23.44140625" bestFit="1" customWidth="1"/>
    <col min="14861" max="14861" width="8.5546875" bestFit="1" customWidth="1"/>
    <col min="14862" max="14862" width="10.44140625" bestFit="1" customWidth="1"/>
    <col min="14863" max="14863" width="22.5546875" bestFit="1" customWidth="1"/>
    <col min="14864" max="14864" width="12.6640625" bestFit="1" customWidth="1"/>
    <col min="14865" max="14865" width="9" bestFit="1" customWidth="1"/>
    <col min="14866" max="14866" width="10.88671875" bestFit="1" customWidth="1"/>
    <col min="14867" max="14867" width="13" bestFit="1" customWidth="1"/>
    <col min="14868" max="14868" width="9" bestFit="1" customWidth="1"/>
    <col min="14869" max="14870" width="42.33203125" bestFit="1" customWidth="1"/>
    <col min="14871" max="14871" width="19.44140625" bestFit="1" customWidth="1"/>
    <col min="14872" max="14872" width="22" bestFit="1" customWidth="1"/>
    <col min="14873" max="14873" width="13.88671875" bestFit="1" customWidth="1"/>
    <col min="15106" max="15106" width="49.33203125" bestFit="1" customWidth="1"/>
    <col min="15107" max="15107" width="17" bestFit="1" customWidth="1"/>
    <col min="15108" max="15108" width="22.5546875" bestFit="1" customWidth="1"/>
    <col min="15109" max="15109" width="22.44140625" bestFit="1" customWidth="1"/>
    <col min="15110" max="15110" width="20.44140625" bestFit="1" customWidth="1"/>
    <col min="15111" max="15111" width="21.5546875" bestFit="1" customWidth="1"/>
    <col min="15112" max="15112" width="23.109375" bestFit="1" customWidth="1"/>
    <col min="15113" max="15113" width="215.109375" bestFit="1" customWidth="1"/>
    <col min="15114" max="15114" width="45.6640625" bestFit="1" customWidth="1"/>
    <col min="15115" max="15115" width="14.109375" bestFit="1" customWidth="1"/>
    <col min="15116" max="15116" width="23.44140625" bestFit="1" customWidth="1"/>
    <col min="15117" max="15117" width="8.5546875" bestFit="1" customWidth="1"/>
    <col min="15118" max="15118" width="10.44140625" bestFit="1" customWidth="1"/>
    <col min="15119" max="15119" width="22.5546875" bestFit="1" customWidth="1"/>
    <col min="15120" max="15120" width="12.6640625" bestFit="1" customWidth="1"/>
    <col min="15121" max="15121" width="9" bestFit="1" customWidth="1"/>
    <col min="15122" max="15122" width="10.88671875" bestFit="1" customWidth="1"/>
    <col min="15123" max="15123" width="13" bestFit="1" customWidth="1"/>
    <col min="15124" max="15124" width="9" bestFit="1" customWidth="1"/>
    <col min="15125" max="15126" width="42.33203125" bestFit="1" customWidth="1"/>
    <col min="15127" max="15127" width="19.44140625" bestFit="1" customWidth="1"/>
    <col min="15128" max="15128" width="22" bestFit="1" customWidth="1"/>
    <col min="15129" max="15129" width="13.88671875" bestFit="1" customWidth="1"/>
    <col min="15362" max="15362" width="49.33203125" bestFit="1" customWidth="1"/>
    <col min="15363" max="15363" width="17" bestFit="1" customWidth="1"/>
    <col min="15364" max="15364" width="22.5546875" bestFit="1" customWidth="1"/>
    <col min="15365" max="15365" width="22.44140625" bestFit="1" customWidth="1"/>
    <col min="15366" max="15366" width="20.44140625" bestFit="1" customWidth="1"/>
    <col min="15367" max="15367" width="21.5546875" bestFit="1" customWidth="1"/>
    <col min="15368" max="15368" width="23.109375" bestFit="1" customWidth="1"/>
    <col min="15369" max="15369" width="215.109375" bestFit="1" customWidth="1"/>
    <col min="15370" max="15370" width="45.6640625" bestFit="1" customWidth="1"/>
    <col min="15371" max="15371" width="14.109375" bestFit="1" customWidth="1"/>
    <col min="15372" max="15372" width="23.44140625" bestFit="1" customWidth="1"/>
    <col min="15373" max="15373" width="8.5546875" bestFit="1" customWidth="1"/>
    <col min="15374" max="15374" width="10.44140625" bestFit="1" customWidth="1"/>
    <col min="15375" max="15375" width="22.5546875" bestFit="1" customWidth="1"/>
    <col min="15376" max="15376" width="12.6640625" bestFit="1" customWidth="1"/>
    <col min="15377" max="15377" width="9" bestFit="1" customWidth="1"/>
    <col min="15378" max="15378" width="10.88671875" bestFit="1" customWidth="1"/>
    <col min="15379" max="15379" width="13" bestFit="1" customWidth="1"/>
    <col min="15380" max="15380" width="9" bestFit="1" customWidth="1"/>
    <col min="15381" max="15382" width="42.33203125" bestFit="1" customWidth="1"/>
    <col min="15383" max="15383" width="19.44140625" bestFit="1" customWidth="1"/>
    <col min="15384" max="15384" width="22" bestFit="1" customWidth="1"/>
    <col min="15385" max="15385" width="13.88671875" bestFit="1" customWidth="1"/>
    <col min="15618" max="15618" width="49.33203125" bestFit="1" customWidth="1"/>
    <col min="15619" max="15619" width="17" bestFit="1" customWidth="1"/>
    <col min="15620" max="15620" width="22.5546875" bestFit="1" customWidth="1"/>
    <col min="15621" max="15621" width="22.44140625" bestFit="1" customWidth="1"/>
    <col min="15622" max="15622" width="20.44140625" bestFit="1" customWidth="1"/>
    <col min="15623" max="15623" width="21.5546875" bestFit="1" customWidth="1"/>
    <col min="15624" max="15624" width="23.109375" bestFit="1" customWidth="1"/>
    <col min="15625" max="15625" width="215.109375" bestFit="1" customWidth="1"/>
    <col min="15626" max="15626" width="45.6640625" bestFit="1" customWidth="1"/>
    <col min="15627" max="15627" width="14.109375" bestFit="1" customWidth="1"/>
    <col min="15628" max="15628" width="23.44140625" bestFit="1" customWidth="1"/>
    <col min="15629" max="15629" width="8.5546875" bestFit="1" customWidth="1"/>
    <col min="15630" max="15630" width="10.44140625" bestFit="1" customWidth="1"/>
    <col min="15631" max="15631" width="22.5546875" bestFit="1" customWidth="1"/>
    <col min="15632" max="15632" width="12.6640625" bestFit="1" customWidth="1"/>
    <col min="15633" max="15633" width="9" bestFit="1" customWidth="1"/>
    <col min="15634" max="15634" width="10.88671875" bestFit="1" customWidth="1"/>
    <col min="15635" max="15635" width="13" bestFit="1" customWidth="1"/>
    <col min="15636" max="15636" width="9" bestFit="1" customWidth="1"/>
    <col min="15637" max="15638" width="42.33203125" bestFit="1" customWidth="1"/>
    <col min="15639" max="15639" width="19.44140625" bestFit="1" customWidth="1"/>
    <col min="15640" max="15640" width="22" bestFit="1" customWidth="1"/>
    <col min="15641" max="15641" width="13.88671875" bestFit="1" customWidth="1"/>
    <col min="15874" max="15874" width="49.33203125" bestFit="1" customWidth="1"/>
    <col min="15875" max="15875" width="17" bestFit="1" customWidth="1"/>
    <col min="15876" max="15876" width="22.5546875" bestFit="1" customWidth="1"/>
    <col min="15877" max="15877" width="22.44140625" bestFit="1" customWidth="1"/>
    <col min="15878" max="15878" width="20.44140625" bestFit="1" customWidth="1"/>
    <col min="15879" max="15879" width="21.5546875" bestFit="1" customWidth="1"/>
    <col min="15880" max="15880" width="23.109375" bestFit="1" customWidth="1"/>
    <col min="15881" max="15881" width="215.109375" bestFit="1" customWidth="1"/>
    <col min="15882" max="15882" width="45.6640625" bestFit="1" customWidth="1"/>
    <col min="15883" max="15883" width="14.109375" bestFit="1" customWidth="1"/>
    <col min="15884" max="15884" width="23.44140625" bestFit="1" customWidth="1"/>
    <col min="15885" max="15885" width="8.5546875" bestFit="1" customWidth="1"/>
    <col min="15886" max="15886" width="10.44140625" bestFit="1" customWidth="1"/>
    <col min="15887" max="15887" width="22.5546875" bestFit="1" customWidth="1"/>
    <col min="15888" max="15888" width="12.6640625" bestFit="1" customWidth="1"/>
    <col min="15889" max="15889" width="9" bestFit="1" customWidth="1"/>
    <col min="15890" max="15890" width="10.88671875" bestFit="1" customWidth="1"/>
    <col min="15891" max="15891" width="13" bestFit="1" customWidth="1"/>
    <col min="15892" max="15892" width="9" bestFit="1" customWidth="1"/>
    <col min="15893" max="15894" width="42.33203125" bestFit="1" customWidth="1"/>
    <col min="15895" max="15895" width="19.44140625" bestFit="1" customWidth="1"/>
    <col min="15896" max="15896" width="22" bestFit="1" customWidth="1"/>
    <col min="15897" max="15897" width="13.88671875" bestFit="1" customWidth="1"/>
    <col min="16130" max="16130" width="49.33203125" bestFit="1" customWidth="1"/>
    <col min="16131" max="16131" width="17" bestFit="1" customWidth="1"/>
    <col min="16132" max="16132" width="22.5546875" bestFit="1" customWidth="1"/>
    <col min="16133" max="16133" width="22.44140625" bestFit="1" customWidth="1"/>
    <col min="16134" max="16134" width="20.44140625" bestFit="1" customWidth="1"/>
    <col min="16135" max="16135" width="21.5546875" bestFit="1" customWidth="1"/>
    <col min="16136" max="16136" width="23.109375" bestFit="1" customWidth="1"/>
    <col min="16137" max="16137" width="215.109375" bestFit="1" customWidth="1"/>
    <col min="16138" max="16138" width="45.6640625" bestFit="1" customWidth="1"/>
    <col min="16139" max="16139" width="14.109375" bestFit="1" customWidth="1"/>
    <col min="16140" max="16140" width="23.44140625" bestFit="1" customWidth="1"/>
    <col min="16141" max="16141" width="8.5546875" bestFit="1" customWidth="1"/>
    <col min="16142" max="16142" width="10.44140625" bestFit="1" customWidth="1"/>
    <col min="16143" max="16143" width="22.5546875" bestFit="1" customWidth="1"/>
    <col min="16144" max="16144" width="12.6640625" bestFit="1" customWidth="1"/>
    <col min="16145" max="16145" width="9" bestFit="1" customWidth="1"/>
    <col min="16146" max="16146" width="10.88671875" bestFit="1" customWidth="1"/>
    <col min="16147" max="16147" width="13" bestFit="1" customWidth="1"/>
    <col min="16148" max="16148" width="9" bestFit="1" customWidth="1"/>
    <col min="16149" max="16150" width="42.33203125" bestFit="1" customWidth="1"/>
    <col min="16151" max="16151" width="19.44140625" bestFit="1" customWidth="1"/>
    <col min="16152" max="16152" width="22" bestFit="1" customWidth="1"/>
    <col min="16153" max="16153" width="13.88671875" bestFit="1" customWidth="1"/>
  </cols>
  <sheetData>
    <row r="1" spans="1:30" ht="42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 t="s">
        <v>25</v>
      </c>
      <c r="AA1" s="5" t="s">
        <v>26</v>
      </c>
      <c r="AB1" s="6" t="s">
        <v>27</v>
      </c>
      <c r="AC1" s="7" t="s">
        <v>28</v>
      </c>
      <c r="AD1" t="s">
        <v>29</v>
      </c>
    </row>
    <row r="2" spans="1:30" x14ac:dyDescent="0.3">
      <c r="A2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>
        <v>3917329900</v>
      </c>
      <c r="H2" t="s">
        <v>36</v>
      </c>
      <c r="I2" t="s">
        <v>37</v>
      </c>
      <c r="J2" t="s">
        <v>38</v>
      </c>
      <c r="K2" t="s">
        <v>39</v>
      </c>
      <c r="L2">
        <v>8</v>
      </c>
      <c r="M2">
        <v>2</v>
      </c>
      <c r="N2" t="s">
        <v>40</v>
      </c>
      <c r="O2">
        <v>0</v>
      </c>
      <c r="P2">
        <v>21.06</v>
      </c>
      <c r="Q2">
        <v>3.03</v>
      </c>
      <c r="R2">
        <v>0.15</v>
      </c>
      <c r="S2">
        <v>24.24</v>
      </c>
      <c r="T2" t="s">
        <v>41</v>
      </c>
      <c r="U2" t="s">
        <v>41</v>
      </c>
      <c r="V2" t="s">
        <v>38</v>
      </c>
      <c r="W2" t="s">
        <v>42</v>
      </c>
      <c r="X2">
        <v>10.53</v>
      </c>
      <c r="Y2" s="9">
        <f>SUM(P2)/M2</f>
        <v>10.53</v>
      </c>
      <c r="Z2" s="9">
        <f>SUM(Y2)*1.875</f>
        <v>19.743749999999999</v>
      </c>
      <c r="AA2" s="5">
        <f>SUM(Z2)*1.111</f>
        <v>21.935306249999996</v>
      </c>
      <c r="AB2" s="6">
        <f>SUM(Z2)*1.6199</f>
        <v>31.982900624999996</v>
      </c>
      <c r="AD2" s="10">
        <f>SUM(Z2)*2.02823</f>
        <v>40.044866062499999</v>
      </c>
    </row>
    <row r="3" spans="1:30" x14ac:dyDescent="0.3">
      <c r="A3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>
        <v>3917329900</v>
      </c>
      <c r="H3" t="s">
        <v>36</v>
      </c>
      <c r="I3" t="s">
        <v>37</v>
      </c>
      <c r="J3" t="s">
        <v>38</v>
      </c>
      <c r="K3" t="s">
        <v>39</v>
      </c>
      <c r="L3">
        <v>16</v>
      </c>
      <c r="M3">
        <v>1</v>
      </c>
      <c r="N3" t="s">
        <v>40</v>
      </c>
      <c r="O3">
        <v>0</v>
      </c>
      <c r="P3">
        <v>10.94</v>
      </c>
      <c r="Q3">
        <v>1.51</v>
      </c>
      <c r="R3">
        <v>7.0000000000000007E-2</v>
      </c>
      <c r="S3">
        <v>12.52</v>
      </c>
      <c r="T3" t="s">
        <v>41</v>
      </c>
      <c r="U3" t="s">
        <v>41</v>
      </c>
      <c r="V3" t="s">
        <v>38</v>
      </c>
      <c r="W3" t="s">
        <v>42</v>
      </c>
      <c r="X3">
        <v>10.94</v>
      </c>
      <c r="Y3" s="9">
        <f t="shared" ref="Y3:Y66" si="0">SUM(P3)/M3</f>
        <v>10.94</v>
      </c>
      <c r="Z3" s="9">
        <f t="shared" ref="Z3:Z66" si="1">SUM(Y3)*1.875</f>
        <v>20.512499999999999</v>
      </c>
      <c r="AA3" s="5">
        <f t="shared" ref="AA3:AA66" si="2">SUM(Z3)*1.111</f>
        <v>22.7893875</v>
      </c>
      <c r="AB3" s="6">
        <f t="shared" ref="AB3:AB66" si="3">SUM(Z3)*1.6199</f>
        <v>33.228198749999997</v>
      </c>
      <c r="AD3" s="10">
        <f t="shared" ref="AD3:AD66" si="4">SUM(Z3)*2.02823</f>
        <v>41.604067875000005</v>
      </c>
    </row>
    <row r="4" spans="1:30" x14ac:dyDescent="0.3">
      <c r="A4" t="s">
        <v>30</v>
      </c>
      <c r="B4" s="8" t="s">
        <v>32</v>
      </c>
      <c r="C4" s="8" t="s">
        <v>32</v>
      </c>
      <c r="D4" s="8" t="s">
        <v>33</v>
      </c>
      <c r="E4" s="8" t="s">
        <v>34</v>
      </c>
      <c r="F4" s="8" t="s">
        <v>35</v>
      </c>
      <c r="G4">
        <v>3917329900</v>
      </c>
      <c r="H4" t="s">
        <v>36</v>
      </c>
      <c r="I4" t="s">
        <v>37</v>
      </c>
      <c r="J4" t="s">
        <v>38</v>
      </c>
      <c r="K4" t="s">
        <v>39</v>
      </c>
      <c r="L4">
        <v>10</v>
      </c>
      <c r="M4">
        <v>4</v>
      </c>
      <c r="N4" t="s">
        <v>40</v>
      </c>
      <c r="O4">
        <v>0</v>
      </c>
      <c r="P4">
        <v>43.5</v>
      </c>
      <c r="Q4">
        <v>3.62</v>
      </c>
      <c r="R4">
        <v>0.28000000000000003</v>
      </c>
      <c r="S4">
        <v>47.41</v>
      </c>
      <c r="T4" t="s">
        <v>41</v>
      </c>
      <c r="U4" t="s">
        <v>43</v>
      </c>
      <c r="V4" t="s">
        <v>38</v>
      </c>
      <c r="W4" t="s">
        <v>42</v>
      </c>
      <c r="X4">
        <v>10.88</v>
      </c>
      <c r="Y4" s="9">
        <f t="shared" si="0"/>
        <v>10.875</v>
      </c>
      <c r="Z4" s="9">
        <f t="shared" si="1"/>
        <v>20.390625</v>
      </c>
      <c r="AA4" s="5">
        <f t="shared" si="2"/>
        <v>22.653984375</v>
      </c>
      <c r="AB4" s="6">
        <f t="shared" si="3"/>
        <v>33.030773437499995</v>
      </c>
      <c r="AD4" s="10">
        <f t="shared" si="4"/>
        <v>41.356877343750007</v>
      </c>
    </row>
    <row r="5" spans="1:30" x14ac:dyDescent="0.3">
      <c r="A5" t="s">
        <v>30</v>
      </c>
      <c r="B5" s="8" t="s">
        <v>44</v>
      </c>
      <c r="C5" s="8" t="s">
        <v>32</v>
      </c>
      <c r="D5" s="8" t="s">
        <v>33</v>
      </c>
      <c r="E5" s="8" t="s">
        <v>34</v>
      </c>
      <c r="F5" s="8" t="s">
        <v>35</v>
      </c>
      <c r="G5">
        <v>3917329900</v>
      </c>
      <c r="H5" t="s">
        <v>36</v>
      </c>
      <c r="I5" t="s">
        <v>37</v>
      </c>
      <c r="J5" t="s">
        <v>38</v>
      </c>
      <c r="K5" t="s">
        <v>39</v>
      </c>
      <c r="L5">
        <v>10</v>
      </c>
      <c r="M5">
        <v>2</v>
      </c>
      <c r="N5" t="s">
        <v>40</v>
      </c>
      <c r="O5">
        <v>0</v>
      </c>
      <c r="P5">
        <v>16.670000000000002</v>
      </c>
      <c r="Q5">
        <v>1.39</v>
      </c>
      <c r="R5">
        <v>0.11</v>
      </c>
      <c r="S5">
        <v>18.170000000000002</v>
      </c>
      <c r="T5" t="s">
        <v>41</v>
      </c>
      <c r="U5" t="s">
        <v>43</v>
      </c>
      <c r="V5" t="s">
        <v>38</v>
      </c>
      <c r="W5" t="s">
        <v>45</v>
      </c>
      <c r="X5">
        <v>8.34</v>
      </c>
      <c r="Y5" s="9">
        <f t="shared" si="0"/>
        <v>8.3350000000000009</v>
      </c>
      <c r="Z5" s="9">
        <f t="shared" si="1"/>
        <v>15.628125000000001</v>
      </c>
      <c r="AA5" s="5">
        <f t="shared" si="2"/>
        <v>17.362846874999999</v>
      </c>
      <c r="AB5" s="6">
        <f t="shared" si="3"/>
        <v>25.3159996875</v>
      </c>
      <c r="AD5" s="10">
        <f t="shared" si="4"/>
        <v>31.697431968750003</v>
      </c>
    </row>
    <row r="6" spans="1:30" x14ac:dyDescent="0.3">
      <c r="A6" t="s">
        <v>30</v>
      </c>
      <c r="B6" s="8" t="s">
        <v>44</v>
      </c>
      <c r="C6" s="8" t="s">
        <v>32</v>
      </c>
      <c r="D6" s="8" t="s">
        <v>33</v>
      </c>
      <c r="E6" s="8" t="s">
        <v>34</v>
      </c>
      <c r="F6" s="8" t="s">
        <v>35</v>
      </c>
      <c r="G6">
        <v>3917329900</v>
      </c>
      <c r="H6" t="s">
        <v>36</v>
      </c>
      <c r="I6" t="s">
        <v>46</v>
      </c>
      <c r="J6" t="s">
        <v>38</v>
      </c>
      <c r="K6" t="s">
        <v>39</v>
      </c>
      <c r="L6">
        <v>8</v>
      </c>
      <c r="M6">
        <v>2</v>
      </c>
      <c r="N6" t="s">
        <v>40</v>
      </c>
      <c r="O6">
        <v>0</v>
      </c>
      <c r="P6">
        <v>4.1500000000000004</v>
      </c>
      <c r="Q6">
        <v>0.6</v>
      </c>
      <c r="R6">
        <v>0.03</v>
      </c>
      <c r="S6">
        <v>4.78</v>
      </c>
      <c r="T6" t="s">
        <v>41</v>
      </c>
      <c r="U6" t="s">
        <v>41</v>
      </c>
      <c r="V6" t="s">
        <v>38</v>
      </c>
      <c r="W6" t="s">
        <v>47</v>
      </c>
      <c r="X6">
        <v>2.08</v>
      </c>
      <c r="Y6" s="9">
        <f t="shared" si="0"/>
        <v>2.0750000000000002</v>
      </c>
      <c r="Z6" s="9">
        <f t="shared" si="1"/>
        <v>3.8906250000000004</v>
      </c>
      <c r="AA6" s="5">
        <f t="shared" si="2"/>
        <v>4.3224843750000002</v>
      </c>
      <c r="AB6" s="6">
        <f t="shared" si="3"/>
        <v>6.3024234374999999</v>
      </c>
      <c r="AD6" s="10">
        <f t="shared" si="4"/>
        <v>7.8910823437500017</v>
      </c>
    </row>
    <row r="7" spans="1:30" x14ac:dyDescent="0.3">
      <c r="A7" t="s">
        <v>30</v>
      </c>
      <c r="B7" s="8" t="s">
        <v>44</v>
      </c>
      <c r="C7" s="8" t="s">
        <v>32</v>
      </c>
      <c r="D7" s="8" t="s">
        <v>33</v>
      </c>
      <c r="E7" s="8" t="s">
        <v>34</v>
      </c>
      <c r="F7" s="8" t="s">
        <v>35</v>
      </c>
      <c r="G7">
        <v>3917329900</v>
      </c>
      <c r="H7" t="s">
        <v>36</v>
      </c>
      <c r="I7" t="s">
        <v>46</v>
      </c>
      <c r="J7" t="s">
        <v>38</v>
      </c>
      <c r="K7" t="s">
        <v>39</v>
      </c>
      <c r="L7">
        <v>10</v>
      </c>
      <c r="M7">
        <v>4</v>
      </c>
      <c r="N7" t="s">
        <v>40</v>
      </c>
      <c r="O7">
        <v>0</v>
      </c>
      <c r="P7">
        <v>8.61</v>
      </c>
      <c r="Q7">
        <v>0.72</v>
      </c>
      <c r="R7">
        <v>0.06</v>
      </c>
      <c r="S7">
        <v>9.3800000000000008</v>
      </c>
      <c r="T7" t="s">
        <v>41</v>
      </c>
      <c r="U7" t="s">
        <v>43</v>
      </c>
      <c r="V7" t="s">
        <v>38</v>
      </c>
      <c r="W7" t="s">
        <v>47</v>
      </c>
      <c r="X7">
        <v>2.15</v>
      </c>
      <c r="Y7" s="9">
        <f t="shared" si="0"/>
        <v>2.1524999999999999</v>
      </c>
      <c r="Z7" s="9">
        <f t="shared" si="1"/>
        <v>4.0359374999999993</v>
      </c>
      <c r="AA7" s="5">
        <f t="shared" si="2"/>
        <v>4.4839265624999989</v>
      </c>
      <c r="AB7" s="6">
        <f t="shared" si="3"/>
        <v>6.537815156249998</v>
      </c>
      <c r="AD7" s="10">
        <f t="shared" si="4"/>
        <v>8.1858095156249995</v>
      </c>
    </row>
    <row r="8" spans="1:30" x14ac:dyDescent="0.3">
      <c r="A8" t="s">
        <v>30</v>
      </c>
      <c r="B8" s="8" t="s">
        <v>44</v>
      </c>
      <c r="C8" s="8" t="s">
        <v>32</v>
      </c>
      <c r="D8" s="8" t="s">
        <v>33</v>
      </c>
      <c r="E8" s="8" t="s">
        <v>34</v>
      </c>
      <c r="F8" s="8" t="s">
        <v>35</v>
      </c>
      <c r="G8">
        <v>3917329900</v>
      </c>
      <c r="H8" t="s">
        <v>36</v>
      </c>
      <c r="I8" t="s">
        <v>37</v>
      </c>
      <c r="J8" t="s">
        <v>38</v>
      </c>
      <c r="K8" t="s">
        <v>39</v>
      </c>
      <c r="L8">
        <v>10</v>
      </c>
      <c r="M8">
        <v>4</v>
      </c>
      <c r="N8" t="s">
        <v>40</v>
      </c>
      <c r="O8">
        <v>0</v>
      </c>
      <c r="P8">
        <v>23.3</v>
      </c>
      <c r="Q8">
        <v>1.94</v>
      </c>
      <c r="R8">
        <v>0.15</v>
      </c>
      <c r="S8">
        <v>25.4</v>
      </c>
      <c r="T8" t="s">
        <v>41</v>
      </c>
      <c r="U8" t="s">
        <v>43</v>
      </c>
      <c r="V8" t="s">
        <v>38</v>
      </c>
      <c r="W8" t="s">
        <v>48</v>
      </c>
      <c r="X8">
        <v>5.83</v>
      </c>
      <c r="Y8" s="9">
        <f t="shared" si="0"/>
        <v>5.8250000000000002</v>
      </c>
      <c r="Z8" s="9">
        <f t="shared" si="1"/>
        <v>10.921875</v>
      </c>
      <c r="AA8" s="5">
        <f t="shared" si="2"/>
        <v>12.134203124999999</v>
      </c>
      <c r="AB8" s="6">
        <f t="shared" si="3"/>
        <v>17.692345312499999</v>
      </c>
      <c r="AD8" s="10">
        <f t="shared" si="4"/>
        <v>22.152074531250001</v>
      </c>
    </row>
    <row r="9" spans="1:30" x14ac:dyDescent="0.3">
      <c r="A9" t="s">
        <v>30</v>
      </c>
      <c r="B9" s="8" t="s">
        <v>32</v>
      </c>
      <c r="C9" s="8" t="s">
        <v>32</v>
      </c>
      <c r="D9" s="8" t="s">
        <v>33</v>
      </c>
      <c r="E9" s="8" t="s">
        <v>34</v>
      </c>
      <c r="F9" s="8" t="s">
        <v>35</v>
      </c>
      <c r="G9">
        <v>7318240000</v>
      </c>
      <c r="H9" t="s">
        <v>49</v>
      </c>
      <c r="I9" t="s">
        <v>50</v>
      </c>
      <c r="J9" t="s">
        <v>38</v>
      </c>
      <c r="K9" t="s">
        <v>39</v>
      </c>
      <c r="L9">
        <v>3</v>
      </c>
      <c r="M9">
        <v>1</v>
      </c>
      <c r="N9" t="s">
        <v>40</v>
      </c>
      <c r="O9">
        <v>0.11</v>
      </c>
      <c r="P9">
        <v>1.96</v>
      </c>
      <c r="Q9">
        <v>0.08</v>
      </c>
      <c r="R9">
        <v>0.01</v>
      </c>
      <c r="S9">
        <v>2.0499999999999998</v>
      </c>
      <c r="T9" t="s">
        <v>41</v>
      </c>
      <c r="U9" t="s">
        <v>43</v>
      </c>
      <c r="V9" t="s">
        <v>38</v>
      </c>
      <c r="W9" t="s">
        <v>51</v>
      </c>
      <c r="X9">
        <v>1.96</v>
      </c>
      <c r="Y9" s="9">
        <f t="shared" si="0"/>
        <v>1.96</v>
      </c>
      <c r="Z9" s="9">
        <f t="shared" si="1"/>
        <v>3.6749999999999998</v>
      </c>
      <c r="AA9" s="5">
        <f t="shared" si="2"/>
        <v>4.0829249999999995</v>
      </c>
      <c r="AB9" s="6">
        <f t="shared" si="3"/>
        <v>5.9531324999999997</v>
      </c>
      <c r="AD9" s="10">
        <f t="shared" si="4"/>
        <v>7.4537452500000008</v>
      </c>
    </row>
    <row r="10" spans="1:30" x14ac:dyDescent="0.3">
      <c r="A10" t="s">
        <v>30</v>
      </c>
      <c r="B10" s="8" t="s">
        <v>52</v>
      </c>
      <c r="C10" s="8" t="s">
        <v>32</v>
      </c>
      <c r="D10" s="8" t="s">
        <v>33</v>
      </c>
      <c r="E10" s="8" t="s">
        <v>34</v>
      </c>
      <c r="F10" s="8" t="s">
        <v>35</v>
      </c>
      <c r="G10">
        <v>7318160090</v>
      </c>
      <c r="H10" t="s">
        <v>53</v>
      </c>
      <c r="I10" t="s">
        <v>54</v>
      </c>
      <c r="J10" t="s">
        <v>38</v>
      </c>
      <c r="K10" t="s">
        <v>39</v>
      </c>
      <c r="L10">
        <v>6</v>
      </c>
      <c r="M10">
        <v>2</v>
      </c>
      <c r="N10" t="s">
        <v>40</v>
      </c>
      <c r="O10">
        <v>5.52</v>
      </c>
      <c r="P10">
        <v>36.520000000000003</v>
      </c>
      <c r="Q10">
        <v>4.42</v>
      </c>
      <c r="R10">
        <v>0.25</v>
      </c>
      <c r="S10">
        <v>41.19</v>
      </c>
      <c r="T10" t="s">
        <v>41</v>
      </c>
      <c r="U10" t="s">
        <v>43</v>
      </c>
      <c r="V10" t="s">
        <v>38</v>
      </c>
      <c r="W10" t="s">
        <v>55</v>
      </c>
      <c r="X10">
        <v>18.260000000000002</v>
      </c>
      <c r="Y10" s="9">
        <f t="shared" si="0"/>
        <v>18.260000000000002</v>
      </c>
      <c r="Z10" s="9">
        <f t="shared" si="1"/>
        <v>34.237500000000004</v>
      </c>
      <c r="AA10" s="5">
        <f t="shared" si="2"/>
        <v>38.037862500000003</v>
      </c>
      <c r="AB10" s="6">
        <f t="shared" si="3"/>
        <v>55.461326250000006</v>
      </c>
      <c r="AD10" s="10">
        <f t="shared" si="4"/>
        <v>69.441524625000014</v>
      </c>
    </row>
    <row r="11" spans="1:30" x14ac:dyDescent="0.3">
      <c r="A11" t="s">
        <v>30</v>
      </c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  <c r="G11">
        <v>7318210090</v>
      </c>
      <c r="H11" t="s">
        <v>53</v>
      </c>
      <c r="I11" t="s">
        <v>56</v>
      </c>
      <c r="J11" t="s">
        <v>38</v>
      </c>
      <c r="K11" t="s">
        <v>39</v>
      </c>
      <c r="L11">
        <v>6</v>
      </c>
      <c r="M11">
        <v>2</v>
      </c>
      <c r="N11" t="s">
        <v>40</v>
      </c>
      <c r="O11">
        <v>0.44</v>
      </c>
      <c r="P11">
        <v>2.91</v>
      </c>
      <c r="Q11">
        <v>0.35</v>
      </c>
      <c r="R11">
        <v>0.02</v>
      </c>
      <c r="S11">
        <v>3.28</v>
      </c>
      <c r="T11" t="s">
        <v>41</v>
      </c>
      <c r="U11" t="s">
        <v>43</v>
      </c>
      <c r="V11" t="s">
        <v>38</v>
      </c>
      <c r="W11" t="s">
        <v>57</v>
      </c>
      <c r="X11">
        <v>1.46</v>
      </c>
      <c r="Y11" s="9">
        <f t="shared" si="0"/>
        <v>1.4550000000000001</v>
      </c>
      <c r="Z11" s="9">
        <f t="shared" si="1"/>
        <v>2.7281250000000004</v>
      </c>
      <c r="AA11" s="5">
        <f t="shared" si="2"/>
        <v>3.0309468750000002</v>
      </c>
      <c r="AB11" s="6">
        <f t="shared" si="3"/>
        <v>4.4192896875000001</v>
      </c>
      <c r="AD11" s="10">
        <f t="shared" si="4"/>
        <v>5.5332649687500011</v>
      </c>
    </row>
    <row r="12" spans="1:30" x14ac:dyDescent="0.3">
      <c r="A12" t="s">
        <v>30</v>
      </c>
      <c r="B12" s="8" t="s">
        <v>58</v>
      </c>
      <c r="C12" s="8" t="s">
        <v>32</v>
      </c>
      <c r="D12" s="8" t="s">
        <v>33</v>
      </c>
      <c r="E12" s="8" t="s">
        <v>34</v>
      </c>
      <c r="F12" s="8" t="s">
        <v>35</v>
      </c>
      <c r="G12">
        <v>4010320000</v>
      </c>
      <c r="H12" t="s">
        <v>59</v>
      </c>
      <c r="I12" t="s">
        <v>60</v>
      </c>
      <c r="J12" t="s">
        <v>38</v>
      </c>
      <c r="K12" t="s">
        <v>39</v>
      </c>
      <c r="L12">
        <v>7</v>
      </c>
      <c r="M12">
        <v>1</v>
      </c>
      <c r="N12" t="s">
        <v>40</v>
      </c>
      <c r="O12">
        <v>0</v>
      </c>
      <c r="P12">
        <v>15.49</v>
      </c>
      <c r="Q12">
        <v>2.4500000000000002</v>
      </c>
      <c r="R12">
        <v>0.1</v>
      </c>
      <c r="S12">
        <v>18.04</v>
      </c>
      <c r="T12" t="s">
        <v>41</v>
      </c>
      <c r="U12" t="s">
        <v>41</v>
      </c>
      <c r="V12" t="s">
        <v>38</v>
      </c>
      <c r="W12" t="s">
        <v>61</v>
      </c>
      <c r="X12">
        <v>15.49</v>
      </c>
      <c r="Y12" s="9">
        <f t="shared" si="0"/>
        <v>15.49</v>
      </c>
      <c r="Z12" s="9">
        <f t="shared" si="1"/>
        <v>29.043749999999999</v>
      </c>
      <c r="AA12" s="5">
        <f t="shared" si="2"/>
        <v>32.26760625</v>
      </c>
      <c r="AB12" s="6">
        <f t="shared" si="3"/>
        <v>47.047970624999998</v>
      </c>
      <c r="AD12" s="10">
        <f t="shared" si="4"/>
        <v>58.907405062500004</v>
      </c>
    </row>
    <row r="13" spans="1:30" x14ac:dyDescent="0.3">
      <c r="A13" t="s">
        <v>30</v>
      </c>
      <c r="B13" s="8" t="s">
        <v>62</v>
      </c>
      <c r="C13" s="8" t="s">
        <v>32</v>
      </c>
      <c r="D13" s="8" t="s">
        <v>33</v>
      </c>
      <c r="E13" s="8" t="s">
        <v>34</v>
      </c>
      <c r="F13" s="8" t="s">
        <v>35</v>
      </c>
      <c r="G13">
        <v>8487909000</v>
      </c>
      <c r="H13" t="s">
        <v>36</v>
      </c>
      <c r="I13" t="s">
        <v>63</v>
      </c>
      <c r="J13" t="s">
        <v>38</v>
      </c>
      <c r="K13" t="s">
        <v>39</v>
      </c>
      <c r="L13">
        <v>10</v>
      </c>
      <c r="M13">
        <v>4</v>
      </c>
      <c r="N13" t="s">
        <v>64</v>
      </c>
      <c r="O13">
        <v>0</v>
      </c>
      <c r="P13">
        <v>23.39</v>
      </c>
      <c r="Q13">
        <v>1.95</v>
      </c>
      <c r="R13">
        <v>0.15</v>
      </c>
      <c r="S13">
        <v>25.48</v>
      </c>
      <c r="T13" t="s">
        <v>41</v>
      </c>
      <c r="U13" t="s">
        <v>43</v>
      </c>
      <c r="V13" t="s">
        <v>38</v>
      </c>
      <c r="W13" t="s">
        <v>65</v>
      </c>
      <c r="X13">
        <v>5.85</v>
      </c>
      <c r="Y13" s="9">
        <f t="shared" si="0"/>
        <v>5.8475000000000001</v>
      </c>
      <c r="Z13" s="9">
        <f t="shared" si="1"/>
        <v>10.964062500000001</v>
      </c>
      <c r="AA13" s="5">
        <f t="shared" si="2"/>
        <v>12.1810734375</v>
      </c>
      <c r="AB13" s="6">
        <f t="shared" si="3"/>
        <v>17.760684843749999</v>
      </c>
      <c r="AD13" s="10">
        <f t="shared" si="4"/>
        <v>22.237640484375003</v>
      </c>
    </row>
    <row r="14" spans="1:30" x14ac:dyDescent="0.3">
      <c r="A14" t="s">
        <v>30</v>
      </c>
      <c r="B14" s="8" t="s">
        <v>66</v>
      </c>
      <c r="C14" s="8" t="s">
        <v>32</v>
      </c>
      <c r="D14" s="8" t="s">
        <v>33</v>
      </c>
      <c r="E14" s="8" t="s">
        <v>34</v>
      </c>
      <c r="F14" s="8" t="s">
        <v>35</v>
      </c>
      <c r="G14">
        <v>4016999000</v>
      </c>
      <c r="H14" t="s">
        <v>53</v>
      </c>
      <c r="I14" t="s">
        <v>67</v>
      </c>
      <c r="J14" t="s">
        <v>38</v>
      </c>
      <c r="K14" t="s">
        <v>39</v>
      </c>
      <c r="L14">
        <v>4</v>
      </c>
      <c r="M14">
        <v>4</v>
      </c>
      <c r="N14" t="s">
        <v>64</v>
      </c>
      <c r="O14">
        <v>0</v>
      </c>
      <c r="P14">
        <v>52.57</v>
      </c>
      <c r="Q14">
        <v>2.75</v>
      </c>
      <c r="R14">
        <v>0.34</v>
      </c>
      <c r="S14">
        <v>55.67</v>
      </c>
      <c r="T14" t="s">
        <v>41</v>
      </c>
      <c r="U14" t="s">
        <v>41</v>
      </c>
      <c r="V14" t="s">
        <v>38</v>
      </c>
      <c r="W14" t="s">
        <v>68</v>
      </c>
      <c r="X14">
        <v>13.14</v>
      </c>
      <c r="Y14" s="9">
        <f t="shared" si="0"/>
        <v>13.1425</v>
      </c>
      <c r="Z14" s="9">
        <f t="shared" si="1"/>
        <v>24.642187499999999</v>
      </c>
      <c r="AA14" s="5">
        <f t="shared" si="2"/>
        <v>27.377470312499998</v>
      </c>
      <c r="AB14" s="6">
        <f t="shared" si="3"/>
        <v>39.917879531249994</v>
      </c>
      <c r="AD14" s="10">
        <f t="shared" si="4"/>
        <v>49.980023953124999</v>
      </c>
    </row>
    <row r="15" spans="1:30" x14ac:dyDescent="0.3">
      <c r="A15" t="s">
        <v>30</v>
      </c>
      <c r="B15" s="8" t="s">
        <v>66</v>
      </c>
      <c r="C15" s="8" t="s">
        <v>32</v>
      </c>
      <c r="D15" s="8" t="s">
        <v>69</v>
      </c>
      <c r="E15" s="8" t="s">
        <v>70</v>
      </c>
      <c r="F15" s="8" t="s">
        <v>71</v>
      </c>
      <c r="G15">
        <v>4016999000</v>
      </c>
      <c r="H15" t="s">
        <v>53</v>
      </c>
      <c r="I15" t="s">
        <v>67</v>
      </c>
      <c r="J15" t="s">
        <v>38</v>
      </c>
      <c r="K15" t="s">
        <v>39</v>
      </c>
      <c r="L15">
        <v>13</v>
      </c>
      <c r="M15">
        <v>16</v>
      </c>
      <c r="N15" t="s">
        <v>64</v>
      </c>
      <c r="O15">
        <v>0</v>
      </c>
      <c r="P15">
        <v>205.6</v>
      </c>
      <c r="Q15">
        <v>10.98</v>
      </c>
      <c r="R15">
        <v>1.32</v>
      </c>
      <c r="S15">
        <v>217.9</v>
      </c>
      <c r="T15" t="s">
        <v>72</v>
      </c>
      <c r="U15" t="s">
        <v>72</v>
      </c>
      <c r="V15" t="s">
        <v>38</v>
      </c>
      <c r="W15" t="s">
        <v>68</v>
      </c>
      <c r="X15">
        <v>12.85</v>
      </c>
      <c r="Y15" s="9">
        <f t="shared" si="0"/>
        <v>12.85</v>
      </c>
      <c r="Z15" s="9">
        <f t="shared" si="1"/>
        <v>24.09375</v>
      </c>
      <c r="AA15" s="5">
        <f t="shared" si="2"/>
        <v>26.768156250000001</v>
      </c>
      <c r="AB15" s="6">
        <f t="shared" si="3"/>
        <v>39.029465625</v>
      </c>
      <c r="AD15" s="10">
        <f t="shared" si="4"/>
        <v>48.867666562500006</v>
      </c>
    </row>
    <row r="16" spans="1:30" x14ac:dyDescent="0.3">
      <c r="A16" t="s">
        <v>30</v>
      </c>
      <c r="B16" s="8" t="s">
        <v>66</v>
      </c>
      <c r="C16" s="8" t="s">
        <v>32</v>
      </c>
      <c r="D16" s="8" t="s">
        <v>33</v>
      </c>
      <c r="E16" s="8" t="s">
        <v>34</v>
      </c>
      <c r="F16" s="8" t="s">
        <v>35</v>
      </c>
      <c r="G16">
        <v>4016999000</v>
      </c>
      <c r="H16" t="s">
        <v>53</v>
      </c>
      <c r="I16" t="s">
        <v>67</v>
      </c>
      <c r="J16" t="s">
        <v>38</v>
      </c>
      <c r="K16" t="s">
        <v>39</v>
      </c>
      <c r="L16">
        <v>7</v>
      </c>
      <c r="M16">
        <v>12</v>
      </c>
      <c r="N16" t="s">
        <v>64</v>
      </c>
      <c r="O16">
        <v>0</v>
      </c>
      <c r="P16">
        <v>146.58000000000001</v>
      </c>
      <c r="Q16">
        <v>23.16</v>
      </c>
      <c r="R16">
        <v>0.9</v>
      </c>
      <c r="S16">
        <v>170.64</v>
      </c>
      <c r="T16" t="s">
        <v>41</v>
      </c>
      <c r="U16" t="s">
        <v>41</v>
      </c>
      <c r="V16" t="s">
        <v>38</v>
      </c>
      <c r="W16" t="s">
        <v>73</v>
      </c>
      <c r="X16">
        <v>12.22</v>
      </c>
      <c r="Y16" s="9">
        <f t="shared" si="0"/>
        <v>12.215000000000002</v>
      </c>
      <c r="Z16" s="9">
        <f t="shared" si="1"/>
        <v>22.903125000000003</v>
      </c>
      <c r="AA16" s="5">
        <f t="shared" si="2"/>
        <v>25.445371875000003</v>
      </c>
      <c r="AB16" s="6">
        <f t="shared" si="3"/>
        <v>37.100772187499999</v>
      </c>
      <c r="AD16" s="10">
        <f t="shared" si="4"/>
        <v>46.452805218750008</v>
      </c>
    </row>
    <row r="17" spans="1:30" x14ac:dyDescent="0.3">
      <c r="A17" t="s">
        <v>30</v>
      </c>
      <c r="B17" s="8" t="s">
        <v>66</v>
      </c>
      <c r="C17" s="8" t="s">
        <v>32</v>
      </c>
      <c r="D17" s="8" t="s">
        <v>69</v>
      </c>
      <c r="E17" s="8" t="s">
        <v>70</v>
      </c>
      <c r="F17" s="8" t="s">
        <v>71</v>
      </c>
      <c r="G17">
        <v>4016999000</v>
      </c>
      <c r="H17" t="s">
        <v>53</v>
      </c>
      <c r="I17" t="s">
        <v>67</v>
      </c>
      <c r="J17" t="s">
        <v>38</v>
      </c>
      <c r="K17" t="s">
        <v>39</v>
      </c>
      <c r="L17">
        <v>13</v>
      </c>
      <c r="M17">
        <v>12</v>
      </c>
      <c r="N17" t="s">
        <v>64</v>
      </c>
      <c r="O17">
        <v>0</v>
      </c>
      <c r="P17">
        <v>117.84</v>
      </c>
      <c r="Q17">
        <v>8.3699999999999992</v>
      </c>
      <c r="R17">
        <v>0.77</v>
      </c>
      <c r="S17">
        <v>126.98</v>
      </c>
      <c r="T17" t="s">
        <v>41</v>
      </c>
      <c r="U17" t="s">
        <v>41</v>
      </c>
      <c r="V17" t="s">
        <v>38</v>
      </c>
      <c r="W17" t="s">
        <v>73</v>
      </c>
      <c r="X17">
        <v>9.82</v>
      </c>
      <c r="Y17" s="9">
        <f t="shared" si="0"/>
        <v>9.82</v>
      </c>
      <c r="Z17" s="9">
        <f t="shared" si="1"/>
        <v>18.412500000000001</v>
      </c>
      <c r="AA17" s="5">
        <f t="shared" si="2"/>
        <v>20.456287500000002</v>
      </c>
      <c r="AB17" s="6">
        <f t="shared" si="3"/>
        <v>29.826408749999999</v>
      </c>
      <c r="AD17" s="10">
        <f t="shared" si="4"/>
        <v>37.344784875000009</v>
      </c>
    </row>
    <row r="18" spans="1:30" x14ac:dyDescent="0.3">
      <c r="A18" t="s">
        <v>30</v>
      </c>
      <c r="B18" s="8" t="s">
        <v>66</v>
      </c>
      <c r="C18" s="8" t="s">
        <v>32</v>
      </c>
      <c r="D18" s="8" t="s">
        <v>33</v>
      </c>
      <c r="E18" s="8" t="s">
        <v>34</v>
      </c>
      <c r="F18" s="8" t="s">
        <v>35</v>
      </c>
      <c r="G18">
        <v>4016999000</v>
      </c>
      <c r="H18" t="s">
        <v>53</v>
      </c>
      <c r="I18" t="s">
        <v>67</v>
      </c>
      <c r="J18" t="s">
        <v>74</v>
      </c>
      <c r="K18" t="s">
        <v>39</v>
      </c>
      <c r="L18">
        <v>7</v>
      </c>
      <c r="M18">
        <v>16</v>
      </c>
      <c r="N18" t="s">
        <v>64</v>
      </c>
      <c r="O18">
        <v>0</v>
      </c>
      <c r="P18">
        <v>195.02</v>
      </c>
      <c r="Q18">
        <v>11.01</v>
      </c>
      <c r="R18">
        <v>1.24</v>
      </c>
      <c r="S18">
        <v>207.28</v>
      </c>
      <c r="T18" t="s">
        <v>75</v>
      </c>
      <c r="U18" t="s">
        <v>67</v>
      </c>
      <c r="V18" t="s">
        <v>74</v>
      </c>
      <c r="W18" t="s">
        <v>73</v>
      </c>
      <c r="X18">
        <v>12.19</v>
      </c>
      <c r="Y18" s="9">
        <f t="shared" si="0"/>
        <v>12.188750000000001</v>
      </c>
      <c r="Z18" s="9">
        <f t="shared" si="1"/>
        <v>22.853906250000001</v>
      </c>
      <c r="AA18" s="5">
        <f t="shared" si="2"/>
        <v>25.39068984375</v>
      </c>
      <c r="AB18" s="6">
        <f t="shared" si="3"/>
        <v>37.021042734375001</v>
      </c>
      <c r="AD18" s="10">
        <f t="shared" si="4"/>
        <v>46.352978273437508</v>
      </c>
    </row>
    <row r="19" spans="1:30" x14ac:dyDescent="0.3">
      <c r="A19" t="s">
        <v>30</v>
      </c>
      <c r="B19" s="8" t="s">
        <v>66</v>
      </c>
      <c r="C19" s="8" t="s">
        <v>32</v>
      </c>
      <c r="D19" s="8" t="s">
        <v>33</v>
      </c>
      <c r="E19" s="8" t="s">
        <v>34</v>
      </c>
      <c r="F19" s="8" t="s">
        <v>35</v>
      </c>
      <c r="G19">
        <v>4016999000</v>
      </c>
      <c r="H19" t="s">
        <v>53</v>
      </c>
      <c r="I19" t="s">
        <v>76</v>
      </c>
      <c r="J19" t="s">
        <v>38</v>
      </c>
      <c r="K19" t="s">
        <v>39</v>
      </c>
      <c r="L19">
        <v>10</v>
      </c>
      <c r="M19">
        <v>8</v>
      </c>
      <c r="N19" t="s">
        <v>64</v>
      </c>
      <c r="O19">
        <v>0</v>
      </c>
      <c r="P19">
        <v>97.54</v>
      </c>
      <c r="Q19">
        <v>8.1199999999999992</v>
      </c>
      <c r="R19">
        <v>0.64</v>
      </c>
      <c r="S19">
        <v>106.29</v>
      </c>
      <c r="T19" t="s">
        <v>41</v>
      </c>
      <c r="U19" t="s">
        <v>43</v>
      </c>
      <c r="V19" t="s">
        <v>38</v>
      </c>
      <c r="W19" t="s">
        <v>73</v>
      </c>
      <c r="X19">
        <v>12.19</v>
      </c>
      <c r="Y19" s="9">
        <f t="shared" si="0"/>
        <v>12.192500000000001</v>
      </c>
      <c r="Z19" s="9">
        <f t="shared" si="1"/>
        <v>22.860937500000002</v>
      </c>
      <c r="AA19" s="5">
        <f t="shared" si="2"/>
        <v>25.398501562500002</v>
      </c>
      <c r="AB19" s="6">
        <f t="shared" si="3"/>
        <v>37.032432656250002</v>
      </c>
      <c r="AD19" s="10">
        <f t="shared" si="4"/>
        <v>46.36723926562501</v>
      </c>
    </row>
    <row r="20" spans="1:30" x14ac:dyDescent="0.3">
      <c r="A20" t="s">
        <v>30</v>
      </c>
      <c r="B20" s="8" t="s">
        <v>66</v>
      </c>
      <c r="C20" s="8" t="s">
        <v>32</v>
      </c>
      <c r="D20" s="8" t="s">
        <v>33</v>
      </c>
      <c r="E20" s="8" t="s">
        <v>34</v>
      </c>
      <c r="F20" s="8" t="s">
        <v>35</v>
      </c>
      <c r="G20">
        <v>4016999000</v>
      </c>
      <c r="H20" t="s">
        <v>53</v>
      </c>
      <c r="I20" t="s">
        <v>77</v>
      </c>
      <c r="J20" t="s">
        <v>38</v>
      </c>
      <c r="K20" t="s">
        <v>39</v>
      </c>
      <c r="L20">
        <v>8</v>
      </c>
      <c r="M20">
        <v>20</v>
      </c>
      <c r="N20" t="s">
        <v>64</v>
      </c>
      <c r="O20">
        <v>0</v>
      </c>
      <c r="P20">
        <v>243</v>
      </c>
      <c r="Q20">
        <v>13.76</v>
      </c>
      <c r="R20">
        <v>1.55</v>
      </c>
      <c r="S20">
        <v>258.3</v>
      </c>
      <c r="T20" t="s">
        <v>41</v>
      </c>
      <c r="U20" t="s">
        <v>41</v>
      </c>
      <c r="V20" t="s">
        <v>38</v>
      </c>
      <c r="W20" t="s">
        <v>73</v>
      </c>
      <c r="X20">
        <v>12.15</v>
      </c>
      <c r="Y20" s="9">
        <f t="shared" si="0"/>
        <v>12.15</v>
      </c>
      <c r="Z20" s="9">
        <f t="shared" si="1"/>
        <v>22.78125</v>
      </c>
      <c r="AA20" s="5">
        <f t="shared" si="2"/>
        <v>25.309968749999999</v>
      </c>
      <c r="AB20" s="6">
        <f t="shared" si="3"/>
        <v>36.903346874999997</v>
      </c>
      <c r="AD20" s="10">
        <f t="shared" si="4"/>
        <v>46.205614687500002</v>
      </c>
    </row>
    <row r="21" spans="1:30" x14ac:dyDescent="0.3">
      <c r="A21" t="s">
        <v>30</v>
      </c>
      <c r="B21" s="8" t="s">
        <v>66</v>
      </c>
      <c r="C21" s="8" t="s">
        <v>32</v>
      </c>
      <c r="D21" s="8" t="s">
        <v>33</v>
      </c>
      <c r="E21" s="8" t="s">
        <v>34</v>
      </c>
      <c r="F21" s="8" t="s">
        <v>35</v>
      </c>
      <c r="G21">
        <v>4016999000</v>
      </c>
      <c r="H21" t="s">
        <v>53</v>
      </c>
      <c r="I21" t="s">
        <v>67</v>
      </c>
      <c r="J21" t="s">
        <v>38</v>
      </c>
      <c r="K21" t="s">
        <v>39</v>
      </c>
      <c r="L21">
        <v>3</v>
      </c>
      <c r="M21">
        <v>4</v>
      </c>
      <c r="N21" t="s">
        <v>64</v>
      </c>
      <c r="O21">
        <v>0</v>
      </c>
      <c r="P21">
        <v>36.9</v>
      </c>
      <c r="Q21">
        <v>1.58</v>
      </c>
      <c r="R21">
        <v>0.24</v>
      </c>
      <c r="S21">
        <v>38.72</v>
      </c>
      <c r="T21" t="s">
        <v>41</v>
      </c>
      <c r="U21" t="s">
        <v>43</v>
      </c>
      <c r="V21" t="s">
        <v>38</v>
      </c>
      <c r="W21" t="s">
        <v>78</v>
      </c>
      <c r="X21">
        <v>9.2200000000000006</v>
      </c>
      <c r="Y21" s="9">
        <f t="shared" si="0"/>
        <v>9.2249999999999996</v>
      </c>
      <c r="Z21" s="9">
        <f t="shared" si="1"/>
        <v>17.296875</v>
      </c>
      <c r="AA21" s="5">
        <f t="shared" si="2"/>
        <v>19.216828124999999</v>
      </c>
      <c r="AB21" s="6">
        <f t="shared" si="3"/>
        <v>28.019207812499999</v>
      </c>
      <c r="AD21" s="10">
        <f t="shared" si="4"/>
        <v>35.082040781250001</v>
      </c>
    </row>
    <row r="22" spans="1:30" x14ac:dyDescent="0.3">
      <c r="A22" t="s">
        <v>30</v>
      </c>
      <c r="B22" s="8" t="s">
        <v>66</v>
      </c>
      <c r="C22" s="8" t="s">
        <v>32</v>
      </c>
      <c r="D22" s="8" t="s">
        <v>33</v>
      </c>
      <c r="E22" s="8" t="s">
        <v>34</v>
      </c>
      <c r="F22" s="8" t="s">
        <v>35</v>
      </c>
      <c r="G22">
        <v>4016999000</v>
      </c>
      <c r="H22" t="s">
        <v>53</v>
      </c>
      <c r="I22" t="s">
        <v>76</v>
      </c>
      <c r="J22" t="s">
        <v>38</v>
      </c>
      <c r="K22" t="s">
        <v>39</v>
      </c>
      <c r="L22">
        <v>10</v>
      </c>
      <c r="M22">
        <v>4</v>
      </c>
      <c r="N22" t="s">
        <v>64</v>
      </c>
      <c r="O22">
        <v>0</v>
      </c>
      <c r="P22">
        <v>58.69</v>
      </c>
      <c r="Q22">
        <v>4.8899999999999997</v>
      </c>
      <c r="R22">
        <v>0.38</v>
      </c>
      <c r="S22">
        <v>63.96</v>
      </c>
      <c r="T22" t="s">
        <v>41</v>
      </c>
      <c r="U22" t="s">
        <v>43</v>
      </c>
      <c r="V22" t="s">
        <v>38</v>
      </c>
      <c r="W22" t="s">
        <v>79</v>
      </c>
      <c r="X22">
        <v>14.67</v>
      </c>
      <c r="Y22" s="9">
        <f t="shared" si="0"/>
        <v>14.672499999999999</v>
      </c>
      <c r="Z22" s="9">
        <f t="shared" si="1"/>
        <v>27.510937499999997</v>
      </c>
      <c r="AA22" s="5">
        <f t="shared" si="2"/>
        <v>30.564651562499996</v>
      </c>
      <c r="AB22" s="6">
        <f t="shared" si="3"/>
        <v>44.564967656249991</v>
      </c>
      <c r="AD22" s="10">
        <f t="shared" si="4"/>
        <v>55.798508765625002</v>
      </c>
    </row>
    <row r="23" spans="1:30" x14ac:dyDescent="0.3">
      <c r="A23" t="s">
        <v>30</v>
      </c>
      <c r="B23" s="8" t="s">
        <v>58</v>
      </c>
      <c r="C23" s="8" t="s">
        <v>32</v>
      </c>
      <c r="D23" s="8" t="s">
        <v>33</v>
      </c>
      <c r="E23" s="8" t="s">
        <v>34</v>
      </c>
      <c r="F23" s="8" t="s">
        <v>35</v>
      </c>
      <c r="G23">
        <v>8482100000</v>
      </c>
      <c r="H23" t="s">
        <v>80</v>
      </c>
      <c r="I23" t="s">
        <v>81</v>
      </c>
      <c r="J23" t="s">
        <v>38</v>
      </c>
      <c r="K23" t="s">
        <v>39</v>
      </c>
      <c r="L23">
        <v>3</v>
      </c>
      <c r="M23">
        <v>1</v>
      </c>
      <c r="N23" t="s">
        <v>64</v>
      </c>
      <c r="O23">
        <v>0</v>
      </c>
      <c r="P23">
        <v>62.35</v>
      </c>
      <c r="Q23">
        <v>2.67</v>
      </c>
      <c r="R23">
        <v>0.4</v>
      </c>
      <c r="S23">
        <v>65.42</v>
      </c>
      <c r="T23" t="s">
        <v>41</v>
      </c>
      <c r="U23" t="s">
        <v>43</v>
      </c>
      <c r="V23" t="s">
        <v>38</v>
      </c>
      <c r="W23" t="s">
        <v>82</v>
      </c>
      <c r="X23">
        <v>62.35</v>
      </c>
      <c r="Y23" s="9">
        <f t="shared" si="0"/>
        <v>62.35</v>
      </c>
      <c r="Z23" s="9">
        <f t="shared" si="1"/>
        <v>116.90625</v>
      </c>
      <c r="AA23" s="5">
        <f t="shared" si="2"/>
        <v>129.88284375000001</v>
      </c>
      <c r="AB23" s="6">
        <f t="shared" si="3"/>
        <v>189.37643437499997</v>
      </c>
      <c r="AD23" s="10">
        <f t="shared" si="4"/>
        <v>237.11276343750004</v>
      </c>
    </row>
    <row r="24" spans="1:30" x14ac:dyDescent="0.3">
      <c r="A24" t="s">
        <v>30</v>
      </c>
      <c r="B24" s="8" t="s">
        <v>31</v>
      </c>
      <c r="C24" s="8" t="s">
        <v>32</v>
      </c>
      <c r="D24" s="8" t="s">
        <v>33</v>
      </c>
      <c r="E24" s="8" t="s">
        <v>34</v>
      </c>
      <c r="F24" s="8" t="s">
        <v>35</v>
      </c>
      <c r="G24">
        <v>8482500000</v>
      </c>
      <c r="H24" t="s">
        <v>83</v>
      </c>
      <c r="I24" t="s">
        <v>81</v>
      </c>
      <c r="J24" t="s">
        <v>38</v>
      </c>
      <c r="K24" t="s">
        <v>39</v>
      </c>
      <c r="L24">
        <v>3</v>
      </c>
      <c r="M24">
        <v>1</v>
      </c>
      <c r="N24" t="s">
        <v>64</v>
      </c>
      <c r="O24">
        <v>0</v>
      </c>
      <c r="P24">
        <v>42.33</v>
      </c>
      <c r="Q24">
        <v>1.81</v>
      </c>
      <c r="R24">
        <v>0.27</v>
      </c>
      <c r="S24">
        <v>44.41</v>
      </c>
      <c r="T24" t="s">
        <v>41</v>
      </c>
      <c r="U24" t="s">
        <v>43</v>
      </c>
      <c r="V24" t="s">
        <v>38</v>
      </c>
      <c r="W24" t="s">
        <v>84</v>
      </c>
      <c r="X24">
        <v>42.33</v>
      </c>
      <c r="Y24" s="9">
        <f t="shared" si="0"/>
        <v>42.33</v>
      </c>
      <c r="Z24" s="9">
        <f t="shared" si="1"/>
        <v>79.368749999999991</v>
      </c>
      <c r="AA24" s="5">
        <f t="shared" si="2"/>
        <v>88.178681249999983</v>
      </c>
      <c r="AB24" s="6">
        <f t="shared" si="3"/>
        <v>128.56943812499998</v>
      </c>
      <c r="AD24" s="10">
        <f t="shared" si="4"/>
        <v>160.9780798125</v>
      </c>
    </row>
    <row r="25" spans="1:30" x14ac:dyDescent="0.3">
      <c r="A25" t="s">
        <v>30</v>
      </c>
      <c r="B25" s="8" t="s">
        <v>31</v>
      </c>
      <c r="C25" s="8" t="s">
        <v>32</v>
      </c>
      <c r="D25" s="8" t="s">
        <v>33</v>
      </c>
      <c r="E25" s="8" t="s">
        <v>34</v>
      </c>
      <c r="F25" s="8" t="s">
        <v>35</v>
      </c>
      <c r="G25">
        <v>7412200000</v>
      </c>
      <c r="H25" t="s">
        <v>85</v>
      </c>
      <c r="I25" t="s">
        <v>86</v>
      </c>
      <c r="J25" t="s">
        <v>38</v>
      </c>
      <c r="K25" t="s">
        <v>39</v>
      </c>
      <c r="L25">
        <v>8</v>
      </c>
      <c r="M25">
        <v>1</v>
      </c>
      <c r="N25" t="s">
        <v>40</v>
      </c>
      <c r="O25">
        <v>0</v>
      </c>
      <c r="P25">
        <v>22.04</v>
      </c>
      <c r="Q25">
        <v>1.25</v>
      </c>
      <c r="R25">
        <v>0.14000000000000001</v>
      </c>
      <c r="S25">
        <v>23.43</v>
      </c>
      <c r="T25" t="s">
        <v>41</v>
      </c>
      <c r="U25" t="s">
        <v>41</v>
      </c>
      <c r="V25" t="s">
        <v>38</v>
      </c>
      <c r="W25" t="s">
        <v>87</v>
      </c>
      <c r="X25">
        <v>22.04</v>
      </c>
      <c r="Y25" s="9">
        <f t="shared" si="0"/>
        <v>22.04</v>
      </c>
      <c r="Z25" s="9">
        <f t="shared" si="1"/>
        <v>41.324999999999996</v>
      </c>
      <c r="AA25" s="5">
        <f t="shared" si="2"/>
        <v>45.912074999999994</v>
      </c>
      <c r="AB25" s="6">
        <f t="shared" si="3"/>
        <v>66.942367499999989</v>
      </c>
      <c r="AD25" s="10">
        <f t="shared" si="4"/>
        <v>83.816604749999996</v>
      </c>
    </row>
    <row r="26" spans="1:30" x14ac:dyDescent="0.3">
      <c r="A26" t="s">
        <v>30</v>
      </c>
      <c r="B26" s="8" t="s">
        <v>31</v>
      </c>
      <c r="C26" s="8" t="s">
        <v>32</v>
      </c>
      <c r="D26" s="8" t="s">
        <v>33</v>
      </c>
      <c r="E26" s="8" t="s">
        <v>34</v>
      </c>
      <c r="F26" s="8" t="s">
        <v>35</v>
      </c>
      <c r="G26">
        <v>4009320000</v>
      </c>
      <c r="H26" t="s">
        <v>88</v>
      </c>
      <c r="I26" t="s">
        <v>46</v>
      </c>
      <c r="J26" t="s">
        <v>38</v>
      </c>
      <c r="K26" t="s">
        <v>39</v>
      </c>
      <c r="L26">
        <v>6</v>
      </c>
      <c r="M26">
        <v>3</v>
      </c>
      <c r="N26" t="s">
        <v>40</v>
      </c>
      <c r="O26">
        <v>0</v>
      </c>
      <c r="P26">
        <v>232.37</v>
      </c>
      <c r="Q26">
        <v>28.1</v>
      </c>
      <c r="R26">
        <v>1.62</v>
      </c>
      <c r="S26">
        <v>262.08</v>
      </c>
      <c r="T26" t="s">
        <v>41</v>
      </c>
      <c r="U26" t="s">
        <v>43</v>
      </c>
      <c r="V26" t="s">
        <v>38</v>
      </c>
      <c r="W26" t="s">
        <v>89</v>
      </c>
      <c r="X26">
        <v>77.459999999999994</v>
      </c>
      <c r="Y26" s="9">
        <f t="shared" si="0"/>
        <v>77.456666666666663</v>
      </c>
      <c r="Z26" s="9">
        <f t="shared" si="1"/>
        <v>145.23124999999999</v>
      </c>
      <c r="AA26" s="5">
        <f t="shared" si="2"/>
        <v>161.35191874999998</v>
      </c>
      <c r="AB26" s="6">
        <f t="shared" si="3"/>
        <v>235.26010187499998</v>
      </c>
      <c r="AD26" s="10">
        <f t="shared" si="4"/>
        <v>294.56237818750003</v>
      </c>
    </row>
    <row r="27" spans="1:30" x14ac:dyDescent="0.3">
      <c r="A27" t="s">
        <v>30</v>
      </c>
      <c r="B27" s="8" t="s">
        <v>31</v>
      </c>
      <c r="C27" s="8" t="s">
        <v>32</v>
      </c>
      <c r="D27" s="8" t="s">
        <v>33</v>
      </c>
      <c r="E27" s="8" t="s">
        <v>34</v>
      </c>
      <c r="F27" s="8" t="s">
        <v>35</v>
      </c>
      <c r="G27">
        <v>4009320000</v>
      </c>
      <c r="H27" t="s">
        <v>88</v>
      </c>
      <c r="I27" t="s">
        <v>46</v>
      </c>
      <c r="J27" t="s">
        <v>38</v>
      </c>
      <c r="K27" t="s">
        <v>39</v>
      </c>
      <c r="L27">
        <v>6</v>
      </c>
      <c r="M27">
        <v>3</v>
      </c>
      <c r="N27" t="s">
        <v>40</v>
      </c>
      <c r="O27">
        <v>0</v>
      </c>
      <c r="P27">
        <v>203.63</v>
      </c>
      <c r="Q27">
        <v>24.63</v>
      </c>
      <c r="R27">
        <v>1.42</v>
      </c>
      <c r="S27">
        <v>229.68</v>
      </c>
      <c r="T27" t="s">
        <v>41</v>
      </c>
      <c r="U27" t="s">
        <v>43</v>
      </c>
      <c r="V27" t="s">
        <v>38</v>
      </c>
      <c r="W27" t="s">
        <v>90</v>
      </c>
      <c r="X27">
        <v>67.88</v>
      </c>
      <c r="Y27" s="9">
        <f t="shared" si="0"/>
        <v>67.876666666666665</v>
      </c>
      <c r="Z27" s="9">
        <f t="shared" si="1"/>
        <v>127.26875</v>
      </c>
      <c r="AA27" s="5">
        <f t="shared" si="2"/>
        <v>141.39558124999999</v>
      </c>
      <c r="AB27" s="6">
        <f t="shared" si="3"/>
        <v>206.16264812499998</v>
      </c>
      <c r="AD27" s="10">
        <f t="shared" si="4"/>
        <v>258.13029681250003</v>
      </c>
    </row>
    <row r="28" spans="1:30" x14ac:dyDescent="0.3">
      <c r="A28" t="s">
        <v>30</v>
      </c>
      <c r="B28" s="8" t="s">
        <v>31</v>
      </c>
      <c r="C28" s="8" t="s">
        <v>32</v>
      </c>
      <c r="D28" s="8" t="s">
        <v>33</v>
      </c>
      <c r="E28" s="8" t="s">
        <v>34</v>
      </c>
      <c r="F28" s="8" t="s">
        <v>35</v>
      </c>
      <c r="G28">
        <v>4009320000</v>
      </c>
      <c r="H28" t="s">
        <v>88</v>
      </c>
      <c r="I28" t="s">
        <v>46</v>
      </c>
      <c r="J28" t="s">
        <v>38</v>
      </c>
      <c r="K28" t="s">
        <v>39</v>
      </c>
      <c r="L28">
        <v>6</v>
      </c>
      <c r="M28">
        <v>3</v>
      </c>
      <c r="N28" t="s">
        <v>40</v>
      </c>
      <c r="O28">
        <v>0</v>
      </c>
      <c r="P28">
        <v>256.58</v>
      </c>
      <c r="Q28">
        <v>31.03</v>
      </c>
      <c r="R28">
        <v>1.79</v>
      </c>
      <c r="S28">
        <v>289.39999999999998</v>
      </c>
      <c r="T28" t="s">
        <v>41</v>
      </c>
      <c r="U28" t="s">
        <v>43</v>
      </c>
      <c r="V28" t="s">
        <v>38</v>
      </c>
      <c r="W28" t="s">
        <v>91</v>
      </c>
      <c r="X28">
        <v>85.53</v>
      </c>
      <c r="Y28" s="9">
        <f t="shared" si="0"/>
        <v>85.526666666666657</v>
      </c>
      <c r="Z28" s="9">
        <f t="shared" si="1"/>
        <v>160.36249999999998</v>
      </c>
      <c r="AA28" s="5">
        <f t="shared" si="2"/>
        <v>178.16273749999999</v>
      </c>
      <c r="AB28" s="6">
        <f t="shared" si="3"/>
        <v>259.77121374999996</v>
      </c>
      <c r="AD28" s="10">
        <f t="shared" si="4"/>
        <v>325.252033375</v>
      </c>
    </row>
    <row r="29" spans="1:30" x14ac:dyDescent="0.3">
      <c r="A29" t="s">
        <v>30</v>
      </c>
      <c r="B29" s="8" t="s">
        <v>31</v>
      </c>
      <c r="C29" s="8" t="s">
        <v>32</v>
      </c>
      <c r="D29" s="8" t="s">
        <v>33</v>
      </c>
      <c r="E29" s="8" t="s">
        <v>34</v>
      </c>
      <c r="F29" s="8" t="s">
        <v>35</v>
      </c>
      <c r="G29">
        <v>4009320000</v>
      </c>
      <c r="H29" t="s">
        <v>88</v>
      </c>
      <c r="I29" t="s">
        <v>46</v>
      </c>
      <c r="J29" t="s">
        <v>38</v>
      </c>
      <c r="K29" t="s">
        <v>39</v>
      </c>
      <c r="L29">
        <v>6</v>
      </c>
      <c r="M29">
        <v>6</v>
      </c>
      <c r="N29" t="s">
        <v>40</v>
      </c>
      <c r="O29">
        <v>0</v>
      </c>
      <c r="P29">
        <v>637.42999999999995</v>
      </c>
      <c r="Q29">
        <v>77.09</v>
      </c>
      <c r="R29">
        <v>4.4400000000000004</v>
      </c>
      <c r="S29">
        <v>718.96</v>
      </c>
      <c r="T29" t="s">
        <v>41</v>
      </c>
      <c r="U29" t="s">
        <v>43</v>
      </c>
      <c r="V29" t="s">
        <v>38</v>
      </c>
      <c r="W29" t="s">
        <v>92</v>
      </c>
      <c r="X29">
        <v>106.24</v>
      </c>
      <c r="Y29" s="9">
        <f t="shared" si="0"/>
        <v>106.23833333333333</v>
      </c>
      <c r="Z29" s="9">
        <f t="shared" si="1"/>
        <v>199.19687500000001</v>
      </c>
      <c r="AA29" s="5">
        <f t="shared" si="2"/>
        <v>221.30772812500001</v>
      </c>
      <c r="AB29" s="6">
        <f t="shared" si="3"/>
        <v>322.67901781249998</v>
      </c>
      <c r="AD29" s="10">
        <f t="shared" si="4"/>
        <v>404.01707778125007</v>
      </c>
    </row>
    <row r="30" spans="1:30" x14ac:dyDescent="0.3">
      <c r="A30" t="s">
        <v>30</v>
      </c>
      <c r="B30" s="8" t="s">
        <v>31</v>
      </c>
      <c r="C30" s="8" t="s">
        <v>32</v>
      </c>
      <c r="D30" s="8" t="s">
        <v>33</v>
      </c>
      <c r="E30" s="8" t="s">
        <v>34</v>
      </c>
      <c r="F30" s="8" t="s">
        <v>35</v>
      </c>
      <c r="G30">
        <v>4009320000</v>
      </c>
      <c r="H30" t="s">
        <v>88</v>
      </c>
      <c r="I30" t="s">
        <v>46</v>
      </c>
      <c r="J30" t="s">
        <v>38</v>
      </c>
      <c r="K30" t="s">
        <v>39</v>
      </c>
      <c r="L30">
        <v>6</v>
      </c>
      <c r="M30">
        <v>3</v>
      </c>
      <c r="N30" t="s">
        <v>40</v>
      </c>
      <c r="O30">
        <v>0</v>
      </c>
      <c r="P30">
        <v>398.51</v>
      </c>
      <c r="Q30">
        <v>48.19</v>
      </c>
      <c r="R30">
        <v>2.78</v>
      </c>
      <c r="S30">
        <v>449.48</v>
      </c>
      <c r="T30" t="s">
        <v>41</v>
      </c>
      <c r="U30" t="s">
        <v>43</v>
      </c>
      <c r="V30" t="s">
        <v>38</v>
      </c>
      <c r="W30" t="s">
        <v>93</v>
      </c>
      <c r="X30">
        <v>132.84</v>
      </c>
      <c r="Y30" s="9">
        <f t="shared" si="0"/>
        <v>132.83666666666667</v>
      </c>
      <c r="Z30" s="9">
        <f t="shared" si="1"/>
        <v>249.06875000000002</v>
      </c>
      <c r="AA30" s="5">
        <f t="shared" si="2"/>
        <v>276.71538125000001</v>
      </c>
      <c r="AB30" s="6">
        <f t="shared" si="3"/>
        <v>403.46646812500001</v>
      </c>
      <c r="AD30" s="10">
        <f t="shared" si="4"/>
        <v>505.16871081250008</v>
      </c>
    </row>
    <row r="31" spans="1:30" x14ac:dyDescent="0.3">
      <c r="A31" t="s">
        <v>30</v>
      </c>
      <c r="B31" s="8" t="s">
        <v>31</v>
      </c>
      <c r="C31" s="8" t="s">
        <v>32</v>
      </c>
      <c r="D31" s="8" t="s">
        <v>33</v>
      </c>
      <c r="E31" s="8" t="s">
        <v>34</v>
      </c>
      <c r="F31" s="8" t="s">
        <v>35</v>
      </c>
      <c r="G31">
        <v>4009320000</v>
      </c>
      <c r="H31" t="s">
        <v>88</v>
      </c>
      <c r="I31" t="s">
        <v>46</v>
      </c>
      <c r="J31" t="s">
        <v>38</v>
      </c>
      <c r="K31" t="s">
        <v>39</v>
      </c>
      <c r="L31">
        <v>4</v>
      </c>
      <c r="M31">
        <v>1</v>
      </c>
      <c r="N31" t="s">
        <v>40</v>
      </c>
      <c r="O31">
        <v>0</v>
      </c>
      <c r="P31">
        <v>273.8</v>
      </c>
      <c r="Q31">
        <v>14.34</v>
      </c>
      <c r="R31">
        <v>1.78</v>
      </c>
      <c r="S31">
        <v>289.92</v>
      </c>
      <c r="T31" t="s">
        <v>41</v>
      </c>
      <c r="U31" t="s">
        <v>41</v>
      </c>
      <c r="V31" t="s">
        <v>38</v>
      </c>
      <c r="W31" t="s">
        <v>94</v>
      </c>
      <c r="X31">
        <v>273.8</v>
      </c>
      <c r="Y31" s="9">
        <f t="shared" si="0"/>
        <v>273.8</v>
      </c>
      <c r="Z31" s="9">
        <f t="shared" si="1"/>
        <v>513.375</v>
      </c>
      <c r="AA31" s="5">
        <f t="shared" si="2"/>
        <v>570.35962499999994</v>
      </c>
      <c r="AB31" s="6">
        <f t="shared" si="3"/>
        <v>831.61616249999997</v>
      </c>
      <c r="AD31" s="10">
        <f t="shared" si="4"/>
        <v>1041.2425762500002</v>
      </c>
    </row>
    <row r="32" spans="1:30" x14ac:dyDescent="0.3">
      <c r="A32" t="s">
        <v>30</v>
      </c>
      <c r="B32" s="8" t="s">
        <v>31</v>
      </c>
      <c r="C32" s="8" t="s">
        <v>32</v>
      </c>
      <c r="D32" s="8" t="s">
        <v>33</v>
      </c>
      <c r="E32" s="8" t="s">
        <v>34</v>
      </c>
      <c r="F32" s="8" t="s">
        <v>35</v>
      </c>
      <c r="G32">
        <v>4009320000</v>
      </c>
      <c r="H32" t="s">
        <v>88</v>
      </c>
      <c r="I32" t="s">
        <v>95</v>
      </c>
      <c r="J32" t="s">
        <v>74</v>
      </c>
      <c r="K32" t="s">
        <v>39</v>
      </c>
      <c r="L32">
        <v>7</v>
      </c>
      <c r="M32">
        <v>2</v>
      </c>
      <c r="N32" t="s">
        <v>40</v>
      </c>
      <c r="O32">
        <v>0</v>
      </c>
      <c r="P32">
        <v>198.73</v>
      </c>
      <c r="Q32">
        <v>11.22</v>
      </c>
      <c r="R32">
        <v>1.27</v>
      </c>
      <c r="S32">
        <v>211.22</v>
      </c>
      <c r="T32" t="s">
        <v>75</v>
      </c>
      <c r="U32" t="s">
        <v>95</v>
      </c>
      <c r="V32" t="s">
        <v>74</v>
      </c>
      <c r="W32" t="s">
        <v>96</v>
      </c>
      <c r="X32">
        <v>99.36</v>
      </c>
      <c r="Y32" s="9">
        <f t="shared" si="0"/>
        <v>99.364999999999995</v>
      </c>
      <c r="Z32" s="9">
        <f t="shared" si="1"/>
        <v>186.30937499999999</v>
      </c>
      <c r="AA32" s="5">
        <f t="shared" si="2"/>
        <v>206.98971562499997</v>
      </c>
      <c r="AB32" s="6">
        <f t="shared" si="3"/>
        <v>301.80255656249994</v>
      </c>
      <c r="AD32" s="10">
        <f t="shared" si="4"/>
        <v>377.87826365625</v>
      </c>
    </row>
    <row r="33" spans="1:30" x14ac:dyDescent="0.3">
      <c r="A33" t="s">
        <v>30</v>
      </c>
      <c r="B33" s="8" t="s">
        <v>31</v>
      </c>
      <c r="C33" s="8" t="s">
        <v>32</v>
      </c>
      <c r="D33" s="8" t="s">
        <v>33</v>
      </c>
      <c r="E33" s="8" t="s">
        <v>34</v>
      </c>
      <c r="F33" s="8" t="s">
        <v>35</v>
      </c>
      <c r="G33">
        <v>4009320000</v>
      </c>
      <c r="H33" t="s">
        <v>88</v>
      </c>
      <c r="I33" t="s">
        <v>95</v>
      </c>
      <c r="J33" t="s">
        <v>74</v>
      </c>
      <c r="K33" t="s">
        <v>39</v>
      </c>
      <c r="L33">
        <v>7</v>
      </c>
      <c r="M33">
        <v>2</v>
      </c>
      <c r="N33" t="s">
        <v>40</v>
      </c>
      <c r="O33">
        <v>0</v>
      </c>
      <c r="P33">
        <v>71.28</v>
      </c>
      <c r="Q33">
        <v>4.03</v>
      </c>
      <c r="R33">
        <v>0.45</v>
      </c>
      <c r="S33">
        <v>75.760000000000005</v>
      </c>
      <c r="T33" t="s">
        <v>75</v>
      </c>
      <c r="U33" t="s">
        <v>95</v>
      </c>
      <c r="V33" t="s">
        <v>74</v>
      </c>
      <c r="W33" t="s">
        <v>97</v>
      </c>
      <c r="X33">
        <v>35.64</v>
      </c>
      <c r="Y33" s="9">
        <f t="shared" si="0"/>
        <v>35.64</v>
      </c>
      <c r="Z33" s="9">
        <f t="shared" si="1"/>
        <v>66.825000000000003</v>
      </c>
      <c r="AA33" s="5">
        <f t="shared" si="2"/>
        <v>74.242575000000002</v>
      </c>
      <c r="AB33" s="6">
        <f t="shared" si="3"/>
        <v>108.24981749999999</v>
      </c>
      <c r="AD33" s="10">
        <f t="shared" si="4"/>
        <v>135.53646975000001</v>
      </c>
    </row>
    <row r="34" spans="1:30" x14ac:dyDescent="0.3">
      <c r="A34" t="s">
        <v>30</v>
      </c>
      <c r="B34" s="8" t="s">
        <v>31</v>
      </c>
      <c r="C34" s="8" t="s">
        <v>32</v>
      </c>
      <c r="D34" s="8" t="s">
        <v>33</v>
      </c>
      <c r="E34" s="8" t="s">
        <v>34</v>
      </c>
      <c r="F34" s="8" t="s">
        <v>35</v>
      </c>
      <c r="G34">
        <v>4009320000</v>
      </c>
      <c r="H34" t="s">
        <v>88</v>
      </c>
      <c r="I34" t="s">
        <v>46</v>
      </c>
      <c r="J34" t="s">
        <v>38</v>
      </c>
      <c r="K34" t="s">
        <v>39</v>
      </c>
      <c r="L34">
        <v>6</v>
      </c>
      <c r="M34">
        <v>2</v>
      </c>
      <c r="N34" t="s">
        <v>40</v>
      </c>
      <c r="O34">
        <v>0</v>
      </c>
      <c r="P34">
        <v>127.72</v>
      </c>
      <c r="Q34">
        <v>8.67</v>
      </c>
      <c r="R34">
        <v>0.83</v>
      </c>
      <c r="S34">
        <v>137.22</v>
      </c>
      <c r="T34" t="s">
        <v>41</v>
      </c>
      <c r="U34" t="s">
        <v>41</v>
      </c>
      <c r="V34" t="s">
        <v>38</v>
      </c>
      <c r="W34" t="s">
        <v>98</v>
      </c>
      <c r="X34">
        <v>63.86</v>
      </c>
      <c r="Y34" s="9">
        <f t="shared" si="0"/>
        <v>63.86</v>
      </c>
      <c r="Z34" s="9">
        <f t="shared" si="1"/>
        <v>119.7375</v>
      </c>
      <c r="AA34" s="5">
        <f t="shared" si="2"/>
        <v>133.02836249999999</v>
      </c>
      <c r="AB34" s="6">
        <f t="shared" si="3"/>
        <v>193.96277624999999</v>
      </c>
      <c r="AD34" s="10">
        <f t="shared" si="4"/>
        <v>242.85518962500001</v>
      </c>
    </row>
    <row r="35" spans="1:30" x14ac:dyDescent="0.3">
      <c r="A35" t="s">
        <v>30</v>
      </c>
      <c r="B35" s="8" t="s">
        <v>31</v>
      </c>
      <c r="C35" s="8" t="s">
        <v>32</v>
      </c>
      <c r="D35" s="8" t="s">
        <v>33</v>
      </c>
      <c r="E35" s="8" t="s">
        <v>34</v>
      </c>
      <c r="F35" s="8" t="s">
        <v>35</v>
      </c>
      <c r="G35">
        <v>4009320000</v>
      </c>
      <c r="H35" t="s">
        <v>88</v>
      </c>
      <c r="I35" t="s">
        <v>95</v>
      </c>
      <c r="J35" t="s">
        <v>74</v>
      </c>
      <c r="K35" t="s">
        <v>39</v>
      </c>
      <c r="L35">
        <v>7</v>
      </c>
      <c r="M35">
        <v>2</v>
      </c>
      <c r="N35" t="s">
        <v>40</v>
      </c>
      <c r="O35">
        <v>0</v>
      </c>
      <c r="P35">
        <v>94.31</v>
      </c>
      <c r="Q35">
        <v>5.33</v>
      </c>
      <c r="R35">
        <v>0.6</v>
      </c>
      <c r="S35">
        <v>100.24</v>
      </c>
      <c r="T35" t="s">
        <v>75</v>
      </c>
      <c r="U35" t="s">
        <v>95</v>
      </c>
      <c r="V35" t="s">
        <v>74</v>
      </c>
      <c r="W35" t="s">
        <v>99</v>
      </c>
      <c r="X35">
        <v>47.16</v>
      </c>
      <c r="Y35" s="9">
        <f t="shared" si="0"/>
        <v>47.155000000000001</v>
      </c>
      <c r="Z35" s="9">
        <f t="shared" si="1"/>
        <v>88.415625000000006</v>
      </c>
      <c r="AA35" s="5">
        <f t="shared" si="2"/>
        <v>98.229759375</v>
      </c>
      <c r="AB35" s="6">
        <f t="shared" si="3"/>
        <v>143.2244709375</v>
      </c>
      <c r="AD35" s="10">
        <f t="shared" si="4"/>
        <v>179.32722309375004</v>
      </c>
    </row>
    <row r="36" spans="1:30" x14ac:dyDescent="0.3">
      <c r="A36" t="s">
        <v>30</v>
      </c>
      <c r="B36" s="8" t="s">
        <v>31</v>
      </c>
      <c r="C36" s="8" t="s">
        <v>32</v>
      </c>
      <c r="D36" s="8" t="s">
        <v>33</v>
      </c>
      <c r="E36" s="8" t="s">
        <v>34</v>
      </c>
      <c r="F36" s="8" t="s">
        <v>35</v>
      </c>
      <c r="G36">
        <v>4009320000</v>
      </c>
      <c r="H36" t="s">
        <v>88</v>
      </c>
      <c r="I36" t="s">
        <v>46</v>
      </c>
      <c r="J36" t="s">
        <v>38</v>
      </c>
      <c r="K36" t="s">
        <v>39</v>
      </c>
      <c r="L36">
        <v>8</v>
      </c>
      <c r="M36">
        <v>2</v>
      </c>
      <c r="N36" t="s">
        <v>40</v>
      </c>
      <c r="O36">
        <v>0</v>
      </c>
      <c r="P36">
        <v>101.84</v>
      </c>
      <c r="Q36">
        <v>10.87</v>
      </c>
      <c r="R36">
        <v>0.68</v>
      </c>
      <c r="S36">
        <v>113.39</v>
      </c>
      <c r="T36" t="s">
        <v>41</v>
      </c>
      <c r="U36" t="s">
        <v>41</v>
      </c>
      <c r="V36" t="s">
        <v>38</v>
      </c>
      <c r="W36" t="s">
        <v>100</v>
      </c>
      <c r="X36">
        <v>50.92</v>
      </c>
      <c r="Y36" s="9">
        <f t="shared" si="0"/>
        <v>50.92</v>
      </c>
      <c r="Z36" s="9">
        <f t="shared" si="1"/>
        <v>95.475000000000009</v>
      </c>
      <c r="AA36" s="5">
        <f t="shared" si="2"/>
        <v>106.07272500000001</v>
      </c>
      <c r="AB36" s="6">
        <f t="shared" si="3"/>
        <v>154.6599525</v>
      </c>
      <c r="AD36" s="10">
        <f t="shared" si="4"/>
        <v>193.64525925000004</v>
      </c>
    </row>
    <row r="37" spans="1:30" x14ac:dyDescent="0.3">
      <c r="A37" t="s">
        <v>30</v>
      </c>
      <c r="B37" s="8" t="s">
        <v>31</v>
      </c>
      <c r="C37" s="8" t="s">
        <v>32</v>
      </c>
      <c r="D37" s="8" t="s">
        <v>33</v>
      </c>
      <c r="E37" s="8" t="s">
        <v>34</v>
      </c>
      <c r="F37" s="8" t="s">
        <v>35</v>
      </c>
      <c r="G37">
        <v>4009320000</v>
      </c>
      <c r="H37" t="s">
        <v>88</v>
      </c>
      <c r="I37" t="s">
        <v>95</v>
      </c>
      <c r="J37" t="s">
        <v>74</v>
      </c>
      <c r="K37" t="s">
        <v>39</v>
      </c>
      <c r="L37">
        <v>7</v>
      </c>
      <c r="M37">
        <v>2</v>
      </c>
      <c r="N37" t="s">
        <v>40</v>
      </c>
      <c r="O37">
        <v>0</v>
      </c>
      <c r="P37">
        <v>138.25</v>
      </c>
      <c r="Q37">
        <v>7.81</v>
      </c>
      <c r="R37">
        <v>0.88</v>
      </c>
      <c r="S37">
        <v>146.94</v>
      </c>
      <c r="T37" t="s">
        <v>75</v>
      </c>
      <c r="U37" t="s">
        <v>95</v>
      </c>
      <c r="V37" t="s">
        <v>74</v>
      </c>
      <c r="W37" t="s">
        <v>101</v>
      </c>
      <c r="X37">
        <v>69.12</v>
      </c>
      <c r="Y37" s="9">
        <f t="shared" si="0"/>
        <v>69.125</v>
      </c>
      <c r="Z37" s="9">
        <f t="shared" si="1"/>
        <v>129.609375</v>
      </c>
      <c r="AA37" s="5">
        <f t="shared" si="2"/>
        <v>143.99601562500001</v>
      </c>
      <c r="AB37" s="6">
        <f t="shared" si="3"/>
        <v>209.9542265625</v>
      </c>
      <c r="AD37" s="10">
        <f t="shared" si="4"/>
        <v>262.87762265625003</v>
      </c>
    </row>
    <row r="38" spans="1:30" x14ac:dyDescent="0.3">
      <c r="A38" t="s">
        <v>30</v>
      </c>
      <c r="B38" s="8" t="s">
        <v>31</v>
      </c>
      <c r="C38" s="8" t="s">
        <v>32</v>
      </c>
      <c r="D38" s="8" t="s">
        <v>33</v>
      </c>
      <c r="E38" s="8" t="s">
        <v>34</v>
      </c>
      <c r="F38" s="8" t="s">
        <v>35</v>
      </c>
      <c r="G38">
        <v>4009320000</v>
      </c>
      <c r="H38" t="s">
        <v>88</v>
      </c>
      <c r="I38" t="s">
        <v>95</v>
      </c>
      <c r="J38" t="s">
        <v>74</v>
      </c>
      <c r="K38" t="s">
        <v>39</v>
      </c>
      <c r="L38">
        <v>7</v>
      </c>
      <c r="M38">
        <v>2</v>
      </c>
      <c r="N38" t="s">
        <v>40</v>
      </c>
      <c r="O38">
        <v>0</v>
      </c>
      <c r="P38">
        <v>186.51</v>
      </c>
      <c r="Q38">
        <v>10.53</v>
      </c>
      <c r="R38">
        <v>1.19</v>
      </c>
      <c r="S38">
        <v>198.24</v>
      </c>
      <c r="T38" t="s">
        <v>75</v>
      </c>
      <c r="U38" t="s">
        <v>95</v>
      </c>
      <c r="V38" t="s">
        <v>74</v>
      </c>
      <c r="W38" t="s">
        <v>102</v>
      </c>
      <c r="X38">
        <v>93.25</v>
      </c>
      <c r="Y38" s="9">
        <f t="shared" si="0"/>
        <v>93.254999999999995</v>
      </c>
      <c r="Z38" s="9">
        <f t="shared" si="1"/>
        <v>174.85312499999998</v>
      </c>
      <c r="AA38" s="5">
        <f t="shared" si="2"/>
        <v>194.26182187499998</v>
      </c>
      <c r="AB38" s="6">
        <f t="shared" si="3"/>
        <v>283.24457718749994</v>
      </c>
      <c r="AD38" s="10">
        <f t="shared" si="4"/>
        <v>354.64235371874997</v>
      </c>
    </row>
    <row r="39" spans="1:30" x14ac:dyDescent="0.3">
      <c r="A39" t="s">
        <v>30</v>
      </c>
      <c r="B39" s="8" t="s">
        <v>31</v>
      </c>
      <c r="C39" s="8" t="s">
        <v>32</v>
      </c>
      <c r="D39" s="8" t="s">
        <v>33</v>
      </c>
      <c r="E39" s="8" t="s">
        <v>34</v>
      </c>
      <c r="F39" s="8" t="s">
        <v>35</v>
      </c>
      <c r="G39">
        <v>4009320000</v>
      </c>
      <c r="H39" t="s">
        <v>88</v>
      </c>
      <c r="I39" t="s">
        <v>46</v>
      </c>
      <c r="J39" t="s">
        <v>38</v>
      </c>
      <c r="K39" t="s">
        <v>39</v>
      </c>
      <c r="L39">
        <v>6</v>
      </c>
      <c r="M39">
        <v>2</v>
      </c>
      <c r="N39" t="s">
        <v>40</v>
      </c>
      <c r="O39">
        <v>0</v>
      </c>
      <c r="P39">
        <v>129.88999999999999</v>
      </c>
      <c r="Q39">
        <v>8.81</v>
      </c>
      <c r="R39">
        <v>0.84</v>
      </c>
      <c r="S39">
        <v>139.55000000000001</v>
      </c>
      <c r="T39" t="s">
        <v>41</v>
      </c>
      <c r="U39" t="s">
        <v>41</v>
      </c>
      <c r="V39" t="s">
        <v>38</v>
      </c>
      <c r="W39" t="s">
        <v>103</v>
      </c>
      <c r="X39">
        <v>64.94</v>
      </c>
      <c r="Y39" s="9">
        <f t="shared" si="0"/>
        <v>64.944999999999993</v>
      </c>
      <c r="Z39" s="9">
        <f t="shared" si="1"/>
        <v>121.77187499999999</v>
      </c>
      <c r="AA39" s="5">
        <f t="shared" si="2"/>
        <v>135.28855312499999</v>
      </c>
      <c r="AB39" s="6">
        <f t="shared" si="3"/>
        <v>197.25826031249997</v>
      </c>
      <c r="AD39" s="10">
        <f t="shared" si="4"/>
        <v>246.98137003125001</v>
      </c>
    </row>
    <row r="40" spans="1:30" x14ac:dyDescent="0.3">
      <c r="A40" t="s">
        <v>30</v>
      </c>
      <c r="B40" s="8" t="s">
        <v>31</v>
      </c>
      <c r="C40" s="8" t="s">
        <v>32</v>
      </c>
      <c r="D40" s="8" t="s">
        <v>33</v>
      </c>
      <c r="E40" s="8" t="s">
        <v>34</v>
      </c>
      <c r="F40" s="8" t="s">
        <v>35</v>
      </c>
      <c r="G40">
        <v>4009320000</v>
      </c>
      <c r="H40" t="s">
        <v>88</v>
      </c>
      <c r="I40" t="s">
        <v>95</v>
      </c>
      <c r="J40" t="s">
        <v>74</v>
      </c>
      <c r="K40" t="s">
        <v>39</v>
      </c>
      <c r="L40">
        <v>7</v>
      </c>
      <c r="M40">
        <v>2</v>
      </c>
      <c r="N40" t="s">
        <v>40</v>
      </c>
      <c r="O40">
        <v>0</v>
      </c>
      <c r="P40">
        <v>295.94</v>
      </c>
      <c r="Q40">
        <v>16.71</v>
      </c>
      <c r="R40">
        <v>1.89</v>
      </c>
      <c r="S40">
        <v>314.54000000000002</v>
      </c>
      <c r="T40" t="s">
        <v>75</v>
      </c>
      <c r="U40" t="s">
        <v>95</v>
      </c>
      <c r="V40" t="s">
        <v>74</v>
      </c>
      <c r="W40" t="s">
        <v>104</v>
      </c>
      <c r="X40">
        <v>147.97</v>
      </c>
      <c r="Y40" s="9">
        <f t="shared" si="0"/>
        <v>147.97</v>
      </c>
      <c r="Z40" s="9">
        <f t="shared" si="1"/>
        <v>277.44375000000002</v>
      </c>
      <c r="AA40" s="5">
        <f t="shared" si="2"/>
        <v>308.24000625000002</v>
      </c>
      <c r="AB40" s="6">
        <f t="shared" si="3"/>
        <v>449.43113062499998</v>
      </c>
      <c r="AD40" s="10">
        <f t="shared" si="4"/>
        <v>562.71973706250014</v>
      </c>
    </row>
    <row r="41" spans="1:30" x14ac:dyDescent="0.3">
      <c r="A41" t="s">
        <v>30</v>
      </c>
      <c r="B41" s="8" t="s">
        <v>31</v>
      </c>
      <c r="C41" s="8" t="s">
        <v>32</v>
      </c>
      <c r="D41" s="8" t="s">
        <v>33</v>
      </c>
      <c r="E41" s="8" t="s">
        <v>34</v>
      </c>
      <c r="F41" s="8" t="s">
        <v>35</v>
      </c>
      <c r="G41">
        <v>4009320000</v>
      </c>
      <c r="H41" t="s">
        <v>88</v>
      </c>
      <c r="I41" t="s">
        <v>46</v>
      </c>
      <c r="J41" t="s">
        <v>38</v>
      </c>
      <c r="K41" t="s">
        <v>39</v>
      </c>
      <c r="L41">
        <v>6</v>
      </c>
      <c r="M41">
        <v>2</v>
      </c>
      <c r="N41" t="s">
        <v>40</v>
      </c>
      <c r="O41">
        <v>0</v>
      </c>
      <c r="P41">
        <v>86.59</v>
      </c>
      <c r="Q41">
        <v>5.88</v>
      </c>
      <c r="R41">
        <v>0.56000000000000005</v>
      </c>
      <c r="S41">
        <v>93.03</v>
      </c>
      <c r="T41" t="s">
        <v>41</v>
      </c>
      <c r="U41" t="s">
        <v>41</v>
      </c>
      <c r="V41" t="s">
        <v>38</v>
      </c>
      <c r="W41" t="s">
        <v>105</v>
      </c>
      <c r="X41">
        <v>43.3</v>
      </c>
      <c r="Y41" s="9">
        <f t="shared" si="0"/>
        <v>43.295000000000002</v>
      </c>
      <c r="Z41" s="9">
        <f t="shared" si="1"/>
        <v>81.178125000000009</v>
      </c>
      <c r="AA41" s="5">
        <f t="shared" si="2"/>
        <v>90.188896875000012</v>
      </c>
      <c r="AB41" s="6">
        <f t="shared" si="3"/>
        <v>131.50044468749999</v>
      </c>
      <c r="AD41" s="10">
        <f t="shared" si="4"/>
        <v>164.64790846875005</v>
      </c>
    </row>
    <row r="42" spans="1:30" x14ac:dyDescent="0.3">
      <c r="A42" t="s">
        <v>30</v>
      </c>
      <c r="B42" s="8" t="s">
        <v>31</v>
      </c>
      <c r="C42" s="8" t="s">
        <v>32</v>
      </c>
      <c r="D42" s="8" t="s">
        <v>33</v>
      </c>
      <c r="E42" s="8" t="s">
        <v>34</v>
      </c>
      <c r="F42" s="8" t="s">
        <v>35</v>
      </c>
      <c r="G42">
        <v>4009320000</v>
      </c>
      <c r="H42" t="s">
        <v>88</v>
      </c>
      <c r="I42" t="s">
        <v>46</v>
      </c>
      <c r="J42" t="s">
        <v>38</v>
      </c>
      <c r="K42" t="s">
        <v>39</v>
      </c>
      <c r="L42">
        <v>6</v>
      </c>
      <c r="M42">
        <v>2</v>
      </c>
      <c r="N42" t="s">
        <v>40</v>
      </c>
      <c r="O42">
        <v>0</v>
      </c>
      <c r="P42">
        <v>140.34</v>
      </c>
      <c r="Q42">
        <v>9.52</v>
      </c>
      <c r="R42">
        <v>0.91</v>
      </c>
      <c r="S42">
        <v>150.77000000000001</v>
      </c>
      <c r="T42" t="s">
        <v>41</v>
      </c>
      <c r="U42" t="s">
        <v>41</v>
      </c>
      <c r="V42" t="s">
        <v>38</v>
      </c>
      <c r="W42" t="s">
        <v>106</v>
      </c>
      <c r="X42">
        <v>70.17</v>
      </c>
      <c r="Y42" s="9">
        <f t="shared" si="0"/>
        <v>70.17</v>
      </c>
      <c r="Z42" s="9">
        <f t="shared" si="1"/>
        <v>131.56874999999999</v>
      </c>
      <c r="AA42" s="5">
        <f t="shared" si="2"/>
        <v>146.17288124999999</v>
      </c>
      <c r="AB42" s="6">
        <f t="shared" si="3"/>
        <v>213.12821812499999</v>
      </c>
      <c r="AD42" s="10">
        <f t="shared" si="4"/>
        <v>266.85168581250002</v>
      </c>
    </row>
    <row r="43" spans="1:30" x14ac:dyDescent="0.3">
      <c r="A43" t="s">
        <v>30</v>
      </c>
      <c r="B43" s="8" t="s">
        <v>31</v>
      </c>
      <c r="C43" s="8" t="s">
        <v>32</v>
      </c>
      <c r="D43" s="8" t="s">
        <v>33</v>
      </c>
      <c r="E43" s="8" t="s">
        <v>34</v>
      </c>
      <c r="F43" s="8" t="s">
        <v>35</v>
      </c>
      <c r="G43">
        <v>4009320000</v>
      </c>
      <c r="H43" t="s">
        <v>88</v>
      </c>
      <c r="I43" t="s">
        <v>95</v>
      </c>
      <c r="J43" t="s">
        <v>74</v>
      </c>
      <c r="K43" t="s">
        <v>39</v>
      </c>
      <c r="L43">
        <v>7</v>
      </c>
      <c r="M43">
        <v>2</v>
      </c>
      <c r="N43" t="s">
        <v>40</v>
      </c>
      <c r="O43">
        <v>0</v>
      </c>
      <c r="P43">
        <v>129.62</v>
      </c>
      <c r="Q43">
        <v>7.32</v>
      </c>
      <c r="R43">
        <v>0.83</v>
      </c>
      <c r="S43">
        <v>137.77000000000001</v>
      </c>
      <c r="T43" t="s">
        <v>75</v>
      </c>
      <c r="U43" t="s">
        <v>95</v>
      </c>
      <c r="V43" t="s">
        <v>74</v>
      </c>
      <c r="W43" t="s">
        <v>107</v>
      </c>
      <c r="X43">
        <v>64.81</v>
      </c>
      <c r="Y43" s="9">
        <f t="shared" si="0"/>
        <v>64.81</v>
      </c>
      <c r="Z43" s="9">
        <f t="shared" si="1"/>
        <v>121.51875000000001</v>
      </c>
      <c r="AA43" s="5">
        <f t="shared" si="2"/>
        <v>135.00733125000002</v>
      </c>
      <c r="AB43" s="6">
        <f t="shared" si="3"/>
        <v>196.848223125</v>
      </c>
      <c r="AD43" s="10">
        <f t="shared" si="4"/>
        <v>246.46797431250005</v>
      </c>
    </row>
    <row r="44" spans="1:30" x14ac:dyDescent="0.3">
      <c r="A44" t="s">
        <v>30</v>
      </c>
      <c r="B44" s="8" t="s">
        <v>31</v>
      </c>
      <c r="C44" s="8" t="s">
        <v>32</v>
      </c>
      <c r="D44" s="8" t="s">
        <v>33</v>
      </c>
      <c r="E44" s="8" t="s">
        <v>34</v>
      </c>
      <c r="F44" s="8" t="s">
        <v>35</v>
      </c>
      <c r="G44">
        <v>4009320000</v>
      </c>
      <c r="H44" t="s">
        <v>88</v>
      </c>
      <c r="I44" t="s">
        <v>95</v>
      </c>
      <c r="J44" t="s">
        <v>74</v>
      </c>
      <c r="K44" t="s">
        <v>39</v>
      </c>
      <c r="L44">
        <v>7</v>
      </c>
      <c r="M44">
        <v>2</v>
      </c>
      <c r="N44" t="s">
        <v>40</v>
      </c>
      <c r="O44">
        <v>0</v>
      </c>
      <c r="P44">
        <v>289.47000000000003</v>
      </c>
      <c r="Q44">
        <v>16.350000000000001</v>
      </c>
      <c r="R44">
        <v>1.85</v>
      </c>
      <c r="S44">
        <v>307.66000000000003</v>
      </c>
      <c r="T44" t="s">
        <v>75</v>
      </c>
      <c r="U44" t="s">
        <v>95</v>
      </c>
      <c r="V44" t="s">
        <v>74</v>
      </c>
      <c r="W44" t="s">
        <v>108</v>
      </c>
      <c r="X44">
        <v>144.74</v>
      </c>
      <c r="Y44" s="9">
        <f t="shared" si="0"/>
        <v>144.73500000000001</v>
      </c>
      <c r="Z44" s="9">
        <f t="shared" si="1"/>
        <v>271.37812500000001</v>
      </c>
      <c r="AA44" s="5">
        <f t="shared" si="2"/>
        <v>301.50109687500003</v>
      </c>
      <c r="AB44" s="6">
        <f t="shared" si="3"/>
        <v>439.60542468749998</v>
      </c>
      <c r="AD44" s="10">
        <f t="shared" si="4"/>
        <v>550.41725446875012</v>
      </c>
    </row>
    <row r="45" spans="1:30" x14ac:dyDescent="0.3">
      <c r="A45" t="s">
        <v>30</v>
      </c>
      <c r="B45" s="8" t="s">
        <v>31</v>
      </c>
      <c r="C45" s="8" t="s">
        <v>32</v>
      </c>
      <c r="D45" s="8" t="s">
        <v>33</v>
      </c>
      <c r="E45" s="8" t="s">
        <v>34</v>
      </c>
      <c r="F45" s="8" t="s">
        <v>35</v>
      </c>
      <c r="G45">
        <v>4009320000</v>
      </c>
      <c r="H45" t="s">
        <v>88</v>
      </c>
      <c r="I45" t="s">
        <v>95</v>
      </c>
      <c r="J45" t="s">
        <v>74</v>
      </c>
      <c r="K45" t="s">
        <v>39</v>
      </c>
      <c r="L45">
        <v>7</v>
      </c>
      <c r="M45">
        <v>2</v>
      </c>
      <c r="N45" t="s">
        <v>40</v>
      </c>
      <c r="O45">
        <v>0</v>
      </c>
      <c r="P45">
        <v>140.41</v>
      </c>
      <c r="Q45">
        <v>7.93</v>
      </c>
      <c r="R45">
        <v>0.89</v>
      </c>
      <c r="S45">
        <v>149.24</v>
      </c>
      <c r="T45" t="s">
        <v>75</v>
      </c>
      <c r="U45" t="s">
        <v>95</v>
      </c>
      <c r="V45" t="s">
        <v>74</v>
      </c>
      <c r="W45" t="s">
        <v>109</v>
      </c>
      <c r="X45">
        <v>70.2</v>
      </c>
      <c r="Y45" s="9">
        <f t="shared" si="0"/>
        <v>70.204999999999998</v>
      </c>
      <c r="Z45" s="9">
        <f t="shared" si="1"/>
        <v>131.63437500000001</v>
      </c>
      <c r="AA45" s="5">
        <f t="shared" si="2"/>
        <v>146.24579062500001</v>
      </c>
      <c r="AB45" s="6">
        <f t="shared" si="3"/>
        <v>213.23452406249999</v>
      </c>
      <c r="AD45" s="10">
        <f t="shared" si="4"/>
        <v>266.98478840625006</v>
      </c>
    </row>
    <row r="46" spans="1:30" x14ac:dyDescent="0.3">
      <c r="A46" t="s">
        <v>30</v>
      </c>
      <c r="B46" s="8" t="s">
        <v>31</v>
      </c>
      <c r="C46" s="8" t="s">
        <v>32</v>
      </c>
      <c r="D46" s="8" t="s">
        <v>33</v>
      </c>
      <c r="E46" s="8" t="s">
        <v>34</v>
      </c>
      <c r="F46" s="8" t="s">
        <v>35</v>
      </c>
      <c r="G46">
        <v>4009320000</v>
      </c>
      <c r="H46" t="s">
        <v>88</v>
      </c>
      <c r="I46" t="s">
        <v>46</v>
      </c>
      <c r="J46" t="s">
        <v>38</v>
      </c>
      <c r="K46" t="s">
        <v>39</v>
      </c>
      <c r="L46">
        <v>6</v>
      </c>
      <c r="M46">
        <v>2</v>
      </c>
      <c r="N46" t="s">
        <v>40</v>
      </c>
      <c r="O46">
        <v>0</v>
      </c>
      <c r="P46">
        <v>151.52000000000001</v>
      </c>
      <c r="Q46">
        <v>10.28</v>
      </c>
      <c r="R46">
        <v>0.99</v>
      </c>
      <c r="S46">
        <v>162.78</v>
      </c>
      <c r="T46" t="s">
        <v>41</v>
      </c>
      <c r="U46" t="s">
        <v>41</v>
      </c>
      <c r="V46" t="s">
        <v>38</v>
      </c>
      <c r="W46" t="s">
        <v>110</v>
      </c>
      <c r="X46">
        <v>75.760000000000005</v>
      </c>
      <c r="Y46" s="9">
        <f t="shared" si="0"/>
        <v>75.760000000000005</v>
      </c>
      <c r="Z46" s="9">
        <f t="shared" si="1"/>
        <v>142.05000000000001</v>
      </c>
      <c r="AA46" s="5">
        <f t="shared" si="2"/>
        <v>157.81755000000001</v>
      </c>
      <c r="AB46" s="6">
        <f t="shared" si="3"/>
        <v>230.10679500000001</v>
      </c>
      <c r="AD46" s="10">
        <f t="shared" si="4"/>
        <v>288.11007150000006</v>
      </c>
    </row>
    <row r="47" spans="1:30" x14ac:dyDescent="0.3">
      <c r="A47" t="s">
        <v>30</v>
      </c>
      <c r="B47" s="8" t="s">
        <v>31</v>
      </c>
      <c r="C47" s="8" t="s">
        <v>32</v>
      </c>
      <c r="D47" s="8" t="s">
        <v>69</v>
      </c>
      <c r="E47" s="8" t="s">
        <v>70</v>
      </c>
      <c r="F47" s="8" t="s">
        <v>71</v>
      </c>
      <c r="G47">
        <v>4009320000</v>
      </c>
      <c r="H47" t="s">
        <v>88</v>
      </c>
      <c r="I47" t="s">
        <v>46</v>
      </c>
      <c r="J47" t="s">
        <v>38</v>
      </c>
      <c r="K47" t="s">
        <v>39</v>
      </c>
      <c r="L47">
        <v>13</v>
      </c>
      <c r="M47">
        <v>1</v>
      </c>
      <c r="N47" t="s">
        <v>40</v>
      </c>
      <c r="O47">
        <v>0</v>
      </c>
      <c r="P47">
        <v>95.12</v>
      </c>
      <c r="Q47">
        <v>5.08</v>
      </c>
      <c r="R47">
        <v>0.61</v>
      </c>
      <c r="S47">
        <v>100.81</v>
      </c>
      <c r="T47" t="s">
        <v>72</v>
      </c>
      <c r="U47" t="s">
        <v>72</v>
      </c>
      <c r="V47" t="s">
        <v>38</v>
      </c>
      <c r="W47" t="s">
        <v>111</v>
      </c>
      <c r="X47">
        <v>95.12</v>
      </c>
      <c r="Y47" s="9">
        <f t="shared" si="0"/>
        <v>95.12</v>
      </c>
      <c r="Z47" s="9">
        <f t="shared" si="1"/>
        <v>178.35000000000002</v>
      </c>
      <c r="AA47" s="5">
        <f t="shared" si="2"/>
        <v>198.14685000000003</v>
      </c>
      <c r="AB47" s="6">
        <f t="shared" si="3"/>
        <v>288.90916500000003</v>
      </c>
      <c r="AD47" s="10">
        <f t="shared" si="4"/>
        <v>361.73482050000007</v>
      </c>
    </row>
    <row r="48" spans="1:30" x14ac:dyDescent="0.3">
      <c r="A48" t="s">
        <v>30</v>
      </c>
      <c r="B48" s="8" t="s">
        <v>31</v>
      </c>
      <c r="C48" s="8" t="s">
        <v>32</v>
      </c>
      <c r="D48" s="8" t="s">
        <v>69</v>
      </c>
      <c r="E48" s="8" t="s">
        <v>70</v>
      </c>
      <c r="F48" s="8" t="s">
        <v>71</v>
      </c>
      <c r="G48">
        <v>4009320000</v>
      </c>
      <c r="H48" t="s">
        <v>88</v>
      </c>
      <c r="I48" t="s">
        <v>46</v>
      </c>
      <c r="J48" t="s">
        <v>38</v>
      </c>
      <c r="K48" t="s">
        <v>39</v>
      </c>
      <c r="L48">
        <v>13</v>
      </c>
      <c r="M48">
        <v>1</v>
      </c>
      <c r="N48" t="s">
        <v>40</v>
      </c>
      <c r="O48">
        <v>0</v>
      </c>
      <c r="P48">
        <v>134.4</v>
      </c>
      <c r="Q48">
        <v>7.18</v>
      </c>
      <c r="R48">
        <v>0.86</v>
      </c>
      <c r="S48">
        <v>142.44</v>
      </c>
      <c r="T48" t="s">
        <v>72</v>
      </c>
      <c r="U48" t="s">
        <v>72</v>
      </c>
      <c r="V48" t="s">
        <v>38</v>
      </c>
      <c r="W48" t="s">
        <v>112</v>
      </c>
      <c r="X48">
        <v>134.4</v>
      </c>
      <c r="Y48" s="9">
        <f t="shared" si="0"/>
        <v>134.4</v>
      </c>
      <c r="Z48" s="9">
        <f t="shared" si="1"/>
        <v>252</v>
      </c>
      <c r="AA48" s="5">
        <f t="shared" si="2"/>
        <v>279.97199999999998</v>
      </c>
      <c r="AB48" s="6">
        <f t="shared" si="3"/>
        <v>408.21479999999997</v>
      </c>
      <c r="AD48" s="10">
        <f t="shared" si="4"/>
        <v>511.11396000000008</v>
      </c>
    </row>
    <row r="49" spans="1:30" x14ac:dyDescent="0.3">
      <c r="A49" t="s">
        <v>30</v>
      </c>
      <c r="B49" s="8" t="s">
        <v>31</v>
      </c>
      <c r="C49" s="8" t="s">
        <v>32</v>
      </c>
      <c r="D49" s="8" t="s">
        <v>33</v>
      </c>
      <c r="E49" s="8" t="s">
        <v>34</v>
      </c>
      <c r="F49" s="8" t="s">
        <v>35</v>
      </c>
      <c r="G49">
        <v>4009320000</v>
      </c>
      <c r="H49" t="s">
        <v>88</v>
      </c>
      <c r="I49" t="s">
        <v>46</v>
      </c>
      <c r="J49" t="s">
        <v>38</v>
      </c>
      <c r="K49" t="s">
        <v>39</v>
      </c>
      <c r="L49">
        <v>16</v>
      </c>
      <c r="M49">
        <v>2</v>
      </c>
      <c r="N49" t="s">
        <v>40</v>
      </c>
      <c r="O49">
        <v>0</v>
      </c>
      <c r="P49">
        <v>100.05</v>
      </c>
      <c r="Q49">
        <v>13.81</v>
      </c>
      <c r="R49">
        <v>0.67</v>
      </c>
      <c r="S49">
        <v>114.53</v>
      </c>
      <c r="T49" t="s">
        <v>41</v>
      </c>
      <c r="U49" t="s">
        <v>41</v>
      </c>
      <c r="V49" t="s">
        <v>38</v>
      </c>
      <c r="W49" t="s">
        <v>113</v>
      </c>
      <c r="X49">
        <v>50.02</v>
      </c>
      <c r="Y49" s="9">
        <f t="shared" si="0"/>
        <v>50.024999999999999</v>
      </c>
      <c r="Z49" s="9">
        <f t="shared" si="1"/>
        <v>93.796875</v>
      </c>
      <c r="AA49" s="5">
        <f t="shared" si="2"/>
        <v>104.20832812499999</v>
      </c>
      <c r="AB49" s="6">
        <f t="shared" si="3"/>
        <v>151.94155781249998</v>
      </c>
      <c r="AD49" s="10">
        <f t="shared" si="4"/>
        <v>190.24163578125001</v>
      </c>
    </row>
    <row r="50" spans="1:30" x14ac:dyDescent="0.3">
      <c r="A50" t="s">
        <v>30</v>
      </c>
      <c r="B50" s="8" t="s">
        <v>31</v>
      </c>
      <c r="C50" s="8" t="s">
        <v>32</v>
      </c>
      <c r="D50" s="8" t="s">
        <v>69</v>
      </c>
      <c r="E50" s="8" t="s">
        <v>70</v>
      </c>
      <c r="F50" s="8" t="s">
        <v>71</v>
      </c>
      <c r="G50">
        <v>4009320000</v>
      </c>
      <c r="H50" t="s">
        <v>88</v>
      </c>
      <c r="I50" t="s">
        <v>46</v>
      </c>
      <c r="J50" t="s">
        <v>38</v>
      </c>
      <c r="K50" t="s">
        <v>39</v>
      </c>
      <c r="L50">
        <v>13</v>
      </c>
      <c r="M50">
        <v>1</v>
      </c>
      <c r="N50" t="s">
        <v>40</v>
      </c>
      <c r="O50">
        <v>0</v>
      </c>
      <c r="P50">
        <v>64.900000000000006</v>
      </c>
      <c r="Q50">
        <v>3.46</v>
      </c>
      <c r="R50">
        <v>0.42</v>
      </c>
      <c r="S50">
        <v>68.78</v>
      </c>
      <c r="T50" t="s">
        <v>72</v>
      </c>
      <c r="U50" t="s">
        <v>72</v>
      </c>
      <c r="V50" t="s">
        <v>38</v>
      </c>
      <c r="W50" t="s">
        <v>114</v>
      </c>
      <c r="X50">
        <v>64.900000000000006</v>
      </c>
      <c r="Y50" s="9">
        <f t="shared" si="0"/>
        <v>64.900000000000006</v>
      </c>
      <c r="Z50" s="9">
        <f t="shared" si="1"/>
        <v>121.68750000000001</v>
      </c>
      <c r="AA50" s="5">
        <f t="shared" si="2"/>
        <v>135.19481250000001</v>
      </c>
      <c r="AB50" s="6">
        <f t="shared" si="3"/>
        <v>197.12158125000002</v>
      </c>
      <c r="AD50" s="10">
        <f t="shared" si="4"/>
        <v>246.81023812500004</v>
      </c>
    </row>
    <row r="51" spans="1:30" x14ac:dyDescent="0.3">
      <c r="A51" t="s">
        <v>30</v>
      </c>
      <c r="B51" s="8" t="s">
        <v>31</v>
      </c>
      <c r="C51" s="8" t="s">
        <v>32</v>
      </c>
      <c r="D51" s="8" t="s">
        <v>33</v>
      </c>
      <c r="E51" s="8" t="s">
        <v>34</v>
      </c>
      <c r="F51" s="8" t="s">
        <v>35</v>
      </c>
      <c r="G51">
        <v>4009420000</v>
      </c>
      <c r="H51" t="s">
        <v>88</v>
      </c>
      <c r="I51" t="s">
        <v>115</v>
      </c>
      <c r="J51" t="s">
        <v>74</v>
      </c>
      <c r="K51" t="s">
        <v>39</v>
      </c>
      <c r="L51">
        <v>7</v>
      </c>
      <c r="M51">
        <v>2</v>
      </c>
      <c r="N51" t="s">
        <v>40</v>
      </c>
      <c r="O51">
        <v>5.12</v>
      </c>
      <c r="P51">
        <v>101.84</v>
      </c>
      <c r="Q51">
        <v>5.75</v>
      </c>
      <c r="R51">
        <v>0.65</v>
      </c>
      <c r="S51">
        <v>108.24</v>
      </c>
      <c r="T51" t="s">
        <v>75</v>
      </c>
      <c r="U51" t="s">
        <v>115</v>
      </c>
      <c r="V51" t="s">
        <v>74</v>
      </c>
      <c r="W51" t="s">
        <v>116</v>
      </c>
      <c r="X51">
        <v>50.92</v>
      </c>
      <c r="Y51" s="9">
        <f t="shared" si="0"/>
        <v>50.92</v>
      </c>
      <c r="Z51" s="9">
        <f t="shared" si="1"/>
        <v>95.475000000000009</v>
      </c>
      <c r="AA51" s="5">
        <f t="shared" si="2"/>
        <v>106.07272500000001</v>
      </c>
      <c r="AB51" s="6">
        <f t="shared" si="3"/>
        <v>154.6599525</v>
      </c>
      <c r="AD51" s="10">
        <f t="shared" si="4"/>
        <v>193.64525925000004</v>
      </c>
    </row>
    <row r="52" spans="1:30" x14ac:dyDescent="0.3">
      <c r="A52" t="s">
        <v>30</v>
      </c>
      <c r="B52" s="8" t="s">
        <v>31</v>
      </c>
      <c r="C52" s="8" t="s">
        <v>32</v>
      </c>
      <c r="D52" s="8" t="s">
        <v>33</v>
      </c>
      <c r="E52" s="8" t="s">
        <v>34</v>
      </c>
      <c r="F52" s="8" t="s">
        <v>35</v>
      </c>
      <c r="G52">
        <v>4009320000</v>
      </c>
      <c r="H52" t="s">
        <v>88</v>
      </c>
      <c r="I52" t="s">
        <v>117</v>
      </c>
      <c r="J52" t="s">
        <v>74</v>
      </c>
      <c r="K52" t="s">
        <v>39</v>
      </c>
      <c r="L52">
        <v>7</v>
      </c>
      <c r="M52">
        <v>2</v>
      </c>
      <c r="N52" t="s">
        <v>40</v>
      </c>
      <c r="O52">
        <v>0</v>
      </c>
      <c r="P52">
        <v>266.05</v>
      </c>
      <c r="Q52">
        <v>15.02</v>
      </c>
      <c r="R52">
        <v>1.7</v>
      </c>
      <c r="S52">
        <v>282.77</v>
      </c>
      <c r="T52" t="s">
        <v>75</v>
      </c>
      <c r="U52" t="s">
        <v>117</v>
      </c>
      <c r="V52" t="s">
        <v>74</v>
      </c>
      <c r="W52" t="s">
        <v>118</v>
      </c>
      <c r="X52">
        <v>133.03</v>
      </c>
      <c r="Y52" s="9">
        <f t="shared" si="0"/>
        <v>133.02500000000001</v>
      </c>
      <c r="Z52" s="9">
        <f t="shared" si="1"/>
        <v>249.421875</v>
      </c>
      <c r="AA52" s="5">
        <f t="shared" si="2"/>
        <v>277.107703125</v>
      </c>
      <c r="AB52" s="6">
        <f t="shared" si="3"/>
        <v>404.03849531249995</v>
      </c>
      <c r="AD52" s="10">
        <f t="shared" si="4"/>
        <v>505.88492953125007</v>
      </c>
    </row>
    <row r="53" spans="1:30" x14ac:dyDescent="0.3">
      <c r="A53" t="s">
        <v>30</v>
      </c>
      <c r="B53" s="8" t="s">
        <v>31</v>
      </c>
      <c r="C53" s="8" t="s">
        <v>32</v>
      </c>
      <c r="D53" s="8" t="s">
        <v>33</v>
      </c>
      <c r="E53" s="8" t="s">
        <v>34</v>
      </c>
      <c r="F53" s="8" t="s">
        <v>35</v>
      </c>
      <c r="G53">
        <v>4009320000</v>
      </c>
      <c r="H53" t="s">
        <v>88</v>
      </c>
      <c r="I53" t="s">
        <v>117</v>
      </c>
      <c r="J53" t="s">
        <v>74</v>
      </c>
      <c r="K53" t="s">
        <v>39</v>
      </c>
      <c r="L53">
        <v>7</v>
      </c>
      <c r="M53">
        <v>2</v>
      </c>
      <c r="N53" t="s">
        <v>40</v>
      </c>
      <c r="O53">
        <v>0</v>
      </c>
      <c r="P53">
        <v>508.52</v>
      </c>
      <c r="Q53">
        <v>28.72</v>
      </c>
      <c r="R53">
        <v>3.24</v>
      </c>
      <c r="S53">
        <v>540.48</v>
      </c>
      <c r="T53" t="s">
        <v>75</v>
      </c>
      <c r="U53" t="s">
        <v>117</v>
      </c>
      <c r="V53" t="s">
        <v>74</v>
      </c>
      <c r="W53" t="s">
        <v>119</v>
      </c>
      <c r="X53">
        <v>254.26</v>
      </c>
      <c r="Y53" s="9">
        <f t="shared" si="0"/>
        <v>254.26</v>
      </c>
      <c r="Z53" s="9">
        <f t="shared" si="1"/>
        <v>476.73749999999995</v>
      </c>
      <c r="AA53" s="5">
        <f t="shared" si="2"/>
        <v>529.65536249999991</v>
      </c>
      <c r="AB53" s="6">
        <f t="shared" si="3"/>
        <v>772.26707624999983</v>
      </c>
      <c r="AD53" s="10">
        <f t="shared" si="4"/>
        <v>966.93329962500002</v>
      </c>
    </row>
    <row r="54" spans="1:30" x14ac:dyDescent="0.3">
      <c r="A54" t="s">
        <v>30</v>
      </c>
      <c r="B54" s="8" t="s">
        <v>31</v>
      </c>
      <c r="C54" s="8" t="s">
        <v>32</v>
      </c>
      <c r="D54" s="8" t="s">
        <v>33</v>
      </c>
      <c r="E54" s="8" t="s">
        <v>34</v>
      </c>
      <c r="F54" s="8" t="s">
        <v>35</v>
      </c>
      <c r="G54">
        <v>4009320000</v>
      </c>
      <c r="H54" t="s">
        <v>88</v>
      </c>
      <c r="I54" t="s">
        <v>46</v>
      </c>
      <c r="J54" t="s">
        <v>38</v>
      </c>
      <c r="K54" t="s">
        <v>39</v>
      </c>
      <c r="L54">
        <v>10</v>
      </c>
      <c r="M54">
        <v>3</v>
      </c>
      <c r="N54" t="s">
        <v>40</v>
      </c>
      <c r="O54">
        <v>0</v>
      </c>
      <c r="P54">
        <v>763</v>
      </c>
      <c r="Q54">
        <v>63.51</v>
      </c>
      <c r="R54">
        <v>5</v>
      </c>
      <c r="S54">
        <v>831.5</v>
      </c>
      <c r="T54" t="s">
        <v>41</v>
      </c>
      <c r="U54" t="s">
        <v>43</v>
      </c>
      <c r="V54" t="s">
        <v>38</v>
      </c>
      <c r="W54" t="s">
        <v>119</v>
      </c>
      <c r="X54">
        <v>254.33</v>
      </c>
      <c r="Y54" s="9">
        <f t="shared" si="0"/>
        <v>254.33333333333334</v>
      </c>
      <c r="Z54" s="9">
        <f t="shared" si="1"/>
        <v>476.875</v>
      </c>
      <c r="AA54" s="5">
        <f t="shared" si="2"/>
        <v>529.80812500000002</v>
      </c>
      <c r="AB54" s="6">
        <f t="shared" si="3"/>
        <v>772.48981249999997</v>
      </c>
      <c r="AD54" s="10">
        <f t="shared" si="4"/>
        <v>967.21218125000007</v>
      </c>
    </row>
    <row r="55" spans="1:30" x14ac:dyDescent="0.3">
      <c r="A55" t="s">
        <v>30</v>
      </c>
      <c r="B55" s="8" t="s">
        <v>31</v>
      </c>
      <c r="C55" s="8" t="s">
        <v>32</v>
      </c>
      <c r="D55" s="8" t="s">
        <v>69</v>
      </c>
      <c r="E55" s="8" t="s">
        <v>70</v>
      </c>
      <c r="F55" s="8" t="s">
        <v>71</v>
      </c>
      <c r="G55">
        <v>4009320000</v>
      </c>
      <c r="H55" t="s">
        <v>88</v>
      </c>
      <c r="I55" t="s">
        <v>46</v>
      </c>
      <c r="J55" t="s">
        <v>38</v>
      </c>
      <c r="K55" t="s">
        <v>39</v>
      </c>
      <c r="L55">
        <v>13</v>
      </c>
      <c r="M55">
        <v>1</v>
      </c>
      <c r="N55" t="s">
        <v>40</v>
      </c>
      <c r="O55">
        <v>0</v>
      </c>
      <c r="P55">
        <v>51.71</v>
      </c>
      <c r="Q55">
        <v>2.76</v>
      </c>
      <c r="R55">
        <v>0.33</v>
      </c>
      <c r="S55">
        <v>54.8</v>
      </c>
      <c r="T55" t="s">
        <v>72</v>
      </c>
      <c r="U55" t="s">
        <v>72</v>
      </c>
      <c r="V55" t="s">
        <v>38</v>
      </c>
      <c r="W55" t="s">
        <v>120</v>
      </c>
      <c r="X55">
        <v>51.71</v>
      </c>
      <c r="Y55" s="9">
        <f t="shared" si="0"/>
        <v>51.71</v>
      </c>
      <c r="Z55" s="9">
        <f t="shared" si="1"/>
        <v>96.956249999999997</v>
      </c>
      <c r="AA55" s="5">
        <f t="shared" si="2"/>
        <v>107.71839374999999</v>
      </c>
      <c r="AB55" s="6">
        <f t="shared" si="3"/>
        <v>157.05942937499998</v>
      </c>
      <c r="AD55" s="10">
        <f t="shared" si="4"/>
        <v>196.64957493750001</v>
      </c>
    </row>
    <row r="56" spans="1:30" x14ac:dyDescent="0.3">
      <c r="A56" t="s">
        <v>30</v>
      </c>
      <c r="B56" s="8" t="s">
        <v>31</v>
      </c>
      <c r="C56" s="8" t="s">
        <v>32</v>
      </c>
      <c r="D56" s="8" t="s">
        <v>69</v>
      </c>
      <c r="E56" s="8" t="s">
        <v>70</v>
      </c>
      <c r="F56" s="8" t="s">
        <v>71</v>
      </c>
      <c r="G56">
        <v>4009320000</v>
      </c>
      <c r="H56" t="s">
        <v>88</v>
      </c>
      <c r="I56" t="s">
        <v>46</v>
      </c>
      <c r="J56" t="s">
        <v>38</v>
      </c>
      <c r="K56" t="s">
        <v>39</v>
      </c>
      <c r="L56">
        <v>13</v>
      </c>
      <c r="M56">
        <v>1</v>
      </c>
      <c r="N56" t="s">
        <v>40</v>
      </c>
      <c r="O56">
        <v>0</v>
      </c>
      <c r="P56">
        <v>52.71</v>
      </c>
      <c r="Q56">
        <v>2.81</v>
      </c>
      <c r="R56">
        <v>0.34</v>
      </c>
      <c r="S56">
        <v>55.86</v>
      </c>
      <c r="T56" t="s">
        <v>72</v>
      </c>
      <c r="U56" t="s">
        <v>72</v>
      </c>
      <c r="V56" t="s">
        <v>38</v>
      </c>
      <c r="W56" t="s">
        <v>121</v>
      </c>
      <c r="X56">
        <v>52.71</v>
      </c>
      <c r="Y56" s="9">
        <f t="shared" si="0"/>
        <v>52.71</v>
      </c>
      <c r="Z56" s="9">
        <f t="shared" si="1"/>
        <v>98.831249999999997</v>
      </c>
      <c r="AA56" s="5">
        <f t="shared" si="2"/>
        <v>109.80151875</v>
      </c>
      <c r="AB56" s="6">
        <f t="shared" si="3"/>
        <v>160.09674187499999</v>
      </c>
      <c r="AD56" s="10">
        <f t="shared" si="4"/>
        <v>200.45250618750001</v>
      </c>
    </row>
    <row r="57" spans="1:30" x14ac:dyDescent="0.3">
      <c r="A57" t="s">
        <v>30</v>
      </c>
      <c r="B57" s="8" t="s">
        <v>66</v>
      </c>
      <c r="C57" s="8" t="s">
        <v>32</v>
      </c>
      <c r="D57" s="8" t="s">
        <v>33</v>
      </c>
      <c r="E57" s="8" t="s">
        <v>34</v>
      </c>
      <c r="F57" s="8" t="s">
        <v>35</v>
      </c>
      <c r="G57">
        <v>7412200000</v>
      </c>
      <c r="H57" t="s">
        <v>85</v>
      </c>
      <c r="I57" t="s">
        <v>122</v>
      </c>
      <c r="J57" t="s">
        <v>38</v>
      </c>
      <c r="K57" t="s">
        <v>39</v>
      </c>
      <c r="L57">
        <v>8</v>
      </c>
      <c r="M57">
        <v>6</v>
      </c>
      <c r="N57" t="s">
        <v>40</v>
      </c>
      <c r="O57">
        <v>0</v>
      </c>
      <c r="P57">
        <v>47.82</v>
      </c>
      <c r="Q57">
        <v>5.99</v>
      </c>
      <c r="R57">
        <v>0.33</v>
      </c>
      <c r="S57">
        <v>54.14</v>
      </c>
      <c r="T57" t="s">
        <v>41</v>
      </c>
      <c r="U57" t="s">
        <v>41</v>
      </c>
      <c r="V57" t="s">
        <v>38</v>
      </c>
      <c r="W57" t="s">
        <v>123</v>
      </c>
      <c r="X57">
        <v>7.97</v>
      </c>
      <c r="Y57" s="9">
        <f t="shared" si="0"/>
        <v>7.97</v>
      </c>
      <c r="Z57" s="9">
        <f t="shared" si="1"/>
        <v>14.94375</v>
      </c>
      <c r="AA57" s="5">
        <f t="shared" si="2"/>
        <v>16.602506250000001</v>
      </c>
      <c r="AB57" s="6">
        <f t="shared" si="3"/>
        <v>24.207380624999999</v>
      </c>
      <c r="AD57" s="10">
        <f t="shared" si="4"/>
        <v>30.309362062500004</v>
      </c>
    </row>
    <row r="58" spans="1:30" x14ac:dyDescent="0.3">
      <c r="A58" t="s">
        <v>30</v>
      </c>
      <c r="B58" s="8" t="s">
        <v>124</v>
      </c>
      <c r="C58" s="8" t="s">
        <v>32</v>
      </c>
      <c r="D58" s="8" t="s">
        <v>33</v>
      </c>
      <c r="E58" s="8" t="s">
        <v>34</v>
      </c>
      <c r="F58" s="8" t="s">
        <v>35</v>
      </c>
      <c r="G58">
        <v>7307190010</v>
      </c>
      <c r="H58" t="s">
        <v>125</v>
      </c>
      <c r="I58" t="s">
        <v>126</v>
      </c>
      <c r="J58" t="s">
        <v>38</v>
      </c>
      <c r="K58" t="s">
        <v>39</v>
      </c>
      <c r="L58">
        <v>6</v>
      </c>
      <c r="M58">
        <v>2</v>
      </c>
      <c r="N58" t="s">
        <v>40</v>
      </c>
      <c r="O58">
        <v>0</v>
      </c>
      <c r="P58">
        <v>410.52</v>
      </c>
      <c r="Q58">
        <v>49.65</v>
      </c>
      <c r="R58">
        <v>2.86</v>
      </c>
      <c r="S58">
        <v>463.03</v>
      </c>
      <c r="T58" t="s">
        <v>41</v>
      </c>
      <c r="U58" t="s">
        <v>43</v>
      </c>
      <c r="V58" t="s">
        <v>38</v>
      </c>
      <c r="W58" t="s">
        <v>127</v>
      </c>
      <c r="X58">
        <v>205.26</v>
      </c>
      <c r="Y58" s="9">
        <f t="shared" si="0"/>
        <v>205.26</v>
      </c>
      <c r="Z58" s="9">
        <f t="shared" si="1"/>
        <v>384.86249999999995</v>
      </c>
      <c r="AA58" s="5">
        <f t="shared" si="2"/>
        <v>427.58223749999996</v>
      </c>
      <c r="AB58" s="6">
        <f t="shared" si="3"/>
        <v>623.43876374999991</v>
      </c>
      <c r="AD58" s="10">
        <f t="shared" si="4"/>
        <v>780.58966837499997</v>
      </c>
    </row>
    <row r="59" spans="1:30" x14ac:dyDescent="0.3">
      <c r="A59" t="s">
        <v>30</v>
      </c>
      <c r="B59" s="8" t="s">
        <v>128</v>
      </c>
      <c r="C59" s="8" t="s">
        <v>32</v>
      </c>
      <c r="D59" s="8" t="s">
        <v>33</v>
      </c>
      <c r="E59" s="8" t="s">
        <v>34</v>
      </c>
      <c r="F59" s="8" t="s">
        <v>35</v>
      </c>
      <c r="G59">
        <v>6815100000</v>
      </c>
      <c r="H59" t="s">
        <v>129</v>
      </c>
      <c r="I59" t="s">
        <v>130</v>
      </c>
      <c r="J59" t="s">
        <v>38</v>
      </c>
      <c r="K59" t="s">
        <v>39</v>
      </c>
      <c r="L59">
        <v>16</v>
      </c>
      <c r="M59">
        <v>3</v>
      </c>
      <c r="N59" t="s">
        <v>40</v>
      </c>
      <c r="O59">
        <v>0</v>
      </c>
      <c r="P59">
        <v>49.74</v>
      </c>
      <c r="Q59">
        <v>6.86</v>
      </c>
      <c r="R59">
        <v>0.33</v>
      </c>
      <c r="S59">
        <v>56.93</v>
      </c>
      <c r="T59" t="s">
        <v>41</v>
      </c>
      <c r="U59" t="s">
        <v>41</v>
      </c>
      <c r="V59" t="s">
        <v>38</v>
      </c>
      <c r="W59" t="s">
        <v>131</v>
      </c>
      <c r="X59">
        <v>16.579999999999998</v>
      </c>
      <c r="Y59" s="9">
        <f t="shared" si="0"/>
        <v>16.580000000000002</v>
      </c>
      <c r="Z59" s="9">
        <f t="shared" si="1"/>
        <v>31.087500000000002</v>
      </c>
      <c r="AA59" s="5">
        <f t="shared" si="2"/>
        <v>34.5382125</v>
      </c>
      <c r="AB59" s="6">
        <f t="shared" si="3"/>
        <v>50.358641249999998</v>
      </c>
      <c r="AD59" s="10">
        <f t="shared" si="4"/>
        <v>63.052600125000012</v>
      </c>
    </row>
    <row r="60" spans="1:30" x14ac:dyDescent="0.3">
      <c r="A60" t="s">
        <v>30</v>
      </c>
      <c r="B60" s="8" t="s">
        <v>31</v>
      </c>
      <c r="C60" s="8" t="s">
        <v>32</v>
      </c>
      <c r="D60" s="8" t="s">
        <v>33</v>
      </c>
      <c r="E60" s="8" t="s">
        <v>34</v>
      </c>
      <c r="F60" s="8" t="s">
        <v>35</v>
      </c>
      <c r="G60">
        <v>7415210000</v>
      </c>
      <c r="H60" t="s">
        <v>132</v>
      </c>
      <c r="I60" t="s">
        <v>133</v>
      </c>
      <c r="J60" t="s">
        <v>38</v>
      </c>
      <c r="K60" t="s">
        <v>39</v>
      </c>
      <c r="L60">
        <v>16</v>
      </c>
      <c r="M60">
        <v>3</v>
      </c>
      <c r="N60" t="s">
        <v>40</v>
      </c>
      <c r="O60">
        <v>0</v>
      </c>
      <c r="P60">
        <v>10.37</v>
      </c>
      <c r="Q60">
        <v>1.43</v>
      </c>
      <c r="R60">
        <v>7.0000000000000007E-2</v>
      </c>
      <c r="S60">
        <v>11.87</v>
      </c>
      <c r="T60" t="s">
        <v>41</v>
      </c>
      <c r="U60" t="s">
        <v>41</v>
      </c>
      <c r="V60" t="s">
        <v>38</v>
      </c>
      <c r="W60" t="s">
        <v>134</v>
      </c>
      <c r="X60">
        <v>3.46</v>
      </c>
      <c r="Y60" s="9">
        <f t="shared" si="0"/>
        <v>3.4566666666666666</v>
      </c>
      <c r="Z60" s="9">
        <f t="shared" si="1"/>
        <v>6.4812500000000002</v>
      </c>
      <c r="AA60" s="5">
        <f t="shared" si="2"/>
        <v>7.2006687500000002</v>
      </c>
      <c r="AB60" s="6">
        <f t="shared" si="3"/>
        <v>10.498976875</v>
      </c>
      <c r="AD60" s="10">
        <f t="shared" si="4"/>
        <v>13.145465687500002</v>
      </c>
    </row>
    <row r="61" spans="1:30" x14ac:dyDescent="0.3">
      <c r="A61" t="s">
        <v>30</v>
      </c>
      <c r="B61" s="8" t="s">
        <v>135</v>
      </c>
      <c r="C61" s="8" t="s">
        <v>32</v>
      </c>
      <c r="D61" s="8" t="s">
        <v>33</v>
      </c>
      <c r="E61" s="8" t="s">
        <v>34</v>
      </c>
      <c r="F61" s="8" t="s">
        <v>35</v>
      </c>
      <c r="G61">
        <v>3926903000</v>
      </c>
      <c r="H61" t="s">
        <v>136</v>
      </c>
      <c r="I61" t="s">
        <v>56</v>
      </c>
      <c r="J61" t="s">
        <v>38</v>
      </c>
      <c r="K61" t="s">
        <v>39</v>
      </c>
      <c r="L61">
        <v>3</v>
      </c>
      <c r="M61">
        <v>1</v>
      </c>
      <c r="N61" t="s">
        <v>64</v>
      </c>
      <c r="O61">
        <v>0</v>
      </c>
      <c r="P61">
        <v>1.3</v>
      </c>
      <c r="Q61">
        <v>0.06</v>
      </c>
      <c r="R61">
        <v>0.01</v>
      </c>
      <c r="S61">
        <v>1.37</v>
      </c>
      <c r="T61" t="s">
        <v>41</v>
      </c>
      <c r="U61" t="s">
        <v>43</v>
      </c>
      <c r="V61" t="s">
        <v>38</v>
      </c>
      <c r="W61" t="s">
        <v>137</v>
      </c>
      <c r="X61">
        <v>1.3</v>
      </c>
      <c r="Y61" s="9">
        <f t="shared" si="0"/>
        <v>1.3</v>
      </c>
      <c r="Z61" s="9">
        <f t="shared" si="1"/>
        <v>2.4375</v>
      </c>
      <c r="AA61" s="5">
        <f t="shared" si="2"/>
        <v>2.7080625</v>
      </c>
      <c r="AB61" s="6">
        <f t="shared" si="3"/>
        <v>3.9485062499999999</v>
      </c>
      <c r="AD61" s="10">
        <f t="shared" si="4"/>
        <v>4.9438106250000002</v>
      </c>
    </row>
    <row r="62" spans="1:30" x14ac:dyDescent="0.3">
      <c r="A62" t="s">
        <v>30</v>
      </c>
      <c r="B62" s="8" t="s">
        <v>135</v>
      </c>
      <c r="C62" s="8" t="s">
        <v>32</v>
      </c>
      <c r="D62" s="8" t="s">
        <v>33</v>
      </c>
      <c r="E62" s="8" t="s">
        <v>34</v>
      </c>
      <c r="F62" s="8" t="s">
        <v>35</v>
      </c>
      <c r="G62">
        <v>3926903000</v>
      </c>
      <c r="H62" t="s">
        <v>136</v>
      </c>
      <c r="I62" t="s">
        <v>56</v>
      </c>
      <c r="J62" t="s">
        <v>38</v>
      </c>
      <c r="K62" t="s">
        <v>39</v>
      </c>
      <c r="L62">
        <v>3</v>
      </c>
      <c r="M62">
        <v>1</v>
      </c>
      <c r="N62" t="s">
        <v>64</v>
      </c>
      <c r="O62">
        <v>0</v>
      </c>
      <c r="P62">
        <v>2.17</v>
      </c>
      <c r="Q62">
        <v>0.09</v>
      </c>
      <c r="R62">
        <v>0.01</v>
      </c>
      <c r="S62">
        <v>2.2799999999999998</v>
      </c>
      <c r="T62" t="s">
        <v>41</v>
      </c>
      <c r="U62" t="s">
        <v>43</v>
      </c>
      <c r="V62" t="s">
        <v>38</v>
      </c>
      <c r="W62" t="s">
        <v>138</v>
      </c>
      <c r="X62">
        <v>2.17</v>
      </c>
      <c r="Y62" s="9">
        <f t="shared" si="0"/>
        <v>2.17</v>
      </c>
      <c r="Z62" s="9">
        <f t="shared" si="1"/>
        <v>4.0687499999999996</v>
      </c>
      <c r="AA62" s="5">
        <f t="shared" si="2"/>
        <v>4.5203812499999998</v>
      </c>
      <c r="AB62" s="6">
        <f t="shared" si="3"/>
        <v>6.590968124999999</v>
      </c>
      <c r="AD62" s="10">
        <f t="shared" si="4"/>
        <v>8.252360812500001</v>
      </c>
    </row>
    <row r="63" spans="1:30" x14ac:dyDescent="0.3">
      <c r="A63" t="s">
        <v>30</v>
      </c>
      <c r="B63" s="8" t="s">
        <v>135</v>
      </c>
      <c r="C63" s="8" t="s">
        <v>32</v>
      </c>
      <c r="D63" s="8" t="s">
        <v>33</v>
      </c>
      <c r="E63" s="8" t="s">
        <v>34</v>
      </c>
      <c r="F63" s="8" t="s">
        <v>35</v>
      </c>
      <c r="G63">
        <v>3926903000</v>
      </c>
      <c r="H63" t="s">
        <v>136</v>
      </c>
      <c r="I63" t="s">
        <v>56</v>
      </c>
      <c r="J63" t="s">
        <v>38</v>
      </c>
      <c r="K63" t="s">
        <v>39</v>
      </c>
      <c r="L63">
        <v>10</v>
      </c>
      <c r="M63">
        <v>2</v>
      </c>
      <c r="N63" t="s">
        <v>64</v>
      </c>
      <c r="O63">
        <v>0</v>
      </c>
      <c r="P63">
        <v>6.04</v>
      </c>
      <c r="Q63">
        <v>0.5</v>
      </c>
      <c r="R63">
        <v>0.04</v>
      </c>
      <c r="S63">
        <v>6.58</v>
      </c>
      <c r="T63" t="s">
        <v>41</v>
      </c>
      <c r="U63" t="s">
        <v>43</v>
      </c>
      <c r="V63" t="s">
        <v>38</v>
      </c>
      <c r="W63" t="s">
        <v>139</v>
      </c>
      <c r="X63">
        <v>3.02</v>
      </c>
      <c r="Y63" s="9">
        <f t="shared" si="0"/>
        <v>3.02</v>
      </c>
      <c r="Z63" s="9">
        <f t="shared" si="1"/>
        <v>5.6624999999999996</v>
      </c>
      <c r="AA63" s="5">
        <f t="shared" si="2"/>
        <v>6.2910374999999998</v>
      </c>
      <c r="AB63" s="6">
        <f t="shared" si="3"/>
        <v>9.1726837499999991</v>
      </c>
      <c r="AD63" s="10">
        <f t="shared" si="4"/>
        <v>11.484852375000001</v>
      </c>
    </row>
    <row r="64" spans="1:30" x14ac:dyDescent="0.3">
      <c r="A64" t="s">
        <v>30</v>
      </c>
      <c r="B64" s="8" t="s">
        <v>140</v>
      </c>
      <c r="C64" s="8" t="s">
        <v>32</v>
      </c>
      <c r="D64" s="8" t="s">
        <v>33</v>
      </c>
      <c r="E64" s="8" t="s">
        <v>34</v>
      </c>
      <c r="F64" s="8" t="s">
        <v>35</v>
      </c>
      <c r="G64">
        <v>3926904000</v>
      </c>
      <c r="H64" t="s">
        <v>141</v>
      </c>
      <c r="I64" t="s">
        <v>142</v>
      </c>
      <c r="J64" t="s">
        <v>38</v>
      </c>
      <c r="K64" t="s">
        <v>39</v>
      </c>
      <c r="L64">
        <v>3</v>
      </c>
      <c r="M64">
        <v>1</v>
      </c>
      <c r="N64" t="s">
        <v>64</v>
      </c>
      <c r="O64">
        <v>0.1</v>
      </c>
      <c r="P64">
        <v>1.32</v>
      </c>
      <c r="Q64">
        <v>0.06</v>
      </c>
      <c r="R64">
        <v>0.01</v>
      </c>
      <c r="S64">
        <v>1.38</v>
      </c>
      <c r="T64" t="s">
        <v>41</v>
      </c>
      <c r="U64" t="s">
        <v>43</v>
      </c>
      <c r="V64" t="s">
        <v>38</v>
      </c>
      <c r="W64" t="s">
        <v>143</v>
      </c>
      <c r="X64">
        <v>1.32</v>
      </c>
      <c r="Y64" s="9">
        <f t="shared" si="0"/>
        <v>1.32</v>
      </c>
      <c r="Z64" s="9">
        <f t="shared" si="1"/>
        <v>2.4750000000000001</v>
      </c>
      <c r="AA64" s="5">
        <f t="shared" si="2"/>
        <v>2.7497250000000002</v>
      </c>
      <c r="AB64" s="6">
        <f t="shared" si="3"/>
        <v>4.0092524999999997</v>
      </c>
      <c r="AD64" s="10">
        <f t="shared" si="4"/>
        <v>5.0198692500000011</v>
      </c>
    </row>
    <row r="65" spans="1:30" x14ac:dyDescent="0.3">
      <c r="A65" t="s">
        <v>30</v>
      </c>
      <c r="B65" s="8" t="s">
        <v>66</v>
      </c>
      <c r="C65" s="8" t="s">
        <v>32</v>
      </c>
      <c r="D65" s="8" t="s">
        <v>33</v>
      </c>
      <c r="E65" s="8" t="s">
        <v>34</v>
      </c>
      <c r="F65" s="8" t="s">
        <v>35</v>
      </c>
      <c r="G65">
        <v>3926904000</v>
      </c>
      <c r="H65" t="s">
        <v>141</v>
      </c>
      <c r="I65" t="s">
        <v>142</v>
      </c>
      <c r="J65" t="s">
        <v>38</v>
      </c>
      <c r="K65" t="s">
        <v>39</v>
      </c>
      <c r="L65">
        <v>16</v>
      </c>
      <c r="M65">
        <v>2</v>
      </c>
      <c r="N65" t="s">
        <v>64</v>
      </c>
      <c r="O65">
        <v>1.2</v>
      </c>
      <c r="P65">
        <v>5.95</v>
      </c>
      <c r="Q65">
        <v>0.82</v>
      </c>
      <c r="R65">
        <v>0.04</v>
      </c>
      <c r="S65">
        <v>6.81</v>
      </c>
      <c r="T65" t="s">
        <v>41</v>
      </c>
      <c r="U65" t="s">
        <v>41</v>
      </c>
      <c r="V65" t="s">
        <v>38</v>
      </c>
      <c r="W65" t="s">
        <v>144</v>
      </c>
      <c r="X65">
        <v>2.98</v>
      </c>
      <c r="Y65" s="9">
        <f t="shared" si="0"/>
        <v>2.9750000000000001</v>
      </c>
      <c r="Z65" s="9">
        <f t="shared" si="1"/>
        <v>5.578125</v>
      </c>
      <c r="AA65" s="5">
        <f t="shared" si="2"/>
        <v>6.1972968750000001</v>
      </c>
      <c r="AB65" s="6">
        <f t="shared" si="3"/>
        <v>9.0360046875000002</v>
      </c>
      <c r="AD65" s="10">
        <f t="shared" si="4"/>
        <v>11.313720468750001</v>
      </c>
    </row>
    <row r="66" spans="1:30" x14ac:dyDescent="0.3">
      <c r="A66" t="s">
        <v>30</v>
      </c>
      <c r="B66" s="8" t="s">
        <v>66</v>
      </c>
      <c r="C66" s="8" t="s">
        <v>32</v>
      </c>
      <c r="D66" s="8" t="s">
        <v>33</v>
      </c>
      <c r="E66" s="8" t="s">
        <v>34</v>
      </c>
      <c r="F66" s="8" t="s">
        <v>35</v>
      </c>
      <c r="G66">
        <v>3926904000</v>
      </c>
      <c r="H66" t="s">
        <v>141</v>
      </c>
      <c r="I66" t="s">
        <v>142</v>
      </c>
      <c r="J66" t="s">
        <v>38</v>
      </c>
      <c r="K66" t="s">
        <v>39</v>
      </c>
      <c r="L66">
        <v>4</v>
      </c>
      <c r="M66">
        <v>1</v>
      </c>
      <c r="N66" t="s">
        <v>64</v>
      </c>
      <c r="O66">
        <v>0.6</v>
      </c>
      <c r="P66">
        <v>2.97</v>
      </c>
      <c r="Q66">
        <v>0.16</v>
      </c>
      <c r="R66">
        <v>0.02</v>
      </c>
      <c r="S66">
        <v>3.14</v>
      </c>
      <c r="T66" t="s">
        <v>41</v>
      </c>
      <c r="U66" t="s">
        <v>41</v>
      </c>
      <c r="V66" t="s">
        <v>38</v>
      </c>
      <c r="W66" t="s">
        <v>144</v>
      </c>
      <c r="X66">
        <v>2.97</v>
      </c>
      <c r="Y66" s="9">
        <f t="shared" si="0"/>
        <v>2.97</v>
      </c>
      <c r="Z66" s="9">
        <f t="shared" si="1"/>
        <v>5.5687500000000005</v>
      </c>
      <c r="AA66" s="5">
        <f t="shared" si="2"/>
        <v>6.1868812500000008</v>
      </c>
      <c r="AB66" s="6">
        <f t="shared" si="3"/>
        <v>9.0208181249999999</v>
      </c>
      <c r="AD66" s="10">
        <f t="shared" si="4"/>
        <v>11.294705812500002</v>
      </c>
    </row>
    <row r="67" spans="1:30" x14ac:dyDescent="0.3">
      <c r="A67" t="s">
        <v>30</v>
      </c>
      <c r="B67" s="8" t="s">
        <v>66</v>
      </c>
      <c r="C67" s="8" t="s">
        <v>32</v>
      </c>
      <c r="D67" s="8" t="s">
        <v>33</v>
      </c>
      <c r="E67" s="8" t="s">
        <v>34</v>
      </c>
      <c r="F67" s="8" t="s">
        <v>35</v>
      </c>
      <c r="G67">
        <v>3926904000</v>
      </c>
      <c r="H67" t="s">
        <v>141</v>
      </c>
      <c r="I67" t="s">
        <v>142</v>
      </c>
      <c r="J67" t="s">
        <v>38</v>
      </c>
      <c r="K67" t="s">
        <v>39</v>
      </c>
      <c r="L67">
        <v>12</v>
      </c>
      <c r="M67">
        <v>2</v>
      </c>
      <c r="N67" t="s">
        <v>64</v>
      </c>
      <c r="O67">
        <v>1.2</v>
      </c>
      <c r="P67">
        <v>5.97</v>
      </c>
      <c r="Q67">
        <v>0.69</v>
      </c>
      <c r="R67">
        <v>0.04</v>
      </c>
      <c r="S67">
        <v>6.7</v>
      </c>
      <c r="T67" t="s">
        <v>41</v>
      </c>
      <c r="U67" t="s">
        <v>41</v>
      </c>
      <c r="V67" t="s">
        <v>38</v>
      </c>
      <c r="W67" t="s">
        <v>144</v>
      </c>
      <c r="X67">
        <v>2.98</v>
      </c>
      <c r="Y67" s="9">
        <f t="shared" ref="Y67:Y130" si="5">SUM(P67)/M67</f>
        <v>2.9849999999999999</v>
      </c>
      <c r="Z67" s="9">
        <f t="shared" ref="Z67:Z130" si="6">SUM(Y67)*1.875</f>
        <v>5.5968749999999998</v>
      </c>
      <c r="AA67" s="5">
        <f t="shared" ref="AA67:AA130" si="7">SUM(Z67)*1.111</f>
        <v>6.2181281249999998</v>
      </c>
      <c r="AB67" s="6">
        <f t="shared" ref="AB67:AB130" si="8">SUM(Z67)*1.6199</f>
        <v>9.066377812499999</v>
      </c>
      <c r="AD67" s="10">
        <f t="shared" ref="AD67:AD130" si="9">SUM(Z67)*2.02823</f>
        <v>11.351749781250001</v>
      </c>
    </row>
    <row r="68" spans="1:30" x14ac:dyDescent="0.3">
      <c r="A68" t="s">
        <v>30</v>
      </c>
      <c r="B68" s="8" t="s">
        <v>140</v>
      </c>
      <c r="C68" s="8" t="s">
        <v>32</v>
      </c>
      <c r="D68" s="8" t="s">
        <v>33</v>
      </c>
      <c r="E68" s="8" t="s">
        <v>34</v>
      </c>
      <c r="F68" s="8" t="s">
        <v>35</v>
      </c>
      <c r="G68">
        <v>4016930000</v>
      </c>
      <c r="H68" t="s">
        <v>141</v>
      </c>
      <c r="I68" t="s">
        <v>142</v>
      </c>
      <c r="J68" t="s">
        <v>38</v>
      </c>
      <c r="K68" t="s">
        <v>39</v>
      </c>
      <c r="L68">
        <v>8</v>
      </c>
      <c r="M68">
        <v>1</v>
      </c>
      <c r="N68" t="s">
        <v>64</v>
      </c>
      <c r="O68">
        <v>0</v>
      </c>
      <c r="P68">
        <v>0.52</v>
      </c>
      <c r="Q68">
        <v>0.06</v>
      </c>
      <c r="R68">
        <v>0</v>
      </c>
      <c r="S68">
        <v>0.57999999999999996</v>
      </c>
      <c r="T68" t="s">
        <v>41</v>
      </c>
      <c r="U68" t="s">
        <v>41</v>
      </c>
      <c r="V68" t="s">
        <v>38</v>
      </c>
      <c r="W68" t="s">
        <v>145</v>
      </c>
      <c r="X68">
        <v>0.52</v>
      </c>
      <c r="Y68" s="9">
        <f t="shared" si="5"/>
        <v>0.52</v>
      </c>
      <c r="Z68" s="9">
        <f t="shared" si="6"/>
        <v>0.97500000000000009</v>
      </c>
      <c r="AA68" s="5">
        <f t="shared" si="7"/>
        <v>1.0832250000000001</v>
      </c>
      <c r="AB68" s="6">
        <f t="shared" si="8"/>
        <v>1.5794025</v>
      </c>
      <c r="AD68" s="10">
        <f t="shared" si="9"/>
        <v>1.9775242500000003</v>
      </c>
    </row>
    <row r="69" spans="1:30" x14ac:dyDescent="0.3">
      <c r="A69" t="s">
        <v>30</v>
      </c>
      <c r="B69" s="8" t="s">
        <v>140</v>
      </c>
      <c r="C69" s="8" t="s">
        <v>32</v>
      </c>
      <c r="D69" s="8" t="s">
        <v>33</v>
      </c>
      <c r="E69" s="8" t="s">
        <v>34</v>
      </c>
      <c r="F69" s="8" t="s">
        <v>35</v>
      </c>
      <c r="G69">
        <v>3926904000</v>
      </c>
      <c r="H69" t="s">
        <v>141</v>
      </c>
      <c r="I69" t="s">
        <v>142</v>
      </c>
      <c r="J69" t="s">
        <v>38</v>
      </c>
      <c r="K69" t="s">
        <v>39</v>
      </c>
      <c r="L69">
        <v>16</v>
      </c>
      <c r="M69">
        <v>2</v>
      </c>
      <c r="N69" t="s">
        <v>64</v>
      </c>
      <c r="O69">
        <v>0.61</v>
      </c>
      <c r="P69">
        <v>8.19</v>
      </c>
      <c r="Q69">
        <v>1.1299999999999999</v>
      </c>
      <c r="R69">
        <v>0.05</v>
      </c>
      <c r="S69">
        <v>9.3699999999999992</v>
      </c>
      <c r="T69" t="s">
        <v>41</v>
      </c>
      <c r="U69" t="s">
        <v>41</v>
      </c>
      <c r="V69" t="s">
        <v>38</v>
      </c>
      <c r="W69" t="s">
        <v>146</v>
      </c>
      <c r="X69">
        <v>4.09</v>
      </c>
      <c r="Y69" s="9">
        <f t="shared" si="5"/>
        <v>4.0949999999999998</v>
      </c>
      <c r="Z69" s="9">
        <f t="shared" si="6"/>
        <v>7.6781249999999996</v>
      </c>
      <c r="AA69" s="5">
        <f t="shared" si="7"/>
        <v>8.5303968749999992</v>
      </c>
      <c r="AB69" s="6">
        <f t="shared" si="8"/>
        <v>12.437794687499999</v>
      </c>
      <c r="AD69" s="10">
        <f t="shared" si="9"/>
        <v>15.573003468750001</v>
      </c>
    </row>
    <row r="70" spans="1:30" x14ac:dyDescent="0.3">
      <c r="A70" t="s">
        <v>30</v>
      </c>
      <c r="B70" s="8" t="s">
        <v>140</v>
      </c>
      <c r="C70" s="8" t="s">
        <v>32</v>
      </c>
      <c r="D70" s="8" t="s">
        <v>33</v>
      </c>
      <c r="E70" s="8" t="s">
        <v>34</v>
      </c>
      <c r="F70" s="8" t="s">
        <v>35</v>
      </c>
      <c r="G70">
        <v>3926904000</v>
      </c>
      <c r="H70" t="s">
        <v>141</v>
      </c>
      <c r="I70" t="s">
        <v>142</v>
      </c>
      <c r="J70" t="s">
        <v>38</v>
      </c>
      <c r="K70" t="s">
        <v>39</v>
      </c>
      <c r="L70">
        <v>4</v>
      </c>
      <c r="M70">
        <v>2</v>
      </c>
      <c r="N70" t="s">
        <v>64</v>
      </c>
      <c r="O70">
        <v>0.61</v>
      </c>
      <c r="P70">
        <v>8.16</v>
      </c>
      <c r="Q70">
        <v>0.43</v>
      </c>
      <c r="R70">
        <v>0.05</v>
      </c>
      <c r="S70">
        <v>8.64</v>
      </c>
      <c r="T70" t="s">
        <v>41</v>
      </c>
      <c r="U70" t="s">
        <v>41</v>
      </c>
      <c r="V70" t="s">
        <v>38</v>
      </c>
      <c r="W70" t="s">
        <v>146</v>
      </c>
      <c r="X70">
        <v>4.08</v>
      </c>
      <c r="Y70" s="9">
        <f t="shared" si="5"/>
        <v>4.08</v>
      </c>
      <c r="Z70" s="9">
        <f t="shared" si="6"/>
        <v>7.65</v>
      </c>
      <c r="AA70" s="5">
        <f t="shared" si="7"/>
        <v>8.4991500000000002</v>
      </c>
      <c r="AB70" s="6">
        <f t="shared" si="8"/>
        <v>12.392234999999999</v>
      </c>
      <c r="AD70" s="10">
        <f t="shared" si="9"/>
        <v>15.515959500000003</v>
      </c>
    </row>
    <row r="71" spans="1:30" x14ac:dyDescent="0.3">
      <c r="A71" t="s">
        <v>30</v>
      </c>
      <c r="B71" s="8" t="s">
        <v>140</v>
      </c>
      <c r="C71" s="8" t="s">
        <v>32</v>
      </c>
      <c r="D71" s="8" t="s">
        <v>33</v>
      </c>
      <c r="E71" s="8" t="s">
        <v>34</v>
      </c>
      <c r="F71" s="8" t="s">
        <v>35</v>
      </c>
      <c r="G71">
        <v>3926904000</v>
      </c>
      <c r="H71" t="s">
        <v>141</v>
      </c>
      <c r="I71" t="s">
        <v>142</v>
      </c>
      <c r="J71" t="s">
        <v>38</v>
      </c>
      <c r="K71" t="s">
        <v>39</v>
      </c>
      <c r="L71">
        <v>16</v>
      </c>
      <c r="M71">
        <v>4</v>
      </c>
      <c r="N71" t="s">
        <v>64</v>
      </c>
      <c r="O71">
        <v>1.34</v>
      </c>
      <c r="P71">
        <v>17.97</v>
      </c>
      <c r="Q71">
        <v>2.48</v>
      </c>
      <c r="R71">
        <v>0.12</v>
      </c>
      <c r="S71">
        <v>20.58</v>
      </c>
      <c r="T71" t="s">
        <v>41</v>
      </c>
      <c r="U71" t="s">
        <v>41</v>
      </c>
      <c r="V71" t="s">
        <v>38</v>
      </c>
      <c r="W71" t="s">
        <v>147</v>
      </c>
      <c r="X71">
        <v>4.49</v>
      </c>
      <c r="Y71" s="9">
        <f t="shared" si="5"/>
        <v>4.4924999999999997</v>
      </c>
      <c r="Z71" s="9">
        <f t="shared" si="6"/>
        <v>8.4234374999999986</v>
      </c>
      <c r="AA71" s="5">
        <f t="shared" si="7"/>
        <v>9.3584390624999987</v>
      </c>
      <c r="AB71" s="6">
        <f t="shared" si="8"/>
        <v>13.645126406249997</v>
      </c>
      <c r="AD71" s="10">
        <f t="shared" si="9"/>
        <v>17.084668640624997</v>
      </c>
    </row>
    <row r="72" spans="1:30" x14ac:dyDescent="0.3">
      <c r="A72" t="s">
        <v>30</v>
      </c>
      <c r="B72" s="8" t="s">
        <v>140</v>
      </c>
      <c r="C72" s="8" t="s">
        <v>32</v>
      </c>
      <c r="D72" s="8" t="s">
        <v>33</v>
      </c>
      <c r="E72" s="8" t="s">
        <v>34</v>
      </c>
      <c r="F72" s="8" t="s">
        <v>35</v>
      </c>
      <c r="G72">
        <v>3926904000</v>
      </c>
      <c r="H72" t="s">
        <v>141</v>
      </c>
      <c r="I72" t="s">
        <v>142</v>
      </c>
      <c r="J72" t="s">
        <v>38</v>
      </c>
      <c r="K72" t="s">
        <v>39</v>
      </c>
      <c r="L72">
        <v>4</v>
      </c>
      <c r="M72">
        <v>4</v>
      </c>
      <c r="N72" t="s">
        <v>64</v>
      </c>
      <c r="O72">
        <v>1.33</v>
      </c>
      <c r="P72">
        <v>17.920000000000002</v>
      </c>
      <c r="Q72">
        <v>0.94</v>
      </c>
      <c r="R72">
        <v>0.12</v>
      </c>
      <c r="S72">
        <v>18.98</v>
      </c>
      <c r="T72" t="s">
        <v>41</v>
      </c>
      <c r="U72" t="s">
        <v>41</v>
      </c>
      <c r="V72" t="s">
        <v>38</v>
      </c>
      <c r="W72" t="s">
        <v>147</v>
      </c>
      <c r="X72">
        <v>4.4800000000000004</v>
      </c>
      <c r="Y72" s="9">
        <f t="shared" si="5"/>
        <v>4.4800000000000004</v>
      </c>
      <c r="Z72" s="9">
        <f t="shared" si="6"/>
        <v>8.4</v>
      </c>
      <c r="AA72" s="5">
        <f t="shared" si="7"/>
        <v>9.3323999999999998</v>
      </c>
      <c r="AB72" s="6">
        <f t="shared" si="8"/>
        <v>13.60716</v>
      </c>
      <c r="AD72" s="10">
        <f t="shared" si="9"/>
        <v>17.037132000000003</v>
      </c>
    </row>
    <row r="73" spans="1:30" x14ac:dyDescent="0.3">
      <c r="A73" t="s">
        <v>30</v>
      </c>
      <c r="B73" s="8" t="s">
        <v>140</v>
      </c>
      <c r="C73" s="8" t="s">
        <v>32</v>
      </c>
      <c r="D73" s="8" t="s">
        <v>33</v>
      </c>
      <c r="E73" s="8" t="s">
        <v>34</v>
      </c>
      <c r="F73" s="8" t="s">
        <v>35</v>
      </c>
      <c r="G73">
        <v>4016930000</v>
      </c>
      <c r="H73" t="s">
        <v>141</v>
      </c>
      <c r="I73" t="s">
        <v>142</v>
      </c>
      <c r="J73" t="s">
        <v>38</v>
      </c>
      <c r="K73" t="s">
        <v>39</v>
      </c>
      <c r="L73">
        <v>3</v>
      </c>
      <c r="M73">
        <v>1</v>
      </c>
      <c r="N73" t="s">
        <v>64</v>
      </c>
      <c r="O73">
        <v>0</v>
      </c>
      <c r="P73">
        <v>0.59</v>
      </c>
      <c r="Q73">
        <v>0.03</v>
      </c>
      <c r="R73">
        <v>0</v>
      </c>
      <c r="S73">
        <v>0.62</v>
      </c>
      <c r="T73" t="s">
        <v>41</v>
      </c>
      <c r="U73" t="s">
        <v>43</v>
      </c>
      <c r="V73" t="s">
        <v>38</v>
      </c>
      <c r="W73" t="s">
        <v>148</v>
      </c>
      <c r="X73">
        <v>0.59</v>
      </c>
      <c r="Y73" s="9">
        <f t="shared" si="5"/>
        <v>0.59</v>
      </c>
      <c r="Z73" s="9">
        <f t="shared" si="6"/>
        <v>1.10625</v>
      </c>
      <c r="AA73" s="5">
        <f t="shared" si="7"/>
        <v>1.22904375</v>
      </c>
      <c r="AB73" s="6">
        <f t="shared" si="8"/>
        <v>1.7920143749999997</v>
      </c>
      <c r="AD73" s="10">
        <f t="shared" si="9"/>
        <v>2.2437294375000003</v>
      </c>
    </row>
    <row r="74" spans="1:30" x14ac:dyDescent="0.3">
      <c r="A74" t="s">
        <v>30</v>
      </c>
      <c r="B74" s="8" t="s">
        <v>140</v>
      </c>
      <c r="C74" s="8" t="s">
        <v>32</v>
      </c>
      <c r="D74" s="8" t="s">
        <v>33</v>
      </c>
      <c r="E74" s="8" t="s">
        <v>34</v>
      </c>
      <c r="F74" s="8" t="s">
        <v>35</v>
      </c>
      <c r="G74">
        <v>4016930000</v>
      </c>
      <c r="H74" t="s">
        <v>141</v>
      </c>
      <c r="I74" t="s">
        <v>142</v>
      </c>
      <c r="J74" t="s">
        <v>38</v>
      </c>
      <c r="K74" t="s">
        <v>39</v>
      </c>
      <c r="L74">
        <v>16</v>
      </c>
      <c r="M74">
        <v>2</v>
      </c>
      <c r="N74" t="s">
        <v>64</v>
      </c>
      <c r="O74">
        <v>0</v>
      </c>
      <c r="P74">
        <v>1.87</v>
      </c>
      <c r="Q74">
        <v>0.26</v>
      </c>
      <c r="R74">
        <v>0.01</v>
      </c>
      <c r="S74">
        <v>2.14</v>
      </c>
      <c r="T74" t="s">
        <v>41</v>
      </c>
      <c r="U74" t="s">
        <v>41</v>
      </c>
      <c r="V74" t="s">
        <v>38</v>
      </c>
      <c r="W74" t="s">
        <v>149</v>
      </c>
      <c r="X74">
        <v>0.94</v>
      </c>
      <c r="Y74" s="9">
        <f t="shared" si="5"/>
        <v>0.93500000000000005</v>
      </c>
      <c r="Z74" s="9">
        <f t="shared" si="6"/>
        <v>1.753125</v>
      </c>
      <c r="AA74" s="5">
        <f t="shared" si="7"/>
        <v>1.947721875</v>
      </c>
      <c r="AB74" s="6">
        <f t="shared" si="8"/>
        <v>2.8398871875</v>
      </c>
      <c r="AD74" s="10">
        <f t="shared" si="9"/>
        <v>3.5557407187500005</v>
      </c>
    </row>
    <row r="75" spans="1:30" x14ac:dyDescent="0.3">
      <c r="A75" t="s">
        <v>30</v>
      </c>
      <c r="B75" s="8" t="s">
        <v>140</v>
      </c>
      <c r="C75" s="8" t="s">
        <v>32</v>
      </c>
      <c r="D75" s="8" t="s">
        <v>33</v>
      </c>
      <c r="E75" s="8" t="s">
        <v>34</v>
      </c>
      <c r="F75" s="8" t="s">
        <v>35</v>
      </c>
      <c r="G75">
        <v>3926904000</v>
      </c>
      <c r="H75" t="s">
        <v>141</v>
      </c>
      <c r="I75" t="s">
        <v>142</v>
      </c>
      <c r="J75" t="s">
        <v>38</v>
      </c>
      <c r="K75" t="s">
        <v>39</v>
      </c>
      <c r="L75">
        <v>4</v>
      </c>
      <c r="M75">
        <v>2</v>
      </c>
      <c r="N75" t="s">
        <v>64</v>
      </c>
      <c r="O75">
        <v>0.14000000000000001</v>
      </c>
      <c r="P75">
        <v>1.86</v>
      </c>
      <c r="Q75">
        <v>0.1</v>
      </c>
      <c r="R75">
        <v>0.01</v>
      </c>
      <c r="S75">
        <v>1.97</v>
      </c>
      <c r="T75" t="s">
        <v>41</v>
      </c>
      <c r="U75" t="s">
        <v>41</v>
      </c>
      <c r="V75" t="s">
        <v>38</v>
      </c>
      <c r="W75" t="s">
        <v>149</v>
      </c>
      <c r="X75">
        <v>0.93</v>
      </c>
      <c r="Y75" s="9">
        <f t="shared" si="5"/>
        <v>0.93</v>
      </c>
      <c r="Z75" s="9">
        <f t="shared" si="6"/>
        <v>1.7437500000000001</v>
      </c>
      <c r="AA75" s="5">
        <f t="shared" si="7"/>
        <v>1.9373062500000002</v>
      </c>
      <c r="AB75" s="6">
        <f t="shared" si="8"/>
        <v>2.8247006250000002</v>
      </c>
      <c r="AD75" s="10">
        <f t="shared" si="9"/>
        <v>3.5367260625000005</v>
      </c>
    </row>
    <row r="76" spans="1:30" x14ac:dyDescent="0.3">
      <c r="A76" t="s">
        <v>30</v>
      </c>
      <c r="B76" s="8" t="s">
        <v>140</v>
      </c>
      <c r="C76" s="8" t="s">
        <v>32</v>
      </c>
      <c r="D76" s="8" t="s">
        <v>33</v>
      </c>
      <c r="E76" s="8" t="s">
        <v>34</v>
      </c>
      <c r="F76" s="8" t="s">
        <v>35</v>
      </c>
      <c r="G76">
        <v>4016930000</v>
      </c>
      <c r="H76" t="s">
        <v>141</v>
      </c>
      <c r="I76" t="s">
        <v>142</v>
      </c>
      <c r="J76" t="s">
        <v>38</v>
      </c>
      <c r="K76" t="s">
        <v>39</v>
      </c>
      <c r="L76">
        <v>6</v>
      </c>
      <c r="M76">
        <v>1</v>
      </c>
      <c r="N76" t="s">
        <v>64</v>
      </c>
      <c r="O76">
        <v>0</v>
      </c>
      <c r="P76">
        <v>12.33</v>
      </c>
      <c r="Q76">
        <v>1.49</v>
      </c>
      <c r="R76">
        <v>0.09</v>
      </c>
      <c r="S76">
        <v>13.91</v>
      </c>
      <c r="T76" t="s">
        <v>41</v>
      </c>
      <c r="U76" t="s">
        <v>43</v>
      </c>
      <c r="V76" t="s">
        <v>38</v>
      </c>
      <c r="W76" t="s">
        <v>150</v>
      </c>
      <c r="X76">
        <v>12.33</v>
      </c>
      <c r="Y76" s="9">
        <f t="shared" si="5"/>
        <v>12.33</v>
      </c>
      <c r="Z76" s="9">
        <f t="shared" si="6"/>
        <v>23.118749999999999</v>
      </c>
      <c r="AA76" s="5">
        <f t="shared" si="7"/>
        <v>25.684931249999998</v>
      </c>
      <c r="AB76" s="6">
        <f t="shared" si="8"/>
        <v>37.450063124999993</v>
      </c>
      <c r="AD76" s="10">
        <f t="shared" si="9"/>
        <v>46.890142312500004</v>
      </c>
    </row>
    <row r="77" spans="1:30" x14ac:dyDescent="0.3">
      <c r="A77" t="s">
        <v>30</v>
      </c>
      <c r="B77" s="8" t="s">
        <v>140</v>
      </c>
      <c r="C77" s="8" t="s">
        <v>32</v>
      </c>
      <c r="D77" s="8" t="s">
        <v>33</v>
      </c>
      <c r="E77" s="8" t="s">
        <v>34</v>
      </c>
      <c r="F77" s="8" t="s">
        <v>35</v>
      </c>
      <c r="G77">
        <v>3926904000</v>
      </c>
      <c r="H77" t="s">
        <v>141</v>
      </c>
      <c r="I77" t="s">
        <v>142</v>
      </c>
      <c r="J77" t="s">
        <v>38</v>
      </c>
      <c r="K77" t="s">
        <v>39</v>
      </c>
      <c r="L77">
        <v>3</v>
      </c>
      <c r="M77">
        <v>1</v>
      </c>
      <c r="N77" t="s">
        <v>64</v>
      </c>
      <c r="O77">
        <v>0.24</v>
      </c>
      <c r="P77">
        <v>3.23</v>
      </c>
      <c r="Q77">
        <v>0.14000000000000001</v>
      </c>
      <c r="R77">
        <v>0.02</v>
      </c>
      <c r="S77">
        <v>3.39</v>
      </c>
      <c r="T77" t="s">
        <v>41</v>
      </c>
      <c r="U77" t="s">
        <v>43</v>
      </c>
      <c r="V77" t="s">
        <v>38</v>
      </c>
      <c r="W77" t="s">
        <v>151</v>
      </c>
      <c r="X77">
        <v>3.23</v>
      </c>
      <c r="Y77" s="9">
        <f t="shared" si="5"/>
        <v>3.23</v>
      </c>
      <c r="Z77" s="9">
        <f t="shared" si="6"/>
        <v>6.0562500000000004</v>
      </c>
      <c r="AA77" s="5">
        <f t="shared" si="7"/>
        <v>6.7284937500000002</v>
      </c>
      <c r="AB77" s="6">
        <f t="shared" si="8"/>
        <v>9.8105193750000002</v>
      </c>
      <c r="AD77" s="10">
        <f t="shared" si="9"/>
        <v>12.283467937500001</v>
      </c>
    </row>
    <row r="78" spans="1:30" x14ac:dyDescent="0.3">
      <c r="A78" t="s">
        <v>30</v>
      </c>
      <c r="B78" s="8" t="s">
        <v>140</v>
      </c>
      <c r="C78" s="8" t="s">
        <v>32</v>
      </c>
      <c r="D78" s="8" t="s">
        <v>33</v>
      </c>
      <c r="E78" s="8" t="s">
        <v>34</v>
      </c>
      <c r="F78" s="8" t="s">
        <v>35</v>
      </c>
      <c r="G78">
        <v>3926904000</v>
      </c>
      <c r="H78" t="s">
        <v>141</v>
      </c>
      <c r="I78" t="s">
        <v>142</v>
      </c>
      <c r="J78" t="s">
        <v>38</v>
      </c>
      <c r="K78" t="s">
        <v>39</v>
      </c>
      <c r="L78">
        <v>6</v>
      </c>
      <c r="M78">
        <v>1</v>
      </c>
      <c r="N78" t="s">
        <v>64</v>
      </c>
      <c r="O78">
        <v>1.83</v>
      </c>
      <c r="P78">
        <v>24.6</v>
      </c>
      <c r="Q78">
        <v>2.97</v>
      </c>
      <c r="R78">
        <v>0.17</v>
      </c>
      <c r="S78">
        <v>27.74</v>
      </c>
      <c r="T78" t="s">
        <v>41</v>
      </c>
      <c r="U78" t="s">
        <v>43</v>
      </c>
      <c r="V78" t="s">
        <v>38</v>
      </c>
      <c r="W78" t="s">
        <v>152</v>
      </c>
      <c r="X78">
        <v>24.6</v>
      </c>
      <c r="Y78" s="9">
        <f t="shared" si="5"/>
        <v>24.6</v>
      </c>
      <c r="Z78" s="9">
        <f t="shared" si="6"/>
        <v>46.125</v>
      </c>
      <c r="AA78" s="5">
        <f t="shared" si="7"/>
        <v>51.244875</v>
      </c>
      <c r="AB78" s="6">
        <f t="shared" si="8"/>
        <v>74.717887499999989</v>
      </c>
      <c r="AD78" s="10">
        <f t="shared" si="9"/>
        <v>93.552108750000002</v>
      </c>
    </row>
    <row r="79" spans="1:30" x14ac:dyDescent="0.3">
      <c r="A79" t="s">
        <v>30</v>
      </c>
      <c r="B79" s="8" t="s">
        <v>140</v>
      </c>
      <c r="C79" s="8" t="s">
        <v>32</v>
      </c>
      <c r="D79" s="8" t="s">
        <v>33</v>
      </c>
      <c r="E79" s="8" t="s">
        <v>34</v>
      </c>
      <c r="F79" s="8" t="s">
        <v>35</v>
      </c>
      <c r="G79">
        <v>3926904000</v>
      </c>
      <c r="H79" t="s">
        <v>141</v>
      </c>
      <c r="I79" t="s">
        <v>142</v>
      </c>
      <c r="J79" t="s">
        <v>38</v>
      </c>
      <c r="K79" t="s">
        <v>39</v>
      </c>
      <c r="L79">
        <v>6</v>
      </c>
      <c r="M79">
        <v>2</v>
      </c>
      <c r="N79" t="s">
        <v>64</v>
      </c>
      <c r="O79">
        <v>1.24</v>
      </c>
      <c r="P79">
        <v>16.68</v>
      </c>
      <c r="Q79">
        <v>2.02</v>
      </c>
      <c r="R79">
        <v>0.12</v>
      </c>
      <c r="S79">
        <v>18.809999999999999</v>
      </c>
      <c r="T79" t="s">
        <v>41</v>
      </c>
      <c r="U79" t="s">
        <v>43</v>
      </c>
      <c r="V79" t="s">
        <v>38</v>
      </c>
      <c r="W79" t="s">
        <v>153</v>
      </c>
      <c r="X79">
        <v>8.34</v>
      </c>
      <c r="Y79" s="9">
        <f t="shared" si="5"/>
        <v>8.34</v>
      </c>
      <c r="Z79" s="9">
        <f t="shared" si="6"/>
        <v>15.637499999999999</v>
      </c>
      <c r="AA79" s="5">
        <f t="shared" si="7"/>
        <v>17.373262499999999</v>
      </c>
      <c r="AB79" s="6">
        <f t="shared" si="8"/>
        <v>25.331186249999998</v>
      </c>
      <c r="AD79" s="10">
        <f t="shared" si="9"/>
        <v>31.716446625000003</v>
      </c>
    </row>
    <row r="80" spans="1:30" x14ac:dyDescent="0.3">
      <c r="A80" t="s">
        <v>30</v>
      </c>
      <c r="B80" s="8" t="s">
        <v>32</v>
      </c>
      <c r="C80" s="8" t="s">
        <v>32</v>
      </c>
      <c r="D80" s="8" t="s">
        <v>33</v>
      </c>
      <c r="E80" s="8" t="s">
        <v>34</v>
      </c>
      <c r="F80" s="8" t="s">
        <v>35</v>
      </c>
      <c r="G80">
        <v>7307990099</v>
      </c>
      <c r="H80" t="s">
        <v>36</v>
      </c>
      <c r="I80" t="s">
        <v>154</v>
      </c>
      <c r="J80" t="s">
        <v>38</v>
      </c>
      <c r="K80" t="s">
        <v>39</v>
      </c>
      <c r="L80">
        <v>3</v>
      </c>
      <c r="M80">
        <v>1</v>
      </c>
      <c r="N80" t="s">
        <v>40</v>
      </c>
      <c r="O80">
        <v>0</v>
      </c>
      <c r="P80">
        <v>4.58</v>
      </c>
      <c r="Q80">
        <v>0.2</v>
      </c>
      <c r="R80">
        <v>0.03</v>
      </c>
      <c r="S80">
        <v>4.8</v>
      </c>
      <c r="T80" t="s">
        <v>41</v>
      </c>
      <c r="U80" t="s">
        <v>43</v>
      </c>
      <c r="V80" t="s">
        <v>38</v>
      </c>
      <c r="W80" t="s">
        <v>155</v>
      </c>
      <c r="X80">
        <v>4.58</v>
      </c>
      <c r="Y80" s="9">
        <f t="shared" si="5"/>
        <v>4.58</v>
      </c>
      <c r="Z80" s="9">
        <f t="shared" si="6"/>
        <v>8.5875000000000004</v>
      </c>
      <c r="AA80" s="5">
        <f t="shared" si="7"/>
        <v>9.5407124999999997</v>
      </c>
      <c r="AB80" s="6">
        <f t="shared" si="8"/>
        <v>13.910891249999999</v>
      </c>
      <c r="AD80" s="10">
        <f t="shared" si="9"/>
        <v>17.417425125000001</v>
      </c>
    </row>
    <row r="81" spans="1:30" x14ac:dyDescent="0.3">
      <c r="A81" t="s">
        <v>30</v>
      </c>
      <c r="B81" s="8" t="s">
        <v>156</v>
      </c>
      <c r="C81" s="8" t="s">
        <v>32</v>
      </c>
      <c r="D81" s="8" t="s">
        <v>33</v>
      </c>
      <c r="E81" s="8" t="s">
        <v>34</v>
      </c>
      <c r="F81" s="8" t="s">
        <v>35</v>
      </c>
      <c r="G81">
        <v>8481400090</v>
      </c>
      <c r="H81" t="s">
        <v>53</v>
      </c>
      <c r="I81" t="s">
        <v>157</v>
      </c>
      <c r="J81" t="s">
        <v>38</v>
      </c>
      <c r="K81" t="s">
        <v>39</v>
      </c>
      <c r="L81">
        <v>8</v>
      </c>
      <c r="M81">
        <v>5</v>
      </c>
      <c r="N81" t="s">
        <v>64</v>
      </c>
      <c r="O81">
        <v>0</v>
      </c>
      <c r="P81">
        <v>205.68</v>
      </c>
      <c r="Q81">
        <v>29.6</v>
      </c>
      <c r="R81">
        <v>1.45</v>
      </c>
      <c r="S81">
        <v>236.73</v>
      </c>
      <c r="T81" t="s">
        <v>41</v>
      </c>
      <c r="U81" t="s">
        <v>41</v>
      </c>
      <c r="V81" t="s">
        <v>38</v>
      </c>
      <c r="W81" t="s">
        <v>158</v>
      </c>
      <c r="X81">
        <v>41.14</v>
      </c>
      <c r="Y81" s="9">
        <f t="shared" si="5"/>
        <v>41.136000000000003</v>
      </c>
      <c r="Z81" s="9">
        <f t="shared" si="6"/>
        <v>77.13000000000001</v>
      </c>
      <c r="AA81" s="5">
        <f t="shared" si="7"/>
        <v>85.691430000000011</v>
      </c>
      <c r="AB81" s="6">
        <f t="shared" si="8"/>
        <v>124.94288700000001</v>
      </c>
      <c r="AD81" s="10">
        <f t="shared" si="9"/>
        <v>156.43737990000002</v>
      </c>
    </row>
    <row r="82" spans="1:30" x14ac:dyDescent="0.3">
      <c r="A82" t="s">
        <v>30</v>
      </c>
      <c r="B82" s="8" t="s">
        <v>156</v>
      </c>
      <c r="C82" s="8" t="s">
        <v>32</v>
      </c>
      <c r="D82" s="8" t="s">
        <v>69</v>
      </c>
      <c r="E82" s="8" t="s">
        <v>70</v>
      </c>
      <c r="F82" s="8" t="s">
        <v>71</v>
      </c>
      <c r="G82">
        <v>8481400090</v>
      </c>
      <c r="H82" t="s">
        <v>53</v>
      </c>
      <c r="I82" t="s">
        <v>157</v>
      </c>
      <c r="J82" t="s">
        <v>38</v>
      </c>
      <c r="K82" t="s">
        <v>39</v>
      </c>
      <c r="L82">
        <v>9</v>
      </c>
      <c r="M82">
        <v>5</v>
      </c>
      <c r="N82" t="s">
        <v>64</v>
      </c>
      <c r="O82">
        <v>0</v>
      </c>
      <c r="P82">
        <v>202</v>
      </c>
      <c r="Q82">
        <v>10.18</v>
      </c>
      <c r="R82">
        <v>1.28</v>
      </c>
      <c r="S82">
        <v>213.46</v>
      </c>
      <c r="T82" t="s">
        <v>41</v>
      </c>
      <c r="U82" t="s">
        <v>43</v>
      </c>
      <c r="V82" t="s">
        <v>38</v>
      </c>
      <c r="W82" t="s">
        <v>158</v>
      </c>
      <c r="X82">
        <v>40.4</v>
      </c>
      <c r="Y82" s="9">
        <f t="shared" si="5"/>
        <v>40.4</v>
      </c>
      <c r="Z82" s="9">
        <f t="shared" si="6"/>
        <v>75.75</v>
      </c>
      <c r="AA82" s="5">
        <f t="shared" si="7"/>
        <v>84.158249999999995</v>
      </c>
      <c r="AB82" s="6">
        <f t="shared" si="8"/>
        <v>122.70742499999999</v>
      </c>
      <c r="AD82" s="10">
        <f t="shared" si="9"/>
        <v>153.63842250000002</v>
      </c>
    </row>
    <row r="83" spans="1:30" x14ac:dyDescent="0.3">
      <c r="A83" t="s">
        <v>30</v>
      </c>
      <c r="B83" s="8" t="s">
        <v>66</v>
      </c>
      <c r="C83" s="8" t="s">
        <v>32</v>
      </c>
      <c r="D83" s="8" t="s">
        <v>69</v>
      </c>
      <c r="E83" s="8" t="s">
        <v>70</v>
      </c>
      <c r="F83" s="8" t="s">
        <v>71</v>
      </c>
      <c r="G83">
        <v>8481400090</v>
      </c>
      <c r="H83" t="s">
        <v>53</v>
      </c>
      <c r="I83" t="s">
        <v>157</v>
      </c>
      <c r="J83" t="s">
        <v>38</v>
      </c>
      <c r="K83" t="s">
        <v>39</v>
      </c>
      <c r="L83">
        <v>9</v>
      </c>
      <c r="M83">
        <v>1</v>
      </c>
      <c r="N83" t="s">
        <v>64</v>
      </c>
      <c r="O83">
        <v>0</v>
      </c>
      <c r="P83">
        <v>46.58</v>
      </c>
      <c r="Q83">
        <v>2.35</v>
      </c>
      <c r="R83">
        <v>0.3</v>
      </c>
      <c r="S83">
        <v>49.22</v>
      </c>
      <c r="T83" t="s">
        <v>41</v>
      </c>
      <c r="U83" t="s">
        <v>43</v>
      </c>
      <c r="V83" t="s">
        <v>38</v>
      </c>
      <c r="W83" t="s">
        <v>159</v>
      </c>
      <c r="X83">
        <v>46.58</v>
      </c>
      <c r="Y83" s="9">
        <f t="shared" si="5"/>
        <v>46.58</v>
      </c>
      <c r="Z83" s="9">
        <f t="shared" si="6"/>
        <v>87.337499999999991</v>
      </c>
      <c r="AA83" s="5">
        <f t="shared" si="7"/>
        <v>97.031962499999992</v>
      </c>
      <c r="AB83" s="6">
        <f t="shared" si="8"/>
        <v>141.47801624999997</v>
      </c>
      <c r="AD83" s="10">
        <f t="shared" si="9"/>
        <v>177.14053762500001</v>
      </c>
    </row>
    <row r="84" spans="1:30" x14ac:dyDescent="0.3">
      <c r="A84" t="s">
        <v>30</v>
      </c>
      <c r="B84" s="8" t="s">
        <v>31</v>
      </c>
      <c r="C84" s="8" t="s">
        <v>32</v>
      </c>
      <c r="D84" s="8" t="s">
        <v>33</v>
      </c>
      <c r="E84" s="8" t="s">
        <v>34</v>
      </c>
      <c r="F84" s="8" t="s">
        <v>35</v>
      </c>
      <c r="G84">
        <v>8481809990</v>
      </c>
      <c r="H84" t="s">
        <v>160</v>
      </c>
      <c r="I84" t="s">
        <v>161</v>
      </c>
      <c r="J84" t="s">
        <v>38</v>
      </c>
      <c r="K84" t="s">
        <v>39</v>
      </c>
      <c r="L84">
        <v>16</v>
      </c>
      <c r="M84">
        <v>2</v>
      </c>
      <c r="N84" t="s">
        <v>64</v>
      </c>
      <c r="O84">
        <v>0</v>
      </c>
      <c r="P84">
        <v>1126.8599999999999</v>
      </c>
      <c r="Q84">
        <v>155.53</v>
      </c>
      <c r="R84">
        <v>7.52</v>
      </c>
      <c r="S84">
        <v>1289.9000000000001</v>
      </c>
      <c r="T84" t="s">
        <v>41</v>
      </c>
      <c r="U84" t="s">
        <v>41</v>
      </c>
      <c r="V84" t="s">
        <v>38</v>
      </c>
      <c r="W84" t="s">
        <v>162</v>
      </c>
      <c r="X84">
        <v>563.42999999999995</v>
      </c>
      <c r="Y84" s="9">
        <f t="shared" si="5"/>
        <v>563.42999999999995</v>
      </c>
      <c r="Z84" s="9">
        <f t="shared" si="6"/>
        <v>1056.4312499999999</v>
      </c>
      <c r="AA84" s="5">
        <f t="shared" si="7"/>
        <v>1173.6951187499999</v>
      </c>
      <c r="AB84" s="6">
        <f t="shared" si="8"/>
        <v>1711.3129818749997</v>
      </c>
      <c r="AD84" s="10">
        <f t="shared" si="9"/>
        <v>2142.6855541874997</v>
      </c>
    </row>
    <row r="85" spans="1:30" x14ac:dyDescent="0.3">
      <c r="A85" t="s">
        <v>30</v>
      </c>
      <c r="B85" s="8" t="s">
        <v>124</v>
      </c>
      <c r="C85" s="8" t="s">
        <v>32</v>
      </c>
      <c r="D85" s="8" t="s">
        <v>33</v>
      </c>
      <c r="E85" s="8" t="s">
        <v>34</v>
      </c>
      <c r="F85" s="8" t="s">
        <v>35</v>
      </c>
      <c r="G85">
        <v>9026200000</v>
      </c>
      <c r="H85" t="s">
        <v>163</v>
      </c>
      <c r="I85" t="s">
        <v>164</v>
      </c>
      <c r="J85" t="s">
        <v>38</v>
      </c>
      <c r="K85" t="s">
        <v>39</v>
      </c>
      <c r="L85">
        <v>10</v>
      </c>
      <c r="M85">
        <v>4</v>
      </c>
      <c r="N85" t="s">
        <v>64</v>
      </c>
      <c r="O85">
        <v>0</v>
      </c>
      <c r="P85">
        <v>197.97</v>
      </c>
      <c r="Q85">
        <v>16.48</v>
      </c>
      <c r="R85">
        <v>1.3</v>
      </c>
      <c r="S85">
        <v>215.75</v>
      </c>
      <c r="T85" t="s">
        <v>41</v>
      </c>
      <c r="U85" t="s">
        <v>43</v>
      </c>
      <c r="V85" t="s">
        <v>38</v>
      </c>
      <c r="W85" t="s">
        <v>165</v>
      </c>
      <c r="X85">
        <v>49.49</v>
      </c>
      <c r="Y85" s="9">
        <f t="shared" si="5"/>
        <v>49.4925</v>
      </c>
      <c r="Z85" s="9">
        <f t="shared" si="6"/>
        <v>92.798437500000006</v>
      </c>
      <c r="AA85" s="5">
        <f t="shared" si="7"/>
        <v>103.09906406250001</v>
      </c>
      <c r="AB85" s="6">
        <f t="shared" si="8"/>
        <v>150.32418890624999</v>
      </c>
      <c r="AD85" s="10">
        <f t="shared" si="9"/>
        <v>188.21657489062503</v>
      </c>
    </row>
    <row r="86" spans="1:30" x14ac:dyDescent="0.3">
      <c r="A86" t="s">
        <v>30</v>
      </c>
      <c r="B86" s="8" t="s">
        <v>44</v>
      </c>
      <c r="C86" s="8" t="s">
        <v>32</v>
      </c>
      <c r="D86" s="8" t="s">
        <v>69</v>
      </c>
      <c r="E86" s="8" t="s">
        <v>70</v>
      </c>
      <c r="F86" s="8" t="s">
        <v>71</v>
      </c>
      <c r="G86">
        <v>8421999000</v>
      </c>
      <c r="H86" t="s">
        <v>36</v>
      </c>
      <c r="I86" t="s">
        <v>166</v>
      </c>
      <c r="J86" t="s">
        <v>38</v>
      </c>
      <c r="K86" t="s">
        <v>39</v>
      </c>
      <c r="L86">
        <v>9</v>
      </c>
      <c r="M86">
        <v>3</v>
      </c>
      <c r="N86" t="s">
        <v>64</v>
      </c>
      <c r="O86">
        <v>0</v>
      </c>
      <c r="P86">
        <v>173.34</v>
      </c>
      <c r="Q86">
        <v>8.73</v>
      </c>
      <c r="R86">
        <v>1.1000000000000001</v>
      </c>
      <c r="S86">
        <v>183.18</v>
      </c>
      <c r="T86" t="s">
        <v>41</v>
      </c>
      <c r="U86" t="s">
        <v>43</v>
      </c>
      <c r="V86" t="s">
        <v>38</v>
      </c>
      <c r="W86" t="s">
        <v>167</v>
      </c>
      <c r="X86">
        <v>57.78</v>
      </c>
      <c r="Y86" s="9">
        <f t="shared" si="5"/>
        <v>57.78</v>
      </c>
      <c r="Z86" s="9">
        <f t="shared" si="6"/>
        <v>108.33750000000001</v>
      </c>
      <c r="AA86" s="5">
        <f t="shared" si="7"/>
        <v>120.36296250000001</v>
      </c>
      <c r="AB86" s="6">
        <f t="shared" si="8"/>
        <v>175.49591624999999</v>
      </c>
      <c r="AD86" s="10">
        <f t="shared" si="9"/>
        <v>219.73336762500003</v>
      </c>
    </row>
    <row r="87" spans="1:30" x14ac:dyDescent="0.3">
      <c r="A87" t="s">
        <v>168</v>
      </c>
      <c r="B87" s="8" t="s">
        <v>44</v>
      </c>
      <c r="C87" s="8" t="s">
        <v>32</v>
      </c>
      <c r="D87" s="8" t="s">
        <v>33</v>
      </c>
      <c r="E87" s="8" t="s">
        <v>34</v>
      </c>
      <c r="F87" s="8" t="s">
        <v>35</v>
      </c>
      <c r="G87">
        <v>8421999000</v>
      </c>
      <c r="H87" t="s">
        <v>36</v>
      </c>
      <c r="I87" t="s">
        <v>166</v>
      </c>
      <c r="J87" t="s">
        <v>38</v>
      </c>
      <c r="K87" t="s">
        <v>39</v>
      </c>
      <c r="L87">
        <v>11</v>
      </c>
      <c r="M87">
        <v>3</v>
      </c>
      <c r="N87" t="s">
        <v>64</v>
      </c>
      <c r="O87">
        <v>0</v>
      </c>
      <c r="P87">
        <v>178.35</v>
      </c>
      <c r="Q87">
        <v>17.079999999999998</v>
      </c>
      <c r="R87">
        <v>1.2</v>
      </c>
      <c r="S87">
        <v>196.63</v>
      </c>
      <c r="T87" t="s">
        <v>41</v>
      </c>
      <c r="U87" t="s">
        <v>43</v>
      </c>
      <c r="V87" t="s">
        <v>38</v>
      </c>
      <c r="W87" t="s">
        <v>167</v>
      </c>
      <c r="X87">
        <v>59.45</v>
      </c>
      <c r="Y87" s="9">
        <f t="shared" si="5"/>
        <v>59.449999999999996</v>
      </c>
      <c r="Z87" s="9">
        <f t="shared" si="6"/>
        <v>111.46874999999999</v>
      </c>
      <c r="AA87" s="5">
        <f t="shared" si="7"/>
        <v>123.84178124999998</v>
      </c>
      <c r="AB87" s="6">
        <f t="shared" si="8"/>
        <v>180.56822812499996</v>
      </c>
      <c r="AD87" s="10">
        <f t="shared" si="9"/>
        <v>226.08426281249999</v>
      </c>
    </row>
    <row r="88" spans="1:30" x14ac:dyDescent="0.3">
      <c r="A88" t="s">
        <v>30</v>
      </c>
      <c r="B88" s="8" t="s">
        <v>32</v>
      </c>
      <c r="C88" s="8" t="s">
        <v>32</v>
      </c>
      <c r="D88" s="8" t="s">
        <v>33</v>
      </c>
      <c r="E88" s="8" t="s">
        <v>34</v>
      </c>
      <c r="F88" s="8" t="s">
        <v>35</v>
      </c>
      <c r="G88">
        <v>4901999000</v>
      </c>
      <c r="H88" t="s">
        <v>36</v>
      </c>
      <c r="I88" t="s">
        <v>169</v>
      </c>
      <c r="J88" t="s">
        <v>38</v>
      </c>
      <c r="K88" t="s">
        <v>39</v>
      </c>
      <c r="L88">
        <v>10</v>
      </c>
      <c r="M88">
        <v>2</v>
      </c>
      <c r="N88" t="s">
        <v>64</v>
      </c>
      <c r="O88">
        <v>0</v>
      </c>
      <c r="P88">
        <v>107.11</v>
      </c>
      <c r="Q88">
        <v>8.91</v>
      </c>
      <c r="R88">
        <v>0.7</v>
      </c>
      <c r="S88">
        <v>116.72</v>
      </c>
      <c r="T88" t="s">
        <v>41</v>
      </c>
      <c r="U88" t="s">
        <v>43</v>
      </c>
      <c r="V88" t="s">
        <v>38</v>
      </c>
      <c r="W88" t="s">
        <v>170</v>
      </c>
      <c r="X88">
        <v>53.55</v>
      </c>
      <c r="Y88" s="9">
        <f t="shared" si="5"/>
        <v>53.555</v>
      </c>
      <c r="Z88" s="9">
        <f t="shared" si="6"/>
        <v>100.41562500000001</v>
      </c>
      <c r="AA88" s="5">
        <f t="shared" si="7"/>
        <v>111.56175937500001</v>
      </c>
      <c r="AB88" s="6">
        <f t="shared" si="8"/>
        <v>162.66327093749999</v>
      </c>
      <c r="AD88" s="10">
        <f t="shared" si="9"/>
        <v>203.66598309375004</v>
      </c>
    </row>
    <row r="89" spans="1:30" x14ac:dyDescent="0.3">
      <c r="A89" t="s">
        <v>30</v>
      </c>
      <c r="B89" s="8" t="s">
        <v>31</v>
      </c>
      <c r="C89" s="8" t="s">
        <v>32</v>
      </c>
      <c r="D89" s="8" t="s">
        <v>69</v>
      </c>
      <c r="E89" s="8" t="s">
        <v>70</v>
      </c>
      <c r="F89" s="8" t="s">
        <v>71</v>
      </c>
      <c r="G89">
        <v>8536901000</v>
      </c>
      <c r="H89" t="s">
        <v>171</v>
      </c>
      <c r="I89" t="s">
        <v>172</v>
      </c>
      <c r="J89" t="s">
        <v>38</v>
      </c>
      <c r="K89" t="s">
        <v>39</v>
      </c>
      <c r="L89">
        <v>8</v>
      </c>
      <c r="M89">
        <v>3</v>
      </c>
      <c r="N89" t="s">
        <v>64</v>
      </c>
      <c r="O89">
        <v>0</v>
      </c>
      <c r="P89">
        <v>39.6</v>
      </c>
      <c r="Q89">
        <v>2.59</v>
      </c>
      <c r="R89">
        <v>0.26</v>
      </c>
      <c r="S89">
        <v>42.45</v>
      </c>
      <c r="T89" t="s">
        <v>41</v>
      </c>
      <c r="U89" t="s">
        <v>41</v>
      </c>
      <c r="V89" t="s">
        <v>38</v>
      </c>
      <c r="W89" t="s">
        <v>173</v>
      </c>
      <c r="X89">
        <v>13.2</v>
      </c>
      <c r="Y89" s="9">
        <f t="shared" si="5"/>
        <v>13.200000000000001</v>
      </c>
      <c r="Z89" s="9">
        <f t="shared" si="6"/>
        <v>24.750000000000004</v>
      </c>
      <c r="AA89" s="5">
        <f t="shared" si="7"/>
        <v>27.497250000000005</v>
      </c>
      <c r="AB89" s="6">
        <f t="shared" si="8"/>
        <v>40.092525000000002</v>
      </c>
      <c r="AD89" s="10">
        <f t="shared" si="9"/>
        <v>50.198692500000014</v>
      </c>
    </row>
    <row r="90" spans="1:30" x14ac:dyDescent="0.3">
      <c r="A90" t="s">
        <v>30</v>
      </c>
      <c r="B90" s="8" t="s">
        <v>31</v>
      </c>
      <c r="C90" s="8" t="s">
        <v>32</v>
      </c>
      <c r="D90" s="8" t="s">
        <v>69</v>
      </c>
      <c r="E90" s="8" t="s">
        <v>70</v>
      </c>
      <c r="F90" s="8" t="s">
        <v>71</v>
      </c>
      <c r="G90">
        <v>8536901000</v>
      </c>
      <c r="H90" t="s">
        <v>171</v>
      </c>
      <c r="I90" t="s">
        <v>172</v>
      </c>
      <c r="J90" t="s">
        <v>38</v>
      </c>
      <c r="K90" t="s">
        <v>39</v>
      </c>
      <c r="L90">
        <v>8</v>
      </c>
      <c r="M90">
        <v>3</v>
      </c>
      <c r="N90" t="s">
        <v>64</v>
      </c>
      <c r="O90">
        <v>0</v>
      </c>
      <c r="P90">
        <v>25.62</v>
      </c>
      <c r="Q90">
        <v>1.68</v>
      </c>
      <c r="R90">
        <v>0.17</v>
      </c>
      <c r="S90">
        <v>27.46</v>
      </c>
      <c r="T90" t="s">
        <v>41</v>
      </c>
      <c r="U90" t="s">
        <v>41</v>
      </c>
      <c r="V90" t="s">
        <v>38</v>
      </c>
      <c r="W90" t="s">
        <v>174</v>
      </c>
      <c r="X90">
        <v>8.5399999999999991</v>
      </c>
      <c r="Y90" s="9">
        <f t="shared" si="5"/>
        <v>8.5400000000000009</v>
      </c>
      <c r="Z90" s="9">
        <f t="shared" si="6"/>
        <v>16.012500000000003</v>
      </c>
      <c r="AA90" s="5">
        <f t="shared" si="7"/>
        <v>17.789887500000003</v>
      </c>
      <c r="AB90" s="6">
        <f t="shared" si="8"/>
        <v>25.938648750000002</v>
      </c>
      <c r="AD90" s="10">
        <f t="shared" si="9"/>
        <v>32.477032875000006</v>
      </c>
    </row>
    <row r="91" spans="1:30" x14ac:dyDescent="0.3">
      <c r="A91" t="s">
        <v>30</v>
      </c>
      <c r="B91" s="8" t="s">
        <v>31</v>
      </c>
      <c r="C91" s="8" t="s">
        <v>32</v>
      </c>
      <c r="D91" s="8" t="s">
        <v>69</v>
      </c>
      <c r="E91" s="8" t="s">
        <v>70</v>
      </c>
      <c r="F91" s="8" t="s">
        <v>71</v>
      </c>
      <c r="G91">
        <v>8536901000</v>
      </c>
      <c r="H91" t="s">
        <v>171</v>
      </c>
      <c r="I91" t="s">
        <v>172</v>
      </c>
      <c r="J91" t="s">
        <v>38</v>
      </c>
      <c r="K91" t="s">
        <v>39</v>
      </c>
      <c r="L91">
        <v>8</v>
      </c>
      <c r="M91">
        <v>3</v>
      </c>
      <c r="N91" t="s">
        <v>64</v>
      </c>
      <c r="O91">
        <v>0</v>
      </c>
      <c r="P91">
        <v>88.44</v>
      </c>
      <c r="Q91">
        <v>5.79</v>
      </c>
      <c r="R91">
        <v>0.56999999999999995</v>
      </c>
      <c r="S91">
        <v>94.8</v>
      </c>
      <c r="T91" t="s">
        <v>41</v>
      </c>
      <c r="U91" t="s">
        <v>41</v>
      </c>
      <c r="V91" t="s">
        <v>38</v>
      </c>
      <c r="W91" t="s">
        <v>175</v>
      </c>
      <c r="X91">
        <v>29.48</v>
      </c>
      <c r="Y91" s="9">
        <f t="shared" si="5"/>
        <v>29.48</v>
      </c>
      <c r="Z91" s="9">
        <f t="shared" si="6"/>
        <v>55.274999999999999</v>
      </c>
      <c r="AA91" s="5">
        <f t="shared" si="7"/>
        <v>61.410525</v>
      </c>
      <c r="AB91" s="6">
        <f t="shared" si="8"/>
        <v>89.53997249999999</v>
      </c>
      <c r="AD91" s="10">
        <f t="shared" si="9"/>
        <v>112.11041325000001</v>
      </c>
    </row>
    <row r="92" spans="1:30" x14ac:dyDescent="0.3">
      <c r="A92" t="s">
        <v>30</v>
      </c>
      <c r="B92" s="8" t="s">
        <v>124</v>
      </c>
      <c r="C92" s="8" t="s">
        <v>32</v>
      </c>
      <c r="D92" s="8" t="s">
        <v>69</v>
      </c>
      <c r="E92" s="8" t="s">
        <v>70</v>
      </c>
      <c r="F92" s="8" t="s">
        <v>71</v>
      </c>
      <c r="G92">
        <v>8536901000</v>
      </c>
      <c r="H92" t="s">
        <v>171</v>
      </c>
      <c r="I92" t="s">
        <v>172</v>
      </c>
      <c r="J92" t="s">
        <v>38</v>
      </c>
      <c r="K92" t="s">
        <v>39</v>
      </c>
      <c r="L92">
        <v>8</v>
      </c>
      <c r="M92">
        <v>3</v>
      </c>
      <c r="N92" t="s">
        <v>64</v>
      </c>
      <c r="O92">
        <v>0</v>
      </c>
      <c r="P92">
        <v>89.76</v>
      </c>
      <c r="Q92">
        <v>5.88</v>
      </c>
      <c r="R92">
        <v>0.57999999999999996</v>
      </c>
      <c r="S92">
        <v>96.22</v>
      </c>
      <c r="T92" t="s">
        <v>41</v>
      </c>
      <c r="U92" t="s">
        <v>41</v>
      </c>
      <c r="V92" t="s">
        <v>38</v>
      </c>
      <c r="W92" t="s">
        <v>176</v>
      </c>
      <c r="X92">
        <v>29.92</v>
      </c>
      <c r="Y92" s="9">
        <f t="shared" si="5"/>
        <v>29.92</v>
      </c>
      <c r="Z92" s="9">
        <f t="shared" si="6"/>
        <v>56.1</v>
      </c>
      <c r="AA92" s="5">
        <f t="shared" si="7"/>
        <v>62.327100000000002</v>
      </c>
      <c r="AB92" s="6">
        <f t="shared" si="8"/>
        <v>90.876390000000001</v>
      </c>
      <c r="AD92" s="10">
        <f t="shared" si="9"/>
        <v>113.78370300000002</v>
      </c>
    </row>
    <row r="93" spans="1:30" x14ac:dyDescent="0.3">
      <c r="A93" t="s">
        <v>30</v>
      </c>
      <c r="B93" s="8" t="s">
        <v>31</v>
      </c>
      <c r="C93" s="8" t="s">
        <v>32</v>
      </c>
      <c r="D93" s="8" t="s">
        <v>33</v>
      </c>
      <c r="E93" s="8" t="s">
        <v>34</v>
      </c>
      <c r="F93" s="8" t="s">
        <v>35</v>
      </c>
      <c r="G93">
        <v>9032899000</v>
      </c>
      <c r="H93" t="s">
        <v>177</v>
      </c>
      <c r="I93" t="s">
        <v>178</v>
      </c>
      <c r="J93" t="s">
        <v>38</v>
      </c>
      <c r="K93" t="s">
        <v>39</v>
      </c>
      <c r="L93">
        <v>3</v>
      </c>
      <c r="M93">
        <v>2</v>
      </c>
      <c r="N93" t="s">
        <v>64</v>
      </c>
      <c r="O93">
        <v>0</v>
      </c>
      <c r="P93">
        <v>528.19000000000005</v>
      </c>
      <c r="Q93">
        <v>22.6</v>
      </c>
      <c r="R93">
        <v>3.41</v>
      </c>
      <c r="S93">
        <v>554.20000000000005</v>
      </c>
      <c r="T93" t="s">
        <v>41</v>
      </c>
      <c r="U93" t="s">
        <v>43</v>
      </c>
      <c r="V93" t="s">
        <v>38</v>
      </c>
      <c r="W93" t="s">
        <v>179</v>
      </c>
      <c r="X93">
        <v>264.10000000000002</v>
      </c>
      <c r="Y93" s="9">
        <f t="shared" si="5"/>
        <v>264.09500000000003</v>
      </c>
      <c r="Z93" s="9">
        <f t="shared" si="6"/>
        <v>495.17812500000002</v>
      </c>
      <c r="AA93" s="5">
        <f t="shared" si="7"/>
        <v>550.14289687500002</v>
      </c>
      <c r="AB93" s="6">
        <f t="shared" si="8"/>
        <v>802.13904468750002</v>
      </c>
      <c r="AD93" s="10">
        <f t="shared" si="9"/>
        <v>1004.3351284687501</v>
      </c>
    </row>
    <row r="94" spans="1:30" x14ac:dyDescent="0.3">
      <c r="A94" t="s">
        <v>30</v>
      </c>
      <c r="B94" s="8" t="s">
        <v>31</v>
      </c>
      <c r="C94" s="8" t="s">
        <v>32</v>
      </c>
      <c r="D94" s="8" t="s">
        <v>33</v>
      </c>
      <c r="E94" s="8" t="s">
        <v>34</v>
      </c>
      <c r="F94" s="8" t="s">
        <v>35</v>
      </c>
      <c r="G94">
        <v>9032899000</v>
      </c>
      <c r="H94" t="s">
        <v>177</v>
      </c>
      <c r="I94" t="s">
        <v>178</v>
      </c>
      <c r="J94" t="s">
        <v>38</v>
      </c>
      <c r="K94" t="s">
        <v>39</v>
      </c>
      <c r="L94">
        <v>3</v>
      </c>
      <c r="M94">
        <v>1</v>
      </c>
      <c r="N94" t="s">
        <v>64</v>
      </c>
      <c r="O94">
        <v>0</v>
      </c>
      <c r="P94">
        <v>272.31</v>
      </c>
      <c r="Q94">
        <v>11.65</v>
      </c>
      <c r="R94">
        <v>1.76</v>
      </c>
      <c r="S94">
        <v>285.72000000000003</v>
      </c>
      <c r="T94" t="s">
        <v>41</v>
      </c>
      <c r="U94" t="s">
        <v>43</v>
      </c>
      <c r="V94" t="s">
        <v>38</v>
      </c>
      <c r="W94" t="s">
        <v>180</v>
      </c>
      <c r="X94">
        <v>272.31</v>
      </c>
      <c r="Y94" s="9">
        <f t="shared" si="5"/>
        <v>272.31</v>
      </c>
      <c r="Z94" s="9">
        <f t="shared" si="6"/>
        <v>510.58125000000001</v>
      </c>
      <c r="AA94" s="5">
        <f t="shared" si="7"/>
        <v>567.25576875000002</v>
      </c>
      <c r="AB94" s="6">
        <f t="shared" si="8"/>
        <v>827.09056687499992</v>
      </c>
      <c r="AD94" s="10">
        <f t="shared" si="9"/>
        <v>1035.5762086875002</v>
      </c>
    </row>
    <row r="95" spans="1:30" x14ac:dyDescent="0.3">
      <c r="A95" t="s">
        <v>30</v>
      </c>
      <c r="B95" s="8" t="s">
        <v>31</v>
      </c>
      <c r="C95" s="8" t="s">
        <v>32</v>
      </c>
      <c r="D95" s="8" t="s">
        <v>33</v>
      </c>
      <c r="E95" s="8" t="s">
        <v>34</v>
      </c>
      <c r="F95" s="8" t="s">
        <v>35</v>
      </c>
      <c r="G95">
        <v>9032899000</v>
      </c>
      <c r="H95" t="s">
        <v>177</v>
      </c>
      <c r="I95" t="s">
        <v>181</v>
      </c>
      <c r="J95" t="s">
        <v>38</v>
      </c>
      <c r="K95" t="s">
        <v>39</v>
      </c>
      <c r="L95">
        <v>4</v>
      </c>
      <c r="M95">
        <v>1</v>
      </c>
      <c r="N95" t="s">
        <v>64</v>
      </c>
      <c r="O95">
        <v>0</v>
      </c>
      <c r="P95">
        <v>95.64</v>
      </c>
      <c r="Q95">
        <v>5.01</v>
      </c>
      <c r="R95">
        <v>0.62</v>
      </c>
      <c r="S95">
        <v>101.27</v>
      </c>
      <c r="T95" t="s">
        <v>41</v>
      </c>
      <c r="U95" t="s">
        <v>41</v>
      </c>
      <c r="V95" t="s">
        <v>38</v>
      </c>
      <c r="W95" t="s">
        <v>182</v>
      </c>
      <c r="X95">
        <v>95.64</v>
      </c>
      <c r="Y95" s="9">
        <f t="shared" si="5"/>
        <v>95.64</v>
      </c>
      <c r="Z95" s="9">
        <f t="shared" si="6"/>
        <v>179.32499999999999</v>
      </c>
      <c r="AA95" s="5">
        <f t="shared" si="7"/>
        <v>199.23007499999997</v>
      </c>
      <c r="AB95" s="6">
        <f t="shared" si="8"/>
        <v>290.48856749999999</v>
      </c>
      <c r="AD95" s="10">
        <f t="shared" si="9"/>
        <v>363.71234475</v>
      </c>
    </row>
    <row r="96" spans="1:30" x14ac:dyDescent="0.3">
      <c r="A96" t="s">
        <v>30</v>
      </c>
      <c r="B96" s="8" t="s">
        <v>31</v>
      </c>
      <c r="C96" s="8" t="s">
        <v>32</v>
      </c>
      <c r="D96" s="8" t="s">
        <v>33</v>
      </c>
      <c r="E96" s="8" t="s">
        <v>34</v>
      </c>
      <c r="F96" s="8" t="s">
        <v>35</v>
      </c>
      <c r="G96">
        <v>9032899000</v>
      </c>
      <c r="H96" t="s">
        <v>36</v>
      </c>
      <c r="I96" t="s">
        <v>183</v>
      </c>
      <c r="J96" t="s">
        <v>38</v>
      </c>
      <c r="K96" t="s">
        <v>39</v>
      </c>
      <c r="L96">
        <v>12</v>
      </c>
      <c r="M96">
        <v>1</v>
      </c>
      <c r="N96" t="s">
        <v>64</v>
      </c>
      <c r="O96">
        <v>0</v>
      </c>
      <c r="P96">
        <v>96.25</v>
      </c>
      <c r="Q96">
        <v>11.05</v>
      </c>
      <c r="R96">
        <v>0.64</v>
      </c>
      <c r="S96">
        <v>107.94</v>
      </c>
      <c r="T96" t="s">
        <v>41</v>
      </c>
      <c r="U96" t="s">
        <v>41</v>
      </c>
      <c r="V96" t="s">
        <v>38</v>
      </c>
      <c r="W96" t="s">
        <v>182</v>
      </c>
      <c r="X96">
        <v>96.25</v>
      </c>
      <c r="Y96" s="9">
        <f t="shared" si="5"/>
        <v>96.25</v>
      </c>
      <c r="Z96" s="9">
        <f t="shared" si="6"/>
        <v>180.46875</v>
      </c>
      <c r="AA96" s="5">
        <f t="shared" si="7"/>
        <v>200.50078124999999</v>
      </c>
      <c r="AB96" s="6">
        <f t="shared" si="8"/>
        <v>292.34132812499996</v>
      </c>
      <c r="AD96" s="10">
        <f t="shared" si="9"/>
        <v>366.03213281250004</v>
      </c>
    </row>
    <row r="97" spans="1:30" x14ac:dyDescent="0.3">
      <c r="A97" t="s">
        <v>30</v>
      </c>
      <c r="B97" s="8" t="s">
        <v>31</v>
      </c>
      <c r="C97" s="8" t="s">
        <v>32</v>
      </c>
      <c r="D97" s="8" t="s">
        <v>33</v>
      </c>
      <c r="E97" s="8" t="s">
        <v>34</v>
      </c>
      <c r="F97" s="8" t="s">
        <v>35</v>
      </c>
      <c r="G97">
        <v>8481805900</v>
      </c>
      <c r="H97" t="s">
        <v>53</v>
      </c>
      <c r="I97" t="s">
        <v>184</v>
      </c>
      <c r="J97" t="s">
        <v>38</v>
      </c>
      <c r="K97" t="s">
        <v>39</v>
      </c>
      <c r="L97">
        <v>8</v>
      </c>
      <c r="M97">
        <v>1</v>
      </c>
      <c r="N97" t="s">
        <v>64</v>
      </c>
      <c r="O97">
        <v>0</v>
      </c>
      <c r="P97">
        <v>119.07</v>
      </c>
      <c r="Q97">
        <v>12.71</v>
      </c>
      <c r="R97">
        <v>0.8</v>
      </c>
      <c r="S97">
        <v>132.58000000000001</v>
      </c>
      <c r="T97" t="s">
        <v>41</v>
      </c>
      <c r="U97" t="s">
        <v>41</v>
      </c>
      <c r="V97" t="s">
        <v>38</v>
      </c>
      <c r="W97" t="s">
        <v>185</v>
      </c>
      <c r="X97">
        <v>119.07</v>
      </c>
      <c r="Y97" s="9">
        <f t="shared" si="5"/>
        <v>119.07</v>
      </c>
      <c r="Z97" s="9">
        <f t="shared" si="6"/>
        <v>223.25624999999999</v>
      </c>
      <c r="AA97" s="5">
        <f t="shared" si="7"/>
        <v>248.03769374999999</v>
      </c>
      <c r="AB97" s="6">
        <f t="shared" si="8"/>
        <v>361.65279937499997</v>
      </c>
      <c r="AD97" s="10">
        <f t="shared" si="9"/>
        <v>452.81502393750003</v>
      </c>
    </row>
    <row r="98" spans="1:30" x14ac:dyDescent="0.3">
      <c r="A98" t="s">
        <v>30</v>
      </c>
      <c r="B98" s="8" t="s">
        <v>31</v>
      </c>
      <c r="C98" s="8" t="s">
        <v>32</v>
      </c>
      <c r="D98" s="8" t="s">
        <v>33</v>
      </c>
      <c r="E98" s="8" t="s">
        <v>34</v>
      </c>
      <c r="F98" s="8" t="s">
        <v>35</v>
      </c>
      <c r="G98">
        <v>9025199000</v>
      </c>
      <c r="H98" t="s">
        <v>177</v>
      </c>
      <c r="I98" t="s">
        <v>186</v>
      </c>
      <c r="J98" t="s">
        <v>38</v>
      </c>
      <c r="K98" t="s">
        <v>39</v>
      </c>
      <c r="L98">
        <v>7</v>
      </c>
      <c r="M98">
        <v>2</v>
      </c>
      <c r="N98" t="s">
        <v>64</v>
      </c>
      <c r="O98">
        <v>0</v>
      </c>
      <c r="P98">
        <v>133.6</v>
      </c>
      <c r="Q98">
        <v>21.11</v>
      </c>
      <c r="R98">
        <v>0.82</v>
      </c>
      <c r="S98">
        <v>155.53</v>
      </c>
      <c r="T98" t="s">
        <v>41</v>
      </c>
      <c r="U98" t="s">
        <v>41</v>
      </c>
      <c r="V98" t="s">
        <v>38</v>
      </c>
      <c r="W98" t="s">
        <v>187</v>
      </c>
      <c r="X98">
        <v>66.8</v>
      </c>
      <c r="Y98" s="9">
        <f t="shared" si="5"/>
        <v>66.8</v>
      </c>
      <c r="Z98" s="9">
        <f t="shared" si="6"/>
        <v>125.25</v>
      </c>
      <c r="AA98" s="5">
        <f t="shared" si="7"/>
        <v>139.15275</v>
      </c>
      <c r="AB98" s="6">
        <f t="shared" si="8"/>
        <v>202.89247499999999</v>
      </c>
      <c r="AD98" s="10">
        <f t="shared" si="9"/>
        <v>254.03580750000003</v>
      </c>
    </row>
    <row r="99" spans="1:30" x14ac:dyDescent="0.3">
      <c r="A99" t="s">
        <v>30</v>
      </c>
      <c r="B99" s="8" t="s">
        <v>31</v>
      </c>
      <c r="C99" s="8" t="s">
        <v>32</v>
      </c>
      <c r="D99" s="8" t="s">
        <v>33</v>
      </c>
      <c r="E99" s="8" t="s">
        <v>34</v>
      </c>
      <c r="F99" s="8" t="s">
        <v>35</v>
      </c>
      <c r="G99">
        <v>9025199000</v>
      </c>
      <c r="H99" t="s">
        <v>177</v>
      </c>
      <c r="I99" t="s">
        <v>186</v>
      </c>
      <c r="J99" t="s">
        <v>38</v>
      </c>
      <c r="K99" t="s">
        <v>39</v>
      </c>
      <c r="L99">
        <v>6</v>
      </c>
      <c r="M99">
        <v>4</v>
      </c>
      <c r="N99" t="s">
        <v>64</v>
      </c>
      <c r="O99">
        <v>0</v>
      </c>
      <c r="P99">
        <v>114.64</v>
      </c>
      <c r="Q99">
        <v>13.86</v>
      </c>
      <c r="R99">
        <v>0.8</v>
      </c>
      <c r="S99">
        <v>129.30000000000001</v>
      </c>
      <c r="T99" t="s">
        <v>41</v>
      </c>
      <c r="U99" t="s">
        <v>43</v>
      </c>
      <c r="V99" t="s">
        <v>38</v>
      </c>
      <c r="W99" t="s">
        <v>188</v>
      </c>
      <c r="X99">
        <v>28.66</v>
      </c>
      <c r="Y99" s="9">
        <f t="shared" si="5"/>
        <v>28.66</v>
      </c>
      <c r="Z99" s="9">
        <f t="shared" si="6"/>
        <v>53.737499999999997</v>
      </c>
      <c r="AA99" s="5">
        <f t="shared" si="7"/>
        <v>59.7023625</v>
      </c>
      <c r="AB99" s="6">
        <f t="shared" si="8"/>
        <v>87.049376249999995</v>
      </c>
      <c r="AD99" s="10">
        <f t="shared" si="9"/>
        <v>108.99200962500001</v>
      </c>
    </row>
    <row r="100" spans="1:30" x14ac:dyDescent="0.3">
      <c r="A100" t="s">
        <v>30</v>
      </c>
      <c r="B100" s="8" t="s">
        <v>31</v>
      </c>
      <c r="C100" s="8" t="s">
        <v>32</v>
      </c>
      <c r="D100" s="8" t="s">
        <v>33</v>
      </c>
      <c r="E100" s="8" t="s">
        <v>34</v>
      </c>
      <c r="F100" s="8" t="s">
        <v>35</v>
      </c>
      <c r="G100">
        <v>9025199000</v>
      </c>
      <c r="H100" t="s">
        <v>177</v>
      </c>
      <c r="I100" t="s">
        <v>186</v>
      </c>
      <c r="J100" t="s">
        <v>38</v>
      </c>
      <c r="K100" t="s">
        <v>39</v>
      </c>
      <c r="L100">
        <v>6</v>
      </c>
      <c r="M100">
        <v>4</v>
      </c>
      <c r="N100" t="s">
        <v>64</v>
      </c>
      <c r="O100">
        <v>0</v>
      </c>
      <c r="P100">
        <v>117.3</v>
      </c>
      <c r="Q100">
        <v>7.96</v>
      </c>
      <c r="R100">
        <v>0.76</v>
      </c>
      <c r="S100">
        <v>126.02</v>
      </c>
      <c r="T100" t="s">
        <v>41</v>
      </c>
      <c r="U100" t="s">
        <v>41</v>
      </c>
      <c r="V100" t="s">
        <v>38</v>
      </c>
      <c r="W100" t="s">
        <v>188</v>
      </c>
      <c r="X100">
        <v>29.32</v>
      </c>
      <c r="Y100" s="9">
        <f t="shared" si="5"/>
        <v>29.324999999999999</v>
      </c>
      <c r="Z100" s="9">
        <f t="shared" si="6"/>
        <v>54.984375</v>
      </c>
      <c r="AA100" s="5">
        <f t="shared" si="7"/>
        <v>61.087640624999999</v>
      </c>
      <c r="AB100" s="6">
        <f t="shared" si="8"/>
        <v>89.069189062500001</v>
      </c>
      <c r="AD100" s="10">
        <f t="shared" si="9"/>
        <v>111.52095890625002</v>
      </c>
    </row>
    <row r="101" spans="1:30" x14ac:dyDescent="0.3">
      <c r="A101" t="s">
        <v>30</v>
      </c>
      <c r="B101" s="8" t="s">
        <v>31</v>
      </c>
      <c r="C101" s="8" t="s">
        <v>32</v>
      </c>
      <c r="D101" s="8" t="s">
        <v>33</v>
      </c>
      <c r="E101" s="8" t="s">
        <v>34</v>
      </c>
      <c r="F101" s="8" t="s">
        <v>35</v>
      </c>
      <c r="G101">
        <v>9025199000</v>
      </c>
      <c r="H101" t="s">
        <v>36</v>
      </c>
      <c r="I101" t="s">
        <v>189</v>
      </c>
      <c r="J101" t="s">
        <v>74</v>
      </c>
      <c r="K101" t="s">
        <v>39</v>
      </c>
      <c r="L101">
        <v>7</v>
      </c>
      <c r="M101">
        <v>4</v>
      </c>
      <c r="N101" t="s">
        <v>64</v>
      </c>
      <c r="O101">
        <v>0</v>
      </c>
      <c r="P101">
        <v>117.05</v>
      </c>
      <c r="Q101">
        <v>6.61</v>
      </c>
      <c r="R101">
        <v>0.75</v>
      </c>
      <c r="S101">
        <v>124.41</v>
      </c>
      <c r="T101" t="s">
        <v>75</v>
      </c>
      <c r="U101" t="s">
        <v>189</v>
      </c>
      <c r="V101" t="s">
        <v>74</v>
      </c>
      <c r="W101" t="s">
        <v>188</v>
      </c>
      <c r="X101">
        <v>29.26</v>
      </c>
      <c r="Y101" s="9">
        <f t="shared" si="5"/>
        <v>29.262499999999999</v>
      </c>
      <c r="Z101" s="9">
        <f t="shared" si="6"/>
        <v>54.8671875</v>
      </c>
      <c r="AA101" s="5">
        <f t="shared" si="7"/>
        <v>60.957445312499999</v>
      </c>
      <c r="AB101" s="6">
        <f t="shared" si="8"/>
        <v>88.879357031249995</v>
      </c>
      <c r="AD101" s="10">
        <f t="shared" si="9"/>
        <v>111.28327570312501</v>
      </c>
    </row>
    <row r="102" spans="1:30" x14ac:dyDescent="0.3">
      <c r="A102" t="s">
        <v>30</v>
      </c>
      <c r="B102" s="8" t="s">
        <v>31</v>
      </c>
      <c r="C102" s="8" t="s">
        <v>32</v>
      </c>
      <c r="D102" s="8" t="s">
        <v>69</v>
      </c>
      <c r="E102" s="8" t="s">
        <v>70</v>
      </c>
      <c r="F102" s="8" t="s">
        <v>71</v>
      </c>
      <c r="G102">
        <v>9025199000</v>
      </c>
      <c r="H102" t="s">
        <v>36</v>
      </c>
      <c r="I102" t="s">
        <v>186</v>
      </c>
      <c r="J102" t="s">
        <v>38</v>
      </c>
      <c r="K102" t="s">
        <v>39</v>
      </c>
      <c r="L102">
        <v>8</v>
      </c>
      <c r="M102">
        <v>5</v>
      </c>
      <c r="N102" t="s">
        <v>64</v>
      </c>
      <c r="O102">
        <v>0</v>
      </c>
      <c r="P102">
        <v>143.44999999999999</v>
      </c>
      <c r="Q102">
        <v>9.39</v>
      </c>
      <c r="R102">
        <v>0.93</v>
      </c>
      <c r="S102">
        <v>153.77000000000001</v>
      </c>
      <c r="T102" t="s">
        <v>41</v>
      </c>
      <c r="U102" t="s">
        <v>41</v>
      </c>
      <c r="V102" t="s">
        <v>38</v>
      </c>
      <c r="W102" t="s">
        <v>188</v>
      </c>
      <c r="X102">
        <v>28.69</v>
      </c>
      <c r="Y102" s="9">
        <f t="shared" si="5"/>
        <v>28.689999999999998</v>
      </c>
      <c r="Z102" s="9">
        <f t="shared" si="6"/>
        <v>53.793749999999996</v>
      </c>
      <c r="AA102" s="5">
        <f t="shared" si="7"/>
        <v>59.764856249999994</v>
      </c>
      <c r="AB102" s="6">
        <f t="shared" si="8"/>
        <v>87.140495624999986</v>
      </c>
      <c r="AD102" s="10">
        <f t="shared" si="9"/>
        <v>109.1060975625</v>
      </c>
    </row>
    <row r="103" spans="1:30" x14ac:dyDescent="0.3">
      <c r="A103" t="s">
        <v>30</v>
      </c>
      <c r="B103" s="8" t="s">
        <v>31</v>
      </c>
      <c r="C103" s="8" t="s">
        <v>32</v>
      </c>
      <c r="D103" s="8" t="s">
        <v>33</v>
      </c>
      <c r="E103" s="8" t="s">
        <v>34</v>
      </c>
      <c r="F103" s="8" t="s">
        <v>35</v>
      </c>
      <c r="G103">
        <v>9025199000</v>
      </c>
      <c r="H103" t="s">
        <v>36</v>
      </c>
      <c r="I103" t="s">
        <v>186</v>
      </c>
      <c r="J103" t="s">
        <v>38</v>
      </c>
      <c r="K103" t="s">
        <v>39</v>
      </c>
      <c r="L103">
        <v>12</v>
      </c>
      <c r="M103">
        <v>5</v>
      </c>
      <c r="N103" t="s">
        <v>64</v>
      </c>
      <c r="O103">
        <v>0</v>
      </c>
      <c r="P103">
        <v>147.65</v>
      </c>
      <c r="Q103">
        <v>16.95</v>
      </c>
      <c r="R103">
        <v>0.98</v>
      </c>
      <c r="S103">
        <v>165.59</v>
      </c>
      <c r="T103" t="s">
        <v>41</v>
      </c>
      <c r="U103" t="s">
        <v>41</v>
      </c>
      <c r="V103" t="s">
        <v>38</v>
      </c>
      <c r="W103" t="s">
        <v>188</v>
      </c>
      <c r="X103">
        <v>29.53</v>
      </c>
      <c r="Y103" s="9">
        <f t="shared" si="5"/>
        <v>29.53</v>
      </c>
      <c r="Z103" s="9">
        <f t="shared" si="6"/>
        <v>55.368750000000006</v>
      </c>
      <c r="AA103" s="5">
        <f t="shared" si="7"/>
        <v>61.514681250000002</v>
      </c>
      <c r="AB103" s="6">
        <f t="shared" si="8"/>
        <v>89.691838125000004</v>
      </c>
      <c r="AD103" s="10">
        <f t="shared" si="9"/>
        <v>112.30055981250003</v>
      </c>
    </row>
    <row r="104" spans="1:30" x14ac:dyDescent="0.3">
      <c r="A104" t="s">
        <v>30</v>
      </c>
      <c r="B104" s="8" t="s">
        <v>31</v>
      </c>
      <c r="C104" s="8" t="s">
        <v>32</v>
      </c>
      <c r="D104" s="8" t="s">
        <v>69</v>
      </c>
      <c r="E104" s="8" t="s">
        <v>70</v>
      </c>
      <c r="F104" s="8" t="s">
        <v>71</v>
      </c>
      <c r="G104">
        <v>9025199000</v>
      </c>
      <c r="H104" t="s">
        <v>177</v>
      </c>
      <c r="I104" t="s">
        <v>186</v>
      </c>
      <c r="J104" t="s">
        <v>38</v>
      </c>
      <c r="K104" t="s">
        <v>39</v>
      </c>
      <c r="L104">
        <v>9</v>
      </c>
      <c r="M104">
        <v>2</v>
      </c>
      <c r="N104" t="s">
        <v>64</v>
      </c>
      <c r="O104">
        <v>0</v>
      </c>
      <c r="P104">
        <v>53.22</v>
      </c>
      <c r="Q104">
        <v>2.68</v>
      </c>
      <c r="R104">
        <v>0.34</v>
      </c>
      <c r="S104">
        <v>56.24</v>
      </c>
      <c r="T104" t="s">
        <v>41</v>
      </c>
      <c r="U104" t="s">
        <v>43</v>
      </c>
      <c r="V104" t="s">
        <v>38</v>
      </c>
      <c r="W104" t="s">
        <v>190</v>
      </c>
      <c r="X104">
        <v>26.61</v>
      </c>
      <c r="Y104" s="9">
        <f t="shared" si="5"/>
        <v>26.61</v>
      </c>
      <c r="Z104" s="9">
        <f t="shared" si="6"/>
        <v>49.893749999999997</v>
      </c>
      <c r="AA104" s="5">
        <f t="shared" si="7"/>
        <v>55.431956249999999</v>
      </c>
      <c r="AB104" s="6">
        <f t="shared" si="8"/>
        <v>80.822885624999984</v>
      </c>
      <c r="AD104" s="10">
        <f t="shared" si="9"/>
        <v>101.1960005625</v>
      </c>
    </row>
    <row r="105" spans="1:30" x14ac:dyDescent="0.3">
      <c r="A105" t="s">
        <v>168</v>
      </c>
      <c r="B105" s="8" t="s">
        <v>66</v>
      </c>
      <c r="C105" s="8" t="s">
        <v>32</v>
      </c>
      <c r="D105" s="8" t="s">
        <v>33</v>
      </c>
      <c r="E105" s="8" t="s">
        <v>34</v>
      </c>
      <c r="F105" s="8" t="s">
        <v>35</v>
      </c>
      <c r="G105">
        <v>8481805900</v>
      </c>
      <c r="H105" t="s">
        <v>36</v>
      </c>
      <c r="I105" t="s">
        <v>191</v>
      </c>
      <c r="J105" t="s">
        <v>38</v>
      </c>
      <c r="K105" t="s">
        <v>39</v>
      </c>
      <c r="L105">
        <v>11</v>
      </c>
      <c r="M105">
        <v>4</v>
      </c>
      <c r="N105" t="s">
        <v>64</v>
      </c>
      <c r="O105">
        <v>0</v>
      </c>
      <c r="P105">
        <v>382.13</v>
      </c>
      <c r="Q105">
        <v>36.6</v>
      </c>
      <c r="R105">
        <v>2.58</v>
      </c>
      <c r="S105">
        <v>421.3</v>
      </c>
      <c r="T105" t="s">
        <v>41</v>
      </c>
      <c r="U105" t="s">
        <v>43</v>
      </c>
      <c r="V105" t="s">
        <v>38</v>
      </c>
      <c r="W105" t="s">
        <v>192</v>
      </c>
      <c r="X105">
        <v>95.53</v>
      </c>
      <c r="Y105" s="9">
        <f t="shared" si="5"/>
        <v>95.532499999999999</v>
      </c>
      <c r="Z105" s="9">
        <f t="shared" si="6"/>
        <v>179.12343749999999</v>
      </c>
      <c r="AA105" s="5">
        <f t="shared" si="7"/>
        <v>199.00613906249998</v>
      </c>
      <c r="AB105" s="6">
        <f t="shared" si="8"/>
        <v>290.16205640624997</v>
      </c>
      <c r="AD105" s="10">
        <f t="shared" si="9"/>
        <v>363.30352964062502</v>
      </c>
    </row>
    <row r="106" spans="1:30" x14ac:dyDescent="0.3">
      <c r="A106" t="s">
        <v>30</v>
      </c>
      <c r="B106" s="8" t="s">
        <v>66</v>
      </c>
      <c r="C106" s="8" t="s">
        <v>32</v>
      </c>
      <c r="D106" s="8" t="s">
        <v>33</v>
      </c>
      <c r="E106" s="8" t="s">
        <v>34</v>
      </c>
      <c r="F106" s="8" t="s">
        <v>35</v>
      </c>
      <c r="G106">
        <v>8481805900</v>
      </c>
      <c r="H106" t="s">
        <v>53</v>
      </c>
      <c r="I106" t="s">
        <v>191</v>
      </c>
      <c r="J106" t="s">
        <v>38</v>
      </c>
      <c r="K106" t="s">
        <v>39</v>
      </c>
      <c r="L106">
        <v>8</v>
      </c>
      <c r="M106">
        <v>6</v>
      </c>
      <c r="N106" t="s">
        <v>64</v>
      </c>
      <c r="O106">
        <v>0</v>
      </c>
      <c r="P106">
        <v>752.53</v>
      </c>
      <c r="Q106">
        <v>42.6</v>
      </c>
      <c r="R106">
        <v>4.8</v>
      </c>
      <c r="S106">
        <v>799.94</v>
      </c>
      <c r="T106" t="s">
        <v>41</v>
      </c>
      <c r="U106" t="s">
        <v>41</v>
      </c>
      <c r="V106" t="s">
        <v>38</v>
      </c>
      <c r="W106" t="s">
        <v>193</v>
      </c>
      <c r="X106">
        <v>125.42</v>
      </c>
      <c r="Y106" s="9">
        <f t="shared" si="5"/>
        <v>125.42166666666667</v>
      </c>
      <c r="Z106" s="9">
        <f t="shared" si="6"/>
        <v>235.16562500000001</v>
      </c>
      <c r="AA106" s="5">
        <f t="shared" si="7"/>
        <v>261.269009375</v>
      </c>
      <c r="AB106" s="6">
        <f t="shared" si="8"/>
        <v>380.94479593749998</v>
      </c>
      <c r="AD106" s="10">
        <f t="shared" si="9"/>
        <v>476.96997559375006</v>
      </c>
    </row>
    <row r="107" spans="1:30" x14ac:dyDescent="0.3">
      <c r="A107" t="s">
        <v>30</v>
      </c>
      <c r="B107" s="8" t="s">
        <v>66</v>
      </c>
      <c r="C107" s="8" t="s">
        <v>32</v>
      </c>
      <c r="D107" s="8" t="s">
        <v>33</v>
      </c>
      <c r="E107" s="8" t="s">
        <v>34</v>
      </c>
      <c r="F107" s="8" t="s">
        <v>35</v>
      </c>
      <c r="G107">
        <v>8481805900</v>
      </c>
      <c r="H107" t="s">
        <v>53</v>
      </c>
      <c r="I107" t="s">
        <v>191</v>
      </c>
      <c r="J107" t="s">
        <v>38</v>
      </c>
      <c r="K107" t="s">
        <v>39</v>
      </c>
      <c r="L107">
        <v>8</v>
      </c>
      <c r="M107">
        <v>5</v>
      </c>
      <c r="N107" t="s">
        <v>64</v>
      </c>
      <c r="O107">
        <v>0</v>
      </c>
      <c r="P107">
        <v>159.96</v>
      </c>
      <c r="Q107">
        <v>20.04</v>
      </c>
      <c r="R107">
        <v>1.0900000000000001</v>
      </c>
      <c r="S107">
        <v>181.09</v>
      </c>
      <c r="T107" t="s">
        <v>41</v>
      </c>
      <c r="U107" t="s">
        <v>41</v>
      </c>
      <c r="V107" t="s">
        <v>38</v>
      </c>
      <c r="W107" t="s">
        <v>194</v>
      </c>
      <c r="X107">
        <v>31.99</v>
      </c>
      <c r="Y107" s="9">
        <f t="shared" si="5"/>
        <v>31.992000000000001</v>
      </c>
      <c r="Z107" s="9">
        <f t="shared" si="6"/>
        <v>59.984999999999999</v>
      </c>
      <c r="AA107" s="5">
        <f t="shared" si="7"/>
        <v>66.643334999999993</v>
      </c>
      <c r="AB107" s="6">
        <f t="shared" si="8"/>
        <v>97.169701499999988</v>
      </c>
      <c r="AD107" s="10">
        <f t="shared" si="9"/>
        <v>121.66337655000001</v>
      </c>
    </row>
    <row r="108" spans="1:30" x14ac:dyDescent="0.3">
      <c r="A108" t="s">
        <v>30</v>
      </c>
      <c r="B108" s="8" t="s">
        <v>31</v>
      </c>
      <c r="C108" s="8" t="s">
        <v>32</v>
      </c>
      <c r="D108" s="8" t="s">
        <v>33</v>
      </c>
      <c r="E108" s="8" t="s">
        <v>34</v>
      </c>
      <c r="F108" s="8" t="s">
        <v>35</v>
      </c>
      <c r="G108">
        <v>8536901000</v>
      </c>
      <c r="H108" t="s">
        <v>195</v>
      </c>
      <c r="I108" t="s">
        <v>172</v>
      </c>
      <c r="J108" t="s">
        <v>38</v>
      </c>
      <c r="K108" t="s">
        <v>39</v>
      </c>
      <c r="L108">
        <v>7</v>
      </c>
      <c r="M108">
        <v>2</v>
      </c>
      <c r="N108" t="s">
        <v>64</v>
      </c>
      <c r="O108">
        <v>0</v>
      </c>
      <c r="P108">
        <v>24.41</v>
      </c>
      <c r="Q108">
        <v>3.86</v>
      </c>
      <c r="R108">
        <v>0.15</v>
      </c>
      <c r="S108">
        <v>28.42</v>
      </c>
      <c r="T108" t="s">
        <v>41</v>
      </c>
      <c r="U108" t="s">
        <v>41</v>
      </c>
      <c r="V108" t="s">
        <v>38</v>
      </c>
      <c r="W108" t="s">
        <v>196</v>
      </c>
      <c r="X108">
        <v>12.21</v>
      </c>
      <c r="Y108" s="9">
        <f t="shared" si="5"/>
        <v>12.205</v>
      </c>
      <c r="Z108" s="9">
        <f t="shared" si="6"/>
        <v>22.884374999999999</v>
      </c>
      <c r="AA108" s="5">
        <f t="shared" si="7"/>
        <v>25.424540624999999</v>
      </c>
      <c r="AB108" s="6">
        <f t="shared" si="8"/>
        <v>37.070399062499995</v>
      </c>
      <c r="AD108" s="10">
        <f t="shared" si="9"/>
        <v>46.41477590625</v>
      </c>
    </row>
    <row r="109" spans="1:30" x14ac:dyDescent="0.3">
      <c r="A109" t="s">
        <v>30</v>
      </c>
      <c r="B109" s="8" t="s">
        <v>31</v>
      </c>
      <c r="C109" s="8" t="s">
        <v>32</v>
      </c>
      <c r="D109" s="8" t="s">
        <v>33</v>
      </c>
      <c r="E109" s="8" t="s">
        <v>34</v>
      </c>
      <c r="F109" s="8" t="s">
        <v>35</v>
      </c>
      <c r="G109">
        <v>8481805900</v>
      </c>
      <c r="H109" t="s">
        <v>53</v>
      </c>
      <c r="I109" t="s">
        <v>191</v>
      </c>
      <c r="J109" t="s">
        <v>38</v>
      </c>
      <c r="K109" t="s">
        <v>39</v>
      </c>
      <c r="L109">
        <v>8</v>
      </c>
      <c r="M109">
        <v>5</v>
      </c>
      <c r="N109" t="s">
        <v>64</v>
      </c>
      <c r="O109">
        <v>0</v>
      </c>
      <c r="P109">
        <v>218.54</v>
      </c>
      <c r="Q109">
        <v>12.37</v>
      </c>
      <c r="R109">
        <v>1.39</v>
      </c>
      <c r="S109">
        <v>232.31</v>
      </c>
      <c r="T109" t="s">
        <v>41</v>
      </c>
      <c r="U109" t="s">
        <v>41</v>
      </c>
      <c r="V109" t="s">
        <v>38</v>
      </c>
      <c r="W109" t="s">
        <v>197</v>
      </c>
      <c r="X109">
        <v>43.71</v>
      </c>
      <c r="Y109" s="9">
        <f t="shared" si="5"/>
        <v>43.707999999999998</v>
      </c>
      <c r="Z109" s="9">
        <f t="shared" si="6"/>
        <v>81.952500000000001</v>
      </c>
      <c r="AA109" s="5">
        <f t="shared" si="7"/>
        <v>91.049227500000001</v>
      </c>
      <c r="AB109" s="6">
        <f t="shared" si="8"/>
        <v>132.75485474999999</v>
      </c>
      <c r="AD109" s="10">
        <f t="shared" si="9"/>
        <v>166.21851907500002</v>
      </c>
    </row>
    <row r="110" spans="1:30" x14ac:dyDescent="0.3">
      <c r="A110" t="s">
        <v>30</v>
      </c>
      <c r="B110" s="8" t="s">
        <v>31</v>
      </c>
      <c r="C110" s="8" t="s">
        <v>32</v>
      </c>
      <c r="D110" s="8" t="s">
        <v>33</v>
      </c>
      <c r="E110" s="8" t="s">
        <v>34</v>
      </c>
      <c r="F110" s="8" t="s">
        <v>35</v>
      </c>
      <c r="G110">
        <v>8481805900</v>
      </c>
      <c r="H110" t="s">
        <v>36</v>
      </c>
      <c r="I110" t="s">
        <v>191</v>
      </c>
      <c r="J110" t="s">
        <v>38</v>
      </c>
      <c r="K110" t="s">
        <v>39</v>
      </c>
      <c r="L110">
        <v>3</v>
      </c>
      <c r="M110">
        <v>8</v>
      </c>
      <c r="N110" t="s">
        <v>64</v>
      </c>
      <c r="O110">
        <v>0</v>
      </c>
      <c r="P110">
        <v>983.1</v>
      </c>
      <c r="Q110">
        <v>42.07</v>
      </c>
      <c r="R110">
        <v>6.34</v>
      </c>
      <c r="S110">
        <v>1031.51</v>
      </c>
      <c r="T110" t="s">
        <v>41</v>
      </c>
      <c r="U110" t="s">
        <v>43</v>
      </c>
      <c r="V110" t="s">
        <v>38</v>
      </c>
      <c r="W110" t="s">
        <v>198</v>
      </c>
      <c r="X110">
        <v>122.89</v>
      </c>
      <c r="Y110" s="9">
        <f t="shared" si="5"/>
        <v>122.8875</v>
      </c>
      <c r="Z110" s="9">
        <f t="shared" si="6"/>
        <v>230.4140625</v>
      </c>
      <c r="AA110" s="5">
        <f t="shared" si="7"/>
        <v>255.99002343749999</v>
      </c>
      <c r="AB110" s="6">
        <f t="shared" si="8"/>
        <v>373.24773984374997</v>
      </c>
      <c r="AD110" s="10">
        <f t="shared" si="9"/>
        <v>467.33271398437506</v>
      </c>
    </row>
    <row r="111" spans="1:30" x14ac:dyDescent="0.3">
      <c r="A111" t="s">
        <v>30</v>
      </c>
      <c r="B111" s="8" t="s">
        <v>31</v>
      </c>
      <c r="C111" s="8" t="s">
        <v>32</v>
      </c>
      <c r="D111" s="8" t="s">
        <v>33</v>
      </c>
      <c r="E111" s="8" t="s">
        <v>34</v>
      </c>
      <c r="F111" s="8" t="s">
        <v>35</v>
      </c>
      <c r="G111">
        <v>8481805900</v>
      </c>
      <c r="H111" t="s">
        <v>36</v>
      </c>
      <c r="I111" t="s">
        <v>191</v>
      </c>
      <c r="J111" t="s">
        <v>38</v>
      </c>
      <c r="K111" t="s">
        <v>39</v>
      </c>
      <c r="L111">
        <v>3</v>
      </c>
      <c r="M111">
        <v>3</v>
      </c>
      <c r="N111" t="s">
        <v>64</v>
      </c>
      <c r="O111">
        <v>0</v>
      </c>
      <c r="P111">
        <v>126.7</v>
      </c>
      <c r="Q111">
        <v>5.42</v>
      </c>
      <c r="R111">
        <v>0.82</v>
      </c>
      <c r="S111">
        <v>132.94</v>
      </c>
      <c r="T111" t="s">
        <v>41</v>
      </c>
      <c r="U111" t="s">
        <v>43</v>
      </c>
      <c r="V111" t="s">
        <v>38</v>
      </c>
      <c r="W111" t="s">
        <v>199</v>
      </c>
      <c r="X111">
        <v>42.23</v>
      </c>
      <c r="Y111" s="9">
        <f t="shared" si="5"/>
        <v>42.233333333333334</v>
      </c>
      <c r="Z111" s="9">
        <f t="shared" si="6"/>
        <v>79.1875</v>
      </c>
      <c r="AA111" s="5">
        <f t="shared" si="7"/>
        <v>87.977312499999996</v>
      </c>
      <c r="AB111" s="6">
        <f t="shared" si="8"/>
        <v>128.27583124999998</v>
      </c>
      <c r="AD111" s="10">
        <f t="shared" si="9"/>
        <v>160.61046312500002</v>
      </c>
    </row>
    <row r="112" spans="1:30" x14ac:dyDescent="0.3">
      <c r="A112" t="s">
        <v>30</v>
      </c>
      <c r="B112" s="8" t="s">
        <v>31</v>
      </c>
      <c r="C112" s="8" t="s">
        <v>32</v>
      </c>
      <c r="D112" s="8" t="s">
        <v>33</v>
      </c>
      <c r="E112" s="8" t="s">
        <v>34</v>
      </c>
      <c r="F112" s="8" t="s">
        <v>35</v>
      </c>
      <c r="G112">
        <v>8481805900</v>
      </c>
      <c r="H112" t="s">
        <v>53</v>
      </c>
      <c r="I112" t="s">
        <v>191</v>
      </c>
      <c r="J112" t="s">
        <v>38</v>
      </c>
      <c r="K112" t="s">
        <v>39</v>
      </c>
      <c r="L112">
        <v>8</v>
      </c>
      <c r="M112">
        <v>5</v>
      </c>
      <c r="N112" t="s">
        <v>64</v>
      </c>
      <c r="O112">
        <v>0</v>
      </c>
      <c r="P112">
        <v>211.85</v>
      </c>
      <c r="Q112">
        <v>22.61</v>
      </c>
      <c r="R112">
        <v>1.42</v>
      </c>
      <c r="S112">
        <v>235.89</v>
      </c>
      <c r="T112" t="s">
        <v>41</v>
      </c>
      <c r="U112" t="s">
        <v>41</v>
      </c>
      <c r="V112" t="s">
        <v>38</v>
      </c>
      <c r="W112" t="s">
        <v>199</v>
      </c>
      <c r="X112">
        <v>42.37</v>
      </c>
      <c r="Y112" s="9">
        <f t="shared" si="5"/>
        <v>42.37</v>
      </c>
      <c r="Z112" s="9">
        <f t="shared" si="6"/>
        <v>79.443749999999994</v>
      </c>
      <c r="AA112" s="5">
        <f t="shared" si="7"/>
        <v>88.262006249999999</v>
      </c>
      <c r="AB112" s="6">
        <f t="shared" si="8"/>
        <v>128.69093062499999</v>
      </c>
      <c r="AD112" s="10">
        <f t="shared" si="9"/>
        <v>161.1301970625</v>
      </c>
    </row>
    <row r="113" spans="1:30" x14ac:dyDescent="0.3">
      <c r="A113" t="s">
        <v>30</v>
      </c>
      <c r="B113" s="8" t="s">
        <v>31</v>
      </c>
      <c r="C113" s="8" t="s">
        <v>32</v>
      </c>
      <c r="D113" s="8" t="s">
        <v>33</v>
      </c>
      <c r="E113" s="8" t="s">
        <v>34</v>
      </c>
      <c r="F113" s="8" t="s">
        <v>35</v>
      </c>
      <c r="G113">
        <v>8481805900</v>
      </c>
      <c r="H113" t="s">
        <v>53</v>
      </c>
      <c r="I113" t="s">
        <v>191</v>
      </c>
      <c r="J113" t="s">
        <v>38</v>
      </c>
      <c r="K113" t="s">
        <v>39</v>
      </c>
      <c r="L113">
        <v>8</v>
      </c>
      <c r="M113">
        <v>8</v>
      </c>
      <c r="N113" t="s">
        <v>64</v>
      </c>
      <c r="O113">
        <v>0</v>
      </c>
      <c r="P113">
        <v>336.98</v>
      </c>
      <c r="Q113">
        <v>19.079999999999998</v>
      </c>
      <c r="R113">
        <v>2.15</v>
      </c>
      <c r="S113">
        <v>358.21</v>
      </c>
      <c r="T113" t="s">
        <v>41</v>
      </c>
      <c r="U113" t="s">
        <v>41</v>
      </c>
      <c r="V113" t="s">
        <v>38</v>
      </c>
      <c r="W113" t="s">
        <v>199</v>
      </c>
      <c r="X113">
        <v>42.12</v>
      </c>
      <c r="Y113" s="9">
        <f t="shared" si="5"/>
        <v>42.122500000000002</v>
      </c>
      <c r="Z113" s="9">
        <f t="shared" si="6"/>
        <v>78.979687500000011</v>
      </c>
      <c r="AA113" s="5">
        <f t="shared" si="7"/>
        <v>87.746432812500018</v>
      </c>
      <c r="AB113" s="6">
        <f t="shared" si="8"/>
        <v>127.93919578125001</v>
      </c>
      <c r="AD113" s="10">
        <f t="shared" si="9"/>
        <v>160.18897157812503</v>
      </c>
    </row>
    <row r="114" spans="1:30" x14ac:dyDescent="0.3">
      <c r="A114" t="s">
        <v>30</v>
      </c>
      <c r="B114" s="8" t="s">
        <v>31</v>
      </c>
      <c r="C114" s="8" t="s">
        <v>32</v>
      </c>
      <c r="D114" s="8" t="s">
        <v>69</v>
      </c>
      <c r="E114" s="8" t="s">
        <v>70</v>
      </c>
      <c r="F114" s="8" t="s">
        <v>71</v>
      </c>
      <c r="G114">
        <v>8481805900</v>
      </c>
      <c r="H114" t="s">
        <v>53</v>
      </c>
      <c r="I114" t="s">
        <v>191</v>
      </c>
      <c r="J114" t="s">
        <v>38</v>
      </c>
      <c r="K114" t="s">
        <v>39</v>
      </c>
      <c r="L114">
        <v>8</v>
      </c>
      <c r="M114">
        <v>2</v>
      </c>
      <c r="N114" t="s">
        <v>64</v>
      </c>
      <c r="O114">
        <v>0</v>
      </c>
      <c r="P114">
        <v>88.84</v>
      </c>
      <c r="Q114">
        <v>5.82</v>
      </c>
      <c r="R114">
        <v>0.57999999999999996</v>
      </c>
      <c r="S114">
        <v>95.23</v>
      </c>
      <c r="T114" t="s">
        <v>41</v>
      </c>
      <c r="U114" t="s">
        <v>41</v>
      </c>
      <c r="V114" t="s">
        <v>38</v>
      </c>
      <c r="W114" t="s">
        <v>200</v>
      </c>
      <c r="X114">
        <v>44.42</v>
      </c>
      <c r="Y114" s="9">
        <f t="shared" si="5"/>
        <v>44.42</v>
      </c>
      <c r="Z114" s="9">
        <f t="shared" si="6"/>
        <v>83.287500000000009</v>
      </c>
      <c r="AA114" s="5">
        <f t="shared" si="7"/>
        <v>92.532412500000007</v>
      </c>
      <c r="AB114" s="6">
        <f t="shared" si="8"/>
        <v>134.91742125000002</v>
      </c>
      <c r="AD114" s="10">
        <f t="shared" si="9"/>
        <v>168.92620612500002</v>
      </c>
    </row>
    <row r="115" spans="1:30" x14ac:dyDescent="0.3">
      <c r="A115" t="s">
        <v>30</v>
      </c>
      <c r="B115" s="8" t="s">
        <v>31</v>
      </c>
      <c r="C115" s="8" t="s">
        <v>32</v>
      </c>
      <c r="D115" s="8" t="s">
        <v>69</v>
      </c>
      <c r="E115" s="8" t="s">
        <v>70</v>
      </c>
      <c r="F115" s="8" t="s">
        <v>71</v>
      </c>
      <c r="G115">
        <v>8481805900</v>
      </c>
      <c r="H115" t="s">
        <v>53</v>
      </c>
      <c r="I115" t="s">
        <v>191</v>
      </c>
      <c r="J115" t="s">
        <v>38</v>
      </c>
      <c r="K115" t="s">
        <v>39</v>
      </c>
      <c r="L115">
        <v>8</v>
      </c>
      <c r="M115">
        <v>3</v>
      </c>
      <c r="N115" t="s">
        <v>64</v>
      </c>
      <c r="O115">
        <v>0</v>
      </c>
      <c r="P115">
        <v>161.94</v>
      </c>
      <c r="Q115">
        <v>10.6</v>
      </c>
      <c r="R115">
        <v>1.05</v>
      </c>
      <c r="S115">
        <v>173.59</v>
      </c>
      <c r="T115" t="s">
        <v>41</v>
      </c>
      <c r="U115" t="s">
        <v>41</v>
      </c>
      <c r="V115" t="s">
        <v>38</v>
      </c>
      <c r="W115" t="s">
        <v>201</v>
      </c>
      <c r="X115">
        <v>53.98</v>
      </c>
      <c r="Y115" s="9">
        <f t="shared" si="5"/>
        <v>53.98</v>
      </c>
      <c r="Z115" s="9">
        <f t="shared" si="6"/>
        <v>101.21249999999999</v>
      </c>
      <c r="AA115" s="5">
        <f t="shared" si="7"/>
        <v>112.44708749999999</v>
      </c>
      <c r="AB115" s="6">
        <f t="shared" si="8"/>
        <v>163.95412874999997</v>
      </c>
      <c r="AD115" s="10">
        <f t="shared" si="9"/>
        <v>205.28222887500002</v>
      </c>
    </row>
    <row r="116" spans="1:30" x14ac:dyDescent="0.3">
      <c r="A116" t="s">
        <v>30</v>
      </c>
      <c r="B116" s="8" t="s">
        <v>31</v>
      </c>
      <c r="C116" s="8" t="s">
        <v>32</v>
      </c>
      <c r="D116" s="8" t="s">
        <v>33</v>
      </c>
      <c r="E116" s="8" t="s">
        <v>34</v>
      </c>
      <c r="F116" s="8" t="s">
        <v>35</v>
      </c>
      <c r="G116">
        <v>8481805900</v>
      </c>
      <c r="H116" t="s">
        <v>53</v>
      </c>
      <c r="I116" t="s">
        <v>191</v>
      </c>
      <c r="J116" t="s">
        <v>38</v>
      </c>
      <c r="K116" t="s">
        <v>39</v>
      </c>
      <c r="L116">
        <v>8</v>
      </c>
      <c r="M116">
        <v>5</v>
      </c>
      <c r="N116" t="s">
        <v>64</v>
      </c>
      <c r="O116">
        <v>0</v>
      </c>
      <c r="P116">
        <v>274.41000000000003</v>
      </c>
      <c r="Q116">
        <v>15.54</v>
      </c>
      <c r="R116">
        <v>1.75</v>
      </c>
      <c r="S116">
        <v>291.7</v>
      </c>
      <c r="T116" t="s">
        <v>41</v>
      </c>
      <c r="U116" t="s">
        <v>41</v>
      </c>
      <c r="V116" t="s">
        <v>38</v>
      </c>
      <c r="W116" t="s">
        <v>201</v>
      </c>
      <c r="X116">
        <v>54.88</v>
      </c>
      <c r="Y116" s="9">
        <f t="shared" si="5"/>
        <v>54.882000000000005</v>
      </c>
      <c r="Z116" s="9">
        <f t="shared" si="6"/>
        <v>102.90375</v>
      </c>
      <c r="AA116" s="5">
        <f t="shared" si="7"/>
        <v>114.32606625</v>
      </c>
      <c r="AB116" s="6">
        <f t="shared" si="8"/>
        <v>166.69378462500001</v>
      </c>
      <c r="AD116" s="10">
        <f t="shared" si="9"/>
        <v>208.71247286250002</v>
      </c>
    </row>
    <row r="117" spans="1:30" x14ac:dyDescent="0.3">
      <c r="A117" t="s">
        <v>30</v>
      </c>
      <c r="B117" s="8" t="s">
        <v>31</v>
      </c>
      <c r="C117" s="8" t="s">
        <v>32</v>
      </c>
      <c r="D117" s="8" t="s">
        <v>33</v>
      </c>
      <c r="E117" s="8" t="s">
        <v>34</v>
      </c>
      <c r="F117" s="8" t="s">
        <v>35</v>
      </c>
      <c r="G117">
        <v>9032899000</v>
      </c>
      <c r="H117" t="s">
        <v>177</v>
      </c>
      <c r="I117" t="s">
        <v>178</v>
      </c>
      <c r="J117" t="s">
        <v>38</v>
      </c>
      <c r="K117" t="s">
        <v>39</v>
      </c>
      <c r="L117">
        <v>6</v>
      </c>
      <c r="M117">
        <v>2</v>
      </c>
      <c r="N117" t="s">
        <v>64</v>
      </c>
      <c r="O117">
        <v>0</v>
      </c>
      <c r="P117">
        <v>156.63</v>
      </c>
      <c r="Q117">
        <v>10.63</v>
      </c>
      <c r="R117">
        <v>1.02</v>
      </c>
      <c r="S117">
        <v>168.27</v>
      </c>
      <c r="T117" t="s">
        <v>41</v>
      </c>
      <c r="U117" t="s">
        <v>41</v>
      </c>
      <c r="V117" t="s">
        <v>38</v>
      </c>
      <c r="W117" t="s">
        <v>202</v>
      </c>
      <c r="X117">
        <v>78.31</v>
      </c>
      <c r="Y117" s="9">
        <f t="shared" si="5"/>
        <v>78.314999999999998</v>
      </c>
      <c r="Z117" s="9">
        <f t="shared" si="6"/>
        <v>146.84062499999999</v>
      </c>
      <c r="AA117" s="5">
        <f t="shared" si="7"/>
        <v>163.139934375</v>
      </c>
      <c r="AB117" s="6">
        <f t="shared" si="8"/>
        <v>237.86712843749996</v>
      </c>
      <c r="AD117" s="10">
        <f t="shared" si="9"/>
        <v>297.82656084375003</v>
      </c>
    </row>
    <row r="118" spans="1:30" x14ac:dyDescent="0.3">
      <c r="A118" t="s">
        <v>30</v>
      </c>
      <c r="B118" s="8" t="s">
        <v>31</v>
      </c>
      <c r="C118" s="8" t="s">
        <v>32</v>
      </c>
      <c r="D118" s="8" t="s">
        <v>33</v>
      </c>
      <c r="E118" s="8" t="s">
        <v>34</v>
      </c>
      <c r="F118" s="8" t="s">
        <v>35</v>
      </c>
      <c r="G118">
        <v>9032899000</v>
      </c>
      <c r="H118" t="s">
        <v>36</v>
      </c>
      <c r="I118" t="s">
        <v>181</v>
      </c>
      <c r="J118" t="s">
        <v>38</v>
      </c>
      <c r="K118" t="s">
        <v>39</v>
      </c>
      <c r="L118">
        <v>8</v>
      </c>
      <c r="M118">
        <v>4</v>
      </c>
      <c r="N118" t="s">
        <v>64</v>
      </c>
      <c r="O118">
        <v>0</v>
      </c>
      <c r="P118">
        <v>311.60000000000002</v>
      </c>
      <c r="Q118">
        <v>17.64</v>
      </c>
      <c r="R118">
        <v>1.99</v>
      </c>
      <c r="S118">
        <v>331.23</v>
      </c>
      <c r="T118" t="s">
        <v>41</v>
      </c>
      <c r="U118" t="s">
        <v>41</v>
      </c>
      <c r="V118" t="s">
        <v>38</v>
      </c>
      <c r="W118" t="s">
        <v>202</v>
      </c>
      <c r="X118">
        <v>77.900000000000006</v>
      </c>
      <c r="Y118" s="9">
        <f t="shared" si="5"/>
        <v>77.900000000000006</v>
      </c>
      <c r="Z118" s="9">
        <f t="shared" si="6"/>
        <v>146.0625</v>
      </c>
      <c r="AA118" s="5">
        <f t="shared" si="7"/>
        <v>162.27543750000001</v>
      </c>
      <c r="AB118" s="6">
        <f t="shared" si="8"/>
        <v>236.60664374999999</v>
      </c>
      <c r="AD118" s="10">
        <f t="shared" si="9"/>
        <v>296.24834437500004</v>
      </c>
    </row>
    <row r="119" spans="1:30" x14ac:dyDescent="0.3">
      <c r="A119" t="s">
        <v>30</v>
      </c>
      <c r="B119" s="8" t="s">
        <v>31</v>
      </c>
      <c r="C119" s="8" t="s">
        <v>32</v>
      </c>
      <c r="D119" s="8" t="s">
        <v>33</v>
      </c>
      <c r="E119" s="8" t="s">
        <v>34</v>
      </c>
      <c r="F119" s="8" t="s">
        <v>35</v>
      </c>
      <c r="G119">
        <v>9032899000</v>
      </c>
      <c r="H119" t="s">
        <v>177</v>
      </c>
      <c r="I119" t="s">
        <v>181</v>
      </c>
      <c r="J119" t="s">
        <v>38</v>
      </c>
      <c r="K119" t="s">
        <v>39</v>
      </c>
      <c r="L119">
        <v>4</v>
      </c>
      <c r="M119">
        <v>1</v>
      </c>
      <c r="N119" t="s">
        <v>64</v>
      </c>
      <c r="O119">
        <v>0</v>
      </c>
      <c r="P119">
        <v>69.739999999999995</v>
      </c>
      <c r="Q119">
        <v>3.65</v>
      </c>
      <c r="R119">
        <v>0.46</v>
      </c>
      <c r="S119">
        <v>73.84</v>
      </c>
      <c r="T119" t="s">
        <v>41</v>
      </c>
      <c r="U119" t="s">
        <v>41</v>
      </c>
      <c r="V119" t="s">
        <v>38</v>
      </c>
      <c r="W119" t="s">
        <v>203</v>
      </c>
      <c r="X119">
        <v>69.739999999999995</v>
      </c>
      <c r="Y119" s="9">
        <f t="shared" si="5"/>
        <v>69.739999999999995</v>
      </c>
      <c r="Z119" s="9">
        <f t="shared" si="6"/>
        <v>130.76249999999999</v>
      </c>
      <c r="AA119" s="5">
        <f t="shared" si="7"/>
        <v>145.27713749999998</v>
      </c>
      <c r="AB119" s="6">
        <f t="shared" si="8"/>
        <v>211.82217374999996</v>
      </c>
      <c r="AD119" s="10">
        <f t="shared" si="9"/>
        <v>265.21642537500003</v>
      </c>
    </row>
    <row r="120" spans="1:30" x14ac:dyDescent="0.3">
      <c r="A120" t="s">
        <v>30</v>
      </c>
      <c r="B120" s="8" t="s">
        <v>31</v>
      </c>
      <c r="C120" s="8" t="s">
        <v>32</v>
      </c>
      <c r="D120" s="8" t="s">
        <v>69</v>
      </c>
      <c r="E120" s="8" t="s">
        <v>70</v>
      </c>
      <c r="F120" s="8" t="s">
        <v>71</v>
      </c>
      <c r="G120">
        <v>9032899000</v>
      </c>
      <c r="H120" t="s">
        <v>36</v>
      </c>
      <c r="I120" t="s">
        <v>181</v>
      </c>
      <c r="J120" t="s">
        <v>38</v>
      </c>
      <c r="K120" t="s">
        <v>39</v>
      </c>
      <c r="L120">
        <v>8</v>
      </c>
      <c r="M120">
        <v>1</v>
      </c>
      <c r="N120" t="s">
        <v>64</v>
      </c>
      <c r="O120">
        <v>0</v>
      </c>
      <c r="P120">
        <v>68.180000000000007</v>
      </c>
      <c r="Q120">
        <v>4.46</v>
      </c>
      <c r="R120">
        <v>0.44</v>
      </c>
      <c r="S120">
        <v>73.08</v>
      </c>
      <c r="T120" t="s">
        <v>41</v>
      </c>
      <c r="U120" t="s">
        <v>41</v>
      </c>
      <c r="V120" t="s">
        <v>38</v>
      </c>
      <c r="W120" t="s">
        <v>203</v>
      </c>
      <c r="X120">
        <v>68.180000000000007</v>
      </c>
      <c r="Y120" s="9">
        <f t="shared" si="5"/>
        <v>68.180000000000007</v>
      </c>
      <c r="Z120" s="9">
        <f t="shared" si="6"/>
        <v>127.83750000000001</v>
      </c>
      <c r="AA120" s="5">
        <f t="shared" si="7"/>
        <v>142.02746250000001</v>
      </c>
      <c r="AB120" s="6">
        <f t="shared" si="8"/>
        <v>207.08396625</v>
      </c>
      <c r="AD120" s="10">
        <f t="shared" si="9"/>
        <v>259.28385262500001</v>
      </c>
    </row>
    <row r="121" spans="1:30" x14ac:dyDescent="0.3">
      <c r="A121" t="s">
        <v>30</v>
      </c>
      <c r="B121" s="8" t="s">
        <v>31</v>
      </c>
      <c r="C121" s="8" t="s">
        <v>32</v>
      </c>
      <c r="D121" s="8" t="s">
        <v>69</v>
      </c>
      <c r="E121" s="8" t="s">
        <v>70</v>
      </c>
      <c r="F121" s="8" t="s">
        <v>71</v>
      </c>
      <c r="G121">
        <v>8481805900</v>
      </c>
      <c r="H121" t="s">
        <v>53</v>
      </c>
      <c r="I121" t="s">
        <v>191</v>
      </c>
      <c r="J121" t="s">
        <v>38</v>
      </c>
      <c r="K121" t="s">
        <v>39</v>
      </c>
      <c r="L121">
        <v>8</v>
      </c>
      <c r="M121">
        <v>4</v>
      </c>
      <c r="N121" t="s">
        <v>64</v>
      </c>
      <c r="O121">
        <v>0</v>
      </c>
      <c r="P121">
        <v>183.44</v>
      </c>
      <c r="Q121">
        <v>12.01</v>
      </c>
      <c r="R121">
        <v>1.19</v>
      </c>
      <c r="S121">
        <v>196.64</v>
      </c>
      <c r="T121" t="s">
        <v>41</v>
      </c>
      <c r="U121" t="s">
        <v>41</v>
      </c>
      <c r="V121" t="s">
        <v>38</v>
      </c>
      <c r="W121" t="s">
        <v>204</v>
      </c>
      <c r="X121">
        <v>45.86</v>
      </c>
      <c r="Y121" s="9">
        <f t="shared" si="5"/>
        <v>45.86</v>
      </c>
      <c r="Z121" s="9">
        <f t="shared" si="6"/>
        <v>85.987499999999997</v>
      </c>
      <c r="AA121" s="5">
        <f t="shared" si="7"/>
        <v>95.532112499999997</v>
      </c>
      <c r="AB121" s="6">
        <f t="shared" si="8"/>
        <v>139.29115124999998</v>
      </c>
      <c r="AD121" s="10">
        <f t="shared" si="9"/>
        <v>174.402427125</v>
      </c>
    </row>
    <row r="122" spans="1:30" x14ac:dyDescent="0.3">
      <c r="A122" t="s">
        <v>30</v>
      </c>
      <c r="B122" s="8" t="s">
        <v>31</v>
      </c>
      <c r="C122" s="8" t="s">
        <v>32</v>
      </c>
      <c r="D122" s="8" t="s">
        <v>33</v>
      </c>
      <c r="E122" s="8" t="s">
        <v>34</v>
      </c>
      <c r="F122" s="8" t="s">
        <v>35</v>
      </c>
      <c r="G122">
        <v>8481805900</v>
      </c>
      <c r="H122" t="s">
        <v>53</v>
      </c>
      <c r="I122" t="s">
        <v>191</v>
      </c>
      <c r="J122" t="s">
        <v>38</v>
      </c>
      <c r="K122" t="s">
        <v>39</v>
      </c>
      <c r="L122">
        <v>8</v>
      </c>
      <c r="M122">
        <v>6</v>
      </c>
      <c r="N122" t="s">
        <v>64</v>
      </c>
      <c r="O122">
        <v>0</v>
      </c>
      <c r="P122">
        <v>279.76</v>
      </c>
      <c r="Q122">
        <v>15.84</v>
      </c>
      <c r="R122">
        <v>1.79</v>
      </c>
      <c r="S122">
        <v>297.39</v>
      </c>
      <c r="T122" t="s">
        <v>41</v>
      </c>
      <c r="U122" t="s">
        <v>41</v>
      </c>
      <c r="V122" t="s">
        <v>38</v>
      </c>
      <c r="W122" t="s">
        <v>204</v>
      </c>
      <c r="X122">
        <v>46.63</v>
      </c>
      <c r="Y122" s="9">
        <f t="shared" si="5"/>
        <v>46.626666666666665</v>
      </c>
      <c r="Z122" s="9">
        <f t="shared" si="6"/>
        <v>87.424999999999997</v>
      </c>
      <c r="AA122" s="5">
        <f t="shared" si="7"/>
        <v>97.129174999999989</v>
      </c>
      <c r="AB122" s="6">
        <f t="shared" si="8"/>
        <v>141.61975749999999</v>
      </c>
      <c r="AD122" s="10">
        <f t="shared" si="9"/>
        <v>177.31800775000002</v>
      </c>
    </row>
    <row r="123" spans="1:30" x14ac:dyDescent="0.3">
      <c r="A123" t="s">
        <v>30</v>
      </c>
      <c r="B123" s="8" t="s">
        <v>124</v>
      </c>
      <c r="C123" s="8" t="s">
        <v>32</v>
      </c>
      <c r="D123" s="8" t="s">
        <v>33</v>
      </c>
      <c r="E123" s="8" t="s">
        <v>34</v>
      </c>
      <c r="F123" s="8" t="s">
        <v>35</v>
      </c>
      <c r="G123">
        <v>8481805900</v>
      </c>
      <c r="H123" t="s">
        <v>53</v>
      </c>
      <c r="I123" t="s">
        <v>191</v>
      </c>
      <c r="J123" t="s">
        <v>38</v>
      </c>
      <c r="K123" t="s">
        <v>39</v>
      </c>
      <c r="L123">
        <v>10</v>
      </c>
      <c r="M123">
        <v>8</v>
      </c>
      <c r="N123" t="s">
        <v>64</v>
      </c>
      <c r="O123">
        <v>0</v>
      </c>
      <c r="P123">
        <v>715</v>
      </c>
      <c r="Q123">
        <v>59.51</v>
      </c>
      <c r="R123">
        <v>4.68</v>
      </c>
      <c r="S123">
        <v>779.2</v>
      </c>
      <c r="T123" t="s">
        <v>41</v>
      </c>
      <c r="U123" t="s">
        <v>43</v>
      </c>
      <c r="V123" t="s">
        <v>38</v>
      </c>
      <c r="W123" t="s">
        <v>205</v>
      </c>
      <c r="X123">
        <v>89.38</v>
      </c>
      <c r="Y123" s="9">
        <f t="shared" si="5"/>
        <v>89.375</v>
      </c>
      <c r="Z123" s="9">
        <f t="shared" si="6"/>
        <v>167.578125</v>
      </c>
      <c r="AA123" s="5">
        <f t="shared" si="7"/>
        <v>186.17929687500001</v>
      </c>
      <c r="AB123" s="6">
        <f t="shared" si="8"/>
        <v>271.45980468749997</v>
      </c>
      <c r="AD123" s="10">
        <f t="shared" si="9"/>
        <v>339.88698046875004</v>
      </c>
    </row>
    <row r="124" spans="1:30" x14ac:dyDescent="0.3">
      <c r="A124" t="s">
        <v>30</v>
      </c>
      <c r="B124" s="8" t="s">
        <v>124</v>
      </c>
      <c r="C124" s="8" t="s">
        <v>32</v>
      </c>
      <c r="D124" s="8" t="s">
        <v>33</v>
      </c>
      <c r="E124" s="8" t="s">
        <v>34</v>
      </c>
      <c r="F124" s="8" t="s">
        <v>35</v>
      </c>
      <c r="G124">
        <v>8481805900</v>
      </c>
      <c r="H124" t="s">
        <v>36</v>
      </c>
      <c r="I124" t="s">
        <v>191</v>
      </c>
      <c r="J124" t="s">
        <v>38</v>
      </c>
      <c r="K124" t="s">
        <v>39</v>
      </c>
      <c r="L124">
        <v>3</v>
      </c>
      <c r="M124">
        <v>3</v>
      </c>
      <c r="N124" t="s">
        <v>64</v>
      </c>
      <c r="O124">
        <v>0</v>
      </c>
      <c r="P124">
        <v>306</v>
      </c>
      <c r="Q124">
        <v>13.1</v>
      </c>
      <c r="R124">
        <v>1.97</v>
      </c>
      <c r="S124">
        <v>321.07</v>
      </c>
      <c r="T124" t="s">
        <v>41</v>
      </c>
      <c r="U124" t="s">
        <v>43</v>
      </c>
      <c r="V124" t="s">
        <v>38</v>
      </c>
      <c r="W124" t="s">
        <v>206</v>
      </c>
      <c r="X124">
        <v>102</v>
      </c>
      <c r="Y124" s="9">
        <f t="shared" si="5"/>
        <v>102</v>
      </c>
      <c r="Z124" s="9">
        <f t="shared" si="6"/>
        <v>191.25</v>
      </c>
      <c r="AA124" s="5">
        <f t="shared" si="7"/>
        <v>212.47874999999999</v>
      </c>
      <c r="AB124" s="6">
        <f t="shared" si="8"/>
        <v>309.80587499999996</v>
      </c>
      <c r="AD124" s="10">
        <f t="shared" si="9"/>
        <v>387.89898750000003</v>
      </c>
    </row>
    <row r="125" spans="1:30" x14ac:dyDescent="0.3">
      <c r="A125" t="s">
        <v>30</v>
      </c>
      <c r="B125" s="8" t="s">
        <v>66</v>
      </c>
      <c r="C125" s="8" t="s">
        <v>32</v>
      </c>
      <c r="D125" s="8" t="s">
        <v>33</v>
      </c>
      <c r="E125" s="8" t="s">
        <v>34</v>
      </c>
      <c r="F125" s="8" t="s">
        <v>35</v>
      </c>
      <c r="G125">
        <v>8481805900</v>
      </c>
      <c r="H125" t="s">
        <v>36</v>
      </c>
      <c r="I125" t="s">
        <v>191</v>
      </c>
      <c r="J125" t="s">
        <v>38</v>
      </c>
      <c r="K125" t="s">
        <v>39</v>
      </c>
      <c r="L125">
        <v>6</v>
      </c>
      <c r="M125">
        <v>2</v>
      </c>
      <c r="N125" t="s">
        <v>64</v>
      </c>
      <c r="O125">
        <v>0</v>
      </c>
      <c r="P125">
        <v>400.21</v>
      </c>
      <c r="Q125">
        <v>48.4</v>
      </c>
      <c r="R125">
        <v>2.79</v>
      </c>
      <c r="S125">
        <v>451.4</v>
      </c>
      <c r="T125" t="s">
        <v>41</v>
      </c>
      <c r="U125" t="s">
        <v>43</v>
      </c>
      <c r="V125" t="s">
        <v>38</v>
      </c>
      <c r="W125" t="s">
        <v>207</v>
      </c>
      <c r="X125">
        <v>200.1</v>
      </c>
      <c r="Y125" s="9">
        <f t="shared" si="5"/>
        <v>200.10499999999999</v>
      </c>
      <c r="Z125" s="9">
        <f t="shared" si="6"/>
        <v>375.19687499999998</v>
      </c>
      <c r="AA125" s="5">
        <f t="shared" si="7"/>
        <v>416.84372812499998</v>
      </c>
      <c r="AB125" s="6">
        <f t="shared" si="8"/>
        <v>607.78141781249997</v>
      </c>
      <c r="AD125" s="10">
        <f t="shared" si="9"/>
        <v>760.98555778125001</v>
      </c>
    </row>
    <row r="126" spans="1:30" x14ac:dyDescent="0.3">
      <c r="A126" t="s">
        <v>30</v>
      </c>
      <c r="B126" s="8" t="s">
        <v>31</v>
      </c>
      <c r="C126" s="8" t="s">
        <v>32</v>
      </c>
      <c r="D126" s="8" t="s">
        <v>33</v>
      </c>
      <c r="E126" s="8" t="s">
        <v>34</v>
      </c>
      <c r="F126" s="8" t="s">
        <v>35</v>
      </c>
      <c r="G126">
        <v>8481805900</v>
      </c>
      <c r="H126" t="s">
        <v>53</v>
      </c>
      <c r="I126" t="s">
        <v>191</v>
      </c>
      <c r="J126" t="s">
        <v>38</v>
      </c>
      <c r="K126" t="s">
        <v>39</v>
      </c>
      <c r="L126">
        <v>10</v>
      </c>
      <c r="M126">
        <v>5</v>
      </c>
      <c r="N126" t="s">
        <v>64</v>
      </c>
      <c r="O126">
        <v>0</v>
      </c>
      <c r="P126">
        <v>184.72</v>
      </c>
      <c r="Q126">
        <v>15.37</v>
      </c>
      <c r="R126">
        <v>1.21</v>
      </c>
      <c r="S126">
        <v>201.3</v>
      </c>
      <c r="T126" t="s">
        <v>41</v>
      </c>
      <c r="U126" t="s">
        <v>43</v>
      </c>
      <c r="V126" t="s">
        <v>38</v>
      </c>
      <c r="W126" t="s">
        <v>208</v>
      </c>
      <c r="X126">
        <v>36.94</v>
      </c>
      <c r="Y126" s="9">
        <f t="shared" si="5"/>
        <v>36.944000000000003</v>
      </c>
      <c r="Z126" s="9">
        <f t="shared" si="6"/>
        <v>69.27000000000001</v>
      </c>
      <c r="AA126" s="5">
        <f t="shared" si="7"/>
        <v>76.958970000000008</v>
      </c>
      <c r="AB126" s="6">
        <f t="shared" si="8"/>
        <v>112.21047300000001</v>
      </c>
      <c r="AD126" s="10">
        <f t="shared" si="9"/>
        <v>140.49549210000004</v>
      </c>
    </row>
    <row r="127" spans="1:30" x14ac:dyDescent="0.3">
      <c r="A127" t="s">
        <v>30</v>
      </c>
      <c r="B127" s="8" t="s">
        <v>31</v>
      </c>
      <c r="C127" s="8" t="s">
        <v>32</v>
      </c>
      <c r="D127" s="8" t="s">
        <v>69</v>
      </c>
      <c r="E127" s="8" t="s">
        <v>70</v>
      </c>
      <c r="F127" s="8" t="s">
        <v>71</v>
      </c>
      <c r="G127">
        <v>8481805900</v>
      </c>
      <c r="H127" t="s">
        <v>53</v>
      </c>
      <c r="I127" t="s">
        <v>191</v>
      </c>
      <c r="J127" t="s">
        <v>38</v>
      </c>
      <c r="K127" t="s">
        <v>39</v>
      </c>
      <c r="L127">
        <v>13</v>
      </c>
      <c r="M127">
        <v>10</v>
      </c>
      <c r="N127" t="s">
        <v>64</v>
      </c>
      <c r="O127">
        <v>0</v>
      </c>
      <c r="P127">
        <v>362.1</v>
      </c>
      <c r="Q127">
        <v>19.329999999999998</v>
      </c>
      <c r="R127">
        <v>2.33</v>
      </c>
      <c r="S127">
        <v>383.76</v>
      </c>
      <c r="T127" t="s">
        <v>72</v>
      </c>
      <c r="U127" t="s">
        <v>72</v>
      </c>
      <c r="V127" t="s">
        <v>38</v>
      </c>
      <c r="W127" t="s">
        <v>208</v>
      </c>
      <c r="X127">
        <v>36.21</v>
      </c>
      <c r="Y127" s="9">
        <f t="shared" si="5"/>
        <v>36.21</v>
      </c>
      <c r="Z127" s="9">
        <f t="shared" si="6"/>
        <v>67.893749999999997</v>
      </c>
      <c r="AA127" s="5">
        <f t="shared" si="7"/>
        <v>75.429956249999989</v>
      </c>
      <c r="AB127" s="6">
        <f t="shared" si="8"/>
        <v>109.98108562499999</v>
      </c>
      <c r="AD127" s="10">
        <f t="shared" si="9"/>
        <v>137.70414056250002</v>
      </c>
    </row>
    <row r="128" spans="1:30" x14ac:dyDescent="0.3">
      <c r="A128" t="s">
        <v>30</v>
      </c>
      <c r="B128" s="8" t="s">
        <v>31</v>
      </c>
      <c r="C128" s="8" t="s">
        <v>32</v>
      </c>
      <c r="D128" s="8" t="s">
        <v>33</v>
      </c>
      <c r="E128" s="8" t="s">
        <v>34</v>
      </c>
      <c r="F128" s="8" t="s">
        <v>35</v>
      </c>
      <c r="G128">
        <v>8481805900</v>
      </c>
      <c r="H128" t="s">
        <v>53</v>
      </c>
      <c r="I128" t="s">
        <v>191</v>
      </c>
      <c r="J128" t="s">
        <v>38</v>
      </c>
      <c r="K128" t="s">
        <v>39</v>
      </c>
      <c r="L128">
        <v>8</v>
      </c>
      <c r="M128">
        <v>15</v>
      </c>
      <c r="N128" t="s">
        <v>64</v>
      </c>
      <c r="O128">
        <v>0</v>
      </c>
      <c r="P128">
        <v>554.97</v>
      </c>
      <c r="Q128">
        <v>69.52</v>
      </c>
      <c r="R128">
        <v>3.79</v>
      </c>
      <c r="S128">
        <v>628.28</v>
      </c>
      <c r="T128" t="s">
        <v>41</v>
      </c>
      <c r="U128" t="s">
        <v>41</v>
      </c>
      <c r="V128" t="s">
        <v>38</v>
      </c>
      <c r="W128" t="s">
        <v>208</v>
      </c>
      <c r="X128">
        <v>37</v>
      </c>
      <c r="Y128" s="9">
        <f t="shared" si="5"/>
        <v>36.998000000000005</v>
      </c>
      <c r="Z128" s="9">
        <f t="shared" si="6"/>
        <v>69.371250000000003</v>
      </c>
      <c r="AA128" s="5">
        <f t="shared" si="7"/>
        <v>77.071458750000005</v>
      </c>
      <c r="AB128" s="6">
        <f t="shared" si="8"/>
        <v>112.374487875</v>
      </c>
      <c r="AD128" s="10">
        <f t="shared" si="9"/>
        <v>140.70085038750003</v>
      </c>
    </row>
    <row r="129" spans="1:30" x14ac:dyDescent="0.3">
      <c r="A129" t="s">
        <v>30</v>
      </c>
      <c r="B129" s="8" t="s">
        <v>31</v>
      </c>
      <c r="C129" s="8" t="s">
        <v>32</v>
      </c>
      <c r="D129" s="8" t="s">
        <v>33</v>
      </c>
      <c r="E129" s="8" t="s">
        <v>34</v>
      </c>
      <c r="F129" s="8" t="s">
        <v>35</v>
      </c>
      <c r="G129">
        <v>8481805900</v>
      </c>
      <c r="H129" t="s">
        <v>53</v>
      </c>
      <c r="I129" t="s">
        <v>191</v>
      </c>
      <c r="J129" t="s">
        <v>38</v>
      </c>
      <c r="K129" t="s">
        <v>39</v>
      </c>
      <c r="L129">
        <v>8</v>
      </c>
      <c r="M129">
        <v>15</v>
      </c>
      <c r="N129" t="s">
        <v>64</v>
      </c>
      <c r="O129">
        <v>0</v>
      </c>
      <c r="P129">
        <v>552.23</v>
      </c>
      <c r="Q129">
        <v>31.26</v>
      </c>
      <c r="R129">
        <v>3.53</v>
      </c>
      <c r="S129">
        <v>587.02</v>
      </c>
      <c r="T129" t="s">
        <v>41</v>
      </c>
      <c r="U129" t="s">
        <v>41</v>
      </c>
      <c r="V129" t="s">
        <v>38</v>
      </c>
      <c r="W129" t="s">
        <v>208</v>
      </c>
      <c r="X129">
        <v>36.82</v>
      </c>
      <c r="Y129" s="9">
        <f t="shared" si="5"/>
        <v>36.815333333333335</v>
      </c>
      <c r="Z129" s="9">
        <f t="shared" si="6"/>
        <v>69.028750000000002</v>
      </c>
      <c r="AA129" s="5">
        <f t="shared" si="7"/>
        <v>76.690941250000009</v>
      </c>
      <c r="AB129" s="6">
        <f t="shared" si="8"/>
        <v>111.819672125</v>
      </c>
      <c r="AD129" s="10">
        <f t="shared" si="9"/>
        <v>140.00618161250003</v>
      </c>
    </row>
    <row r="130" spans="1:30" x14ac:dyDescent="0.3">
      <c r="A130" t="s">
        <v>30</v>
      </c>
      <c r="B130" s="8" t="s">
        <v>31</v>
      </c>
      <c r="C130" s="8" t="s">
        <v>32</v>
      </c>
      <c r="D130" s="8" t="s">
        <v>33</v>
      </c>
      <c r="E130" s="8" t="s">
        <v>34</v>
      </c>
      <c r="F130" s="8" t="s">
        <v>35</v>
      </c>
      <c r="G130">
        <v>8481805900</v>
      </c>
      <c r="H130" t="s">
        <v>36</v>
      </c>
      <c r="I130" t="s">
        <v>191</v>
      </c>
      <c r="J130" t="s">
        <v>38</v>
      </c>
      <c r="K130" t="s">
        <v>39</v>
      </c>
      <c r="L130">
        <v>6</v>
      </c>
      <c r="M130">
        <v>1</v>
      </c>
      <c r="N130" t="s">
        <v>64</v>
      </c>
      <c r="O130">
        <v>0</v>
      </c>
      <c r="P130">
        <v>51.76</v>
      </c>
      <c r="Q130">
        <v>6.26</v>
      </c>
      <c r="R130">
        <v>0.36</v>
      </c>
      <c r="S130">
        <v>58.38</v>
      </c>
      <c r="T130" t="s">
        <v>41</v>
      </c>
      <c r="U130" t="s">
        <v>43</v>
      </c>
      <c r="V130" t="s">
        <v>38</v>
      </c>
      <c r="W130" t="s">
        <v>209</v>
      </c>
      <c r="X130">
        <v>51.76</v>
      </c>
      <c r="Y130" s="9">
        <f t="shared" si="5"/>
        <v>51.76</v>
      </c>
      <c r="Z130" s="9">
        <f t="shared" si="6"/>
        <v>97.05</v>
      </c>
      <c r="AA130" s="5">
        <f t="shared" si="7"/>
        <v>107.82254999999999</v>
      </c>
      <c r="AB130" s="6">
        <f t="shared" si="8"/>
        <v>157.21129499999998</v>
      </c>
      <c r="AD130" s="10">
        <f t="shared" si="9"/>
        <v>196.83972150000002</v>
      </c>
    </row>
    <row r="131" spans="1:30" x14ac:dyDescent="0.3">
      <c r="A131" t="s">
        <v>168</v>
      </c>
      <c r="B131" s="8" t="s">
        <v>31</v>
      </c>
      <c r="C131" s="8" t="s">
        <v>32</v>
      </c>
      <c r="D131" s="8" t="s">
        <v>33</v>
      </c>
      <c r="E131" s="8" t="s">
        <v>34</v>
      </c>
      <c r="F131" s="8" t="s">
        <v>35</v>
      </c>
      <c r="G131">
        <v>8481805900</v>
      </c>
      <c r="H131" t="s">
        <v>36</v>
      </c>
      <c r="I131" t="s">
        <v>191</v>
      </c>
      <c r="J131" t="s">
        <v>38</v>
      </c>
      <c r="K131" t="s">
        <v>39</v>
      </c>
      <c r="L131">
        <v>11</v>
      </c>
      <c r="M131">
        <v>3</v>
      </c>
      <c r="N131" t="s">
        <v>64</v>
      </c>
      <c r="O131">
        <v>0</v>
      </c>
      <c r="P131">
        <v>229.03</v>
      </c>
      <c r="Q131">
        <v>21.94</v>
      </c>
      <c r="R131">
        <v>1.54</v>
      </c>
      <c r="S131">
        <v>252.51</v>
      </c>
      <c r="T131" t="s">
        <v>41</v>
      </c>
      <c r="U131" t="s">
        <v>43</v>
      </c>
      <c r="V131" t="s">
        <v>38</v>
      </c>
      <c r="W131" t="s">
        <v>210</v>
      </c>
      <c r="X131">
        <v>76.34</v>
      </c>
      <c r="Y131" s="9">
        <f t="shared" ref="Y131:Y194" si="10">SUM(P131)/M131</f>
        <v>76.343333333333334</v>
      </c>
      <c r="Z131" s="9">
        <f t="shared" ref="Z131:Z194" si="11">SUM(Y131)*1.875</f>
        <v>143.14375000000001</v>
      </c>
      <c r="AA131" s="5">
        <f t="shared" ref="AA131:AA194" si="12">SUM(Z131)*1.111</f>
        <v>159.03270625000002</v>
      </c>
      <c r="AB131" s="6">
        <f t="shared" ref="AB131:AB194" si="13">SUM(Z131)*1.6199</f>
        <v>231.87856062500001</v>
      </c>
      <c r="AD131" s="10">
        <f t="shared" ref="AD131:AD194" si="14">SUM(Z131)*2.02823</f>
        <v>290.32844806250006</v>
      </c>
    </row>
    <row r="132" spans="1:30" x14ac:dyDescent="0.3">
      <c r="A132" t="s">
        <v>30</v>
      </c>
      <c r="B132" s="8" t="s">
        <v>31</v>
      </c>
      <c r="C132" s="8" t="s">
        <v>32</v>
      </c>
      <c r="D132" s="8" t="s">
        <v>69</v>
      </c>
      <c r="E132" s="8" t="s">
        <v>70</v>
      </c>
      <c r="F132" s="8" t="s">
        <v>71</v>
      </c>
      <c r="G132">
        <v>8301700000</v>
      </c>
      <c r="H132" t="s">
        <v>211</v>
      </c>
      <c r="I132" t="s">
        <v>212</v>
      </c>
      <c r="J132" t="s">
        <v>38</v>
      </c>
      <c r="K132" t="s">
        <v>39</v>
      </c>
      <c r="L132">
        <v>9</v>
      </c>
      <c r="M132">
        <v>2</v>
      </c>
      <c r="N132" t="s">
        <v>64</v>
      </c>
      <c r="O132">
        <v>0.25</v>
      </c>
      <c r="P132">
        <v>4.4400000000000004</v>
      </c>
      <c r="Q132">
        <v>0.22</v>
      </c>
      <c r="R132">
        <v>0.03</v>
      </c>
      <c r="S132">
        <v>4.6900000000000004</v>
      </c>
      <c r="T132" t="s">
        <v>41</v>
      </c>
      <c r="U132" t="s">
        <v>43</v>
      </c>
      <c r="V132" t="s">
        <v>38</v>
      </c>
      <c r="W132" t="s">
        <v>213</v>
      </c>
      <c r="X132">
        <v>2.2200000000000002</v>
      </c>
      <c r="Y132" s="9">
        <f t="shared" si="10"/>
        <v>2.2200000000000002</v>
      </c>
      <c r="Z132" s="9">
        <f t="shared" si="11"/>
        <v>4.1625000000000005</v>
      </c>
      <c r="AA132" s="5">
        <f t="shared" si="12"/>
        <v>4.6245375000000006</v>
      </c>
      <c r="AB132" s="6">
        <f t="shared" si="13"/>
        <v>6.7428337500000008</v>
      </c>
      <c r="AD132" s="10">
        <f t="shared" si="14"/>
        <v>8.4425073750000017</v>
      </c>
    </row>
    <row r="133" spans="1:30" x14ac:dyDescent="0.3">
      <c r="A133" t="s">
        <v>168</v>
      </c>
      <c r="B133" s="8" t="s">
        <v>214</v>
      </c>
      <c r="C133" s="8" t="s">
        <v>32</v>
      </c>
      <c r="D133" s="8" t="s">
        <v>33</v>
      </c>
      <c r="E133" s="8" t="s">
        <v>34</v>
      </c>
      <c r="F133" s="8" t="s">
        <v>35</v>
      </c>
      <c r="G133">
        <v>8504409000</v>
      </c>
      <c r="H133" t="s">
        <v>177</v>
      </c>
      <c r="I133" t="s">
        <v>215</v>
      </c>
      <c r="J133" t="s">
        <v>38</v>
      </c>
      <c r="K133" t="s">
        <v>39</v>
      </c>
      <c r="L133">
        <v>11</v>
      </c>
      <c r="M133">
        <v>1</v>
      </c>
      <c r="N133" t="s">
        <v>64</v>
      </c>
      <c r="O133">
        <v>0</v>
      </c>
      <c r="P133">
        <v>1140.3900000000001</v>
      </c>
      <c r="Q133">
        <v>109.23</v>
      </c>
      <c r="R133">
        <v>7.69</v>
      </c>
      <c r="S133">
        <v>1257.31</v>
      </c>
      <c r="T133" t="s">
        <v>41</v>
      </c>
      <c r="U133" t="s">
        <v>43</v>
      </c>
      <c r="V133" t="s">
        <v>38</v>
      </c>
      <c r="W133" t="s">
        <v>216</v>
      </c>
      <c r="X133">
        <v>1140.3900000000001</v>
      </c>
      <c r="Y133" s="9">
        <f t="shared" si="10"/>
        <v>1140.3900000000001</v>
      </c>
      <c r="Z133" s="9">
        <f t="shared" si="11"/>
        <v>2138.2312500000003</v>
      </c>
      <c r="AA133" s="5">
        <f t="shared" si="12"/>
        <v>2375.5749187500001</v>
      </c>
      <c r="AB133" s="6">
        <f t="shared" si="13"/>
        <v>3463.7208018750002</v>
      </c>
      <c r="AD133" s="10">
        <f t="shared" si="14"/>
        <v>4336.8247681875009</v>
      </c>
    </row>
    <row r="134" spans="1:30" x14ac:dyDescent="0.3">
      <c r="A134" t="s">
        <v>30</v>
      </c>
      <c r="B134" s="8" t="s">
        <v>31</v>
      </c>
      <c r="C134" s="8" t="s">
        <v>32</v>
      </c>
      <c r="D134" s="8" t="s">
        <v>33</v>
      </c>
      <c r="E134" s="8" t="s">
        <v>34</v>
      </c>
      <c r="F134" s="8" t="s">
        <v>35</v>
      </c>
      <c r="G134">
        <v>9026200000</v>
      </c>
      <c r="H134" t="s">
        <v>217</v>
      </c>
      <c r="I134" t="s">
        <v>218</v>
      </c>
      <c r="J134" t="s">
        <v>38</v>
      </c>
      <c r="K134" t="s">
        <v>39</v>
      </c>
      <c r="L134">
        <v>16</v>
      </c>
      <c r="M134">
        <v>2</v>
      </c>
      <c r="N134" t="s">
        <v>64</v>
      </c>
      <c r="O134">
        <v>0</v>
      </c>
      <c r="P134">
        <v>266.31</v>
      </c>
      <c r="Q134">
        <v>36.76</v>
      </c>
      <c r="R134">
        <v>1.78</v>
      </c>
      <c r="S134">
        <v>304.83999999999997</v>
      </c>
      <c r="T134" t="s">
        <v>41</v>
      </c>
      <c r="U134" t="s">
        <v>41</v>
      </c>
      <c r="V134" t="s">
        <v>38</v>
      </c>
      <c r="W134" t="s">
        <v>219</v>
      </c>
      <c r="X134">
        <v>133.16</v>
      </c>
      <c r="Y134" s="9">
        <f t="shared" si="10"/>
        <v>133.155</v>
      </c>
      <c r="Z134" s="9">
        <f t="shared" si="11"/>
        <v>249.66562500000001</v>
      </c>
      <c r="AA134" s="5">
        <f t="shared" si="12"/>
        <v>277.37850937500002</v>
      </c>
      <c r="AB134" s="6">
        <f t="shared" si="13"/>
        <v>404.43334593750001</v>
      </c>
      <c r="AD134" s="10">
        <f t="shared" si="14"/>
        <v>506.37931059375006</v>
      </c>
    </row>
    <row r="135" spans="1:30" x14ac:dyDescent="0.3">
      <c r="A135" t="s">
        <v>30</v>
      </c>
      <c r="B135" s="8" t="s">
        <v>31</v>
      </c>
      <c r="C135" s="8" t="s">
        <v>32</v>
      </c>
      <c r="D135" s="8" t="s">
        <v>69</v>
      </c>
      <c r="E135" s="8" t="s">
        <v>70</v>
      </c>
      <c r="F135" s="8" t="s">
        <v>71</v>
      </c>
      <c r="G135">
        <v>9026200000</v>
      </c>
      <c r="H135" t="s">
        <v>163</v>
      </c>
      <c r="I135" t="s">
        <v>218</v>
      </c>
      <c r="J135" t="s">
        <v>38</v>
      </c>
      <c r="K135" t="s">
        <v>39</v>
      </c>
      <c r="L135">
        <v>8</v>
      </c>
      <c r="M135">
        <v>2</v>
      </c>
      <c r="N135" t="s">
        <v>64</v>
      </c>
      <c r="O135">
        <v>0</v>
      </c>
      <c r="P135">
        <v>119.66</v>
      </c>
      <c r="Q135">
        <v>7.83</v>
      </c>
      <c r="R135">
        <v>0.78</v>
      </c>
      <c r="S135">
        <v>128.27000000000001</v>
      </c>
      <c r="T135" t="s">
        <v>41</v>
      </c>
      <c r="U135" t="s">
        <v>41</v>
      </c>
      <c r="V135" t="s">
        <v>38</v>
      </c>
      <c r="W135" t="s">
        <v>220</v>
      </c>
      <c r="X135">
        <v>59.83</v>
      </c>
      <c r="Y135" s="9">
        <f t="shared" si="10"/>
        <v>59.83</v>
      </c>
      <c r="Z135" s="9">
        <f t="shared" si="11"/>
        <v>112.18124999999999</v>
      </c>
      <c r="AA135" s="5">
        <f t="shared" si="12"/>
        <v>124.63336874999999</v>
      </c>
      <c r="AB135" s="6">
        <f t="shared" si="13"/>
        <v>181.72240687499996</v>
      </c>
      <c r="AD135" s="10">
        <f t="shared" si="14"/>
        <v>227.52937668750002</v>
      </c>
    </row>
    <row r="136" spans="1:30" x14ac:dyDescent="0.3">
      <c r="A136" t="s">
        <v>30</v>
      </c>
      <c r="B136" s="8" t="s">
        <v>221</v>
      </c>
      <c r="C136" s="8" t="s">
        <v>32</v>
      </c>
      <c r="D136" s="8" t="s">
        <v>69</v>
      </c>
      <c r="E136" s="8" t="s">
        <v>70</v>
      </c>
      <c r="F136" s="8" t="s">
        <v>71</v>
      </c>
      <c r="G136">
        <v>4009320000</v>
      </c>
      <c r="H136" t="s">
        <v>88</v>
      </c>
      <c r="I136" t="s">
        <v>46</v>
      </c>
      <c r="J136" t="s">
        <v>38</v>
      </c>
      <c r="K136" t="s">
        <v>39</v>
      </c>
      <c r="L136">
        <v>13</v>
      </c>
      <c r="M136">
        <v>1</v>
      </c>
      <c r="N136" t="s">
        <v>40</v>
      </c>
      <c r="O136">
        <v>0</v>
      </c>
      <c r="P136">
        <v>176.29</v>
      </c>
      <c r="Q136">
        <v>9.41</v>
      </c>
      <c r="R136">
        <v>1.1299999999999999</v>
      </c>
      <c r="S136">
        <v>186.84</v>
      </c>
      <c r="T136" t="s">
        <v>72</v>
      </c>
      <c r="U136" t="s">
        <v>72</v>
      </c>
      <c r="V136" t="s">
        <v>38</v>
      </c>
      <c r="W136" t="s">
        <v>222</v>
      </c>
      <c r="X136">
        <v>176.29</v>
      </c>
      <c r="Y136" s="9">
        <f t="shared" si="10"/>
        <v>176.29</v>
      </c>
      <c r="Z136" s="9">
        <f t="shared" si="11"/>
        <v>330.54374999999999</v>
      </c>
      <c r="AA136" s="5">
        <f t="shared" si="12"/>
        <v>367.23410624999997</v>
      </c>
      <c r="AB136" s="6">
        <f t="shared" si="13"/>
        <v>535.44782062499996</v>
      </c>
      <c r="AD136" s="10">
        <f t="shared" si="14"/>
        <v>670.41875006250007</v>
      </c>
    </row>
    <row r="137" spans="1:30" x14ac:dyDescent="0.3">
      <c r="A137" t="s">
        <v>30</v>
      </c>
      <c r="B137" s="8" t="s">
        <v>58</v>
      </c>
      <c r="C137" s="8" t="s">
        <v>32</v>
      </c>
      <c r="D137" s="8" t="s">
        <v>69</v>
      </c>
      <c r="E137" s="8" t="s">
        <v>70</v>
      </c>
      <c r="F137" s="8" t="s">
        <v>71</v>
      </c>
      <c r="G137">
        <v>4010320000</v>
      </c>
      <c r="H137" t="s">
        <v>59</v>
      </c>
      <c r="I137" t="s">
        <v>60</v>
      </c>
      <c r="J137" t="s">
        <v>38</v>
      </c>
      <c r="K137" t="s">
        <v>39</v>
      </c>
      <c r="L137">
        <v>8</v>
      </c>
      <c r="M137">
        <v>2</v>
      </c>
      <c r="N137" t="s">
        <v>40</v>
      </c>
      <c r="O137">
        <v>0</v>
      </c>
      <c r="P137">
        <v>52.86</v>
      </c>
      <c r="Q137">
        <v>3.46</v>
      </c>
      <c r="R137">
        <v>0.34</v>
      </c>
      <c r="S137">
        <v>56.66</v>
      </c>
      <c r="T137" t="s">
        <v>41</v>
      </c>
      <c r="U137" t="s">
        <v>41</v>
      </c>
      <c r="V137" t="s">
        <v>38</v>
      </c>
      <c r="W137" t="s">
        <v>223</v>
      </c>
      <c r="X137">
        <v>26.43</v>
      </c>
      <c r="Y137" s="9">
        <f t="shared" si="10"/>
        <v>26.43</v>
      </c>
      <c r="Z137" s="9">
        <f t="shared" si="11"/>
        <v>49.556249999999999</v>
      </c>
      <c r="AA137" s="5">
        <f t="shared" si="12"/>
        <v>55.056993749999997</v>
      </c>
      <c r="AB137" s="6">
        <f t="shared" si="13"/>
        <v>80.276169374999995</v>
      </c>
      <c r="AD137" s="10">
        <f t="shared" si="14"/>
        <v>100.5114729375</v>
      </c>
    </row>
    <row r="138" spans="1:30" x14ac:dyDescent="0.3">
      <c r="A138" t="s">
        <v>30</v>
      </c>
      <c r="B138" s="8" t="s">
        <v>58</v>
      </c>
      <c r="C138" s="8" t="s">
        <v>32</v>
      </c>
      <c r="D138" s="8" t="s">
        <v>33</v>
      </c>
      <c r="E138" s="8" t="s">
        <v>34</v>
      </c>
      <c r="F138" s="8" t="s">
        <v>35</v>
      </c>
      <c r="G138">
        <v>4010320000</v>
      </c>
      <c r="H138" t="s">
        <v>59</v>
      </c>
      <c r="I138" t="s">
        <v>60</v>
      </c>
      <c r="J138" t="s">
        <v>38</v>
      </c>
      <c r="K138" t="s">
        <v>39</v>
      </c>
      <c r="L138">
        <v>8</v>
      </c>
      <c r="M138">
        <v>6</v>
      </c>
      <c r="N138" t="s">
        <v>40</v>
      </c>
      <c r="O138">
        <v>0</v>
      </c>
      <c r="P138">
        <v>162.03</v>
      </c>
      <c r="Q138">
        <v>20.3</v>
      </c>
      <c r="R138">
        <v>1.1100000000000001</v>
      </c>
      <c r="S138">
        <v>183.44</v>
      </c>
      <c r="T138" t="s">
        <v>41</v>
      </c>
      <c r="U138" t="s">
        <v>41</v>
      </c>
      <c r="V138" t="s">
        <v>38</v>
      </c>
      <c r="W138" t="s">
        <v>223</v>
      </c>
      <c r="X138">
        <v>27.01</v>
      </c>
      <c r="Y138" s="9">
        <f t="shared" si="10"/>
        <v>27.004999999999999</v>
      </c>
      <c r="Z138" s="9">
        <f t="shared" si="11"/>
        <v>50.634374999999999</v>
      </c>
      <c r="AA138" s="5">
        <f t="shared" si="12"/>
        <v>56.254790624999998</v>
      </c>
      <c r="AB138" s="6">
        <f t="shared" si="13"/>
        <v>82.022624062499986</v>
      </c>
      <c r="AD138" s="10">
        <f t="shared" si="14"/>
        <v>102.69815840625</v>
      </c>
    </row>
    <row r="139" spans="1:30" x14ac:dyDescent="0.3">
      <c r="A139" t="s">
        <v>30</v>
      </c>
      <c r="B139" s="8" t="s">
        <v>58</v>
      </c>
      <c r="C139" s="8" t="s">
        <v>32</v>
      </c>
      <c r="D139" s="8" t="s">
        <v>33</v>
      </c>
      <c r="E139" s="8" t="s">
        <v>34</v>
      </c>
      <c r="F139" s="8" t="s">
        <v>35</v>
      </c>
      <c r="G139">
        <v>4010320000</v>
      </c>
      <c r="H139" t="s">
        <v>59</v>
      </c>
      <c r="I139" t="s">
        <v>60</v>
      </c>
      <c r="J139" t="s">
        <v>38</v>
      </c>
      <c r="K139" t="s">
        <v>39</v>
      </c>
      <c r="L139">
        <v>8</v>
      </c>
      <c r="M139">
        <v>4</v>
      </c>
      <c r="N139" t="s">
        <v>40</v>
      </c>
      <c r="O139">
        <v>0</v>
      </c>
      <c r="P139">
        <v>107.49</v>
      </c>
      <c r="Q139">
        <v>6.09</v>
      </c>
      <c r="R139">
        <v>0.69</v>
      </c>
      <c r="S139">
        <v>114.26</v>
      </c>
      <c r="T139" t="s">
        <v>41</v>
      </c>
      <c r="U139" t="s">
        <v>41</v>
      </c>
      <c r="V139" t="s">
        <v>38</v>
      </c>
      <c r="W139" t="s">
        <v>223</v>
      </c>
      <c r="X139">
        <v>26.87</v>
      </c>
      <c r="Y139" s="9">
        <f t="shared" si="10"/>
        <v>26.872499999999999</v>
      </c>
      <c r="Z139" s="9">
        <f t="shared" si="11"/>
        <v>50.385937499999997</v>
      </c>
      <c r="AA139" s="5">
        <f t="shared" si="12"/>
        <v>55.978776562499995</v>
      </c>
      <c r="AB139" s="6">
        <f t="shared" si="13"/>
        <v>81.620180156249987</v>
      </c>
      <c r="AD139" s="10">
        <f t="shared" si="14"/>
        <v>102.19427001562501</v>
      </c>
    </row>
    <row r="140" spans="1:30" x14ac:dyDescent="0.3">
      <c r="A140" t="s">
        <v>30</v>
      </c>
      <c r="B140" s="8" t="s">
        <v>58</v>
      </c>
      <c r="C140" s="8" t="s">
        <v>32</v>
      </c>
      <c r="D140" s="8" t="s">
        <v>33</v>
      </c>
      <c r="E140" s="8" t="s">
        <v>34</v>
      </c>
      <c r="F140" s="8" t="s">
        <v>35</v>
      </c>
      <c r="G140">
        <v>4010320000</v>
      </c>
      <c r="H140" t="s">
        <v>59</v>
      </c>
      <c r="I140" t="s">
        <v>60</v>
      </c>
      <c r="J140" t="s">
        <v>38</v>
      </c>
      <c r="K140" t="s">
        <v>39</v>
      </c>
      <c r="L140">
        <v>3</v>
      </c>
      <c r="M140">
        <v>2</v>
      </c>
      <c r="N140" t="s">
        <v>40</v>
      </c>
      <c r="O140">
        <v>0</v>
      </c>
      <c r="P140">
        <v>54.13</v>
      </c>
      <c r="Q140">
        <v>2.3199999999999998</v>
      </c>
      <c r="R140">
        <v>0.35</v>
      </c>
      <c r="S140">
        <v>56.79</v>
      </c>
      <c r="T140" t="s">
        <v>41</v>
      </c>
      <c r="U140" t="s">
        <v>43</v>
      </c>
      <c r="V140" t="s">
        <v>38</v>
      </c>
      <c r="W140" t="s">
        <v>224</v>
      </c>
      <c r="X140">
        <v>27.07</v>
      </c>
      <c r="Y140" s="9">
        <f t="shared" si="10"/>
        <v>27.065000000000001</v>
      </c>
      <c r="Z140" s="9">
        <f t="shared" si="11"/>
        <v>50.746875000000003</v>
      </c>
      <c r="AA140" s="5">
        <f t="shared" si="12"/>
        <v>56.379778125000001</v>
      </c>
      <c r="AB140" s="6">
        <f t="shared" si="13"/>
        <v>82.204862812499996</v>
      </c>
      <c r="AD140" s="10">
        <f t="shared" si="14"/>
        <v>102.92633428125002</v>
      </c>
    </row>
    <row r="141" spans="1:30" x14ac:dyDescent="0.3">
      <c r="A141" t="s">
        <v>30</v>
      </c>
      <c r="B141" s="8" t="s">
        <v>58</v>
      </c>
      <c r="C141" s="8" t="s">
        <v>32</v>
      </c>
      <c r="D141" s="8" t="s">
        <v>33</v>
      </c>
      <c r="E141" s="8" t="s">
        <v>34</v>
      </c>
      <c r="F141" s="8" t="s">
        <v>35</v>
      </c>
      <c r="G141">
        <v>4010320000</v>
      </c>
      <c r="H141" t="s">
        <v>59</v>
      </c>
      <c r="I141" t="s">
        <v>60</v>
      </c>
      <c r="J141" t="s">
        <v>38</v>
      </c>
      <c r="K141" t="s">
        <v>39</v>
      </c>
      <c r="L141">
        <v>6</v>
      </c>
      <c r="M141">
        <v>2</v>
      </c>
      <c r="N141" t="s">
        <v>40</v>
      </c>
      <c r="O141">
        <v>0</v>
      </c>
      <c r="P141">
        <v>54.27</v>
      </c>
      <c r="Q141">
        <v>3.68</v>
      </c>
      <c r="R141">
        <v>0.35</v>
      </c>
      <c r="S141">
        <v>58.31</v>
      </c>
      <c r="T141" t="s">
        <v>41</v>
      </c>
      <c r="U141" t="s">
        <v>41</v>
      </c>
      <c r="V141" t="s">
        <v>38</v>
      </c>
      <c r="W141" t="s">
        <v>224</v>
      </c>
      <c r="X141">
        <v>27.14</v>
      </c>
      <c r="Y141" s="9">
        <f t="shared" si="10"/>
        <v>27.135000000000002</v>
      </c>
      <c r="Z141" s="9">
        <f t="shared" si="11"/>
        <v>50.878125000000004</v>
      </c>
      <c r="AA141" s="5">
        <f t="shared" si="12"/>
        <v>56.525596875000005</v>
      </c>
      <c r="AB141" s="6">
        <f t="shared" si="13"/>
        <v>82.417474687500004</v>
      </c>
      <c r="AD141" s="10">
        <f t="shared" si="14"/>
        <v>103.19253946875001</v>
      </c>
    </row>
    <row r="142" spans="1:30" x14ac:dyDescent="0.3">
      <c r="A142" t="s">
        <v>30</v>
      </c>
      <c r="B142" s="8" t="s">
        <v>58</v>
      </c>
      <c r="C142" s="8" t="s">
        <v>32</v>
      </c>
      <c r="D142" s="8" t="s">
        <v>33</v>
      </c>
      <c r="E142" s="8" t="s">
        <v>34</v>
      </c>
      <c r="F142" s="8" t="s">
        <v>35</v>
      </c>
      <c r="G142">
        <v>4010320000</v>
      </c>
      <c r="H142" t="s">
        <v>59</v>
      </c>
      <c r="I142" t="s">
        <v>60</v>
      </c>
      <c r="J142" t="s">
        <v>38</v>
      </c>
      <c r="K142" t="s">
        <v>39</v>
      </c>
      <c r="L142">
        <v>16</v>
      </c>
      <c r="M142">
        <v>2</v>
      </c>
      <c r="N142" t="s">
        <v>40</v>
      </c>
      <c r="O142">
        <v>0</v>
      </c>
      <c r="P142">
        <v>54.48</v>
      </c>
      <c r="Q142">
        <v>7.52</v>
      </c>
      <c r="R142">
        <v>0.36</v>
      </c>
      <c r="S142">
        <v>62.36</v>
      </c>
      <c r="T142" t="s">
        <v>41</v>
      </c>
      <c r="U142" t="s">
        <v>41</v>
      </c>
      <c r="V142" t="s">
        <v>38</v>
      </c>
      <c r="W142" t="s">
        <v>224</v>
      </c>
      <c r="X142">
        <v>27.24</v>
      </c>
      <c r="Y142" s="9">
        <f t="shared" si="10"/>
        <v>27.24</v>
      </c>
      <c r="Z142" s="9">
        <f t="shared" si="11"/>
        <v>51.074999999999996</v>
      </c>
      <c r="AA142" s="5">
        <f t="shared" si="12"/>
        <v>56.744324999999996</v>
      </c>
      <c r="AB142" s="6">
        <f t="shared" si="13"/>
        <v>82.736392499999994</v>
      </c>
      <c r="AD142" s="10">
        <f t="shared" si="14"/>
        <v>103.59184725</v>
      </c>
    </row>
    <row r="143" spans="1:30" x14ac:dyDescent="0.3">
      <c r="A143" t="s">
        <v>30</v>
      </c>
      <c r="B143" s="8" t="s">
        <v>58</v>
      </c>
      <c r="C143" s="8" t="s">
        <v>32</v>
      </c>
      <c r="D143" s="8" t="s">
        <v>69</v>
      </c>
      <c r="E143" s="8" t="s">
        <v>70</v>
      </c>
      <c r="F143" s="8" t="s">
        <v>71</v>
      </c>
      <c r="G143">
        <v>4010320000</v>
      </c>
      <c r="H143" t="s">
        <v>59</v>
      </c>
      <c r="I143" t="s">
        <v>60</v>
      </c>
      <c r="J143" t="s">
        <v>38</v>
      </c>
      <c r="K143" t="s">
        <v>39</v>
      </c>
      <c r="L143">
        <v>13</v>
      </c>
      <c r="M143">
        <v>2</v>
      </c>
      <c r="N143" t="s">
        <v>40</v>
      </c>
      <c r="O143">
        <v>0</v>
      </c>
      <c r="P143">
        <v>53.1</v>
      </c>
      <c r="Q143">
        <v>2.84</v>
      </c>
      <c r="R143">
        <v>0.34</v>
      </c>
      <c r="S143">
        <v>56.28</v>
      </c>
      <c r="T143" t="s">
        <v>72</v>
      </c>
      <c r="U143" t="s">
        <v>72</v>
      </c>
      <c r="V143" t="s">
        <v>38</v>
      </c>
      <c r="W143" t="s">
        <v>224</v>
      </c>
      <c r="X143">
        <v>26.55</v>
      </c>
      <c r="Y143" s="9">
        <f t="shared" si="10"/>
        <v>26.55</v>
      </c>
      <c r="Z143" s="9">
        <f t="shared" si="11"/>
        <v>49.78125</v>
      </c>
      <c r="AA143" s="5">
        <f t="shared" si="12"/>
        <v>55.306968750000003</v>
      </c>
      <c r="AB143" s="6">
        <f t="shared" si="13"/>
        <v>80.640646875000002</v>
      </c>
      <c r="AD143" s="10">
        <f t="shared" si="14"/>
        <v>100.96782468750001</v>
      </c>
    </row>
    <row r="144" spans="1:30" x14ac:dyDescent="0.3">
      <c r="A144" t="s">
        <v>30</v>
      </c>
      <c r="B144" s="8" t="s">
        <v>58</v>
      </c>
      <c r="C144" s="8" t="s">
        <v>32</v>
      </c>
      <c r="D144" s="8" t="s">
        <v>33</v>
      </c>
      <c r="E144" s="8" t="s">
        <v>34</v>
      </c>
      <c r="F144" s="8" t="s">
        <v>35</v>
      </c>
      <c r="G144">
        <v>4010320000</v>
      </c>
      <c r="H144" t="s">
        <v>59</v>
      </c>
      <c r="I144" t="s">
        <v>60</v>
      </c>
      <c r="J144" t="s">
        <v>38</v>
      </c>
      <c r="K144" t="s">
        <v>39</v>
      </c>
      <c r="L144">
        <v>8</v>
      </c>
      <c r="M144">
        <v>6</v>
      </c>
      <c r="N144" t="s">
        <v>40</v>
      </c>
      <c r="O144">
        <v>0</v>
      </c>
      <c r="P144">
        <v>162.77000000000001</v>
      </c>
      <c r="Q144">
        <v>20.39</v>
      </c>
      <c r="R144">
        <v>1.1100000000000001</v>
      </c>
      <c r="S144">
        <v>184.27</v>
      </c>
      <c r="T144" t="s">
        <v>41</v>
      </c>
      <c r="U144" t="s">
        <v>41</v>
      </c>
      <c r="V144" t="s">
        <v>38</v>
      </c>
      <c r="W144" t="s">
        <v>224</v>
      </c>
      <c r="X144">
        <v>27.13</v>
      </c>
      <c r="Y144" s="9">
        <f t="shared" si="10"/>
        <v>27.128333333333334</v>
      </c>
      <c r="Z144" s="9">
        <f t="shared" si="11"/>
        <v>50.865625000000001</v>
      </c>
      <c r="AA144" s="5">
        <f t="shared" si="12"/>
        <v>56.511709375000002</v>
      </c>
      <c r="AB144" s="6">
        <f t="shared" si="13"/>
        <v>82.397225937499996</v>
      </c>
      <c r="AD144" s="10">
        <f t="shared" si="14"/>
        <v>103.16718659375002</v>
      </c>
    </row>
    <row r="145" spans="1:30" x14ac:dyDescent="0.3">
      <c r="A145" t="s">
        <v>30</v>
      </c>
      <c r="B145" s="8" t="s">
        <v>58</v>
      </c>
      <c r="C145" s="8" t="s">
        <v>32</v>
      </c>
      <c r="D145" s="8" t="s">
        <v>33</v>
      </c>
      <c r="E145" s="8" t="s">
        <v>34</v>
      </c>
      <c r="F145" s="8" t="s">
        <v>35</v>
      </c>
      <c r="G145">
        <v>4010320000</v>
      </c>
      <c r="H145" t="s">
        <v>59</v>
      </c>
      <c r="I145" t="s">
        <v>60</v>
      </c>
      <c r="J145" t="s">
        <v>38</v>
      </c>
      <c r="K145" t="s">
        <v>39</v>
      </c>
      <c r="L145">
        <v>8</v>
      </c>
      <c r="M145">
        <v>4</v>
      </c>
      <c r="N145" t="s">
        <v>40</v>
      </c>
      <c r="O145">
        <v>0</v>
      </c>
      <c r="P145">
        <v>107.98</v>
      </c>
      <c r="Q145">
        <v>6.11</v>
      </c>
      <c r="R145">
        <v>0.69</v>
      </c>
      <c r="S145">
        <v>114.78</v>
      </c>
      <c r="T145" t="s">
        <v>41</v>
      </c>
      <c r="U145" t="s">
        <v>41</v>
      </c>
      <c r="V145" t="s">
        <v>38</v>
      </c>
      <c r="W145" t="s">
        <v>224</v>
      </c>
      <c r="X145">
        <v>26.99</v>
      </c>
      <c r="Y145" s="9">
        <f t="shared" si="10"/>
        <v>26.995000000000001</v>
      </c>
      <c r="Z145" s="9">
        <f t="shared" si="11"/>
        <v>50.615625000000001</v>
      </c>
      <c r="AA145" s="5">
        <f t="shared" si="12"/>
        <v>56.233959374999998</v>
      </c>
      <c r="AB145" s="6">
        <f t="shared" si="13"/>
        <v>81.992250937500003</v>
      </c>
      <c r="AD145" s="10">
        <f t="shared" si="14"/>
        <v>102.66012909375002</v>
      </c>
    </row>
    <row r="146" spans="1:30" x14ac:dyDescent="0.3">
      <c r="A146" t="s">
        <v>30</v>
      </c>
      <c r="B146" s="8" t="s">
        <v>31</v>
      </c>
      <c r="C146" s="8" t="s">
        <v>32</v>
      </c>
      <c r="D146" s="8" t="s">
        <v>33</v>
      </c>
      <c r="E146" s="8" t="s">
        <v>34</v>
      </c>
      <c r="F146" s="8" t="s">
        <v>35</v>
      </c>
      <c r="G146">
        <v>8481809990</v>
      </c>
      <c r="H146" t="s">
        <v>160</v>
      </c>
      <c r="I146" t="s">
        <v>161</v>
      </c>
      <c r="J146" t="s">
        <v>38</v>
      </c>
      <c r="K146" t="s">
        <v>39</v>
      </c>
      <c r="L146">
        <v>16</v>
      </c>
      <c r="M146">
        <v>1</v>
      </c>
      <c r="N146" t="s">
        <v>64</v>
      </c>
      <c r="O146">
        <v>0</v>
      </c>
      <c r="P146">
        <v>3403.41</v>
      </c>
      <c r="Q146">
        <v>469.73</v>
      </c>
      <c r="R146">
        <v>22.7</v>
      </c>
      <c r="S146">
        <v>3895.84</v>
      </c>
      <c r="T146" t="s">
        <v>41</v>
      </c>
      <c r="U146" t="s">
        <v>41</v>
      </c>
      <c r="V146" t="s">
        <v>38</v>
      </c>
      <c r="W146" t="s">
        <v>225</v>
      </c>
      <c r="X146">
        <v>3403.41</v>
      </c>
      <c r="Y146" s="9">
        <f t="shared" si="10"/>
        <v>3403.41</v>
      </c>
      <c r="Z146" s="9">
        <f t="shared" si="11"/>
        <v>6381.3937499999993</v>
      </c>
      <c r="AA146" s="5">
        <f t="shared" si="12"/>
        <v>7089.728456249999</v>
      </c>
      <c r="AB146" s="6">
        <f t="shared" si="13"/>
        <v>10337.219735624998</v>
      </c>
      <c r="AD146" s="10">
        <f t="shared" si="14"/>
        <v>12942.934245562499</v>
      </c>
    </row>
    <row r="147" spans="1:30" x14ac:dyDescent="0.3">
      <c r="A147" t="s">
        <v>30</v>
      </c>
      <c r="B147" s="8" t="s">
        <v>31</v>
      </c>
      <c r="C147" s="8" t="s">
        <v>32</v>
      </c>
      <c r="D147" s="8" t="s">
        <v>33</v>
      </c>
      <c r="E147" s="8" t="s">
        <v>34</v>
      </c>
      <c r="F147" s="8" t="s">
        <v>35</v>
      </c>
      <c r="G147">
        <v>8481809990</v>
      </c>
      <c r="H147" t="s">
        <v>160</v>
      </c>
      <c r="I147" t="s">
        <v>161</v>
      </c>
      <c r="J147" t="s">
        <v>38</v>
      </c>
      <c r="K147" t="s">
        <v>39</v>
      </c>
      <c r="L147">
        <v>16</v>
      </c>
      <c r="M147">
        <v>1</v>
      </c>
      <c r="N147" t="s">
        <v>64</v>
      </c>
      <c r="O147">
        <v>0</v>
      </c>
      <c r="P147">
        <v>3403.41</v>
      </c>
      <c r="Q147">
        <v>469.72</v>
      </c>
      <c r="R147">
        <v>22.71</v>
      </c>
      <c r="S147">
        <v>3895.84</v>
      </c>
      <c r="T147" t="s">
        <v>41</v>
      </c>
      <c r="U147" t="s">
        <v>41</v>
      </c>
      <c r="V147" t="s">
        <v>38</v>
      </c>
      <c r="W147" t="s">
        <v>225</v>
      </c>
      <c r="X147">
        <v>3403.41</v>
      </c>
      <c r="Y147" s="9">
        <f t="shared" si="10"/>
        <v>3403.41</v>
      </c>
      <c r="Z147" s="9">
        <f t="shared" si="11"/>
        <v>6381.3937499999993</v>
      </c>
      <c r="AA147" s="5">
        <f t="shared" si="12"/>
        <v>7089.728456249999</v>
      </c>
      <c r="AB147" s="6">
        <f t="shared" si="13"/>
        <v>10337.219735624998</v>
      </c>
      <c r="AD147" s="10">
        <f t="shared" si="14"/>
        <v>12942.934245562499</v>
      </c>
    </row>
    <row r="148" spans="1:30" x14ac:dyDescent="0.3">
      <c r="A148" t="s">
        <v>30</v>
      </c>
      <c r="B148" s="8" t="s">
        <v>31</v>
      </c>
      <c r="C148" s="8" t="s">
        <v>32</v>
      </c>
      <c r="D148" s="8" t="s">
        <v>33</v>
      </c>
      <c r="E148" s="8" t="s">
        <v>34</v>
      </c>
      <c r="F148" s="8" t="s">
        <v>35</v>
      </c>
      <c r="G148">
        <v>8481809990</v>
      </c>
      <c r="H148" t="s">
        <v>160</v>
      </c>
      <c r="I148" t="s">
        <v>161</v>
      </c>
      <c r="J148" t="s">
        <v>38</v>
      </c>
      <c r="K148" t="s">
        <v>39</v>
      </c>
      <c r="L148">
        <v>16</v>
      </c>
      <c r="M148">
        <v>1</v>
      </c>
      <c r="N148" t="s">
        <v>64</v>
      </c>
      <c r="O148">
        <v>0</v>
      </c>
      <c r="P148">
        <v>3403.41</v>
      </c>
      <c r="Q148">
        <v>469.73</v>
      </c>
      <c r="R148">
        <v>22.7</v>
      </c>
      <c r="S148">
        <v>3895.84</v>
      </c>
      <c r="T148" t="s">
        <v>41</v>
      </c>
      <c r="U148" t="s">
        <v>41</v>
      </c>
      <c r="V148" t="s">
        <v>38</v>
      </c>
      <c r="W148" t="s">
        <v>225</v>
      </c>
      <c r="X148">
        <v>3403.41</v>
      </c>
      <c r="Y148" s="9">
        <f t="shared" si="10"/>
        <v>3403.41</v>
      </c>
      <c r="Z148" s="9">
        <f t="shared" si="11"/>
        <v>6381.3937499999993</v>
      </c>
      <c r="AA148" s="5">
        <f t="shared" si="12"/>
        <v>7089.728456249999</v>
      </c>
      <c r="AB148" s="6">
        <f t="shared" si="13"/>
        <v>10337.219735624998</v>
      </c>
      <c r="AD148" s="10">
        <f t="shared" si="14"/>
        <v>12942.934245562499</v>
      </c>
    </row>
    <row r="149" spans="1:30" x14ac:dyDescent="0.3">
      <c r="A149" t="s">
        <v>30</v>
      </c>
      <c r="B149" s="8" t="s">
        <v>32</v>
      </c>
      <c r="C149" s="8" t="s">
        <v>32</v>
      </c>
      <c r="D149" s="8" t="s">
        <v>69</v>
      </c>
      <c r="E149" s="8" t="s">
        <v>70</v>
      </c>
      <c r="F149" s="8" t="s">
        <v>71</v>
      </c>
      <c r="G149">
        <v>7307990010</v>
      </c>
      <c r="H149" t="s">
        <v>226</v>
      </c>
      <c r="I149" t="s">
        <v>154</v>
      </c>
      <c r="J149" t="s">
        <v>38</v>
      </c>
      <c r="K149" t="s">
        <v>39</v>
      </c>
      <c r="L149">
        <v>9</v>
      </c>
      <c r="M149">
        <v>4</v>
      </c>
      <c r="N149" t="s">
        <v>40</v>
      </c>
      <c r="O149">
        <v>0</v>
      </c>
      <c r="P149">
        <v>47.96</v>
      </c>
      <c r="Q149">
        <v>2.42</v>
      </c>
      <c r="R149">
        <v>0.31</v>
      </c>
      <c r="S149">
        <v>50.68</v>
      </c>
      <c r="T149" t="s">
        <v>41</v>
      </c>
      <c r="U149" t="s">
        <v>43</v>
      </c>
      <c r="V149" t="s">
        <v>38</v>
      </c>
      <c r="W149" t="s">
        <v>227</v>
      </c>
      <c r="X149">
        <v>11.99</v>
      </c>
      <c r="Y149" s="9">
        <f t="shared" si="10"/>
        <v>11.99</v>
      </c>
      <c r="Z149" s="9">
        <f t="shared" si="11"/>
        <v>22.481249999999999</v>
      </c>
      <c r="AA149" s="5">
        <f t="shared" si="12"/>
        <v>24.976668749999998</v>
      </c>
      <c r="AB149" s="6">
        <f t="shared" si="13"/>
        <v>36.417376874999995</v>
      </c>
      <c r="AD149" s="10">
        <f t="shared" si="14"/>
        <v>45.597145687500003</v>
      </c>
    </row>
    <row r="150" spans="1:30" x14ac:dyDescent="0.3">
      <c r="A150" t="s">
        <v>30</v>
      </c>
      <c r="B150" s="8" t="s">
        <v>31</v>
      </c>
      <c r="C150" s="8" t="s">
        <v>32</v>
      </c>
      <c r="D150" s="8" t="s">
        <v>33</v>
      </c>
      <c r="E150" s="8" t="s">
        <v>34</v>
      </c>
      <c r="F150" s="8" t="s">
        <v>35</v>
      </c>
      <c r="G150">
        <v>8421999000</v>
      </c>
      <c r="H150" t="s">
        <v>36</v>
      </c>
      <c r="I150" t="s">
        <v>228</v>
      </c>
      <c r="J150" t="s">
        <v>38</v>
      </c>
      <c r="K150" t="s">
        <v>39</v>
      </c>
      <c r="L150">
        <v>16</v>
      </c>
      <c r="M150">
        <v>2</v>
      </c>
      <c r="N150" t="s">
        <v>64</v>
      </c>
      <c r="O150">
        <v>0</v>
      </c>
      <c r="P150">
        <v>51.21</v>
      </c>
      <c r="Q150">
        <v>7.07</v>
      </c>
      <c r="R150">
        <v>0.34</v>
      </c>
      <c r="S150">
        <v>58.62</v>
      </c>
      <c r="T150" t="s">
        <v>41</v>
      </c>
      <c r="U150" t="s">
        <v>41</v>
      </c>
      <c r="V150" t="s">
        <v>38</v>
      </c>
      <c r="W150" t="s">
        <v>229</v>
      </c>
      <c r="X150">
        <v>25.61</v>
      </c>
      <c r="Y150" s="9">
        <f t="shared" si="10"/>
        <v>25.605</v>
      </c>
      <c r="Z150" s="9">
        <f t="shared" si="11"/>
        <v>48.009374999999999</v>
      </c>
      <c r="AA150" s="5">
        <f t="shared" si="12"/>
        <v>53.338415624999996</v>
      </c>
      <c r="AB150" s="6">
        <f t="shared" si="13"/>
        <v>77.770386562499993</v>
      </c>
      <c r="AD150" s="10">
        <f t="shared" si="14"/>
        <v>97.37405465625001</v>
      </c>
    </row>
    <row r="151" spans="1:30" x14ac:dyDescent="0.3">
      <c r="A151" t="s">
        <v>30</v>
      </c>
      <c r="B151" s="8" t="s">
        <v>31</v>
      </c>
      <c r="C151" s="8" t="s">
        <v>32</v>
      </c>
      <c r="D151" s="8" t="s">
        <v>33</v>
      </c>
      <c r="E151" s="8" t="s">
        <v>34</v>
      </c>
      <c r="F151" s="8" t="s">
        <v>35</v>
      </c>
      <c r="G151">
        <v>8421999000</v>
      </c>
      <c r="H151" t="s">
        <v>36</v>
      </c>
      <c r="I151" t="s">
        <v>228</v>
      </c>
      <c r="J151" t="s">
        <v>38</v>
      </c>
      <c r="K151" t="s">
        <v>39</v>
      </c>
      <c r="L151">
        <v>8</v>
      </c>
      <c r="M151">
        <v>3</v>
      </c>
      <c r="N151" t="s">
        <v>64</v>
      </c>
      <c r="O151">
        <v>0</v>
      </c>
      <c r="P151">
        <v>76.58</v>
      </c>
      <c r="Q151">
        <v>8.18</v>
      </c>
      <c r="R151">
        <v>0.51</v>
      </c>
      <c r="S151">
        <v>85.27</v>
      </c>
      <c r="T151" t="s">
        <v>41</v>
      </c>
      <c r="U151" t="s">
        <v>41</v>
      </c>
      <c r="V151" t="s">
        <v>38</v>
      </c>
      <c r="W151" t="s">
        <v>229</v>
      </c>
      <c r="X151">
        <v>25.53</v>
      </c>
      <c r="Y151" s="9">
        <f t="shared" si="10"/>
        <v>25.526666666666667</v>
      </c>
      <c r="Z151" s="9">
        <f t="shared" si="11"/>
        <v>47.862500000000004</v>
      </c>
      <c r="AA151" s="5">
        <f t="shared" si="12"/>
        <v>53.175237500000001</v>
      </c>
      <c r="AB151" s="6">
        <f t="shared" si="13"/>
        <v>77.532463750000005</v>
      </c>
      <c r="AD151" s="10">
        <f t="shared" si="14"/>
        <v>97.07615837500002</v>
      </c>
    </row>
    <row r="152" spans="1:30" x14ac:dyDescent="0.3">
      <c r="A152" t="s">
        <v>30</v>
      </c>
      <c r="B152" s="8" t="s">
        <v>31</v>
      </c>
      <c r="C152" s="8" t="s">
        <v>32</v>
      </c>
      <c r="D152" s="8" t="s">
        <v>69</v>
      </c>
      <c r="E152" s="8" t="s">
        <v>70</v>
      </c>
      <c r="F152" s="8" t="s">
        <v>71</v>
      </c>
      <c r="G152">
        <v>8421999000</v>
      </c>
      <c r="H152" t="s">
        <v>36</v>
      </c>
      <c r="I152" t="s">
        <v>228</v>
      </c>
      <c r="J152" t="s">
        <v>38</v>
      </c>
      <c r="K152" t="s">
        <v>39</v>
      </c>
      <c r="L152">
        <v>8</v>
      </c>
      <c r="M152">
        <v>3</v>
      </c>
      <c r="N152" t="s">
        <v>64</v>
      </c>
      <c r="O152">
        <v>0</v>
      </c>
      <c r="P152">
        <v>74.88</v>
      </c>
      <c r="Q152">
        <v>4.9000000000000004</v>
      </c>
      <c r="R152">
        <v>0.49</v>
      </c>
      <c r="S152">
        <v>80.27</v>
      </c>
      <c r="T152" t="s">
        <v>41</v>
      </c>
      <c r="U152" t="s">
        <v>41</v>
      </c>
      <c r="V152" t="s">
        <v>38</v>
      </c>
      <c r="W152" t="s">
        <v>229</v>
      </c>
      <c r="X152">
        <v>24.96</v>
      </c>
      <c r="Y152" s="9">
        <f t="shared" si="10"/>
        <v>24.959999999999997</v>
      </c>
      <c r="Z152" s="9">
        <f t="shared" si="11"/>
        <v>46.8</v>
      </c>
      <c r="AA152" s="5">
        <f t="shared" si="12"/>
        <v>51.994799999999998</v>
      </c>
      <c r="AB152" s="6">
        <f t="shared" si="13"/>
        <v>75.811319999999995</v>
      </c>
      <c r="AD152" s="10">
        <f t="shared" si="14"/>
        <v>94.921164000000005</v>
      </c>
    </row>
    <row r="153" spans="1:30" x14ac:dyDescent="0.3">
      <c r="A153" t="s">
        <v>30</v>
      </c>
      <c r="B153" s="8" t="s">
        <v>31</v>
      </c>
      <c r="C153" s="8" t="s">
        <v>32</v>
      </c>
      <c r="D153" s="8" t="s">
        <v>69</v>
      </c>
      <c r="E153" s="8" t="s">
        <v>70</v>
      </c>
      <c r="F153" s="8" t="s">
        <v>71</v>
      </c>
      <c r="G153">
        <v>8421999000</v>
      </c>
      <c r="H153" t="s">
        <v>36</v>
      </c>
      <c r="I153" t="s">
        <v>228</v>
      </c>
      <c r="J153" t="s">
        <v>38</v>
      </c>
      <c r="K153" t="s">
        <v>39</v>
      </c>
      <c r="L153">
        <v>13</v>
      </c>
      <c r="M153">
        <v>2</v>
      </c>
      <c r="N153" t="s">
        <v>64</v>
      </c>
      <c r="O153">
        <v>0</v>
      </c>
      <c r="P153">
        <v>49.92</v>
      </c>
      <c r="Q153">
        <v>2.66</v>
      </c>
      <c r="R153">
        <v>0.32</v>
      </c>
      <c r="S153">
        <v>52.91</v>
      </c>
      <c r="T153" t="s">
        <v>72</v>
      </c>
      <c r="U153" t="s">
        <v>72</v>
      </c>
      <c r="V153" t="s">
        <v>38</v>
      </c>
      <c r="W153" t="s">
        <v>229</v>
      </c>
      <c r="X153">
        <v>24.96</v>
      </c>
      <c r="Y153" s="9">
        <f t="shared" si="10"/>
        <v>24.96</v>
      </c>
      <c r="Z153" s="9">
        <f t="shared" si="11"/>
        <v>46.800000000000004</v>
      </c>
      <c r="AA153" s="5">
        <f t="shared" si="12"/>
        <v>51.994800000000005</v>
      </c>
      <c r="AB153" s="6">
        <f t="shared" si="13"/>
        <v>75.811319999999995</v>
      </c>
      <c r="AD153" s="10">
        <f t="shared" si="14"/>
        <v>94.921164000000019</v>
      </c>
    </row>
    <row r="154" spans="1:30" x14ac:dyDescent="0.3">
      <c r="A154" t="s">
        <v>30</v>
      </c>
      <c r="B154" s="8" t="s">
        <v>32</v>
      </c>
      <c r="C154" s="8" t="s">
        <v>32</v>
      </c>
      <c r="D154" s="8" t="s">
        <v>33</v>
      </c>
      <c r="E154" s="8" t="s">
        <v>34</v>
      </c>
      <c r="F154" s="8" t="s">
        <v>35</v>
      </c>
      <c r="G154">
        <v>7326909090</v>
      </c>
      <c r="H154" t="s">
        <v>53</v>
      </c>
      <c r="I154" t="s">
        <v>230</v>
      </c>
      <c r="J154" t="s">
        <v>38</v>
      </c>
      <c r="K154" t="s">
        <v>39</v>
      </c>
      <c r="L154">
        <v>7</v>
      </c>
      <c r="M154">
        <v>1</v>
      </c>
      <c r="N154" t="s">
        <v>64</v>
      </c>
      <c r="O154">
        <v>56.53</v>
      </c>
      <c r="P154">
        <v>224.73</v>
      </c>
      <c r="Q154">
        <v>35.5</v>
      </c>
      <c r="R154">
        <v>1.39</v>
      </c>
      <c r="S154">
        <v>261.62</v>
      </c>
      <c r="T154" t="s">
        <v>41</v>
      </c>
      <c r="U154" t="s">
        <v>41</v>
      </c>
      <c r="V154" t="s">
        <v>38</v>
      </c>
      <c r="W154" t="s">
        <v>231</v>
      </c>
      <c r="X154">
        <v>224.73</v>
      </c>
      <c r="Y154" s="9">
        <f t="shared" si="10"/>
        <v>224.73</v>
      </c>
      <c r="Z154" s="9">
        <f t="shared" si="11"/>
        <v>421.36874999999998</v>
      </c>
      <c r="AA154" s="5">
        <f t="shared" si="12"/>
        <v>468.14068124999994</v>
      </c>
      <c r="AB154" s="6">
        <f t="shared" si="13"/>
        <v>682.57523812499994</v>
      </c>
      <c r="AD154" s="10">
        <f t="shared" si="14"/>
        <v>854.63273981250006</v>
      </c>
    </row>
    <row r="155" spans="1:30" x14ac:dyDescent="0.3">
      <c r="A155" t="s">
        <v>30</v>
      </c>
      <c r="B155" s="8" t="s">
        <v>32</v>
      </c>
      <c r="C155" s="8" t="s">
        <v>32</v>
      </c>
      <c r="D155" s="8" t="s">
        <v>33</v>
      </c>
      <c r="E155" s="8" t="s">
        <v>34</v>
      </c>
      <c r="F155" s="8" t="s">
        <v>35</v>
      </c>
      <c r="G155">
        <v>7326909090</v>
      </c>
      <c r="H155" t="s">
        <v>53</v>
      </c>
      <c r="I155" t="s">
        <v>230</v>
      </c>
      <c r="J155" t="s">
        <v>38</v>
      </c>
      <c r="K155" t="s">
        <v>39</v>
      </c>
      <c r="L155">
        <v>7</v>
      </c>
      <c r="M155">
        <v>1</v>
      </c>
      <c r="N155" t="s">
        <v>64</v>
      </c>
      <c r="O155">
        <v>56.53</v>
      </c>
      <c r="P155">
        <v>224.73</v>
      </c>
      <c r="Q155">
        <v>35.5</v>
      </c>
      <c r="R155">
        <v>1.39</v>
      </c>
      <c r="S155">
        <v>261.62</v>
      </c>
      <c r="T155" t="s">
        <v>41</v>
      </c>
      <c r="U155" t="s">
        <v>41</v>
      </c>
      <c r="V155" t="s">
        <v>38</v>
      </c>
      <c r="W155" t="s">
        <v>231</v>
      </c>
      <c r="X155">
        <v>224.73</v>
      </c>
      <c r="Y155" s="9">
        <f t="shared" si="10"/>
        <v>224.73</v>
      </c>
      <c r="Z155" s="9">
        <f t="shared" si="11"/>
        <v>421.36874999999998</v>
      </c>
      <c r="AA155" s="5">
        <f t="shared" si="12"/>
        <v>468.14068124999994</v>
      </c>
      <c r="AB155" s="6">
        <f t="shared" si="13"/>
        <v>682.57523812499994</v>
      </c>
      <c r="AD155" s="10">
        <f t="shared" si="14"/>
        <v>854.63273981250006</v>
      </c>
    </row>
    <row r="156" spans="1:30" x14ac:dyDescent="0.3">
      <c r="A156" t="s">
        <v>30</v>
      </c>
      <c r="B156" s="8" t="s">
        <v>32</v>
      </c>
      <c r="C156" s="8" t="s">
        <v>32</v>
      </c>
      <c r="D156" s="8" t="s">
        <v>33</v>
      </c>
      <c r="E156" s="8" t="s">
        <v>34</v>
      </c>
      <c r="F156" s="8" t="s">
        <v>35</v>
      </c>
      <c r="G156">
        <v>7326909090</v>
      </c>
      <c r="H156" t="s">
        <v>53</v>
      </c>
      <c r="I156" t="s">
        <v>232</v>
      </c>
      <c r="J156" t="s">
        <v>38</v>
      </c>
      <c r="K156" t="s">
        <v>39</v>
      </c>
      <c r="L156">
        <v>8</v>
      </c>
      <c r="M156">
        <v>3</v>
      </c>
      <c r="N156" t="s">
        <v>64</v>
      </c>
      <c r="O156">
        <v>163.99</v>
      </c>
      <c r="P156">
        <v>651.36</v>
      </c>
      <c r="Q156">
        <v>93.74</v>
      </c>
      <c r="R156">
        <v>4.59</v>
      </c>
      <c r="S156">
        <v>749.68</v>
      </c>
      <c r="T156" t="s">
        <v>41</v>
      </c>
      <c r="U156" t="s">
        <v>41</v>
      </c>
      <c r="V156" t="s">
        <v>38</v>
      </c>
      <c r="W156" t="s">
        <v>231</v>
      </c>
      <c r="X156">
        <v>217.12</v>
      </c>
      <c r="Y156" s="9">
        <f t="shared" si="10"/>
        <v>217.12</v>
      </c>
      <c r="Z156" s="9">
        <f t="shared" si="11"/>
        <v>407.1</v>
      </c>
      <c r="AA156" s="5">
        <f t="shared" si="12"/>
        <v>452.28810000000004</v>
      </c>
      <c r="AB156" s="6">
        <f t="shared" si="13"/>
        <v>659.46128999999996</v>
      </c>
      <c r="AD156" s="10">
        <f t="shared" si="14"/>
        <v>825.69243300000016</v>
      </c>
    </row>
    <row r="157" spans="1:30" x14ac:dyDescent="0.3">
      <c r="A157" t="s">
        <v>30</v>
      </c>
      <c r="B157" s="8" t="s">
        <v>32</v>
      </c>
      <c r="C157" s="8" t="s">
        <v>32</v>
      </c>
      <c r="D157" s="8" t="s">
        <v>33</v>
      </c>
      <c r="E157" s="8" t="s">
        <v>34</v>
      </c>
      <c r="F157" s="8" t="s">
        <v>35</v>
      </c>
      <c r="G157">
        <v>7326909090</v>
      </c>
      <c r="H157" t="s">
        <v>53</v>
      </c>
      <c r="I157" t="s">
        <v>233</v>
      </c>
      <c r="J157" t="s">
        <v>38</v>
      </c>
      <c r="K157" t="s">
        <v>39</v>
      </c>
      <c r="L157">
        <v>8</v>
      </c>
      <c r="M157">
        <v>1</v>
      </c>
      <c r="N157" t="s">
        <v>64</v>
      </c>
      <c r="O157">
        <v>54.84</v>
      </c>
      <c r="P157">
        <v>217.87</v>
      </c>
      <c r="Q157">
        <v>27.29</v>
      </c>
      <c r="R157">
        <v>1.49</v>
      </c>
      <c r="S157">
        <v>246.65</v>
      </c>
      <c r="T157" t="s">
        <v>41</v>
      </c>
      <c r="U157" t="s">
        <v>41</v>
      </c>
      <c r="V157" t="s">
        <v>38</v>
      </c>
      <c r="W157" t="s">
        <v>231</v>
      </c>
      <c r="X157">
        <v>217.87</v>
      </c>
      <c r="Y157" s="9">
        <f t="shared" si="10"/>
        <v>217.87</v>
      </c>
      <c r="Z157" s="9">
        <f t="shared" si="11"/>
        <v>408.50625000000002</v>
      </c>
      <c r="AA157" s="5">
        <f t="shared" si="12"/>
        <v>453.85044375000001</v>
      </c>
      <c r="AB157" s="6">
        <f t="shared" si="13"/>
        <v>661.73927437500004</v>
      </c>
      <c r="AD157" s="10">
        <f t="shared" si="14"/>
        <v>828.54463143750013</v>
      </c>
    </row>
    <row r="158" spans="1:30" x14ac:dyDescent="0.3">
      <c r="A158" t="s">
        <v>30</v>
      </c>
      <c r="B158" s="8" t="s">
        <v>32</v>
      </c>
      <c r="C158" s="8" t="s">
        <v>32</v>
      </c>
      <c r="D158" s="8" t="s">
        <v>33</v>
      </c>
      <c r="E158" s="8" t="s">
        <v>34</v>
      </c>
      <c r="F158" s="8" t="s">
        <v>35</v>
      </c>
      <c r="G158">
        <v>3926909000</v>
      </c>
      <c r="H158" t="s">
        <v>36</v>
      </c>
      <c r="I158" t="s">
        <v>234</v>
      </c>
      <c r="J158" t="s">
        <v>38</v>
      </c>
      <c r="K158" t="s">
        <v>39</v>
      </c>
      <c r="L158">
        <v>7</v>
      </c>
      <c r="M158">
        <v>1</v>
      </c>
      <c r="N158" t="s">
        <v>64</v>
      </c>
      <c r="O158">
        <v>30.72</v>
      </c>
      <c r="P158">
        <v>152.63999999999999</v>
      </c>
      <c r="Q158">
        <v>24.11</v>
      </c>
      <c r="R158">
        <v>0.94</v>
      </c>
      <c r="S158">
        <v>177.7</v>
      </c>
      <c r="T158" t="s">
        <v>41</v>
      </c>
      <c r="U158" t="s">
        <v>41</v>
      </c>
      <c r="V158" t="s">
        <v>38</v>
      </c>
      <c r="W158" t="s">
        <v>235</v>
      </c>
      <c r="X158">
        <v>152.63999999999999</v>
      </c>
      <c r="Y158" s="9">
        <f t="shared" si="10"/>
        <v>152.63999999999999</v>
      </c>
      <c r="Z158" s="9">
        <f t="shared" si="11"/>
        <v>286.2</v>
      </c>
      <c r="AA158" s="5">
        <f t="shared" si="12"/>
        <v>317.96819999999997</v>
      </c>
      <c r="AB158" s="6">
        <f t="shared" si="13"/>
        <v>463.61537999999996</v>
      </c>
      <c r="AD158" s="10">
        <f t="shared" si="14"/>
        <v>580.47942599999999</v>
      </c>
    </row>
    <row r="159" spans="1:30" x14ac:dyDescent="0.3">
      <c r="A159" t="s">
        <v>30</v>
      </c>
      <c r="B159" s="8" t="s">
        <v>32</v>
      </c>
      <c r="C159" s="8" t="s">
        <v>32</v>
      </c>
      <c r="D159" s="8" t="s">
        <v>33</v>
      </c>
      <c r="E159" s="8" t="s">
        <v>34</v>
      </c>
      <c r="F159" s="8" t="s">
        <v>35</v>
      </c>
      <c r="G159">
        <v>3926904000</v>
      </c>
      <c r="H159" t="s">
        <v>141</v>
      </c>
      <c r="I159" t="s">
        <v>236</v>
      </c>
      <c r="J159" t="s">
        <v>38</v>
      </c>
      <c r="K159" t="s">
        <v>39</v>
      </c>
      <c r="L159">
        <v>8</v>
      </c>
      <c r="M159">
        <v>3</v>
      </c>
      <c r="N159" t="s">
        <v>64</v>
      </c>
      <c r="O159">
        <v>89.11</v>
      </c>
      <c r="P159">
        <v>442.41</v>
      </c>
      <c r="Q159">
        <v>63.67</v>
      </c>
      <c r="R159">
        <v>3.11</v>
      </c>
      <c r="S159">
        <v>509.2</v>
      </c>
      <c r="T159" t="s">
        <v>41</v>
      </c>
      <c r="U159" t="s">
        <v>41</v>
      </c>
      <c r="V159" t="s">
        <v>38</v>
      </c>
      <c r="W159" t="s">
        <v>235</v>
      </c>
      <c r="X159">
        <v>147.47</v>
      </c>
      <c r="Y159" s="9">
        <f t="shared" si="10"/>
        <v>147.47</v>
      </c>
      <c r="Z159" s="9">
        <f t="shared" si="11"/>
        <v>276.50625000000002</v>
      </c>
      <c r="AA159" s="5">
        <f t="shared" si="12"/>
        <v>307.19844375000002</v>
      </c>
      <c r="AB159" s="6">
        <f t="shared" si="13"/>
        <v>447.91247437499999</v>
      </c>
      <c r="AD159" s="10">
        <f t="shared" si="14"/>
        <v>560.81827143750013</v>
      </c>
    </row>
    <row r="160" spans="1:30" x14ac:dyDescent="0.3">
      <c r="A160" t="s">
        <v>30</v>
      </c>
      <c r="B160" s="8" t="s">
        <v>32</v>
      </c>
      <c r="C160" s="8" t="s">
        <v>32</v>
      </c>
      <c r="D160" s="8" t="s">
        <v>33</v>
      </c>
      <c r="E160" s="8" t="s">
        <v>34</v>
      </c>
      <c r="F160" s="8" t="s">
        <v>35</v>
      </c>
      <c r="G160">
        <v>3926903000</v>
      </c>
      <c r="H160" t="s">
        <v>136</v>
      </c>
      <c r="I160" t="s">
        <v>237</v>
      </c>
      <c r="J160" t="s">
        <v>38</v>
      </c>
      <c r="K160" t="s">
        <v>39</v>
      </c>
      <c r="L160">
        <v>8</v>
      </c>
      <c r="M160">
        <v>1</v>
      </c>
      <c r="N160" t="s">
        <v>64</v>
      </c>
      <c r="O160">
        <v>0</v>
      </c>
      <c r="P160">
        <v>154.91</v>
      </c>
      <c r="Q160">
        <v>19.41</v>
      </c>
      <c r="R160">
        <v>1.06</v>
      </c>
      <c r="S160">
        <v>175.37</v>
      </c>
      <c r="T160" t="s">
        <v>41</v>
      </c>
      <c r="U160" t="s">
        <v>41</v>
      </c>
      <c r="V160" t="s">
        <v>38</v>
      </c>
      <c r="W160" t="s">
        <v>235</v>
      </c>
      <c r="X160">
        <v>154.91</v>
      </c>
      <c r="Y160" s="9">
        <f t="shared" si="10"/>
        <v>154.91</v>
      </c>
      <c r="Z160" s="9">
        <f t="shared" si="11"/>
        <v>290.45625000000001</v>
      </c>
      <c r="AA160" s="5">
        <f t="shared" si="12"/>
        <v>322.69689375000002</v>
      </c>
      <c r="AB160" s="6">
        <f t="shared" si="13"/>
        <v>470.51007937499998</v>
      </c>
      <c r="AD160" s="10">
        <f t="shared" si="14"/>
        <v>589.11207993750008</v>
      </c>
    </row>
    <row r="161" spans="1:30" x14ac:dyDescent="0.3">
      <c r="A161" t="s">
        <v>30</v>
      </c>
      <c r="B161" s="8" t="s">
        <v>32</v>
      </c>
      <c r="C161" s="8" t="s">
        <v>32</v>
      </c>
      <c r="D161" s="8" t="s">
        <v>33</v>
      </c>
      <c r="E161" s="8" t="s">
        <v>34</v>
      </c>
      <c r="F161" s="8" t="s">
        <v>35</v>
      </c>
      <c r="G161">
        <v>8481909090</v>
      </c>
      <c r="H161" t="s">
        <v>238</v>
      </c>
      <c r="I161" t="s">
        <v>239</v>
      </c>
      <c r="J161" t="s">
        <v>38</v>
      </c>
      <c r="K161" t="s">
        <v>39</v>
      </c>
      <c r="L161">
        <v>3</v>
      </c>
      <c r="M161">
        <v>1</v>
      </c>
      <c r="N161" t="s">
        <v>64</v>
      </c>
      <c r="O161">
        <v>0</v>
      </c>
      <c r="P161">
        <v>7.45</v>
      </c>
      <c r="Q161">
        <v>0.32</v>
      </c>
      <c r="R161">
        <v>0.05</v>
      </c>
      <c r="S161">
        <v>7.82</v>
      </c>
      <c r="T161" t="s">
        <v>41</v>
      </c>
      <c r="U161" t="s">
        <v>43</v>
      </c>
      <c r="V161" t="s">
        <v>38</v>
      </c>
      <c r="W161" t="s">
        <v>240</v>
      </c>
      <c r="X161">
        <v>7.45</v>
      </c>
      <c r="Y161" s="9">
        <f t="shared" si="10"/>
        <v>7.45</v>
      </c>
      <c r="Z161" s="9">
        <f t="shared" si="11"/>
        <v>13.96875</v>
      </c>
      <c r="AA161" s="5">
        <f t="shared" si="12"/>
        <v>15.519281250000001</v>
      </c>
      <c r="AB161" s="6">
        <f t="shared" si="13"/>
        <v>22.627978124999998</v>
      </c>
      <c r="AD161" s="10">
        <f t="shared" si="14"/>
        <v>28.331837812500002</v>
      </c>
    </row>
    <row r="162" spans="1:30" x14ac:dyDescent="0.3">
      <c r="A162" t="s">
        <v>30</v>
      </c>
      <c r="B162" s="8" t="s">
        <v>31</v>
      </c>
      <c r="C162" s="8" t="s">
        <v>32</v>
      </c>
      <c r="D162" s="8" t="s">
        <v>69</v>
      </c>
      <c r="E162" s="8" t="s">
        <v>70</v>
      </c>
      <c r="F162" s="8" t="s">
        <v>71</v>
      </c>
      <c r="G162">
        <v>8421299090</v>
      </c>
      <c r="H162" t="s">
        <v>36</v>
      </c>
      <c r="I162" t="s">
        <v>241</v>
      </c>
      <c r="J162" t="s">
        <v>38</v>
      </c>
      <c r="K162" t="s">
        <v>39</v>
      </c>
      <c r="L162">
        <v>9</v>
      </c>
      <c r="M162">
        <v>35</v>
      </c>
      <c r="N162" t="s">
        <v>64</v>
      </c>
      <c r="O162">
        <v>0</v>
      </c>
      <c r="P162">
        <v>1400</v>
      </c>
      <c r="Q162">
        <v>70.55</v>
      </c>
      <c r="R162">
        <v>8.89</v>
      </c>
      <c r="S162">
        <v>1479.45</v>
      </c>
      <c r="T162" t="s">
        <v>41</v>
      </c>
      <c r="U162" t="s">
        <v>43</v>
      </c>
      <c r="V162" t="s">
        <v>38</v>
      </c>
      <c r="W162" t="s">
        <v>242</v>
      </c>
      <c r="X162">
        <v>40</v>
      </c>
      <c r="Y162" s="9">
        <f t="shared" si="10"/>
        <v>40</v>
      </c>
      <c r="Z162" s="9">
        <f t="shared" si="11"/>
        <v>75</v>
      </c>
      <c r="AA162" s="5">
        <f t="shared" si="12"/>
        <v>83.325000000000003</v>
      </c>
      <c r="AB162" s="6">
        <f t="shared" si="13"/>
        <v>121.49249999999999</v>
      </c>
      <c r="AD162" s="10">
        <f t="shared" si="14"/>
        <v>152.11725000000001</v>
      </c>
    </row>
    <row r="163" spans="1:30" x14ac:dyDescent="0.3">
      <c r="A163" t="s">
        <v>30</v>
      </c>
      <c r="B163" s="8" t="s">
        <v>31</v>
      </c>
      <c r="C163" s="8" t="s">
        <v>32</v>
      </c>
      <c r="D163" s="8" t="s">
        <v>69</v>
      </c>
      <c r="E163" s="8" t="s">
        <v>70</v>
      </c>
      <c r="F163" s="8" t="s">
        <v>71</v>
      </c>
      <c r="G163">
        <v>8421299090</v>
      </c>
      <c r="H163" t="s">
        <v>243</v>
      </c>
      <c r="I163" t="s">
        <v>241</v>
      </c>
      <c r="J163" t="s">
        <v>38</v>
      </c>
      <c r="K163" t="s">
        <v>39</v>
      </c>
      <c r="L163">
        <v>8</v>
      </c>
      <c r="M163">
        <v>35</v>
      </c>
      <c r="N163" t="s">
        <v>64</v>
      </c>
      <c r="O163">
        <v>0</v>
      </c>
      <c r="P163">
        <v>1454.95</v>
      </c>
      <c r="Q163">
        <v>95.25</v>
      </c>
      <c r="R163">
        <v>9.44</v>
      </c>
      <c r="S163">
        <v>1559.63</v>
      </c>
      <c r="T163" t="s">
        <v>41</v>
      </c>
      <c r="U163" t="s">
        <v>41</v>
      </c>
      <c r="V163" t="s">
        <v>38</v>
      </c>
      <c r="W163" t="s">
        <v>242</v>
      </c>
      <c r="X163">
        <v>41.57</v>
      </c>
      <c r="Y163" s="9">
        <f t="shared" si="10"/>
        <v>41.57</v>
      </c>
      <c r="Z163" s="9">
        <f t="shared" si="11"/>
        <v>77.943749999999994</v>
      </c>
      <c r="AA163" s="5">
        <f t="shared" si="12"/>
        <v>86.59550625</v>
      </c>
      <c r="AB163" s="6">
        <f t="shared" si="13"/>
        <v>126.26108062499998</v>
      </c>
      <c r="AD163" s="10">
        <f t="shared" si="14"/>
        <v>158.08785206249999</v>
      </c>
    </row>
    <row r="164" spans="1:30" x14ac:dyDescent="0.3">
      <c r="A164" t="s">
        <v>168</v>
      </c>
      <c r="B164" s="8" t="s">
        <v>31</v>
      </c>
      <c r="C164" s="8" t="s">
        <v>32</v>
      </c>
      <c r="E164" s="8" t="s">
        <v>70</v>
      </c>
      <c r="F164" s="8" t="s">
        <v>71</v>
      </c>
      <c r="G164">
        <v>8421299090</v>
      </c>
      <c r="H164" t="s">
        <v>243</v>
      </c>
      <c r="I164" t="s">
        <v>241</v>
      </c>
      <c r="J164" t="s">
        <v>38</v>
      </c>
      <c r="K164" t="s">
        <v>39</v>
      </c>
      <c r="L164">
        <v>0</v>
      </c>
      <c r="M164">
        <v>25</v>
      </c>
      <c r="N164" t="s">
        <v>64</v>
      </c>
      <c r="O164">
        <v>0</v>
      </c>
      <c r="P164">
        <v>900.03</v>
      </c>
      <c r="Q164">
        <v>69.09</v>
      </c>
      <c r="R164">
        <v>6.48</v>
      </c>
      <c r="S164">
        <v>975.6</v>
      </c>
      <c r="T164" t="s">
        <v>41</v>
      </c>
      <c r="U164" t="s">
        <v>41</v>
      </c>
      <c r="V164" t="s">
        <v>38</v>
      </c>
      <c r="W164" t="s">
        <v>242</v>
      </c>
      <c r="X164">
        <v>36</v>
      </c>
      <c r="Y164" s="9">
        <f t="shared" si="10"/>
        <v>36.001199999999997</v>
      </c>
      <c r="Z164" s="9">
        <f t="shared" si="11"/>
        <v>67.502249999999989</v>
      </c>
      <c r="AA164" s="5">
        <f t="shared" si="12"/>
        <v>74.994999749999991</v>
      </c>
      <c r="AB164" s="6">
        <f t="shared" si="13"/>
        <v>109.34689477499998</v>
      </c>
      <c r="AD164" s="10">
        <f t="shared" si="14"/>
        <v>136.91008851749999</v>
      </c>
    </row>
    <row r="165" spans="1:30" x14ac:dyDescent="0.3">
      <c r="A165" t="s">
        <v>30</v>
      </c>
      <c r="B165" s="8" t="s">
        <v>52</v>
      </c>
      <c r="C165" s="8" t="s">
        <v>32</v>
      </c>
      <c r="D165" s="8" t="s">
        <v>33</v>
      </c>
      <c r="E165" s="8" t="s">
        <v>34</v>
      </c>
      <c r="F165" s="8" t="s">
        <v>35</v>
      </c>
      <c r="G165">
        <v>7320209090</v>
      </c>
      <c r="H165" t="s">
        <v>36</v>
      </c>
      <c r="I165" t="s">
        <v>244</v>
      </c>
      <c r="J165" t="s">
        <v>38</v>
      </c>
      <c r="K165" t="s">
        <v>39</v>
      </c>
      <c r="L165">
        <v>12</v>
      </c>
      <c r="M165">
        <v>1</v>
      </c>
      <c r="N165" t="s">
        <v>40</v>
      </c>
      <c r="O165">
        <v>0</v>
      </c>
      <c r="P165">
        <v>57.52</v>
      </c>
      <c r="Q165">
        <v>6.6</v>
      </c>
      <c r="R165">
        <v>0.38</v>
      </c>
      <c r="S165">
        <v>64.5</v>
      </c>
      <c r="T165" t="s">
        <v>41</v>
      </c>
      <c r="U165" t="s">
        <v>41</v>
      </c>
      <c r="V165" t="s">
        <v>38</v>
      </c>
      <c r="W165" t="s">
        <v>245</v>
      </c>
      <c r="X165">
        <v>57.52</v>
      </c>
      <c r="Y165" s="9">
        <f t="shared" si="10"/>
        <v>57.52</v>
      </c>
      <c r="Z165" s="9">
        <f t="shared" si="11"/>
        <v>107.85000000000001</v>
      </c>
      <c r="AA165" s="5">
        <f t="shared" si="12"/>
        <v>119.82135000000001</v>
      </c>
      <c r="AB165" s="6">
        <f t="shared" si="13"/>
        <v>174.70621500000001</v>
      </c>
      <c r="AD165" s="10">
        <f t="shared" si="14"/>
        <v>218.74460550000003</v>
      </c>
    </row>
    <row r="166" spans="1:30" x14ac:dyDescent="0.3">
      <c r="A166" t="s">
        <v>30</v>
      </c>
      <c r="B166" s="8" t="s">
        <v>32</v>
      </c>
      <c r="C166" s="8" t="s">
        <v>32</v>
      </c>
      <c r="D166" s="8" t="s">
        <v>33</v>
      </c>
      <c r="E166" s="8" t="s">
        <v>34</v>
      </c>
      <c r="F166" s="8" t="s">
        <v>35</v>
      </c>
      <c r="G166">
        <v>7306400000</v>
      </c>
      <c r="H166" t="s">
        <v>246</v>
      </c>
      <c r="I166" t="s">
        <v>247</v>
      </c>
      <c r="J166" t="s">
        <v>38</v>
      </c>
      <c r="K166" t="s">
        <v>39</v>
      </c>
      <c r="L166">
        <v>3</v>
      </c>
      <c r="M166">
        <v>1</v>
      </c>
      <c r="N166" t="s">
        <v>40</v>
      </c>
      <c r="O166">
        <v>4.43</v>
      </c>
      <c r="P166">
        <v>59.44</v>
      </c>
      <c r="Q166">
        <v>2.54</v>
      </c>
      <c r="R166">
        <v>0.38</v>
      </c>
      <c r="S166">
        <v>62.37</v>
      </c>
      <c r="T166" t="s">
        <v>41</v>
      </c>
      <c r="U166" t="s">
        <v>43</v>
      </c>
      <c r="V166" t="s">
        <v>38</v>
      </c>
      <c r="W166" t="s">
        <v>248</v>
      </c>
      <c r="X166">
        <v>59.44</v>
      </c>
      <c r="Y166" s="9">
        <f t="shared" si="10"/>
        <v>59.44</v>
      </c>
      <c r="Z166" s="9">
        <f t="shared" si="11"/>
        <v>111.44999999999999</v>
      </c>
      <c r="AA166" s="5">
        <f t="shared" si="12"/>
        <v>123.82094999999998</v>
      </c>
      <c r="AB166" s="6">
        <f t="shared" si="13"/>
        <v>180.53785499999998</v>
      </c>
      <c r="AD166" s="10">
        <f t="shared" si="14"/>
        <v>226.0462335</v>
      </c>
    </row>
    <row r="167" spans="1:30" x14ac:dyDescent="0.3">
      <c r="A167" t="s">
        <v>30</v>
      </c>
      <c r="B167" s="8" t="s">
        <v>249</v>
      </c>
      <c r="C167" s="8" t="s">
        <v>32</v>
      </c>
      <c r="D167" s="8" t="s">
        <v>69</v>
      </c>
      <c r="E167" s="8" t="s">
        <v>70</v>
      </c>
      <c r="F167" s="8" t="s">
        <v>71</v>
      </c>
      <c r="G167">
        <v>4016999000</v>
      </c>
      <c r="H167" t="s">
        <v>53</v>
      </c>
      <c r="I167" t="s">
        <v>250</v>
      </c>
      <c r="J167" t="s">
        <v>38</v>
      </c>
      <c r="K167" t="s">
        <v>39</v>
      </c>
      <c r="L167">
        <v>8</v>
      </c>
      <c r="M167">
        <v>6</v>
      </c>
      <c r="N167" t="s">
        <v>64</v>
      </c>
      <c r="O167">
        <v>0</v>
      </c>
      <c r="P167">
        <v>63.54</v>
      </c>
      <c r="Q167">
        <v>4.16</v>
      </c>
      <c r="R167">
        <v>0.41</v>
      </c>
      <c r="S167">
        <v>68.11</v>
      </c>
      <c r="T167" t="s">
        <v>41</v>
      </c>
      <c r="U167" t="s">
        <v>41</v>
      </c>
      <c r="V167" t="s">
        <v>38</v>
      </c>
      <c r="W167" t="s">
        <v>251</v>
      </c>
      <c r="X167">
        <v>10.59</v>
      </c>
      <c r="Y167" s="9">
        <f t="shared" si="10"/>
        <v>10.59</v>
      </c>
      <c r="Z167" s="9">
        <f t="shared" si="11"/>
        <v>19.856249999999999</v>
      </c>
      <c r="AA167" s="5">
        <f t="shared" si="12"/>
        <v>22.06029375</v>
      </c>
      <c r="AB167" s="6">
        <f t="shared" si="13"/>
        <v>32.165139374999995</v>
      </c>
      <c r="AD167" s="10">
        <f t="shared" si="14"/>
        <v>40.273041937500004</v>
      </c>
    </row>
    <row r="168" spans="1:30" x14ac:dyDescent="0.3">
      <c r="A168" t="s">
        <v>30</v>
      </c>
      <c r="B168" s="8" t="s">
        <v>66</v>
      </c>
      <c r="C168" s="8" t="s">
        <v>32</v>
      </c>
      <c r="D168" s="8" t="s">
        <v>69</v>
      </c>
      <c r="E168" s="8" t="s">
        <v>70</v>
      </c>
      <c r="F168" s="8" t="s">
        <v>71</v>
      </c>
      <c r="G168">
        <v>4016999000</v>
      </c>
      <c r="H168" t="s">
        <v>53</v>
      </c>
      <c r="I168" t="s">
        <v>250</v>
      </c>
      <c r="J168" t="s">
        <v>38</v>
      </c>
      <c r="K168" t="s">
        <v>39</v>
      </c>
      <c r="L168">
        <v>13</v>
      </c>
      <c r="M168">
        <v>16</v>
      </c>
      <c r="N168" t="s">
        <v>64</v>
      </c>
      <c r="O168">
        <v>0</v>
      </c>
      <c r="P168">
        <v>110.72</v>
      </c>
      <c r="Q168">
        <v>5.91</v>
      </c>
      <c r="R168">
        <v>0.71</v>
      </c>
      <c r="S168">
        <v>117.34</v>
      </c>
      <c r="T168" t="s">
        <v>72</v>
      </c>
      <c r="U168" t="s">
        <v>72</v>
      </c>
      <c r="V168" t="s">
        <v>38</v>
      </c>
      <c r="W168" t="s">
        <v>252</v>
      </c>
      <c r="X168">
        <v>6.92</v>
      </c>
      <c r="Y168" s="9">
        <f t="shared" si="10"/>
        <v>6.92</v>
      </c>
      <c r="Z168" s="9">
        <f t="shared" si="11"/>
        <v>12.975</v>
      </c>
      <c r="AA168" s="5">
        <f t="shared" si="12"/>
        <v>14.415225</v>
      </c>
      <c r="AB168" s="6">
        <f t="shared" si="13"/>
        <v>21.018202499999997</v>
      </c>
      <c r="AD168" s="10">
        <f t="shared" si="14"/>
        <v>26.316284250000002</v>
      </c>
    </row>
    <row r="169" spans="1:30" x14ac:dyDescent="0.3">
      <c r="A169" t="s">
        <v>30</v>
      </c>
      <c r="B169" s="8" t="s">
        <v>31</v>
      </c>
      <c r="C169" s="8" t="s">
        <v>32</v>
      </c>
      <c r="D169" s="8" t="s">
        <v>69</v>
      </c>
      <c r="E169" s="8" t="s">
        <v>70</v>
      </c>
      <c r="F169" s="8" t="s">
        <v>71</v>
      </c>
      <c r="G169">
        <v>8421999000</v>
      </c>
      <c r="H169" t="s">
        <v>36</v>
      </c>
      <c r="I169" t="s">
        <v>253</v>
      </c>
      <c r="J169" t="s">
        <v>38</v>
      </c>
      <c r="K169" t="s">
        <v>39</v>
      </c>
      <c r="L169">
        <v>9</v>
      </c>
      <c r="M169">
        <v>35</v>
      </c>
      <c r="N169" t="s">
        <v>64</v>
      </c>
      <c r="O169">
        <v>0</v>
      </c>
      <c r="P169">
        <v>953.4</v>
      </c>
      <c r="Q169">
        <v>48.05</v>
      </c>
      <c r="R169">
        <v>6.06</v>
      </c>
      <c r="S169">
        <v>1007.5</v>
      </c>
      <c r="T169" t="s">
        <v>41</v>
      </c>
      <c r="U169" t="s">
        <v>43</v>
      </c>
      <c r="V169" t="s">
        <v>38</v>
      </c>
      <c r="W169" t="s">
        <v>254</v>
      </c>
      <c r="X169">
        <v>27.24</v>
      </c>
      <c r="Y169" s="9">
        <f t="shared" si="10"/>
        <v>27.24</v>
      </c>
      <c r="Z169" s="9">
        <f t="shared" si="11"/>
        <v>51.074999999999996</v>
      </c>
      <c r="AA169" s="5">
        <f t="shared" si="12"/>
        <v>56.744324999999996</v>
      </c>
      <c r="AB169" s="6">
        <f t="shared" si="13"/>
        <v>82.736392499999994</v>
      </c>
      <c r="AD169" s="10">
        <f t="shared" si="14"/>
        <v>103.59184725</v>
      </c>
    </row>
    <row r="170" spans="1:30" x14ac:dyDescent="0.3">
      <c r="A170" t="s">
        <v>30</v>
      </c>
      <c r="B170" s="8" t="s">
        <v>31</v>
      </c>
      <c r="C170" s="8" t="s">
        <v>32</v>
      </c>
      <c r="D170" s="8" t="s">
        <v>33</v>
      </c>
      <c r="E170" s="8" t="s">
        <v>34</v>
      </c>
      <c r="F170" s="8" t="s">
        <v>35</v>
      </c>
      <c r="G170">
        <v>8421999000</v>
      </c>
      <c r="H170" t="s">
        <v>36</v>
      </c>
      <c r="I170" t="s">
        <v>255</v>
      </c>
      <c r="J170" t="s">
        <v>38</v>
      </c>
      <c r="K170" t="s">
        <v>39</v>
      </c>
      <c r="L170">
        <v>10</v>
      </c>
      <c r="M170">
        <v>3</v>
      </c>
      <c r="N170" t="s">
        <v>64</v>
      </c>
      <c r="O170">
        <v>0</v>
      </c>
      <c r="P170">
        <v>85.86</v>
      </c>
      <c r="Q170">
        <v>7.15</v>
      </c>
      <c r="R170">
        <v>0.56000000000000005</v>
      </c>
      <c r="S170">
        <v>93.56</v>
      </c>
      <c r="T170" t="s">
        <v>41</v>
      </c>
      <c r="U170" t="s">
        <v>43</v>
      </c>
      <c r="V170" t="s">
        <v>38</v>
      </c>
      <c r="W170" t="s">
        <v>254</v>
      </c>
      <c r="X170">
        <v>28.62</v>
      </c>
      <c r="Y170" s="9">
        <f t="shared" si="10"/>
        <v>28.62</v>
      </c>
      <c r="Z170" s="9">
        <f t="shared" si="11"/>
        <v>53.662500000000001</v>
      </c>
      <c r="AA170" s="5">
        <f t="shared" si="12"/>
        <v>59.619037499999997</v>
      </c>
      <c r="AB170" s="6">
        <f t="shared" si="13"/>
        <v>86.927883749999992</v>
      </c>
      <c r="AD170" s="10">
        <f t="shared" si="14"/>
        <v>108.83989237500002</v>
      </c>
    </row>
    <row r="171" spans="1:30" x14ac:dyDescent="0.3">
      <c r="A171" t="s">
        <v>30</v>
      </c>
      <c r="B171" s="8" t="s">
        <v>31</v>
      </c>
      <c r="C171" s="8" t="s">
        <v>32</v>
      </c>
      <c r="D171" s="8" t="s">
        <v>69</v>
      </c>
      <c r="E171" s="8" t="s">
        <v>70</v>
      </c>
      <c r="F171" s="8" t="s">
        <v>71</v>
      </c>
      <c r="G171">
        <v>8421999000</v>
      </c>
      <c r="H171" t="s">
        <v>36</v>
      </c>
      <c r="I171" t="s">
        <v>255</v>
      </c>
      <c r="J171" t="s">
        <v>38</v>
      </c>
      <c r="K171" t="s">
        <v>39</v>
      </c>
      <c r="L171">
        <v>8</v>
      </c>
      <c r="M171">
        <v>35</v>
      </c>
      <c r="N171" t="s">
        <v>64</v>
      </c>
      <c r="O171">
        <v>0</v>
      </c>
      <c r="P171">
        <v>981.75</v>
      </c>
      <c r="Q171">
        <v>64.27</v>
      </c>
      <c r="R171">
        <v>6.37</v>
      </c>
      <c r="S171">
        <v>1052.3900000000001</v>
      </c>
      <c r="T171" t="s">
        <v>41</v>
      </c>
      <c r="U171" t="s">
        <v>41</v>
      </c>
      <c r="V171" t="s">
        <v>38</v>
      </c>
      <c r="W171" t="s">
        <v>254</v>
      </c>
      <c r="X171">
        <v>28.05</v>
      </c>
      <c r="Y171" s="9">
        <f t="shared" si="10"/>
        <v>28.05</v>
      </c>
      <c r="Z171" s="9">
        <f t="shared" si="11"/>
        <v>52.59375</v>
      </c>
      <c r="AA171" s="5">
        <f t="shared" si="12"/>
        <v>58.431656249999996</v>
      </c>
      <c r="AB171" s="6">
        <f t="shared" si="13"/>
        <v>85.196615624999993</v>
      </c>
      <c r="AD171" s="10">
        <f t="shared" si="14"/>
        <v>106.67222156250001</v>
      </c>
    </row>
    <row r="172" spans="1:30" x14ac:dyDescent="0.3">
      <c r="A172" t="s">
        <v>168</v>
      </c>
      <c r="B172" s="8" t="s">
        <v>31</v>
      </c>
      <c r="C172" s="8" t="s">
        <v>32</v>
      </c>
      <c r="E172" s="8" t="s">
        <v>70</v>
      </c>
      <c r="F172" s="8" t="s">
        <v>71</v>
      </c>
      <c r="G172">
        <v>8421999000</v>
      </c>
      <c r="H172" t="s">
        <v>36</v>
      </c>
      <c r="I172" t="s">
        <v>255</v>
      </c>
      <c r="J172" t="s">
        <v>38</v>
      </c>
      <c r="K172" t="s">
        <v>39</v>
      </c>
      <c r="L172">
        <v>0</v>
      </c>
      <c r="M172">
        <v>25</v>
      </c>
      <c r="N172" t="s">
        <v>64</v>
      </c>
      <c r="O172">
        <v>0</v>
      </c>
      <c r="P172">
        <v>607.39</v>
      </c>
      <c r="Q172">
        <v>46.63</v>
      </c>
      <c r="R172">
        <v>4.38</v>
      </c>
      <c r="S172">
        <v>658.39</v>
      </c>
      <c r="T172" t="s">
        <v>41</v>
      </c>
      <c r="U172" t="s">
        <v>41</v>
      </c>
      <c r="V172" t="s">
        <v>38</v>
      </c>
      <c r="W172" t="s">
        <v>254</v>
      </c>
      <c r="X172">
        <v>24.3</v>
      </c>
      <c r="Y172" s="9">
        <f t="shared" si="10"/>
        <v>24.2956</v>
      </c>
      <c r="Z172" s="9">
        <f t="shared" si="11"/>
        <v>45.554250000000003</v>
      </c>
      <c r="AA172" s="5">
        <f t="shared" si="12"/>
        <v>50.610771750000005</v>
      </c>
      <c r="AB172" s="6">
        <f t="shared" si="13"/>
        <v>73.793329575000001</v>
      </c>
      <c r="AD172" s="10">
        <f t="shared" si="14"/>
        <v>92.394496477500013</v>
      </c>
    </row>
    <row r="173" spans="1:30" x14ac:dyDescent="0.3">
      <c r="A173" t="s">
        <v>30</v>
      </c>
      <c r="B173" s="8" t="s">
        <v>32</v>
      </c>
      <c r="C173" s="8" t="s">
        <v>32</v>
      </c>
      <c r="D173" s="8" t="s">
        <v>33</v>
      </c>
      <c r="E173" s="8" t="s">
        <v>34</v>
      </c>
      <c r="F173" s="8" t="s">
        <v>35</v>
      </c>
      <c r="G173">
        <v>8481909090</v>
      </c>
      <c r="H173" t="s">
        <v>53</v>
      </c>
      <c r="I173" t="s">
        <v>247</v>
      </c>
      <c r="J173" t="s">
        <v>38</v>
      </c>
      <c r="K173" t="s">
        <v>39</v>
      </c>
      <c r="L173">
        <v>4</v>
      </c>
      <c r="M173">
        <v>3</v>
      </c>
      <c r="N173" t="s">
        <v>64</v>
      </c>
      <c r="O173">
        <v>0</v>
      </c>
      <c r="P173">
        <v>23.93</v>
      </c>
      <c r="Q173">
        <v>1.25</v>
      </c>
      <c r="R173">
        <v>0.16</v>
      </c>
      <c r="S173">
        <v>25.34</v>
      </c>
      <c r="T173" t="s">
        <v>41</v>
      </c>
      <c r="U173" t="s">
        <v>41</v>
      </c>
      <c r="V173" t="s">
        <v>38</v>
      </c>
      <c r="W173" t="s">
        <v>256</v>
      </c>
      <c r="X173">
        <v>7.98</v>
      </c>
      <c r="Y173" s="9">
        <f t="shared" si="10"/>
        <v>7.9766666666666666</v>
      </c>
      <c r="Z173" s="9">
        <f t="shared" si="11"/>
        <v>14.956250000000001</v>
      </c>
      <c r="AA173" s="5">
        <f t="shared" si="12"/>
        <v>16.61639375</v>
      </c>
      <c r="AB173" s="6">
        <f t="shared" si="13"/>
        <v>24.227629374999999</v>
      </c>
      <c r="AD173" s="10">
        <f t="shared" si="14"/>
        <v>30.334714937500003</v>
      </c>
    </row>
    <row r="174" spans="1:30" x14ac:dyDescent="0.3">
      <c r="A174" t="s">
        <v>30</v>
      </c>
      <c r="B174" s="8" t="s">
        <v>31</v>
      </c>
      <c r="C174" s="8" t="s">
        <v>32</v>
      </c>
      <c r="D174" s="8" t="s">
        <v>69</v>
      </c>
      <c r="E174" s="8" t="s">
        <v>70</v>
      </c>
      <c r="F174" s="8" t="s">
        <v>71</v>
      </c>
      <c r="G174">
        <v>8421999000</v>
      </c>
      <c r="H174" t="s">
        <v>36</v>
      </c>
      <c r="I174" t="s">
        <v>257</v>
      </c>
      <c r="J174" t="s">
        <v>38</v>
      </c>
      <c r="K174" t="s">
        <v>39</v>
      </c>
      <c r="L174">
        <v>13</v>
      </c>
      <c r="M174">
        <v>15</v>
      </c>
      <c r="N174" t="s">
        <v>64</v>
      </c>
      <c r="O174">
        <v>0</v>
      </c>
      <c r="P174">
        <v>300</v>
      </c>
      <c r="Q174">
        <v>21.3</v>
      </c>
      <c r="R174">
        <v>1.96</v>
      </c>
      <c r="S174">
        <v>323.26</v>
      </c>
      <c r="T174" t="s">
        <v>41</v>
      </c>
      <c r="U174" t="s">
        <v>41</v>
      </c>
      <c r="V174" t="s">
        <v>38</v>
      </c>
      <c r="W174" t="s">
        <v>258</v>
      </c>
      <c r="X174">
        <v>20</v>
      </c>
      <c r="Y174" s="9">
        <f t="shared" si="10"/>
        <v>20</v>
      </c>
      <c r="Z174" s="9">
        <f t="shared" si="11"/>
        <v>37.5</v>
      </c>
      <c r="AA174" s="5">
        <f t="shared" si="12"/>
        <v>41.662500000000001</v>
      </c>
      <c r="AB174" s="6">
        <f t="shared" si="13"/>
        <v>60.746249999999996</v>
      </c>
      <c r="AD174" s="10">
        <f t="shared" si="14"/>
        <v>76.058625000000006</v>
      </c>
    </row>
    <row r="175" spans="1:30" x14ac:dyDescent="0.3">
      <c r="A175" t="s">
        <v>168</v>
      </c>
      <c r="B175" s="8" t="s">
        <v>31</v>
      </c>
      <c r="C175" s="8" t="s">
        <v>32</v>
      </c>
      <c r="D175" s="8" t="s">
        <v>33</v>
      </c>
      <c r="E175" s="8" t="s">
        <v>34</v>
      </c>
      <c r="F175" s="8" t="s">
        <v>35</v>
      </c>
      <c r="G175">
        <v>8421999000</v>
      </c>
      <c r="H175" t="s">
        <v>36</v>
      </c>
      <c r="I175" t="s">
        <v>166</v>
      </c>
      <c r="J175" t="s">
        <v>38</v>
      </c>
      <c r="K175" t="s">
        <v>39</v>
      </c>
      <c r="L175">
        <v>11</v>
      </c>
      <c r="M175">
        <v>10</v>
      </c>
      <c r="N175" t="s">
        <v>64</v>
      </c>
      <c r="O175">
        <v>0</v>
      </c>
      <c r="P175">
        <v>205.78</v>
      </c>
      <c r="Q175">
        <v>19.71</v>
      </c>
      <c r="R175">
        <v>1.39</v>
      </c>
      <c r="S175">
        <v>226.87</v>
      </c>
      <c r="T175" t="s">
        <v>41</v>
      </c>
      <c r="U175" t="s">
        <v>43</v>
      </c>
      <c r="V175" t="s">
        <v>38</v>
      </c>
      <c r="W175" t="s">
        <v>258</v>
      </c>
      <c r="X175">
        <v>20.58</v>
      </c>
      <c r="Y175" s="9">
        <f t="shared" si="10"/>
        <v>20.577999999999999</v>
      </c>
      <c r="Z175" s="9">
        <f t="shared" si="11"/>
        <v>38.583750000000002</v>
      </c>
      <c r="AA175" s="5">
        <f t="shared" si="12"/>
        <v>42.866546249999999</v>
      </c>
      <c r="AB175" s="6">
        <f t="shared" si="13"/>
        <v>62.501816624999996</v>
      </c>
      <c r="AD175" s="10">
        <f t="shared" si="14"/>
        <v>78.256719262500013</v>
      </c>
    </row>
    <row r="176" spans="1:30" x14ac:dyDescent="0.3">
      <c r="A176" t="s">
        <v>30</v>
      </c>
      <c r="B176" s="8" t="s">
        <v>31</v>
      </c>
      <c r="C176" s="8" t="s">
        <v>32</v>
      </c>
      <c r="D176" s="8" t="s">
        <v>33</v>
      </c>
      <c r="E176" s="8" t="s">
        <v>34</v>
      </c>
      <c r="F176" s="8" t="s">
        <v>35</v>
      </c>
      <c r="G176">
        <v>8421999000</v>
      </c>
      <c r="H176" t="s">
        <v>36</v>
      </c>
      <c r="I176" t="s">
        <v>257</v>
      </c>
      <c r="J176" t="s">
        <v>38</v>
      </c>
      <c r="K176" t="s">
        <v>39</v>
      </c>
      <c r="L176">
        <v>8</v>
      </c>
      <c r="M176">
        <v>10</v>
      </c>
      <c r="N176" t="s">
        <v>64</v>
      </c>
      <c r="O176">
        <v>0</v>
      </c>
      <c r="P176">
        <v>278.38</v>
      </c>
      <c r="Q176">
        <v>29.72</v>
      </c>
      <c r="R176">
        <v>1.87</v>
      </c>
      <c r="S176">
        <v>309.95999999999998</v>
      </c>
      <c r="T176" t="s">
        <v>41</v>
      </c>
      <c r="U176" t="s">
        <v>41</v>
      </c>
      <c r="V176" t="s">
        <v>38</v>
      </c>
      <c r="W176" t="s">
        <v>258</v>
      </c>
      <c r="X176">
        <v>27.84</v>
      </c>
      <c r="Y176" s="9">
        <f t="shared" si="10"/>
        <v>27.838000000000001</v>
      </c>
      <c r="Z176" s="9">
        <f t="shared" si="11"/>
        <v>52.196249999999999</v>
      </c>
      <c r="AA176" s="5">
        <f t="shared" si="12"/>
        <v>57.990033749999995</v>
      </c>
      <c r="AB176" s="6">
        <f t="shared" si="13"/>
        <v>84.552705374999988</v>
      </c>
      <c r="AD176" s="10">
        <f t="shared" si="14"/>
        <v>105.86600013750001</v>
      </c>
    </row>
    <row r="177" spans="1:30" x14ac:dyDescent="0.3">
      <c r="A177" t="s">
        <v>30</v>
      </c>
      <c r="B177" s="8" t="s">
        <v>31</v>
      </c>
      <c r="C177" s="8" t="s">
        <v>32</v>
      </c>
      <c r="D177" s="8" t="s">
        <v>69</v>
      </c>
      <c r="E177" s="8" t="s">
        <v>70</v>
      </c>
      <c r="F177" s="8" t="s">
        <v>71</v>
      </c>
      <c r="G177">
        <v>8421999000</v>
      </c>
      <c r="H177" t="s">
        <v>36</v>
      </c>
      <c r="I177" t="s">
        <v>257</v>
      </c>
      <c r="J177" t="s">
        <v>38</v>
      </c>
      <c r="K177" t="s">
        <v>39</v>
      </c>
      <c r="L177">
        <v>8</v>
      </c>
      <c r="M177">
        <v>20</v>
      </c>
      <c r="N177" t="s">
        <v>64</v>
      </c>
      <c r="O177">
        <v>0</v>
      </c>
      <c r="P177">
        <v>400</v>
      </c>
      <c r="Q177">
        <v>26.18</v>
      </c>
      <c r="R177">
        <v>2.59</v>
      </c>
      <c r="S177">
        <v>428.78</v>
      </c>
      <c r="T177" t="s">
        <v>41</v>
      </c>
      <c r="U177" t="s">
        <v>41</v>
      </c>
      <c r="V177" t="s">
        <v>38</v>
      </c>
      <c r="W177" t="s">
        <v>258</v>
      </c>
      <c r="X177">
        <v>20</v>
      </c>
      <c r="Y177" s="9">
        <f t="shared" si="10"/>
        <v>20</v>
      </c>
      <c r="Z177" s="9">
        <f t="shared" si="11"/>
        <v>37.5</v>
      </c>
      <c r="AA177" s="5">
        <f t="shared" si="12"/>
        <v>41.662500000000001</v>
      </c>
      <c r="AB177" s="6">
        <f t="shared" si="13"/>
        <v>60.746249999999996</v>
      </c>
      <c r="AD177" s="10">
        <f t="shared" si="14"/>
        <v>76.058625000000006</v>
      </c>
    </row>
    <row r="178" spans="1:30" x14ac:dyDescent="0.3">
      <c r="A178" t="s">
        <v>30</v>
      </c>
      <c r="B178" s="8" t="s">
        <v>31</v>
      </c>
      <c r="C178" s="8" t="s">
        <v>32</v>
      </c>
      <c r="D178" s="8" t="s">
        <v>69</v>
      </c>
      <c r="E178" s="8" t="s">
        <v>70</v>
      </c>
      <c r="F178" s="8" t="s">
        <v>71</v>
      </c>
      <c r="G178">
        <v>8421999000</v>
      </c>
      <c r="H178" t="s">
        <v>36</v>
      </c>
      <c r="I178" t="s">
        <v>257</v>
      </c>
      <c r="J178" t="s">
        <v>38</v>
      </c>
      <c r="K178" t="s">
        <v>39</v>
      </c>
      <c r="L178">
        <v>13</v>
      </c>
      <c r="M178">
        <v>10</v>
      </c>
      <c r="N178" t="s">
        <v>64</v>
      </c>
      <c r="O178">
        <v>0</v>
      </c>
      <c r="P178">
        <v>200</v>
      </c>
      <c r="Q178">
        <v>10.68</v>
      </c>
      <c r="R178">
        <v>1.28</v>
      </c>
      <c r="S178">
        <v>211.96</v>
      </c>
      <c r="T178" t="s">
        <v>72</v>
      </c>
      <c r="U178" t="s">
        <v>72</v>
      </c>
      <c r="V178" t="s">
        <v>38</v>
      </c>
      <c r="W178" t="s">
        <v>258</v>
      </c>
      <c r="X178">
        <v>20</v>
      </c>
      <c r="Y178" s="9">
        <f t="shared" si="10"/>
        <v>20</v>
      </c>
      <c r="Z178" s="9">
        <f t="shared" si="11"/>
        <v>37.5</v>
      </c>
      <c r="AA178" s="5">
        <f t="shared" si="12"/>
        <v>41.662500000000001</v>
      </c>
      <c r="AB178" s="6">
        <f t="shared" si="13"/>
        <v>60.746249999999996</v>
      </c>
      <c r="AD178" s="10">
        <f t="shared" si="14"/>
        <v>76.058625000000006</v>
      </c>
    </row>
    <row r="179" spans="1:30" x14ac:dyDescent="0.3">
      <c r="A179" t="s">
        <v>168</v>
      </c>
      <c r="B179" s="8" t="s">
        <v>31</v>
      </c>
      <c r="C179" s="8" t="s">
        <v>32</v>
      </c>
      <c r="E179" s="8" t="s">
        <v>70</v>
      </c>
      <c r="F179" s="8" t="s">
        <v>71</v>
      </c>
      <c r="G179">
        <v>8421999000</v>
      </c>
      <c r="H179" t="s">
        <v>36</v>
      </c>
      <c r="I179" t="s">
        <v>257</v>
      </c>
      <c r="J179" t="s">
        <v>38</v>
      </c>
      <c r="K179" t="s">
        <v>39</v>
      </c>
      <c r="L179">
        <v>0</v>
      </c>
      <c r="M179">
        <v>10</v>
      </c>
      <c r="N179" t="s">
        <v>64</v>
      </c>
      <c r="O179">
        <v>0</v>
      </c>
      <c r="P179">
        <v>235.69</v>
      </c>
      <c r="Q179">
        <v>18.09</v>
      </c>
      <c r="R179">
        <v>1.7</v>
      </c>
      <c r="S179">
        <v>255.48</v>
      </c>
      <c r="T179" t="s">
        <v>41</v>
      </c>
      <c r="U179" t="s">
        <v>41</v>
      </c>
      <c r="V179" t="s">
        <v>38</v>
      </c>
      <c r="W179" t="s">
        <v>258</v>
      </c>
      <c r="X179">
        <v>23.57</v>
      </c>
      <c r="Y179" s="9">
        <f t="shared" si="10"/>
        <v>23.568999999999999</v>
      </c>
      <c r="Z179" s="9">
        <f t="shared" si="11"/>
        <v>44.191874999999996</v>
      </c>
      <c r="AA179" s="5">
        <f t="shared" si="12"/>
        <v>49.097173124999998</v>
      </c>
      <c r="AB179" s="6">
        <f t="shared" si="13"/>
        <v>71.586418312499987</v>
      </c>
      <c r="AD179" s="10">
        <f t="shared" si="14"/>
        <v>89.631286631250006</v>
      </c>
    </row>
    <row r="180" spans="1:30" x14ac:dyDescent="0.3">
      <c r="A180" t="s">
        <v>30</v>
      </c>
      <c r="B180" s="8" t="s">
        <v>259</v>
      </c>
      <c r="C180" s="8" t="s">
        <v>32</v>
      </c>
      <c r="D180" s="8" t="s">
        <v>33</v>
      </c>
      <c r="E180" s="8" t="s">
        <v>34</v>
      </c>
      <c r="F180" s="8" t="s">
        <v>35</v>
      </c>
      <c r="G180">
        <v>9026101200</v>
      </c>
      <c r="H180" t="s">
        <v>260</v>
      </c>
      <c r="I180" t="s">
        <v>261</v>
      </c>
      <c r="J180" t="s">
        <v>38</v>
      </c>
      <c r="K180" t="s">
        <v>39</v>
      </c>
      <c r="L180">
        <v>12</v>
      </c>
      <c r="M180">
        <v>2</v>
      </c>
      <c r="N180" t="s">
        <v>64</v>
      </c>
      <c r="O180">
        <v>0</v>
      </c>
      <c r="P180">
        <v>208.84</v>
      </c>
      <c r="Q180">
        <v>23.98</v>
      </c>
      <c r="R180">
        <v>1.39</v>
      </c>
      <c r="S180">
        <v>234.22</v>
      </c>
      <c r="T180" t="s">
        <v>41</v>
      </c>
      <c r="U180" t="s">
        <v>41</v>
      </c>
      <c r="V180" t="s">
        <v>38</v>
      </c>
      <c r="W180" t="s">
        <v>262</v>
      </c>
      <c r="X180">
        <v>104.42</v>
      </c>
      <c r="Y180" s="9">
        <f t="shared" si="10"/>
        <v>104.42</v>
      </c>
      <c r="Z180" s="9">
        <f t="shared" si="11"/>
        <v>195.78749999999999</v>
      </c>
      <c r="AA180" s="5">
        <f t="shared" si="12"/>
        <v>217.5199125</v>
      </c>
      <c r="AB180" s="6">
        <f t="shared" si="13"/>
        <v>317.15617124999994</v>
      </c>
      <c r="AD180" s="10">
        <f t="shared" si="14"/>
        <v>397.10208112500004</v>
      </c>
    </row>
    <row r="181" spans="1:30" x14ac:dyDescent="0.3">
      <c r="A181" t="s">
        <v>30</v>
      </c>
      <c r="B181" s="8" t="s">
        <v>58</v>
      </c>
      <c r="C181" s="8" t="s">
        <v>32</v>
      </c>
      <c r="D181" s="8" t="s">
        <v>33</v>
      </c>
      <c r="E181" s="8" t="s">
        <v>34</v>
      </c>
      <c r="F181" s="8" t="s">
        <v>35</v>
      </c>
      <c r="G181">
        <v>4016999000</v>
      </c>
      <c r="H181" t="s">
        <v>53</v>
      </c>
      <c r="I181" t="s">
        <v>263</v>
      </c>
      <c r="J181" t="s">
        <v>38</v>
      </c>
      <c r="K181" t="s">
        <v>39</v>
      </c>
      <c r="L181">
        <v>3</v>
      </c>
      <c r="M181">
        <v>1</v>
      </c>
      <c r="N181" t="s">
        <v>64</v>
      </c>
      <c r="O181">
        <v>0</v>
      </c>
      <c r="P181">
        <v>9.67</v>
      </c>
      <c r="Q181">
        <v>0.41</v>
      </c>
      <c r="R181">
        <v>0.06</v>
      </c>
      <c r="S181">
        <v>10.15</v>
      </c>
      <c r="T181" t="s">
        <v>41</v>
      </c>
      <c r="U181" t="s">
        <v>43</v>
      </c>
      <c r="V181" t="s">
        <v>38</v>
      </c>
      <c r="W181" t="s">
        <v>264</v>
      </c>
      <c r="X181">
        <v>9.67</v>
      </c>
      <c r="Y181" s="9">
        <f t="shared" si="10"/>
        <v>9.67</v>
      </c>
      <c r="Z181" s="9">
        <f t="shared" si="11"/>
        <v>18.131250000000001</v>
      </c>
      <c r="AA181" s="5">
        <f t="shared" si="12"/>
        <v>20.143818750000001</v>
      </c>
      <c r="AB181" s="6">
        <f t="shared" si="13"/>
        <v>29.370811875000001</v>
      </c>
      <c r="AD181" s="10">
        <f t="shared" si="14"/>
        <v>36.774345187500003</v>
      </c>
    </row>
    <row r="182" spans="1:30" x14ac:dyDescent="0.3">
      <c r="A182" t="s">
        <v>30</v>
      </c>
      <c r="B182" s="8" t="s">
        <v>31</v>
      </c>
      <c r="C182" s="8" t="s">
        <v>32</v>
      </c>
      <c r="D182" s="8" t="s">
        <v>33</v>
      </c>
      <c r="E182" s="8" t="s">
        <v>34</v>
      </c>
      <c r="F182" s="8" t="s">
        <v>35</v>
      </c>
      <c r="G182">
        <v>8421999000</v>
      </c>
      <c r="H182" t="s">
        <v>36</v>
      </c>
      <c r="I182" t="s">
        <v>253</v>
      </c>
      <c r="J182" t="s">
        <v>38</v>
      </c>
      <c r="K182" t="s">
        <v>39</v>
      </c>
      <c r="L182">
        <v>8</v>
      </c>
      <c r="M182">
        <v>5</v>
      </c>
      <c r="N182" t="s">
        <v>64</v>
      </c>
      <c r="O182">
        <v>0</v>
      </c>
      <c r="P182">
        <v>603.79999999999995</v>
      </c>
      <c r="Q182">
        <v>64.459999999999994</v>
      </c>
      <c r="R182">
        <v>4.05</v>
      </c>
      <c r="S182">
        <v>672.31</v>
      </c>
      <c r="T182" t="s">
        <v>41</v>
      </c>
      <c r="U182" t="s">
        <v>41</v>
      </c>
      <c r="V182" t="s">
        <v>38</v>
      </c>
      <c r="W182" t="s">
        <v>265</v>
      </c>
      <c r="X182">
        <v>120.76</v>
      </c>
      <c r="Y182" s="9">
        <f t="shared" si="10"/>
        <v>120.75999999999999</v>
      </c>
      <c r="Z182" s="9">
        <f t="shared" si="11"/>
        <v>226.42499999999998</v>
      </c>
      <c r="AA182" s="5">
        <f t="shared" si="12"/>
        <v>251.55817499999998</v>
      </c>
      <c r="AB182" s="6">
        <f t="shared" si="13"/>
        <v>366.78585749999996</v>
      </c>
      <c r="AD182" s="10">
        <f t="shared" si="14"/>
        <v>459.24197774999999</v>
      </c>
    </row>
    <row r="183" spans="1:30" x14ac:dyDescent="0.3">
      <c r="A183" t="s">
        <v>30</v>
      </c>
      <c r="B183" s="8" t="s">
        <v>31</v>
      </c>
      <c r="C183" s="8" t="s">
        <v>32</v>
      </c>
      <c r="D183" s="8" t="s">
        <v>33</v>
      </c>
      <c r="E183" s="8" t="s">
        <v>34</v>
      </c>
      <c r="F183" s="8" t="s">
        <v>35</v>
      </c>
      <c r="G183">
        <v>8421999000</v>
      </c>
      <c r="H183" t="s">
        <v>36</v>
      </c>
      <c r="I183" t="s">
        <v>255</v>
      </c>
      <c r="J183" t="s">
        <v>38</v>
      </c>
      <c r="K183" t="s">
        <v>39</v>
      </c>
      <c r="L183">
        <v>8</v>
      </c>
      <c r="M183">
        <v>4</v>
      </c>
      <c r="N183" t="s">
        <v>64</v>
      </c>
      <c r="O183">
        <v>0</v>
      </c>
      <c r="P183">
        <v>482.6</v>
      </c>
      <c r="Q183">
        <v>60.46</v>
      </c>
      <c r="R183">
        <v>3.3</v>
      </c>
      <c r="S183">
        <v>546.35</v>
      </c>
      <c r="T183" t="s">
        <v>41</v>
      </c>
      <c r="U183" t="s">
        <v>41</v>
      </c>
      <c r="V183" t="s">
        <v>38</v>
      </c>
      <c r="W183" t="s">
        <v>265</v>
      </c>
      <c r="X183">
        <v>120.65</v>
      </c>
      <c r="Y183" s="9">
        <f t="shared" si="10"/>
        <v>120.65</v>
      </c>
      <c r="Z183" s="9">
        <f t="shared" si="11"/>
        <v>226.21875</v>
      </c>
      <c r="AA183" s="5">
        <f t="shared" si="12"/>
        <v>251.32903124999999</v>
      </c>
      <c r="AB183" s="6">
        <f t="shared" si="13"/>
        <v>366.45175312499998</v>
      </c>
      <c r="AD183" s="10">
        <f t="shared" si="14"/>
        <v>458.82365531250002</v>
      </c>
    </row>
    <row r="184" spans="1:30" x14ac:dyDescent="0.3">
      <c r="A184" t="s">
        <v>168</v>
      </c>
      <c r="B184" s="8" t="s">
        <v>31</v>
      </c>
      <c r="C184" s="8" t="s">
        <v>32</v>
      </c>
      <c r="E184" s="8" t="s">
        <v>70</v>
      </c>
      <c r="F184" s="8" t="s">
        <v>71</v>
      </c>
      <c r="G184">
        <v>8421999000</v>
      </c>
      <c r="H184" t="s">
        <v>36</v>
      </c>
      <c r="I184" t="s">
        <v>255</v>
      </c>
      <c r="J184" t="s">
        <v>38</v>
      </c>
      <c r="K184" t="s">
        <v>39</v>
      </c>
      <c r="L184">
        <v>0</v>
      </c>
      <c r="M184">
        <v>1</v>
      </c>
      <c r="N184" t="s">
        <v>64</v>
      </c>
      <c r="O184">
        <v>0</v>
      </c>
      <c r="P184">
        <v>102.26</v>
      </c>
      <c r="Q184">
        <v>7.85</v>
      </c>
      <c r="R184">
        <v>0.74</v>
      </c>
      <c r="S184">
        <v>110.84</v>
      </c>
      <c r="T184" t="s">
        <v>41</v>
      </c>
      <c r="U184" t="s">
        <v>41</v>
      </c>
      <c r="V184" t="s">
        <v>38</v>
      </c>
      <c r="W184" t="s">
        <v>265</v>
      </c>
      <c r="X184">
        <v>102.26</v>
      </c>
      <c r="Y184" s="9">
        <f t="shared" si="10"/>
        <v>102.26</v>
      </c>
      <c r="Z184" s="9">
        <f t="shared" si="11"/>
        <v>191.73750000000001</v>
      </c>
      <c r="AA184" s="5">
        <f t="shared" si="12"/>
        <v>213.0203625</v>
      </c>
      <c r="AB184" s="6">
        <f t="shared" si="13"/>
        <v>310.59557625000002</v>
      </c>
      <c r="AD184" s="10">
        <f t="shared" si="14"/>
        <v>388.88774962500008</v>
      </c>
    </row>
    <row r="185" spans="1:30" x14ac:dyDescent="0.3">
      <c r="A185" t="s">
        <v>168</v>
      </c>
      <c r="B185" s="8" t="s">
        <v>31</v>
      </c>
      <c r="C185" s="8" t="s">
        <v>32</v>
      </c>
      <c r="E185" s="8" t="s">
        <v>70</v>
      </c>
      <c r="F185" s="8" t="s">
        <v>71</v>
      </c>
      <c r="G185">
        <v>8421999000</v>
      </c>
      <c r="H185" t="s">
        <v>36</v>
      </c>
      <c r="I185" t="s">
        <v>255</v>
      </c>
      <c r="J185" t="s">
        <v>38</v>
      </c>
      <c r="K185" t="s">
        <v>39</v>
      </c>
      <c r="L185">
        <v>0</v>
      </c>
      <c r="M185">
        <v>7</v>
      </c>
      <c r="N185" t="s">
        <v>64</v>
      </c>
      <c r="O185">
        <v>0</v>
      </c>
      <c r="P185">
        <v>715.8</v>
      </c>
      <c r="Q185">
        <v>54.95</v>
      </c>
      <c r="R185">
        <v>5.16</v>
      </c>
      <c r="S185">
        <v>775.91</v>
      </c>
      <c r="T185" t="s">
        <v>41</v>
      </c>
      <c r="U185" t="s">
        <v>41</v>
      </c>
      <c r="V185" t="s">
        <v>38</v>
      </c>
      <c r="W185" t="s">
        <v>265</v>
      </c>
      <c r="X185">
        <v>102.26</v>
      </c>
      <c r="Y185" s="9">
        <f t="shared" si="10"/>
        <v>102.25714285714285</v>
      </c>
      <c r="Z185" s="9">
        <f t="shared" si="11"/>
        <v>191.73214285714286</v>
      </c>
      <c r="AA185" s="5">
        <f t="shared" si="12"/>
        <v>213.0144107142857</v>
      </c>
      <c r="AB185" s="6">
        <f t="shared" si="13"/>
        <v>310.58689821428572</v>
      </c>
      <c r="AD185" s="10">
        <f t="shared" si="14"/>
        <v>388.87688410714293</v>
      </c>
    </row>
    <row r="186" spans="1:30" x14ac:dyDescent="0.3">
      <c r="A186" t="s">
        <v>30</v>
      </c>
      <c r="B186" s="8" t="s">
        <v>32</v>
      </c>
      <c r="C186" s="8" t="s">
        <v>32</v>
      </c>
      <c r="D186" s="8" t="s">
        <v>33</v>
      </c>
      <c r="E186" s="8" t="s">
        <v>34</v>
      </c>
      <c r="F186" s="8" t="s">
        <v>35</v>
      </c>
      <c r="G186">
        <v>4009110000</v>
      </c>
      <c r="H186" t="s">
        <v>266</v>
      </c>
      <c r="I186" t="s">
        <v>37</v>
      </c>
      <c r="J186" t="s">
        <v>38</v>
      </c>
      <c r="K186" t="s">
        <v>39</v>
      </c>
      <c r="L186">
        <v>8</v>
      </c>
      <c r="M186">
        <v>1</v>
      </c>
      <c r="N186" t="s">
        <v>40</v>
      </c>
      <c r="O186">
        <v>0</v>
      </c>
      <c r="P186">
        <v>186.07</v>
      </c>
      <c r="Q186">
        <v>26.78</v>
      </c>
      <c r="R186">
        <v>1.31</v>
      </c>
      <c r="S186">
        <v>214.16</v>
      </c>
      <c r="T186" t="s">
        <v>41</v>
      </c>
      <c r="U186" t="s">
        <v>41</v>
      </c>
      <c r="V186" t="s">
        <v>38</v>
      </c>
      <c r="W186" t="s">
        <v>267</v>
      </c>
      <c r="X186">
        <v>186.07</v>
      </c>
      <c r="Y186" s="9">
        <f t="shared" si="10"/>
        <v>186.07</v>
      </c>
      <c r="Z186" s="9">
        <f t="shared" si="11"/>
        <v>348.88124999999997</v>
      </c>
      <c r="AA186" s="5">
        <f t="shared" si="12"/>
        <v>387.60706874999994</v>
      </c>
      <c r="AB186" s="6">
        <f t="shared" si="13"/>
        <v>565.15273687499996</v>
      </c>
      <c r="AD186" s="10">
        <f t="shared" si="14"/>
        <v>707.61141768749997</v>
      </c>
    </row>
    <row r="187" spans="1:30" x14ac:dyDescent="0.3">
      <c r="A187" t="s">
        <v>30</v>
      </c>
      <c r="B187" s="8" t="s">
        <v>32</v>
      </c>
      <c r="C187" s="8" t="s">
        <v>32</v>
      </c>
      <c r="D187" s="8" t="s">
        <v>33</v>
      </c>
      <c r="E187" s="8" t="s">
        <v>34</v>
      </c>
      <c r="F187" s="8" t="s">
        <v>35</v>
      </c>
      <c r="G187">
        <v>4009110000</v>
      </c>
      <c r="H187" t="s">
        <v>266</v>
      </c>
      <c r="I187" t="s">
        <v>37</v>
      </c>
      <c r="J187" t="s">
        <v>38</v>
      </c>
      <c r="K187" t="s">
        <v>39</v>
      </c>
      <c r="L187">
        <v>6</v>
      </c>
      <c r="M187">
        <v>1</v>
      </c>
      <c r="N187" t="s">
        <v>40</v>
      </c>
      <c r="O187">
        <v>0</v>
      </c>
      <c r="P187">
        <v>186.78</v>
      </c>
      <c r="Q187">
        <v>12.68</v>
      </c>
      <c r="R187">
        <v>1.21</v>
      </c>
      <c r="S187">
        <v>200.67</v>
      </c>
      <c r="T187" t="s">
        <v>41</v>
      </c>
      <c r="U187" t="s">
        <v>41</v>
      </c>
      <c r="V187" t="s">
        <v>38</v>
      </c>
      <c r="W187" t="s">
        <v>267</v>
      </c>
      <c r="X187">
        <v>186.78</v>
      </c>
      <c r="Y187" s="9">
        <f t="shared" si="10"/>
        <v>186.78</v>
      </c>
      <c r="Z187" s="9">
        <f t="shared" si="11"/>
        <v>350.21249999999998</v>
      </c>
      <c r="AA187" s="5">
        <f t="shared" si="12"/>
        <v>389.08608749999996</v>
      </c>
      <c r="AB187" s="6">
        <f t="shared" si="13"/>
        <v>567.30922874999987</v>
      </c>
      <c r="AD187" s="10">
        <f t="shared" si="14"/>
        <v>710.31149887499998</v>
      </c>
    </row>
    <row r="188" spans="1:30" x14ac:dyDescent="0.3">
      <c r="A188" t="s">
        <v>30</v>
      </c>
      <c r="B188" s="8" t="s">
        <v>31</v>
      </c>
      <c r="C188" s="8" t="s">
        <v>32</v>
      </c>
      <c r="D188" s="8" t="s">
        <v>33</v>
      </c>
      <c r="E188" s="8" t="s">
        <v>34</v>
      </c>
      <c r="F188" s="8" t="s">
        <v>35</v>
      </c>
      <c r="G188">
        <v>8544429000</v>
      </c>
      <c r="H188" t="s">
        <v>268</v>
      </c>
      <c r="I188" t="s">
        <v>269</v>
      </c>
      <c r="J188" t="s">
        <v>38</v>
      </c>
      <c r="K188" t="s">
        <v>39</v>
      </c>
      <c r="L188">
        <v>6</v>
      </c>
      <c r="M188">
        <v>16</v>
      </c>
      <c r="N188" t="s">
        <v>40</v>
      </c>
      <c r="O188">
        <v>208.09</v>
      </c>
      <c r="P188">
        <v>1377.67</v>
      </c>
      <c r="Q188">
        <v>166.61</v>
      </c>
      <c r="R188">
        <v>9.6</v>
      </c>
      <c r="S188">
        <v>1553.88</v>
      </c>
      <c r="T188" t="s">
        <v>41</v>
      </c>
      <c r="U188" t="s">
        <v>43</v>
      </c>
      <c r="V188" t="s">
        <v>38</v>
      </c>
      <c r="W188" t="s">
        <v>270</v>
      </c>
      <c r="X188">
        <v>86.1</v>
      </c>
      <c r="Y188" s="9">
        <f t="shared" si="10"/>
        <v>86.104375000000005</v>
      </c>
      <c r="Z188" s="9">
        <f t="shared" si="11"/>
        <v>161.44570312500002</v>
      </c>
      <c r="AA188" s="5">
        <f t="shared" si="12"/>
        <v>179.36617617187503</v>
      </c>
      <c r="AB188" s="6">
        <f t="shared" si="13"/>
        <v>261.52589449218755</v>
      </c>
      <c r="AD188" s="10">
        <f t="shared" si="14"/>
        <v>327.44901844921884</v>
      </c>
    </row>
    <row r="189" spans="1:30" x14ac:dyDescent="0.3">
      <c r="A189" t="s">
        <v>30</v>
      </c>
      <c r="B189" s="8" t="s">
        <v>31</v>
      </c>
      <c r="C189" s="8" t="s">
        <v>32</v>
      </c>
      <c r="D189" s="8" t="s">
        <v>33</v>
      </c>
      <c r="E189" s="8" t="s">
        <v>34</v>
      </c>
      <c r="F189" s="8" t="s">
        <v>35</v>
      </c>
      <c r="G189">
        <v>8544429000</v>
      </c>
      <c r="H189" t="s">
        <v>268</v>
      </c>
      <c r="I189" t="s">
        <v>269</v>
      </c>
      <c r="J189" t="s">
        <v>38</v>
      </c>
      <c r="K189" t="s">
        <v>39</v>
      </c>
      <c r="L189">
        <v>6</v>
      </c>
      <c r="M189">
        <v>2</v>
      </c>
      <c r="N189" t="s">
        <v>40</v>
      </c>
      <c r="O189">
        <v>26.61</v>
      </c>
      <c r="P189">
        <v>176.25</v>
      </c>
      <c r="Q189">
        <v>11.96</v>
      </c>
      <c r="R189">
        <v>1.1499999999999999</v>
      </c>
      <c r="S189">
        <v>189.36</v>
      </c>
      <c r="T189" t="s">
        <v>41</v>
      </c>
      <c r="U189" t="s">
        <v>41</v>
      </c>
      <c r="V189" t="s">
        <v>38</v>
      </c>
      <c r="W189" t="s">
        <v>270</v>
      </c>
      <c r="X189">
        <v>88.12</v>
      </c>
      <c r="Y189" s="9">
        <f t="shared" si="10"/>
        <v>88.125</v>
      </c>
      <c r="Z189" s="9">
        <f t="shared" si="11"/>
        <v>165.234375</v>
      </c>
      <c r="AA189" s="5">
        <f t="shared" si="12"/>
        <v>183.57539062500001</v>
      </c>
      <c r="AB189" s="6">
        <f t="shared" si="13"/>
        <v>267.66316406249996</v>
      </c>
      <c r="AD189" s="10">
        <f t="shared" si="14"/>
        <v>335.13331640625006</v>
      </c>
    </row>
    <row r="190" spans="1:30" x14ac:dyDescent="0.3">
      <c r="A190" t="s">
        <v>30</v>
      </c>
      <c r="B190" s="8" t="s">
        <v>31</v>
      </c>
      <c r="C190" s="8" t="s">
        <v>32</v>
      </c>
      <c r="D190" s="8" t="s">
        <v>33</v>
      </c>
      <c r="E190" s="8" t="s">
        <v>34</v>
      </c>
      <c r="F190" s="8" t="s">
        <v>35</v>
      </c>
      <c r="G190">
        <v>8544429000</v>
      </c>
      <c r="H190" t="s">
        <v>271</v>
      </c>
      <c r="I190" t="s">
        <v>272</v>
      </c>
      <c r="J190" t="s">
        <v>38</v>
      </c>
      <c r="K190" t="s">
        <v>39</v>
      </c>
      <c r="L190">
        <v>8</v>
      </c>
      <c r="M190">
        <v>2</v>
      </c>
      <c r="N190" t="s">
        <v>40</v>
      </c>
      <c r="O190">
        <v>26.61</v>
      </c>
      <c r="P190">
        <v>176.19</v>
      </c>
      <c r="Q190">
        <v>22.07</v>
      </c>
      <c r="R190">
        <v>1.2</v>
      </c>
      <c r="S190">
        <v>199.47</v>
      </c>
      <c r="T190" t="s">
        <v>41</v>
      </c>
      <c r="U190" t="s">
        <v>41</v>
      </c>
      <c r="V190" t="s">
        <v>38</v>
      </c>
      <c r="W190" t="s">
        <v>270</v>
      </c>
      <c r="X190">
        <v>88.1</v>
      </c>
      <c r="Y190" s="9">
        <f t="shared" si="10"/>
        <v>88.094999999999999</v>
      </c>
      <c r="Z190" s="9">
        <f t="shared" si="11"/>
        <v>165.17812499999999</v>
      </c>
      <c r="AA190" s="5">
        <f t="shared" si="12"/>
        <v>183.512896875</v>
      </c>
      <c r="AB190" s="6">
        <f t="shared" si="13"/>
        <v>267.57204468749995</v>
      </c>
      <c r="AD190" s="10">
        <f t="shared" si="14"/>
        <v>335.01922846875004</v>
      </c>
    </row>
    <row r="191" spans="1:30" x14ac:dyDescent="0.3">
      <c r="A191" t="s">
        <v>30</v>
      </c>
      <c r="B191" s="8" t="s">
        <v>32</v>
      </c>
      <c r="C191" s="8" t="s">
        <v>32</v>
      </c>
      <c r="D191" s="8" t="s">
        <v>33</v>
      </c>
      <c r="E191" s="8" t="s">
        <v>34</v>
      </c>
      <c r="F191" s="8" t="s">
        <v>35</v>
      </c>
      <c r="G191">
        <v>8421999000</v>
      </c>
      <c r="H191" t="s">
        <v>36</v>
      </c>
      <c r="I191" t="s">
        <v>273</v>
      </c>
      <c r="J191" t="s">
        <v>38</v>
      </c>
      <c r="K191" t="s">
        <v>39</v>
      </c>
      <c r="L191">
        <v>7</v>
      </c>
      <c r="M191">
        <v>1</v>
      </c>
      <c r="N191" t="s">
        <v>64</v>
      </c>
      <c r="O191">
        <v>0</v>
      </c>
      <c r="P191">
        <v>89.64</v>
      </c>
      <c r="Q191">
        <v>14.16</v>
      </c>
      <c r="R191">
        <v>0.55000000000000004</v>
      </c>
      <c r="S191">
        <v>104.35</v>
      </c>
      <c r="T191" t="s">
        <v>41</v>
      </c>
      <c r="U191" t="s">
        <v>41</v>
      </c>
      <c r="V191" t="s">
        <v>38</v>
      </c>
      <c r="W191" t="s">
        <v>274</v>
      </c>
      <c r="X191">
        <v>89.64</v>
      </c>
      <c r="Y191" s="9">
        <f t="shared" si="10"/>
        <v>89.64</v>
      </c>
      <c r="Z191" s="9">
        <f t="shared" si="11"/>
        <v>168.07499999999999</v>
      </c>
      <c r="AA191" s="5">
        <f t="shared" si="12"/>
        <v>186.731325</v>
      </c>
      <c r="AB191" s="6">
        <f t="shared" si="13"/>
        <v>272.26469249999997</v>
      </c>
      <c r="AD191" s="10">
        <f t="shared" si="14"/>
        <v>340.89475725</v>
      </c>
    </row>
    <row r="192" spans="1:30" x14ac:dyDescent="0.3">
      <c r="A192" t="s">
        <v>30</v>
      </c>
      <c r="B192" s="8" t="s">
        <v>275</v>
      </c>
      <c r="C192" s="8" t="s">
        <v>32</v>
      </c>
      <c r="D192" s="8" t="s">
        <v>69</v>
      </c>
      <c r="E192" s="8" t="s">
        <v>70</v>
      </c>
      <c r="F192" s="8" t="s">
        <v>71</v>
      </c>
      <c r="G192">
        <v>8483909000</v>
      </c>
      <c r="H192" t="s">
        <v>276</v>
      </c>
      <c r="I192" t="s">
        <v>277</v>
      </c>
      <c r="J192" t="s">
        <v>38</v>
      </c>
      <c r="K192" t="s">
        <v>39</v>
      </c>
      <c r="L192">
        <v>9</v>
      </c>
      <c r="M192">
        <v>1</v>
      </c>
      <c r="N192" t="s">
        <v>64</v>
      </c>
      <c r="O192">
        <v>0</v>
      </c>
      <c r="P192">
        <v>469.58</v>
      </c>
      <c r="Q192">
        <v>23.66</v>
      </c>
      <c r="R192">
        <v>2.98</v>
      </c>
      <c r="S192">
        <v>496.23</v>
      </c>
      <c r="T192" t="s">
        <v>41</v>
      </c>
      <c r="U192" t="s">
        <v>43</v>
      </c>
      <c r="V192" t="s">
        <v>38</v>
      </c>
      <c r="W192" t="s">
        <v>278</v>
      </c>
      <c r="X192">
        <v>469.58</v>
      </c>
      <c r="Y192" s="9">
        <f t="shared" si="10"/>
        <v>469.58</v>
      </c>
      <c r="Z192" s="9">
        <f t="shared" si="11"/>
        <v>880.46249999999998</v>
      </c>
      <c r="AA192" s="5">
        <f t="shared" si="12"/>
        <v>978.19383749999997</v>
      </c>
      <c r="AB192" s="6">
        <f t="shared" si="13"/>
        <v>1426.2612037499998</v>
      </c>
      <c r="AD192" s="10">
        <f t="shared" si="14"/>
        <v>1785.7804563750001</v>
      </c>
    </row>
    <row r="193" spans="1:30" x14ac:dyDescent="0.3">
      <c r="A193" t="s">
        <v>168</v>
      </c>
      <c r="B193" s="8" t="s">
        <v>275</v>
      </c>
      <c r="C193" s="8" t="s">
        <v>32</v>
      </c>
      <c r="D193" s="8" t="s">
        <v>33</v>
      </c>
      <c r="E193" s="8" t="s">
        <v>34</v>
      </c>
      <c r="F193" s="8" t="s">
        <v>35</v>
      </c>
      <c r="G193">
        <v>8483909000</v>
      </c>
      <c r="H193" t="s">
        <v>276</v>
      </c>
      <c r="I193" t="s">
        <v>277</v>
      </c>
      <c r="J193" t="s">
        <v>38</v>
      </c>
      <c r="K193" t="s">
        <v>39</v>
      </c>
      <c r="L193">
        <v>11</v>
      </c>
      <c r="M193">
        <v>1</v>
      </c>
      <c r="N193" t="s">
        <v>64</v>
      </c>
      <c r="O193">
        <v>0</v>
      </c>
      <c r="P193">
        <v>497.79</v>
      </c>
      <c r="Q193">
        <v>47.68</v>
      </c>
      <c r="R193">
        <v>3.36</v>
      </c>
      <c r="S193">
        <v>548.83000000000004</v>
      </c>
      <c r="T193" t="s">
        <v>41</v>
      </c>
      <c r="U193" t="s">
        <v>43</v>
      </c>
      <c r="V193" t="s">
        <v>38</v>
      </c>
      <c r="W193" t="s">
        <v>278</v>
      </c>
      <c r="X193">
        <v>497.79</v>
      </c>
      <c r="Y193" s="9">
        <f t="shared" si="10"/>
        <v>497.79</v>
      </c>
      <c r="Z193" s="9">
        <f t="shared" si="11"/>
        <v>933.35625000000005</v>
      </c>
      <c r="AA193" s="5">
        <f t="shared" si="12"/>
        <v>1036.95879375</v>
      </c>
      <c r="AB193" s="6">
        <f t="shared" si="13"/>
        <v>1511.9437893750001</v>
      </c>
      <c r="AD193" s="10">
        <f t="shared" si="14"/>
        <v>1893.0611469375003</v>
      </c>
    </row>
    <row r="194" spans="1:30" x14ac:dyDescent="0.3">
      <c r="A194" t="s">
        <v>30</v>
      </c>
      <c r="B194" s="8" t="s">
        <v>32</v>
      </c>
      <c r="C194" s="8" t="s">
        <v>32</v>
      </c>
      <c r="D194" s="8" t="s">
        <v>33</v>
      </c>
      <c r="E194" s="8" t="s">
        <v>34</v>
      </c>
      <c r="F194" s="8" t="s">
        <v>35</v>
      </c>
      <c r="G194">
        <v>8544429000</v>
      </c>
      <c r="H194" t="s">
        <v>268</v>
      </c>
      <c r="I194" t="s">
        <v>269</v>
      </c>
      <c r="J194" t="s">
        <v>38</v>
      </c>
      <c r="K194" t="s">
        <v>39</v>
      </c>
      <c r="L194">
        <v>6</v>
      </c>
      <c r="M194">
        <v>20</v>
      </c>
      <c r="N194" t="s">
        <v>40</v>
      </c>
      <c r="O194">
        <v>49.09</v>
      </c>
      <c r="P194">
        <v>886.41</v>
      </c>
      <c r="Q194">
        <v>107.2</v>
      </c>
      <c r="R194">
        <v>6.18</v>
      </c>
      <c r="S194">
        <v>999.78</v>
      </c>
      <c r="T194" t="s">
        <v>41</v>
      </c>
      <c r="U194" t="s">
        <v>43</v>
      </c>
      <c r="V194" t="s">
        <v>38</v>
      </c>
      <c r="W194" t="s">
        <v>279</v>
      </c>
      <c r="X194">
        <v>44.32</v>
      </c>
      <c r="Y194" s="9">
        <f t="shared" si="10"/>
        <v>44.320499999999996</v>
      </c>
      <c r="Z194" s="9">
        <f t="shared" si="11"/>
        <v>83.100937499999986</v>
      </c>
      <c r="AA194" s="5">
        <f t="shared" si="12"/>
        <v>92.325141562499979</v>
      </c>
      <c r="AB194" s="6">
        <f t="shared" si="13"/>
        <v>134.61520865624996</v>
      </c>
      <c r="AD194" s="10">
        <f t="shared" si="14"/>
        <v>168.54781446562498</v>
      </c>
    </row>
    <row r="195" spans="1:30" x14ac:dyDescent="0.3">
      <c r="A195" t="s">
        <v>30</v>
      </c>
      <c r="B195" s="8" t="s">
        <v>32</v>
      </c>
      <c r="C195" s="8" t="s">
        <v>32</v>
      </c>
      <c r="D195" s="8" t="s">
        <v>33</v>
      </c>
      <c r="E195" s="8" t="s">
        <v>34</v>
      </c>
      <c r="F195" s="8" t="s">
        <v>35</v>
      </c>
      <c r="G195">
        <v>8544429000</v>
      </c>
      <c r="H195" t="s">
        <v>268</v>
      </c>
      <c r="I195" t="s">
        <v>269</v>
      </c>
      <c r="J195" t="s">
        <v>38</v>
      </c>
      <c r="K195" t="s">
        <v>39</v>
      </c>
      <c r="L195">
        <v>16</v>
      </c>
      <c r="M195">
        <v>1</v>
      </c>
      <c r="N195" t="s">
        <v>40</v>
      </c>
      <c r="O195">
        <v>2.52</v>
      </c>
      <c r="P195">
        <v>45.53</v>
      </c>
      <c r="Q195">
        <v>6.28</v>
      </c>
      <c r="R195">
        <v>0.3</v>
      </c>
      <c r="S195">
        <v>52.12</v>
      </c>
      <c r="T195" t="s">
        <v>41</v>
      </c>
      <c r="U195" t="s">
        <v>41</v>
      </c>
      <c r="V195" t="s">
        <v>38</v>
      </c>
      <c r="W195" t="s">
        <v>279</v>
      </c>
      <c r="X195">
        <v>45.53</v>
      </c>
      <c r="Y195" s="9">
        <f t="shared" ref="Y195:Y258" si="15">SUM(P195)/M195</f>
        <v>45.53</v>
      </c>
      <c r="Z195" s="9">
        <f t="shared" ref="Z195:Z258" si="16">SUM(Y195)*1.875</f>
        <v>85.368750000000006</v>
      </c>
      <c r="AA195" s="5">
        <f t="shared" ref="AA195:AA258" si="17">SUM(Z195)*1.111</f>
        <v>94.844681250000008</v>
      </c>
      <c r="AB195" s="6">
        <f t="shared" ref="AB195:AB258" si="18">SUM(Z195)*1.6199</f>
        <v>138.28883812500001</v>
      </c>
      <c r="AD195" s="10">
        <f t="shared" ref="AD195:AD258" si="19">SUM(Z195)*2.02823</f>
        <v>173.14745981250002</v>
      </c>
    </row>
    <row r="196" spans="1:30" x14ac:dyDescent="0.3">
      <c r="A196" t="s">
        <v>30</v>
      </c>
      <c r="B196" s="8" t="s">
        <v>32</v>
      </c>
      <c r="C196" s="8" t="s">
        <v>32</v>
      </c>
      <c r="D196" s="8" t="s">
        <v>69</v>
      </c>
      <c r="E196" s="8" t="s">
        <v>70</v>
      </c>
      <c r="F196" s="8" t="s">
        <v>71</v>
      </c>
      <c r="G196">
        <v>8544421090</v>
      </c>
      <c r="H196" t="s">
        <v>36</v>
      </c>
      <c r="I196" t="s">
        <v>269</v>
      </c>
      <c r="J196" t="s">
        <v>38</v>
      </c>
      <c r="K196" t="s">
        <v>39</v>
      </c>
      <c r="L196">
        <v>13</v>
      </c>
      <c r="M196">
        <v>2</v>
      </c>
      <c r="N196" t="s">
        <v>40</v>
      </c>
      <c r="O196">
        <v>4.91</v>
      </c>
      <c r="P196">
        <v>88.76</v>
      </c>
      <c r="Q196">
        <v>4.74</v>
      </c>
      <c r="R196">
        <v>0.56999999999999995</v>
      </c>
      <c r="S196">
        <v>94.07</v>
      </c>
      <c r="T196" t="s">
        <v>72</v>
      </c>
      <c r="U196" t="s">
        <v>72</v>
      </c>
      <c r="V196" t="s">
        <v>38</v>
      </c>
      <c r="W196" t="s">
        <v>279</v>
      </c>
      <c r="X196">
        <v>44.38</v>
      </c>
      <c r="Y196" s="9">
        <f t="shared" si="15"/>
        <v>44.38</v>
      </c>
      <c r="Z196" s="9">
        <f t="shared" si="16"/>
        <v>83.212500000000006</v>
      </c>
      <c r="AA196" s="5">
        <f t="shared" si="17"/>
        <v>92.449087500000005</v>
      </c>
      <c r="AB196" s="6">
        <f t="shared" si="18"/>
        <v>134.79592875</v>
      </c>
      <c r="AD196" s="10">
        <f t="shared" si="19"/>
        <v>168.77408887500002</v>
      </c>
    </row>
    <row r="197" spans="1:30" x14ac:dyDescent="0.3">
      <c r="A197" t="s">
        <v>30</v>
      </c>
      <c r="B197" s="8" t="s">
        <v>31</v>
      </c>
      <c r="C197" s="8" t="s">
        <v>32</v>
      </c>
      <c r="D197" s="8" t="s">
        <v>33</v>
      </c>
      <c r="E197" s="8" t="s">
        <v>34</v>
      </c>
      <c r="F197" s="8" t="s">
        <v>35</v>
      </c>
      <c r="G197">
        <v>4009320000</v>
      </c>
      <c r="H197" t="s">
        <v>88</v>
      </c>
      <c r="I197" t="s">
        <v>46</v>
      </c>
      <c r="J197" t="s">
        <v>38</v>
      </c>
      <c r="K197" t="s">
        <v>39</v>
      </c>
      <c r="L197">
        <v>12</v>
      </c>
      <c r="M197">
        <v>1</v>
      </c>
      <c r="N197" t="s">
        <v>40</v>
      </c>
      <c r="O197">
        <v>0</v>
      </c>
      <c r="P197">
        <v>360.24</v>
      </c>
      <c r="Q197">
        <v>41.37</v>
      </c>
      <c r="R197">
        <v>2.4</v>
      </c>
      <c r="S197">
        <v>404.01</v>
      </c>
      <c r="T197" t="s">
        <v>41</v>
      </c>
      <c r="U197" t="s">
        <v>41</v>
      </c>
      <c r="V197" t="s">
        <v>38</v>
      </c>
      <c r="W197" t="s">
        <v>280</v>
      </c>
      <c r="X197">
        <v>360.24</v>
      </c>
      <c r="Y197" s="9">
        <f t="shared" si="15"/>
        <v>360.24</v>
      </c>
      <c r="Z197" s="9">
        <f t="shared" si="16"/>
        <v>675.45</v>
      </c>
      <c r="AA197" s="5">
        <f t="shared" si="17"/>
        <v>750.42495000000008</v>
      </c>
      <c r="AB197" s="6">
        <f t="shared" si="18"/>
        <v>1094.1614549999999</v>
      </c>
      <c r="AD197" s="10">
        <f t="shared" si="19"/>
        <v>1369.9679535000002</v>
      </c>
    </row>
    <row r="198" spans="1:30" x14ac:dyDescent="0.3">
      <c r="A198" t="s">
        <v>30</v>
      </c>
      <c r="B198" s="8" t="s">
        <v>32</v>
      </c>
      <c r="C198" s="8" t="s">
        <v>32</v>
      </c>
      <c r="D198" s="8" t="s">
        <v>33</v>
      </c>
      <c r="E198" s="8" t="s">
        <v>34</v>
      </c>
      <c r="F198" s="8" t="s">
        <v>35</v>
      </c>
      <c r="G198">
        <v>7326909090</v>
      </c>
      <c r="H198" t="s">
        <v>53</v>
      </c>
      <c r="I198" t="s">
        <v>281</v>
      </c>
      <c r="J198" t="s">
        <v>38</v>
      </c>
      <c r="K198" t="s">
        <v>39</v>
      </c>
      <c r="L198">
        <v>6</v>
      </c>
      <c r="M198">
        <v>2</v>
      </c>
      <c r="N198" t="s">
        <v>64</v>
      </c>
      <c r="O198">
        <v>20.059999999999999</v>
      </c>
      <c r="P198">
        <v>269.24</v>
      </c>
      <c r="Q198">
        <v>32.56</v>
      </c>
      <c r="R198">
        <v>1.88</v>
      </c>
      <c r="S198">
        <v>303.68</v>
      </c>
      <c r="T198" t="s">
        <v>41</v>
      </c>
      <c r="U198" t="s">
        <v>43</v>
      </c>
      <c r="V198" t="s">
        <v>38</v>
      </c>
      <c r="W198" t="s">
        <v>282</v>
      </c>
      <c r="X198">
        <v>134.62</v>
      </c>
      <c r="Y198" s="9">
        <f t="shared" si="15"/>
        <v>134.62</v>
      </c>
      <c r="Z198" s="9">
        <f t="shared" si="16"/>
        <v>252.41250000000002</v>
      </c>
      <c r="AA198" s="5">
        <f t="shared" si="17"/>
        <v>280.43028750000002</v>
      </c>
      <c r="AB198" s="6">
        <f t="shared" si="18"/>
        <v>408.88300874999999</v>
      </c>
      <c r="AD198" s="10">
        <f t="shared" si="19"/>
        <v>511.95060487500012</v>
      </c>
    </row>
    <row r="199" spans="1:30" x14ac:dyDescent="0.3">
      <c r="A199" t="s">
        <v>30</v>
      </c>
      <c r="B199" s="8" t="s">
        <v>140</v>
      </c>
      <c r="C199" s="8" t="s">
        <v>32</v>
      </c>
      <c r="D199" s="8" t="s">
        <v>33</v>
      </c>
      <c r="E199" s="8" t="s">
        <v>34</v>
      </c>
      <c r="F199" s="8" t="s">
        <v>35</v>
      </c>
      <c r="G199">
        <v>3926904000</v>
      </c>
      <c r="H199" t="s">
        <v>141</v>
      </c>
      <c r="I199" t="s">
        <v>283</v>
      </c>
      <c r="J199" t="s">
        <v>38</v>
      </c>
      <c r="K199" t="s">
        <v>39</v>
      </c>
      <c r="L199">
        <v>16</v>
      </c>
      <c r="M199">
        <v>4</v>
      </c>
      <c r="N199" t="s">
        <v>64</v>
      </c>
      <c r="O199">
        <v>16.22</v>
      </c>
      <c r="P199">
        <v>217.74</v>
      </c>
      <c r="Q199">
        <v>30.05</v>
      </c>
      <c r="R199">
        <v>1.45</v>
      </c>
      <c r="S199">
        <v>249.25</v>
      </c>
      <c r="T199" t="s">
        <v>41</v>
      </c>
      <c r="U199" t="s">
        <v>41</v>
      </c>
      <c r="V199" t="s">
        <v>38</v>
      </c>
      <c r="W199" t="s">
        <v>284</v>
      </c>
      <c r="X199">
        <v>54.44</v>
      </c>
      <c r="Y199" s="9">
        <f t="shared" si="15"/>
        <v>54.435000000000002</v>
      </c>
      <c r="Z199" s="9">
        <f t="shared" si="16"/>
        <v>102.06562500000001</v>
      </c>
      <c r="AA199" s="5">
        <f t="shared" si="17"/>
        <v>113.39490937500001</v>
      </c>
      <c r="AB199" s="6">
        <f t="shared" si="18"/>
        <v>165.33610593750001</v>
      </c>
      <c r="AD199" s="10">
        <f t="shared" si="19"/>
        <v>207.01256259375003</v>
      </c>
    </row>
    <row r="200" spans="1:30" x14ac:dyDescent="0.3">
      <c r="A200" t="s">
        <v>30</v>
      </c>
      <c r="B200" s="8" t="s">
        <v>140</v>
      </c>
      <c r="C200" s="8" t="s">
        <v>32</v>
      </c>
      <c r="D200" s="8" t="s">
        <v>33</v>
      </c>
      <c r="E200" s="8" t="s">
        <v>34</v>
      </c>
      <c r="F200" s="8" t="s">
        <v>35</v>
      </c>
      <c r="G200">
        <v>3926904000</v>
      </c>
      <c r="H200" t="s">
        <v>141</v>
      </c>
      <c r="I200" t="s">
        <v>283</v>
      </c>
      <c r="J200" t="s">
        <v>38</v>
      </c>
      <c r="K200" t="s">
        <v>39</v>
      </c>
      <c r="L200">
        <v>4</v>
      </c>
      <c r="M200">
        <v>4</v>
      </c>
      <c r="N200" t="s">
        <v>64</v>
      </c>
      <c r="O200">
        <v>16.170000000000002</v>
      </c>
      <c r="P200">
        <v>217.08</v>
      </c>
      <c r="Q200">
        <v>11.37</v>
      </c>
      <c r="R200">
        <v>1.41</v>
      </c>
      <c r="S200">
        <v>229.86</v>
      </c>
      <c r="T200" t="s">
        <v>41</v>
      </c>
      <c r="U200" t="s">
        <v>41</v>
      </c>
      <c r="V200" t="s">
        <v>38</v>
      </c>
      <c r="W200" t="s">
        <v>284</v>
      </c>
      <c r="X200">
        <v>54.27</v>
      </c>
      <c r="Y200" s="9">
        <f t="shared" si="15"/>
        <v>54.27</v>
      </c>
      <c r="Z200" s="9">
        <f t="shared" si="16"/>
        <v>101.75625000000001</v>
      </c>
      <c r="AA200" s="5">
        <f t="shared" si="17"/>
        <v>113.05119375000001</v>
      </c>
      <c r="AB200" s="6">
        <f t="shared" si="18"/>
        <v>164.83494937500001</v>
      </c>
      <c r="AD200" s="10">
        <f t="shared" si="19"/>
        <v>206.38507893750003</v>
      </c>
    </row>
    <row r="201" spans="1:30" x14ac:dyDescent="0.3">
      <c r="A201" t="s">
        <v>30</v>
      </c>
      <c r="B201" s="8" t="s">
        <v>221</v>
      </c>
      <c r="C201" s="8" t="s">
        <v>32</v>
      </c>
      <c r="D201" s="8" t="s">
        <v>33</v>
      </c>
      <c r="E201" s="8" t="s">
        <v>34</v>
      </c>
      <c r="F201" s="8" t="s">
        <v>35</v>
      </c>
      <c r="G201">
        <v>7304310000</v>
      </c>
      <c r="H201" t="s">
        <v>285</v>
      </c>
      <c r="I201" t="s">
        <v>286</v>
      </c>
      <c r="J201" t="s">
        <v>38</v>
      </c>
      <c r="K201" t="s">
        <v>39</v>
      </c>
      <c r="L201">
        <v>8</v>
      </c>
      <c r="M201">
        <v>1</v>
      </c>
      <c r="N201" t="s">
        <v>40</v>
      </c>
      <c r="O201">
        <v>0</v>
      </c>
      <c r="P201">
        <v>70.540000000000006</v>
      </c>
      <c r="Q201">
        <v>10.15</v>
      </c>
      <c r="R201">
        <v>0.5</v>
      </c>
      <c r="S201">
        <v>81.19</v>
      </c>
      <c r="T201" t="s">
        <v>41</v>
      </c>
      <c r="U201" t="s">
        <v>41</v>
      </c>
      <c r="V201" t="s">
        <v>38</v>
      </c>
      <c r="W201" t="s">
        <v>287</v>
      </c>
      <c r="X201">
        <v>70.540000000000006</v>
      </c>
      <c r="Y201" s="9">
        <f t="shared" si="15"/>
        <v>70.540000000000006</v>
      </c>
      <c r="Z201" s="9">
        <f t="shared" si="16"/>
        <v>132.26250000000002</v>
      </c>
      <c r="AA201" s="5">
        <f t="shared" si="17"/>
        <v>146.94363750000002</v>
      </c>
      <c r="AB201" s="6">
        <f t="shared" si="18"/>
        <v>214.25202375000001</v>
      </c>
      <c r="AD201" s="10">
        <f t="shared" si="19"/>
        <v>268.25877037500004</v>
      </c>
    </row>
    <row r="202" spans="1:30" x14ac:dyDescent="0.3">
      <c r="A202" t="s">
        <v>30</v>
      </c>
      <c r="B202" s="8" t="s">
        <v>259</v>
      </c>
      <c r="C202" s="8" t="s">
        <v>32</v>
      </c>
      <c r="D202" s="8" t="s">
        <v>33</v>
      </c>
      <c r="E202" s="8" t="s">
        <v>34</v>
      </c>
      <c r="F202" s="8" t="s">
        <v>35</v>
      </c>
      <c r="G202">
        <v>9026101200</v>
      </c>
      <c r="H202" t="s">
        <v>288</v>
      </c>
      <c r="I202" t="s">
        <v>261</v>
      </c>
      <c r="J202" t="s">
        <v>38</v>
      </c>
      <c r="K202" t="s">
        <v>39</v>
      </c>
      <c r="L202">
        <v>16</v>
      </c>
      <c r="M202">
        <v>2</v>
      </c>
      <c r="N202" t="s">
        <v>64</v>
      </c>
      <c r="O202">
        <v>0</v>
      </c>
      <c r="P202">
        <v>200.22</v>
      </c>
      <c r="Q202">
        <v>27.63</v>
      </c>
      <c r="R202">
        <v>1.34</v>
      </c>
      <c r="S202">
        <v>229.19</v>
      </c>
      <c r="T202" t="s">
        <v>41</v>
      </c>
      <c r="U202" t="s">
        <v>41</v>
      </c>
      <c r="V202" t="s">
        <v>38</v>
      </c>
      <c r="W202" t="s">
        <v>289</v>
      </c>
      <c r="X202">
        <v>100.11</v>
      </c>
      <c r="Y202" s="9">
        <f t="shared" si="15"/>
        <v>100.11</v>
      </c>
      <c r="Z202" s="9">
        <f t="shared" si="16"/>
        <v>187.70625000000001</v>
      </c>
      <c r="AA202" s="5">
        <f t="shared" si="17"/>
        <v>208.54164375000002</v>
      </c>
      <c r="AB202" s="6">
        <f t="shared" si="18"/>
        <v>304.06535437500003</v>
      </c>
      <c r="AD202" s="10">
        <f t="shared" si="19"/>
        <v>380.71144743750006</v>
      </c>
    </row>
    <row r="203" spans="1:30" x14ac:dyDescent="0.3">
      <c r="A203" t="s">
        <v>30</v>
      </c>
      <c r="B203" s="8" t="s">
        <v>259</v>
      </c>
      <c r="C203" s="8" t="s">
        <v>32</v>
      </c>
      <c r="D203" s="8" t="s">
        <v>69</v>
      </c>
      <c r="E203" s="8" t="s">
        <v>70</v>
      </c>
      <c r="F203" s="8" t="s">
        <v>71</v>
      </c>
      <c r="G203">
        <v>9026101200</v>
      </c>
      <c r="H203" t="s">
        <v>260</v>
      </c>
      <c r="I203" t="s">
        <v>290</v>
      </c>
      <c r="J203" t="s">
        <v>38</v>
      </c>
      <c r="K203" t="s">
        <v>39</v>
      </c>
      <c r="L203">
        <v>13</v>
      </c>
      <c r="M203">
        <v>2</v>
      </c>
      <c r="N203" t="s">
        <v>64</v>
      </c>
      <c r="O203">
        <v>0</v>
      </c>
      <c r="P203">
        <v>220.16</v>
      </c>
      <c r="Q203">
        <v>11.75</v>
      </c>
      <c r="R203">
        <v>1.41</v>
      </c>
      <c r="S203">
        <v>233.33</v>
      </c>
      <c r="T203" t="s">
        <v>72</v>
      </c>
      <c r="U203" t="s">
        <v>72</v>
      </c>
      <c r="V203" t="s">
        <v>38</v>
      </c>
      <c r="W203" t="s">
        <v>291</v>
      </c>
      <c r="X203">
        <v>110.08</v>
      </c>
      <c r="Y203" s="9">
        <f t="shared" si="15"/>
        <v>110.08</v>
      </c>
      <c r="Z203" s="9">
        <f t="shared" si="16"/>
        <v>206.4</v>
      </c>
      <c r="AA203" s="5">
        <f t="shared" si="17"/>
        <v>229.31040000000002</v>
      </c>
      <c r="AB203" s="6">
        <f t="shared" si="18"/>
        <v>334.34735999999998</v>
      </c>
      <c r="AD203" s="10">
        <f t="shared" si="19"/>
        <v>418.62667200000004</v>
      </c>
    </row>
    <row r="204" spans="1:30" x14ac:dyDescent="0.3">
      <c r="A204" t="s">
        <v>30</v>
      </c>
      <c r="B204" s="8" t="s">
        <v>259</v>
      </c>
      <c r="C204" s="8" t="s">
        <v>32</v>
      </c>
      <c r="D204" s="8" t="s">
        <v>33</v>
      </c>
      <c r="E204" s="8" t="s">
        <v>34</v>
      </c>
      <c r="F204" s="8" t="s">
        <v>35</v>
      </c>
      <c r="G204">
        <v>9026101200</v>
      </c>
      <c r="H204" t="s">
        <v>260</v>
      </c>
      <c r="I204" t="s">
        <v>261</v>
      </c>
      <c r="J204" t="s">
        <v>38</v>
      </c>
      <c r="K204" t="s">
        <v>39</v>
      </c>
      <c r="L204">
        <v>12</v>
      </c>
      <c r="M204">
        <v>1</v>
      </c>
      <c r="N204" t="s">
        <v>64</v>
      </c>
      <c r="O204">
        <v>0</v>
      </c>
      <c r="P204">
        <v>113.31</v>
      </c>
      <c r="Q204">
        <v>13.01</v>
      </c>
      <c r="R204">
        <v>0.75</v>
      </c>
      <c r="S204">
        <v>127.07</v>
      </c>
      <c r="T204" t="s">
        <v>41</v>
      </c>
      <c r="U204" t="s">
        <v>41</v>
      </c>
      <c r="V204" t="s">
        <v>38</v>
      </c>
      <c r="W204" t="s">
        <v>291</v>
      </c>
      <c r="X204">
        <v>113.31</v>
      </c>
      <c r="Y204" s="9">
        <f t="shared" si="15"/>
        <v>113.31</v>
      </c>
      <c r="Z204" s="9">
        <f t="shared" si="16"/>
        <v>212.45625000000001</v>
      </c>
      <c r="AA204" s="5">
        <f t="shared" si="17"/>
        <v>236.03889375</v>
      </c>
      <c r="AB204" s="6">
        <f t="shared" si="18"/>
        <v>344.15787937499999</v>
      </c>
      <c r="AD204" s="10">
        <f t="shared" si="19"/>
        <v>430.91013993750005</v>
      </c>
    </row>
    <row r="205" spans="1:30" x14ac:dyDescent="0.3">
      <c r="A205" t="s">
        <v>30</v>
      </c>
      <c r="B205" s="8" t="s">
        <v>32</v>
      </c>
      <c r="C205" s="8" t="s">
        <v>32</v>
      </c>
      <c r="D205" s="8" t="s">
        <v>33</v>
      </c>
      <c r="E205" s="8" t="s">
        <v>34</v>
      </c>
      <c r="F205" s="8" t="s">
        <v>35</v>
      </c>
      <c r="G205">
        <v>8483309000</v>
      </c>
      <c r="H205" t="s">
        <v>177</v>
      </c>
      <c r="I205" t="s">
        <v>292</v>
      </c>
      <c r="J205" t="s">
        <v>38</v>
      </c>
      <c r="K205" t="s">
        <v>39</v>
      </c>
      <c r="L205">
        <v>3</v>
      </c>
      <c r="M205">
        <v>1</v>
      </c>
      <c r="N205" t="s">
        <v>64</v>
      </c>
      <c r="O205">
        <v>0</v>
      </c>
      <c r="P205">
        <v>84.56</v>
      </c>
      <c r="Q205">
        <v>3.62</v>
      </c>
      <c r="R205">
        <v>0.55000000000000004</v>
      </c>
      <c r="S205">
        <v>88.72</v>
      </c>
      <c r="T205" t="s">
        <v>41</v>
      </c>
      <c r="U205" t="s">
        <v>43</v>
      </c>
      <c r="V205" t="s">
        <v>38</v>
      </c>
      <c r="W205" t="s">
        <v>293</v>
      </c>
      <c r="X205">
        <v>84.56</v>
      </c>
      <c r="Y205" s="9">
        <f t="shared" si="15"/>
        <v>84.56</v>
      </c>
      <c r="Z205" s="9">
        <f t="shared" si="16"/>
        <v>158.55000000000001</v>
      </c>
      <c r="AA205" s="5">
        <f t="shared" si="17"/>
        <v>176.14905000000002</v>
      </c>
      <c r="AB205" s="6">
        <f t="shared" si="18"/>
        <v>256.83514500000001</v>
      </c>
      <c r="AD205" s="10">
        <f t="shared" si="19"/>
        <v>321.57586650000007</v>
      </c>
    </row>
    <row r="206" spans="1:30" x14ac:dyDescent="0.3">
      <c r="A206" t="s">
        <v>30</v>
      </c>
      <c r="B206" s="8" t="s">
        <v>249</v>
      </c>
      <c r="C206" s="8" t="s">
        <v>32</v>
      </c>
      <c r="D206" s="8" t="s">
        <v>33</v>
      </c>
      <c r="E206" s="8" t="s">
        <v>34</v>
      </c>
      <c r="F206" s="8" t="s">
        <v>35</v>
      </c>
      <c r="G206">
        <v>8487902000</v>
      </c>
      <c r="H206" t="s">
        <v>294</v>
      </c>
      <c r="I206" t="s">
        <v>295</v>
      </c>
      <c r="J206" t="s">
        <v>38</v>
      </c>
      <c r="K206" t="s">
        <v>39</v>
      </c>
      <c r="L206">
        <v>3</v>
      </c>
      <c r="M206">
        <v>1</v>
      </c>
      <c r="N206" t="s">
        <v>64</v>
      </c>
      <c r="O206">
        <v>0</v>
      </c>
      <c r="P206">
        <v>22.4</v>
      </c>
      <c r="Q206">
        <v>0.96</v>
      </c>
      <c r="R206">
        <v>0.14000000000000001</v>
      </c>
      <c r="S206">
        <v>23.5</v>
      </c>
      <c r="T206" t="s">
        <v>41</v>
      </c>
      <c r="U206" t="s">
        <v>43</v>
      </c>
      <c r="V206" t="s">
        <v>38</v>
      </c>
      <c r="W206" t="s">
        <v>296</v>
      </c>
      <c r="X206">
        <v>22.4</v>
      </c>
      <c r="Y206" s="9">
        <f t="shared" si="15"/>
        <v>22.4</v>
      </c>
      <c r="Z206" s="9">
        <f t="shared" si="16"/>
        <v>42</v>
      </c>
      <c r="AA206" s="5">
        <f t="shared" si="17"/>
        <v>46.661999999999999</v>
      </c>
      <c r="AB206" s="6">
        <f t="shared" si="18"/>
        <v>68.035799999999995</v>
      </c>
      <c r="AD206" s="10">
        <f t="shared" si="19"/>
        <v>85.185660000000013</v>
      </c>
    </row>
    <row r="207" spans="1:30" x14ac:dyDescent="0.3">
      <c r="A207" t="s">
        <v>30</v>
      </c>
      <c r="B207" s="8" t="s">
        <v>249</v>
      </c>
      <c r="C207" s="8" t="s">
        <v>32</v>
      </c>
      <c r="D207" s="8" t="s">
        <v>33</v>
      </c>
      <c r="E207" s="8" t="s">
        <v>34</v>
      </c>
      <c r="F207" s="8" t="s">
        <v>35</v>
      </c>
      <c r="G207">
        <v>8487909000</v>
      </c>
      <c r="H207" t="s">
        <v>36</v>
      </c>
      <c r="I207" t="s">
        <v>297</v>
      </c>
      <c r="J207" t="s">
        <v>38</v>
      </c>
      <c r="K207" t="s">
        <v>39</v>
      </c>
      <c r="L207">
        <v>12</v>
      </c>
      <c r="M207">
        <v>2</v>
      </c>
      <c r="N207" t="s">
        <v>64</v>
      </c>
      <c r="O207">
        <v>0</v>
      </c>
      <c r="P207">
        <v>45.23</v>
      </c>
      <c r="Q207">
        <v>5.19</v>
      </c>
      <c r="R207">
        <v>0.3</v>
      </c>
      <c r="S207">
        <v>50.72</v>
      </c>
      <c r="T207" t="s">
        <v>41</v>
      </c>
      <c r="U207" t="s">
        <v>41</v>
      </c>
      <c r="V207" t="s">
        <v>38</v>
      </c>
      <c r="W207" t="s">
        <v>296</v>
      </c>
      <c r="X207">
        <v>22.61</v>
      </c>
      <c r="Y207" s="9">
        <f t="shared" si="15"/>
        <v>22.614999999999998</v>
      </c>
      <c r="Z207" s="9">
        <f t="shared" si="16"/>
        <v>42.403124999999996</v>
      </c>
      <c r="AA207" s="5">
        <f t="shared" si="17"/>
        <v>47.109871874999996</v>
      </c>
      <c r="AB207" s="6">
        <f t="shared" si="18"/>
        <v>68.688822187499994</v>
      </c>
      <c r="AD207" s="10">
        <f t="shared" si="19"/>
        <v>86.003290218749996</v>
      </c>
    </row>
    <row r="208" spans="1:30" x14ac:dyDescent="0.3">
      <c r="A208" t="s">
        <v>30</v>
      </c>
      <c r="B208" s="8" t="s">
        <v>32</v>
      </c>
      <c r="C208" s="8" t="s">
        <v>32</v>
      </c>
      <c r="D208" s="8" t="s">
        <v>33</v>
      </c>
      <c r="E208" s="8" t="s">
        <v>34</v>
      </c>
      <c r="F208" s="8" t="s">
        <v>35</v>
      </c>
      <c r="G208">
        <v>7320209090</v>
      </c>
      <c r="H208" t="s">
        <v>36</v>
      </c>
      <c r="I208" t="s">
        <v>244</v>
      </c>
      <c r="J208" t="s">
        <v>38</v>
      </c>
      <c r="K208" t="s">
        <v>39</v>
      </c>
      <c r="L208">
        <v>3</v>
      </c>
      <c r="M208">
        <v>1</v>
      </c>
      <c r="N208" t="s">
        <v>40</v>
      </c>
      <c r="O208">
        <v>0</v>
      </c>
      <c r="P208">
        <v>3.73</v>
      </c>
      <c r="Q208">
        <v>0.16</v>
      </c>
      <c r="R208">
        <v>0.02</v>
      </c>
      <c r="S208">
        <v>3.91</v>
      </c>
      <c r="T208" t="s">
        <v>41</v>
      </c>
      <c r="U208" t="s">
        <v>43</v>
      </c>
      <c r="V208" t="s">
        <v>38</v>
      </c>
      <c r="W208" t="s">
        <v>298</v>
      </c>
      <c r="X208">
        <v>3.73</v>
      </c>
      <c r="Y208" s="9">
        <f t="shared" si="15"/>
        <v>3.73</v>
      </c>
      <c r="Z208" s="9">
        <f t="shared" si="16"/>
        <v>6.9937500000000004</v>
      </c>
      <c r="AA208" s="5">
        <f t="shared" si="17"/>
        <v>7.7700562500000006</v>
      </c>
      <c r="AB208" s="6">
        <f t="shared" si="18"/>
        <v>11.329175625</v>
      </c>
      <c r="AD208" s="10">
        <f t="shared" si="19"/>
        <v>14.184933562500001</v>
      </c>
    </row>
    <row r="209" spans="1:30" x14ac:dyDescent="0.3">
      <c r="A209" t="s">
        <v>30</v>
      </c>
      <c r="B209" s="8" t="s">
        <v>124</v>
      </c>
      <c r="C209" s="8" t="s">
        <v>32</v>
      </c>
      <c r="D209" s="8" t="s">
        <v>33</v>
      </c>
      <c r="E209" s="8" t="s">
        <v>34</v>
      </c>
      <c r="F209" s="8" t="s">
        <v>35</v>
      </c>
      <c r="G209">
        <v>7412200000</v>
      </c>
      <c r="H209" t="s">
        <v>299</v>
      </c>
      <c r="I209" t="s">
        <v>300</v>
      </c>
      <c r="J209" t="s">
        <v>38</v>
      </c>
      <c r="K209" t="s">
        <v>39</v>
      </c>
      <c r="L209">
        <v>4</v>
      </c>
      <c r="M209">
        <v>2</v>
      </c>
      <c r="N209" t="s">
        <v>40</v>
      </c>
      <c r="O209">
        <v>0</v>
      </c>
      <c r="P209">
        <v>99.44</v>
      </c>
      <c r="Q209">
        <v>5.21</v>
      </c>
      <c r="R209">
        <v>0.65</v>
      </c>
      <c r="S209">
        <v>105.29</v>
      </c>
      <c r="T209" t="s">
        <v>41</v>
      </c>
      <c r="U209" t="s">
        <v>41</v>
      </c>
      <c r="V209" t="s">
        <v>38</v>
      </c>
      <c r="W209" t="s">
        <v>301</v>
      </c>
      <c r="X209">
        <v>49.72</v>
      </c>
      <c r="Y209" s="9">
        <f t="shared" si="15"/>
        <v>49.72</v>
      </c>
      <c r="Z209" s="9">
        <f t="shared" si="16"/>
        <v>93.224999999999994</v>
      </c>
      <c r="AA209" s="5">
        <f t="shared" si="17"/>
        <v>103.572975</v>
      </c>
      <c r="AB209" s="6">
        <f t="shared" si="18"/>
        <v>151.01517749999999</v>
      </c>
      <c r="AD209" s="10">
        <f t="shared" si="19"/>
        <v>189.08174175000002</v>
      </c>
    </row>
    <row r="210" spans="1:30" x14ac:dyDescent="0.3">
      <c r="A210" t="s">
        <v>30</v>
      </c>
      <c r="B210" s="8" t="s">
        <v>32</v>
      </c>
      <c r="C210" s="8" t="s">
        <v>32</v>
      </c>
      <c r="D210" s="8" t="s">
        <v>33</v>
      </c>
      <c r="E210" s="8" t="s">
        <v>34</v>
      </c>
      <c r="F210" s="8" t="s">
        <v>35</v>
      </c>
      <c r="G210">
        <v>8414901000</v>
      </c>
      <c r="H210" t="s">
        <v>302</v>
      </c>
      <c r="I210" t="s">
        <v>303</v>
      </c>
      <c r="J210" t="s">
        <v>38</v>
      </c>
      <c r="K210" t="s">
        <v>39</v>
      </c>
      <c r="L210">
        <v>10</v>
      </c>
      <c r="M210">
        <v>1</v>
      </c>
      <c r="N210" t="s">
        <v>64</v>
      </c>
      <c r="O210">
        <v>0</v>
      </c>
      <c r="P210">
        <v>4086.64</v>
      </c>
      <c r="Q210">
        <v>340.14</v>
      </c>
      <c r="R210">
        <v>26.77</v>
      </c>
      <c r="S210">
        <v>4453.54</v>
      </c>
      <c r="T210" t="s">
        <v>41</v>
      </c>
      <c r="U210" t="s">
        <v>43</v>
      </c>
      <c r="V210" t="s">
        <v>38</v>
      </c>
      <c r="W210" t="s">
        <v>304</v>
      </c>
      <c r="X210">
        <v>4086.64</v>
      </c>
      <c r="Y210" s="9">
        <f t="shared" si="15"/>
        <v>4086.64</v>
      </c>
      <c r="Z210" s="9">
        <f t="shared" si="16"/>
        <v>7662.45</v>
      </c>
      <c r="AA210" s="5">
        <f t="shared" si="17"/>
        <v>8512.9819499999994</v>
      </c>
      <c r="AB210" s="6">
        <f t="shared" si="18"/>
        <v>12412.402754999999</v>
      </c>
      <c r="AD210" s="10">
        <f t="shared" si="19"/>
        <v>15541.210963500002</v>
      </c>
    </row>
    <row r="211" spans="1:30" x14ac:dyDescent="0.3">
      <c r="A211" t="s">
        <v>30</v>
      </c>
      <c r="B211" s="8" t="s">
        <v>32</v>
      </c>
      <c r="C211" s="8" t="s">
        <v>32</v>
      </c>
      <c r="D211" s="8" t="s">
        <v>33</v>
      </c>
      <c r="E211" s="8" t="s">
        <v>34</v>
      </c>
      <c r="F211" s="8" t="s">
        <v>35</v>
      </c>
      <c r="G211">
        <v>8414901000</v>
      </c>
      <c r="H211" t="s">
        <v>302</v>
      </c>
      <c r="I211" t="s">
        <v>305</v>
      </c>
      <c r="J211" t="s">
        <v>38</v>
      </c>
      <c r="K211" t="s">
        <v>39</v>
      </c>
      <c r="L211">
        <v>10</v>
      </c>
      <c r="M211">
        <v>1</v>
      </c>
      <c r="N211" t="s">
        <v>64</v>
      </c>
      <c r="O211">
        <v>0</v>
      </c>
      <c r="P211">
        <v>2139.14</v>
      </c>
      <c r="Q211">
        <v>178.04</v>
      </c>
      <c r="R211">
        <v>14.01</v>
      </c>
      <c r="S211">
        <v>2331.1999999999998</v>
      </c>
      <c r="T211" t="s">
        <v>41</v>
      </c>
      <c r="U211" t="s">
        <v>43</v>
      </c>
      <c r="V211" t="s">
        <v>38</v>
      </c>
      <c r="W211" t="s">
        <v>306</v>
      </c>
      <c r="X211">
        <v>2139.14</v>
      </c>
      <c r="Y211" s="9">
        <f t="shared" si="15"/>
        <v>2139.14</v>
      </c>
      <c r="Z211" s="9">
        <f t="shared" si="16"/>
        <v>4010.8874999999998</v>
      </c>
      <c r="AA211" s="5">
        <f t="shared" si="17"/>
        <v>4456.0960125000001</v>
      </c>
      <c r="AB211" s="6">
        <f t="shared" si="18"/>
        <v>6497.2366612499991</v>
      </c>
      <c r="AD211" s="10">
        <f t="shared" si="19"/>
        <v>8135.0023541250002</v>
      </c>
    </row>
    <row r="212" spans="1:30" x14ac:dyDescent="0.3">
      <c r="A212" t="s">
        <v>30</v>
      </c>
      <c r="B212" s="8" t="s">
        <v>32</v>
      </c>
      <c r="C212" s="8" t="s">
        <v>32</v>
      </c>
      <c r="D212" s="8" t="s">
        <v>33</v>
      </c>
      <c r="E212" s="8" t="s">
        <v>34</v>
      </c>
      <c r="F212" s="8" t="s">
        <v>35</v>
      </c>
      <c r="G212">
        <v>8414901000</v>
      </c>
      <c r="H212" t="s">
        <v>302</v>
      </c>
      <c r="I212" t="s">
        <v>307</v>
      </c>
      <c r="J212" t="s">
        <v>38</v>
      </c>
      <c r="K212" t="s">
        <v>39</v>
      </c>
      <c r="L212">
        <v>8</v>
      </c>
      <c r="M212">
        <v>1</v>
      </c>
      <c r="N212" t="s">
        <v>64</v>
      </c>
      <c r="O212">
        <v>0</v>
      </c>
      <c r="P212">
        <v>2116.7399999999998</v>
      </c>
      <c r="Q212">
        <v>265.17</v>
      </c>
      <c r="R212">
        <v>14.46</v>
      </c>
      <c r="S212">
        <v>2396.36</v>
      </c>
      <c r="T212" t="s">
        <v>41</v>
      </c>
      <c r="U212" t="s">
        <v>41</v>
      </c>
      <c r="V212" t="s">
        <v>38</v>
      </c>
      <c r="W212" t="s">
        <v>306</v>
      </c>
      <c r="X212">
        <v>2116.7399999999998</v>
      </c>
      <c r="Y212" s="9">
        <f t="shared" si="15"/>
        <v>2116.7399999999998</v>
      </c>
      <c r="Z212" s="9">
        <f t="shared" si="16"/>
        <v>3968.8874999999998</v>
      </c>
      <c r="AA212" s="5">
        <f t="shared" si="17"/>
        <v>4409.4340124999999</v>
      </c>
      <c r="AB212" s="6">
        <f t="shared" si="18"/>
        <v>6429.2008612499994</v>
      </c>
      <c r="AD212" s="10">
        <f t="shared" si="19"/>
        <v>8049.8166941250001</v>
      </c>
    </row>
    <row r="213" spans="1:30" x14ac:dyDescent="0.3">
      <c r="A213" t="s">
        <v>30</v>
      </c>
      <c r="B213" s="8" t="s">
        <v>32</v>
      </c>
      <c r="C213" s="8" t="s">
        <v>32</v>
      </c>
      <c r="D213" s="8" t="s">
        <v>33</v>
      </c>
      <c r="E213" s="8" t="s">
        <v>34</v>
      </c>
      <c r="F213" s="8" t="s">
        <v>35</v>
      </c>
      <c r="G213">
        <v>8414901000</v>
      </c>
      <c r="H213" t="s">
        <v>302</v>
      </c>
      <c r="I213" t="s">
        <v>305</v>
      </c>
      <c r="J213" t="s">
        <v>38</v>
      </c>
      <c r="K213" t="s">
        <v>39</v>
      </c>
      <c r="L213">
        <v>8</v>
      </c>
      <c r="M213">
        <v>1</v>
      </c>
      <c r="N213" t="s">
        <v>64</v>
      </c>
      <c r="O213">
        <v>0</v>
      </c>
      <c r="P213">
        <v>2131.6999999999998</v>
      </c>
      <c r="Q213">
        <v>120.69</v>
      </c>
      <c r="R213">
        <v>13.6</v>
      </c>
      <c r="S213">
        <v>2266</v>
      </c>
      <c r="T213" t="s">
        <v>41</v>
      </c>
      <c r="U213" t="s">
        <v>41</v>
      </c>
      <c r="V213" t="s">
        <v>38</v>
      </c>
      <c r="W213" t="s">
        <v>306</v>
      </c>
      <c r="X213">
        <v>2131.6999999999998</v>
      </c>
      <c r="Y213" s="9">
        <f t="shared" si="15"/>
        <v>2131.6999999999998</v>
      </c>
      <c r="Z213" s="9">
        <f t="shared" si="16"/>
        <v>3996.9374999999995</v>
      </c>
      <c r="AA213" s="5">
        <f t="shared" si="17"/>
        <v>4440.5975624999992</v>
      </c>
      <c r="AB213" s="6">
        <f t="shared" si="18"/>
        <v>6474.6390562499992</v>
      </c>
      <c r="AD213" s="10">
        <f t="shared" si="19"/>
        <v>8106.7085456249997</v>
      </c>
    </row>
    <row r="214" spans="1:30" x14ac:dyDescent="0.3">
      <c r="A214" t="s">
        <v>30</v>
      </c>
      <c r="B214" s="8" t="s">
        <v>32</v>
      </c>
      <c r="C214" s="8" t="s">
        <v>32</v>
      </c>
      <c r="D214" s="8" t="s">
        <v>33</v>
      </c>
      <c r="E214" s="8" t="s">
        <v>34</v>
      </c>
      <c r="F214" s="8" t="s">
        <v>35</v>
      </c>
      <c r="G214">
        <v>8414901000</v>
      </c>
      <c r="H214" t="s">
        <v>302</v>
      </c>
      <c r="I214" t="s">
        <v>308</v>
      </c>
      <c r="J214" t="s">
        <v>38</v>
      </c>
      <c r="K214" t="s">
        <v>39</v>
      </c>
      <c r="L214">
        <v>1</v>
      </c>
      <c r="M214">
        <v>1</v>
      </c>
      <c r="N214" t="s">
        <v>64</v>
      </c>
      <c r="O214">
        <v>0</v>
      </c>
      <c r="P214">
        <v>21365.69</v>
      </c>
      <c r="Q214">
        <v>1656.35</v>
      </c>
      <c r="R214">
        <v>139.80000000000001</v>
      </c>
      <c r="S214">
        <v>23161.84</v>
      </c>
      <c r="T214" t="s">
        <v>43</v>
      </c>
      <c r="U214" t="s">
        <v>308</v>
      </c>
      <c r="V214" t="s">
        <v>38</v>
      </c>
      <c r="W214" t="s">
        <v>309</v>
      </c>
      <c r="X214">
        <v>21365.69</v>
      </c>
      <c r="Y214" s="9">
        <f t="shared" si="15"/>
        <v>21365.69</v>
      </c>
      <c r="Z214" s="9">
        <f t="shared" si="16"/>
        <v>40060.668749999997</v>
      </c>
      <c r="AA214" s="5">
        <f t="shared" si="17"/>
        <v>44507.402981249994</v>
      </c>
      <c r="AB214" s="6">
        <f t="shared" si="18"/>
        <v>64894.277308124991</v>
      </c>
      <c r="AD214" s="10">
        <f t="shared" si="19"/>
        <v>81252.250178812508</v>
      </c>
    </row>
    <row r="215" spans="1:30" x14ac:dyDescent="0.3">
      <c r="A215" t="s">
        <v>30</v>
      </c>
      <c r="B215" s="8" t="s">
        <v>156</v>
      </c>
      <c r="C215" s="8" t="s">
        <v>32</v>
      </c>
      <c r="D215" s="8" t="s">
        <v>33</v>
      </c>
      <c r="E215" s="8" t="s">
        <v>34</v>
      </c>
      <c r="F215" s="8" t="s">
        <v>35</v>
      </c>
      <c r="G215">
        <v>8487909000</v>
      </c>
      <c r="H215" t="s">
        <v>36</v>
      </c>
      <c r="I215" t="s">
        <v>310</v>
      </c>
      <c r="J215" t="s">
        <v>74</v>
      </c>
      <c r="K215" t="s">
        <v>39</v>
      </c>
      <c r="L215">
        <v>7</v>
      </c>
      <c r="M215">
        <v>10</v>
      </c>
      <c r="N215" t="s">
        <v>64</v>
      </c>
      <c r="O215">
        <v>0</v>
      </c>
      <c r="P215">
        <v>1007.24</v>
      </c>
      <c r="Q215">
        <v>56.88</v>
      </c>
      <c r="R215">
        <v>6.42</v>
      </c>
      <c r="S215">
        <v>1070.54</v>
      </c>
      <c r="T215" t="s">
        <v>75</v>
      </c>
      <c r="U215" t="s">
        <v>310</v>
      </c>
      <c r="V215" t="s">
        <v>74</v>
      </c>
      <c r="W215" t="s">
        <v>311</v>
      </c>
      <c r="X215">
        <v>100.72</v>
      </c>
      <c r="Y215" s="9">
        <f t="shared" si="15"/>
        <v>100.724</v>
      </c>
      <c r="Z215" s="9">
        <f t="shared" si="16"/>
        <v>188.85750000000002</v>
      </c>
      <c r="AA215" s="5">
        <f t="shared" si="17"/>
        <v>209.8206825</v>
      </c>
      <c r="AB215" s="6">
        <f t="shared" si="18"/>
        <v>305.93026424999999</v>
      </c>
      <c r="AD215" s="10">
        <f t="shared" si="19"/>
        <v>383.04644722500007</v>
      </c>
    </row>
    <row r="216" spans="1:30" x14ac:dyDescent="0.3">
      <c r="A216" t="s">
        <v>30</v>
      </c>
      <c r="B216" s="8" t="s">
        <v>31</v>
      </c>
      <c r="C216" s="8" t="s">
        <v>32</v>
      </c>
      <c r="D216" s="8" t="s">
        <v>33</v>
      </c>
      <c r="E216" s="8" t="s">
        <v>34</v>
      </c>
      <c r="F216" s="8" t="s">
        <v>35</v>
      </c>
      <c r="G216">
        <v>8421999000</v>
      </c>
      <c r="H216" t="s">
        <v>36</v>
      </c>
      <c r="I216" t="s">
        <v>255</v>
      </c>
      <c r="J216" t="s">
        <v>38</v>
      </c>
      <c r="K216" t="s">
        <v>39</v>
      </c>
      <c r="L216">
        <v>8</v>
      </c>
      <c r="M216">
        <v>2</v>
      </c>
      <c r="N216" t="s">
        <v>64</v>
      </c>
      <c r="O216">
        <v>0</v>
      </c>
      <c r="P216">
        <v>183.25</v>
      </c>
      <c r="Q216">
        <v>10.38</v>
      </c>
      <c r="R216">
        <v>1.17</v>
      </c>
      <c r="S216">
        <v>194.8</v>
      </c>
      <c r="T216" t="s">
        <v>41</v>
      </c>
      <c r="U216" t="s">
        <v>41</v>
      </c>
      <c r="V216" t="s">
        <v>38</v>
      </c>
      <c r="W216" t="s">
        <v>312</v>
      </c>
      <c r="X216">
        <v>91.63</v>
      </c>
      <c r="Y216" s="9">
        <f t="shared" si="15"/>
        <v>91.625</v>
      </c>
      <c r="Z216" s="9">
        <f t="shared" si="16"/>
        <v>171.796875</v>
      </c>
      <c r="AA216" s="5">
        <f t="shared" si="17"/>
        <v>190.866328125</v>
      </c>
      <c r="AB216" s="6">
        <f t="shared" si="18"/>
        <v>278.29375781249996</v>
      </c>
      <c r="AD216" s="10">
        <f t="shared" si="19"/>
        <v>348.44357578125005</v>
      </c>
    </row>
    <row r="217" spans="1:30" x14ac:dyDescent="0.3">
      <c r="A217" t="s">
        <v>30</v>
      </c>
      <c r="B217" s="8" t="s">
        <v>31</v>
      </c>
      <c r="C217" s="8" t="s">
        <v>32</v>
      </c>
      <c r="D217" s="8" t="s">
        <v>33</v>
      </c>
      <c r="E217" s="8" t="s">
        <v>34</v>
      </c>
      <c r="F217" s="8" t="s">
        <v>35</v>
      </c>
      <c r="G217">
        <v>8481909090</v>
      </c>
      <c r="H217" t="s">
        <v>238</v>
      </c>
      <c r="I217" t="s">
        <v>313</v>
      </c>
      <c r="J217" t="s">
        <v>38</v>
      </c>
      <c r="K217" t="s">
        <v>39</v>
      </c>
      <c r="L217">
        <v>6</v>
      </c>
      <c r="M217">
        <v>2</v>
      </c>
      <c r="N217" t="s">
        <v>64</v>
      </c>
      <c r="O217">
        <v>25.27</v>
      </c>
      <c r="P217">
        <v>125.47</v>
      </c>
      <c r="Q217">
        <v>15.17</v>
      </c>
      <c r="R217">
        <v>0.87</v>
      </c>
      <c r="S217">
        <v>141.51</v>
      </c>
      <c r="T217" t="s">
        <v>41</v>
      </c>
      <c r="U217" t="s">
        <v>43</v>
      </c>
      <c r="V217" t="s">
        <v>38</v>
      </c>
      <c r="W217" t="s">
        <v>314</v>
      </c>
      <c r="X217">
        <v>62.73</v>
      </c>
      <c r="Y217" s="9">
        <f t="shared" si="15"/>
        <v>62.734999999999999</v>
      </c>
      <c r="Z217" s="9">
        <f t="shared" si="16"/>
        <v>117.628125</v>
      </c>
      <c r="AA217" s="5">
        <f t="shared" si="17"/>
        <v>130.68484687500001</v>
      </c>
      <c r="AB217" s="6">
        <f t="shared" si="18"/>
        <v>190.54579968749999</v>
      </c>
      <c r="AD217" s="10">
        <f t="shared" si="19"/>
        <v>238.57689196875</v>
      </c>
    </row>
    <row r="218" spans="1:30" x14ac:dyDescent="0.3">
      <c r="A218" t="s">
        <v>30</v>
      </c>
      <c r="B218" s="8" t="s">
        <v>31</v>
      </c>
      <c r="C218" s="8" t="s">
        <v>32</v>
      </c>
      <c r="D218" s="8" t="s">
        <v>33</v>
      </c>
      <c r="E218" s="8" t="s">
        <v>34</v>
      </c>
      <c r="F218" s="8" t="s">
        <v>35</v>
      </c>
      <c r="G218">
        <v>8421999000</v>
      </c>
      <c r="H218" t="s">
        <v>36</v>
      </c>
      <c r="I218" t="s">
        <v>255</v>
      </c>
      <c r="J218" t="s">
        <v>38</v>
      </c>
      <c r="K218" t="s">
        <v>39</v>
      </c>
      <c r="L218">
        <v>7</v>
      </c>
      <c r="M218">
        <v>4</v>
      </c>
      <c r="N218" t="s">
        <v>64</v>
      </c>
      <c r="O218">
        <v>0</v>
      </c>
      <c r="P218">
        <v>1125.6099999999999</v>
      </c>
      <c r="Q218">
        <v>177.83</v>
      </c>
      <c r="R218">
        <v>6.94</v>
      </c>
      <c r="S218">
        <v>1310.3800000000001</v>
      </c>
      <c r="T218" t="s">
        <v>41</v>
      </c>
      <c r="U218" t="s">
        <v>41</v>
      </c>
      <c r="V218" t="s">
        <v>38</v>
      </c>
      <c r="W218" t="s">
        <v>315</v>
      </c>
      <c r="X218">
        <v>281.39999999999998</v>
      </c>
      <c r="Y218" s="9">
        <f t="shared" si="15"/>
        <v>281.40249999999997</v>
      </c>
      <c r="Z218" s="9">
        <f t="shared" si="16"/>
        <v>527.62968749999993</v>
      </c>
      <c r="AA218" s="5">
        <f t="shared" si="17"/>
        <v>586.19658281249997</v>
      </c>
      <c r="AB218" s="6">
        <f t="shared" si="18"/>
        <v>854.70733078124988</v>
      </c>
      <c r="AD218" s="10">
        <f t="shared" si="19"/>
        <v>1070.154361078125</v>
      </c>
    </row>
    <row r="219" spans="1:30" x14ac:dyDescent="0.3">
      <c r="A219" t="s">
        <v>30</v>
      </c>
      <c r="B219" s="8" t="s">
        <v>249</v>
      </c>
      <c r="C219" s="8" t="s">
        <v>32</v>
      </c>
      <c r="D219" s="8" t="s">
        <v>69</v>
      </c>
      <c r="E219" s="8" t="s">
        <v>70</v>
      </c>
      <c r="F219" s="8" t="s">
        <v>71</v>
      </c>
      <c r="G219">
        <v>4016999000</v>
      </c>
      <c r="H219" t="s">
        <v>53</v>
      </c>
      <c r="I219" t="s">
        <v>316</v>
      </c>
      <c r="J219" t="s">
        <v>38</v>
      </c>
      <c r="K219" t="s">
        <v>39</v>
      </c>
      <c r="L219">
        <v>13</v>
      </c>
      <c r="M219">
        <v>3</v>
      </c>
      <c r="N219" t="s">
        <v>64</v>
      </c>
      <c r="O219">
        <v>0</v>
      </c>
      <c r="P219">
        <v>720.12</v>
      </c>
      <c r="Q219">
        <v>38.450000000000003</v>
      </c>
      <c r="R219">
        <v>4.63</v>
      </c>
      <c r="S219">
        <v>763.19</v>
      </c>
      <c r="T219" t="s">
        <v>72</v>
      </c>
      <c r="U219" t="s">
        <v>72</v>
      </c>
      <c r="V219" t="s">
        <v>38</v>
      </c>
      <c r="W219" t="s">
        <v>317</v>
      </c>
      <c r="X219">
        <v>240.04</v>
      </c>
      <c r="Y219" s="9">
        <f t="shared" si="15"/>
        <v>240.04</v>
      </c>
      <c r="Z219" s="9">
        <f t="shared" si="16"/>
        <v>450.07499999999999</v>
      </c>
      <c r="AA219" s="5">
        <f t="shared" si="17"/>
        <v>500.03332499999999</v>
      </c>
      <c r="AB219" s="6">
        <f t="shared" si="18"/>
        <v>729.07649249999997</v>
      </c>
      <c r="AD219" s="10">
        <f t="shared" si="19"/>
        <v>912.85561725000002</v>
      </c>
    </row>
    <row r="220" spans="1:30" x14ac:dyDescent="0.3">
      <c r="A220" t="s">
        <v>30</v>
      </c>
      <c r="B220" s="8" t="s">
        <v>31</v>
      </c>
      <c r="C220" s="8" t="s">
        <v>32</v>
      </c>
      <c r="D220" s="8" t="s">
        <v>33</v>
      </c>
      <c r="E220" s="8" t="s">
        <v>34</v>
      </c>
      <c r="F220" s="8" t="s">
        <v>35</v>
      </c>
      <c r="G220">
        <v>8421299090</v>
      </c>
      <c r="H220" t="s">
        <v>36</v>
      </c>
      <c r="I220" t="s">
        <v>318</v>
      </c>
      <c r="J220" t="s">
        <v>38</v>
      </c>
      <c r="K220" t="s">
        <v>39</v>
      </c>
      <c r="L220">
        <v>6</v>
      </c>
      <c r="M220">
        <v>1</v>
      </c>
      <c r="N220" t="s">
        <v>64</v>
      </c>
      <c r="O220">
        <v>0</v>
      </c>
      <c r="P220">
        <v>163.19</v>
      </c>
      <c r="Q220">
        <v>19.739999999999998</v>
      </c>
      <c r="R220">
        <v>1.1399999999999999</v>
      </c>
      <c r="S220">
        <v>184.06</v>
      </c>
      <c r="T220" t="s">
        <v>41</v>
      </c>
      <c r="U220" t="s">
        <v>43</v>
      </c>
      <c r="V220" t="s">
        <v>38</v>
      </c>
      <c r="W220" t="s">
        <v>319</v>
      </c>
      <c r="X220">
        <v>163.19</v>
      </c>
      <c r="Y220" s="9">
        <f t="shared" si="15"/>
        <v>163.19</v>
      </c>
      <c r="Z220" s="9">
        <f t="shared" si="16"/>
        <v>305.98124999999999</v>
      </c>
      <c r="AA220" s="5">
        <f t="shared" si="17"/>
        <v>339.94516874999999</v>
      </c>
      <c r="AB220" s="6">
        <f t="shared" si="18"/>
        <v>495.65902687499994</v>
      </c>
      <c r="AD220" s="10">
        <f t="shared" si="19"/>
        <v>620.60035068750005</v>
      </c>
    </row>
    <row r="221" spans="1:30" x14ac:dyDescent="0.3">
      <c r="A221" t="s">
        <v>168</v>
      </c>
      <c r="B221" s="8" t="s">
        <v>31</v>
      </c>
      <c r="C221" s="8" t="s">
        <v>32</v>
      </c>
      <c r="D221" s="8" t="s">
        <v>33</v>
      </c>
      <c r="E221" s="8" t="s">
        <v>34</v>
      </c>
      <c r="F221" s="8" t="s">
        <v>35</v>
      </c>
      <c r="G221">
        <v>8421299090</v>
      </c>
      <c r="H221" t="s">
        <v>36</v>
      </c>
      <c r="I221" t="s">
        <v>241</v>
      </c>
      <c r="J221" t="s">
        <v>38</v>
      </c>
      <c r="K221" t="s">
        <v>39</v>
      </c>
      <c r="L221">
        <v>11</v>
      </c>
      <c r="M221">
        <v>2</v>
      </c>
      <c r="N221" t="s">
        <v>64</v>
      </c>
      <c r="O221">
        <v>0</v>
      </c>
      <c r="P221">
        <v>335.29</v>
      </c>
      <c r="Q221">
        <v>32.119999999999997</v>
      </c>
      <c r="R221">
        <v>2.2599999999999998</v>
      </c>
      <c r="S221">
        <v>369.67</v>
      </c>
      <c r="T221" t="s">
        <v>41</v>
      </c>
      <c r="U221" t="s">
        <v>43</v>
      </c>
      <c r="V221" t="s">
        <v>38</v>
      </c>
      <c r="W221" t="s">
        <v>319</v>
      </c>
      <c r="X221">
        <v>167.65</v>
      </c>
      <c r="Y221" s="9">
        <f t="shared" si="15"/>
        <v>167.64500000000001</v>
      </c>
      <c r="Z221" s="9">
        <f t="shared" si="16"/>
        <v>314.33437500000002</v>
      </c>
      <c r="AA221" s="5">
        <f t="shared" si="17"/>
        <v>349.22549062500002</v>
      </c>
      <c r="AB221" s="6">
        <f t="shared" si="18"/>
        <v>509.1902540625</v>
      </c>
      <c r="AD221" s="10">
        <f t="shared" si="19"/>
        <v>637.54240940625016</v>
      </c>
    </row>
    <row r="222" spans="1:30" x14ac:dyDescent="0.3">
      <c r="A222" t="s">
        <v>30</v>
      </c>
      <c r="B222" s="8" t="s">
        <v>31</v>
      </c>
      <c r="C222" s="8" t="s">
        <v>32</v>
      </c>
      <c r="D222" s="8" t="s">
        <v>33</v>
      </c>
      <c r="E222" s="8" t="s">
        <v>34</v>
      </c>
      <c r="F222" s="8" t="s">
        <v>35</v>
      </c>
      <c r="G222">
        <v>4009220000</v>
      </c>
      <c r="H222" t="s">
        <v>88</v>
      </c>
      <c r="I222" t="s">
        <v>46</v>
      </c>
      <c r="J222" t="s">
        <v>38</v>
      </c>
      <c r="K222" t="s">
        <v>39</v>
      </c>
      <c r="L222">
        <v>12</v>
      </c>
      <c r="M222">
        <v>1</v>
      </c>
      <c r="N222" t="s">
        <v>40</v>
      </c>
      <c r="O222">
        <v>0</v>
      </c>
      <c r="P222">
        <v>371.16</v>
      </c>
      <c r="Q222">
        <v>42.62</v>
      </c>
      <c r="R222">
        <v>2.4700000000000002</v>
      </c>
      <c r="S222">
        <v>416.26</v>
      </c>
      <c r="T222" t="s">
        <v>41</v>
      </c>
      <c r="U222" t="s">
        <v>41</v>
      </c>
      <c r="V222" t="s">
        <v>38</v>
      </c>
      <c r="W222" t="s">
        <v>320</v>
      </c>
      <c r="X222">
        <v>371.16</v>
      </c>
      <c r="Y222" s="9">
        <f t="shared" si="15"/>
        <v>371.16</v>
      </c>
      <c r="Z222" s="9">
        <f t="shared" si="16"/>
        <v>695.92500000000007</v>
      </c>
      <c r="AA222" s="5">
        <f t="shared" si="17"/>
        <v>773.17267500000003</v>
      </c>
      <c r="AB222" s="6">
        <f t="shared" si="18"/>
        <v>1127.3289075</v>
      </c>
      <c r="AD222" s="10">
        <f t="shared" si="19"/>
        <v>1411.4959627500002</v>
      </c>
    </row>
    <row r="223" spans="1:30" x14ac:dyDescent="0.3">
      <c r="A223" t="s">
        <v>30</v>
      </c>
      <c r="B223" s="8" t="s">
        <v>31</v>
      </c>
      <c r="C223" s="8" t="s">
        <v>32</v>
      </c>
      <c r="D223" s="8" t="s">
        <v>33</v>
      </c>
      <c r="E223" s="8" t="s">
        <v>34</v>
      </c>
      <c r="F223" s="8" t="s">
        <v>35</v>
      </c>
      <c r="G223">
        <v>4009220000</v>
      </c>
      <c r="H223" t="s">
        <v>88</v>
      </c>
      <c r="I223" t="s">
        <v>46</v>
      </c>
      <c r="J223" t="s">
        <v>38</v>
      </c>
      <c r="K223" t="s">
        <v>39</v>
      </c>
      <c r="L223">
        <v>12</v>
      </c>
      <c r="M223">
        <v>1</v>
      </c>
      <c r="N223" t="s">
        <v>40</v>
      </c>
      <c r="O223">
        <v>0</v>
      </c>
      <c r="P223">
        <v>371.16</v>
      </c>
      <c r="Q223">
        <v>42.62</v>
      </c>
      <c r="R223">
        <v>2.4700000000000002</v>
      </c>
      <c r="S223">
        <v>416.26</v>
      </c>
      <c r="T223" t="s">
        <v>41</v>
      </c>
      <c r="U223" t="s">
        <v>41</v>
      </c>
      <c r="V223" t="s">
        <v>38</v>
      </c>
      <c r="W223" t="s">
        <v>320</v>
      </c>
      <c r="X223">
        <v>371.16</v>
      </c>
      <c r="Y223" s="9">
        <f t="shared" si="15"/>
        <v>371.16</v>
      </c>
      <c r="Z223" s="9">
        <f t="shared" si="16"/>
        <v>695.92500000000007</v>
      </c>
      <c r="AA223" s="5">
        <f t="shared" si="17"/>
        <v>773.17267500000003</v>
      </c>
      <c r="AB223" s="6">
        <f t="shared" si="18"/>
        <v>1127.3289075</v>
      </c>
      <c r="AD223" s="10">
        <f t="shared" si="19"/>
        <v>1411.4959627500002</v>
      </c>
    </row>
    <row r="224" spans="1:30" x14ac:dyDescent="0.3">
      <c r="A224" t="s">
        <v>30</v>
      </c>
      <c r="B224" s="8" t="s">
        <v>31</v>
      </c>
      <c r="C224" s="8" t="s">
        <v>32</v>
      </c>
      <c r="D224" s="8" t="s">
        <v>69</v>
      </c>
      <c r="E224" s="8" t="s">
        <v>70</v>
      </c>
      <c r="F224" s="8" t="s">
        <v>71</v>
      </c>
      <c r="G224">
        <v>4009320000</v>
      </c>
      <c r="H224" t="s">
        <v>88</v>
      </c>
      <c r="I224" t="s">
        <v>46</v>
      </c>
      <c r="J224" t="s">
        <v>38</v>
      </c>
      <c r="K224" t="s">
        <v>39</v>
      </c>
      <c r="L224">
        <v>13</v>
      </c>
      <c r="M224">
        <v>1</v>
      </c>
      <c r="N224" t="s">
        <v>40</v>
      </c>
      <c r="O224">
        <v>0</v>
      </c>
      <c r="P224">
        <v>356.85</v>
      </c>
      <c r="Q224">
        <v>19.05</v>
      </c>
      <c r="R224">
        <v>2.29</v>
      </c>
      <c r="S224">
        <v>378.2</v>
      </c>
      <c r="T224" t="s">
        <v>72</v>
      </c>
      <c r="U224" t="s">
        <v>72</v>
      </c>
      <c r="V224" t="s">
        <v>38</v>
      </c>
      <c r="W224" t="s">
        <v>321</v>
      </c>
      <c r="X224">
        <v>356.85</v>
      </c>
      <c r="Y224" s="9">
        <f t="shared" si="15"/>
        <v>356.85</v>
      </c>
      <c r="Z224" s="9">
        <f t="shared" si="16"/>
        <v>669.09375</v>
      </c>
      <c r="AA224" s="5">
        <f t="shared" si="17"/>
        <v>743.36315624999997</v>
      </c>
      <c r="AB224" s="6">
        <f t="shared" si="18"/>
        <v>1083.864965625</v>
      </c>
      <c r="AD224" s="10">
        <f t="shared" si="19"/>
        <v>1357.0760165625002</v>
      </c>
    </row>
    <row r="225" spans="1:30" x14ac:dyDescent="0.3">
      <c r="A225" t="s">
        <v>30</v>
      </c>
      <c r="B225" s="8" t="s">
        <v>31</v>
      </c>
      <c r="C225" s="8" t="s">
        <v>32</v>
      </c>
      <c r="D225" s="8" t="s">
        <v>33</v>
      </c>
      <c r="E225" s="8" t="s">
        <v>34</v>
      </c>
      <c r="F225" s="8" t="s">
        <v>35</v>
      </c>
      <c r="G225">
        <v>4009320000</v>
      </c>
      <c r="H225" t="s">
        <v>88</v>
      </c>
      <c r="I225" t="s">
        <v>46</v>
      </c>
      <c r="J225" t="s">
        <v>38</v>
      </c>
      <c r="K225" t="s">
        <v>39</v>
      </c>
      <c r="L225">
        <v>12</v>
      </c>
      <c r="M225">
        <v>1</v>
      </c>
      <c r="N225" t="s">
        <v>40</v>
      </c>
      <c r="O225">
        <v>0</v>
      </c>
      <c r="P225">
        <v>367.3</v>
      </c>
      <c r="Q225">
        <v>42.18</v>
      </c>
      <c r="R225">
        <v>2.4500000000000002</v>
      </c>
      <c r="S225">
        <v>411.93</v>
      </c>
      <c r="T225" t="s">
        <v>41</v>
      </c>
      <c r="U225" t="s">
        <v>41</v>
      </c>
      <c r="V225" t="s">
        <v>38</v>
      </c>
      <c r="W225" t="s">
        <v>321</v>
      </c>
      <c r="X225">
        <v>367.3</v>
      </c>
      <c r="Y225" s="9">
        <f t="shared" si="15"/>
        <v>367.3</v>
      </c>
      <c r="Z225" s="9">
        <f t="shared" si="16"/>
        <v>688.6875</v>
      </c>
      <c r="AA225" s="5">
        <f t="shared" si="17"/>
        <v>765.13181250000002</v>
      </c>
      <c r="AB225" s="6">
        <f t="shared" si="18"/>
        <v>1115.6048812499998</v>
      </c>
      <c r="AD225" s="10">
        <f t="shared" si="19"/>
        <v>1396.816648125</v>
      </c>
    </row>
    <row r="226" spans="1:30" x14ac:dyDescent="0.3">
      <c r="A226" t="s">
        <v>30</v>
      </c>
      <c r="B226" s="8" t="s">
        <v>31</v>
      </c>
      <c r="C226" s="8" t="s">
        <v>32</v>
      </c>
      <c r="D226" s="8" t="s">
        <v>33</v>
      </c>
      <c r="E226" s="8" t="s">
        <v>34</v>
      </c>
      <c r="F226" s="8" t="s">
        <v>35</v>
      </c>
      <c r="G226">
        <v>4009320000</v>
      </c>
      <c r="H226" t="s">
        <v>88</v>
      </c>
      <c r="I226" t="s">
        <v>46</v>
      </c>
      <c r="J226" t="s">
        <v>38</v>
      </c>
      <c r="K226" t="s">
        <v>39</v>
      </c>
      <c r="L226">
        <v>6</v>
      </c>
      <c r="M226">
        <v>2</v>
      </c>
      <c r="N226" t="s">
        <v>40</v>
      </c>
      <c r="O226">
        <v>0</v>
      </c>
      <c r="P226">
        <v>384.42</v>
      </c>
      <c r="Q226">
        <v>26.09</v>
      </c>
      <c r="R226">
        <v>2.5</v>
      </c>
      <c r="S226">
        <v>413</v>
      </c>
      <c r="T226" t="s">
        <v>41</v>
      </c>
      <c r="U226" t="s">
        <v>41</v>
      </c>
      <c r="V226" t="s">
        <v>38</v>
      </c>
      <c r="W226" t="s">
        <v>322</v>
      </c>
      <c r="X226">
        <v>192.21</v>
      </c>
      <c r="Y226" s="9">
        <f t="shared" si="15"/>
        <v>192.21</v>
      </c>
      <c r="Z226" s="9">
        <f t="shared" si="16"/>
        <v>360.39375000000001</v>
      </c>
      <c r="AA226" s="5">
        <f t="shared" si="17"/>
        <v>400.39745625</v>
      </c>
      <c r="AB226" s="6">
        <f t="shared" si="18"/>
        <v>583.80183562499997</v>
      </c>
      <c r="AD226" s="10">
        <f t="shared" si="19"/>
        <v>730.96141556250006</v>
      </c>
    </row>
    <row r="227" spans="1:30" x14ac:dyDescent="0.3">
      <c r="A227" t="s">
        <v>30</v>
      </c>
      <c r="B227" s="8" t="s">
        <v>32</v>
      </c>
      <c r="C227" s="8" t="s">
        <v>32</v>
      </c>
      <c r="D227" s="8" t="s">
        <v>33</v>
      </c>
      <c r="E227" s="8" t="s">
        <v>34</v>
      </c>
      <c r="F227" s="8" t="s">
        <v>35</v>
      </c>
      <c r="G227">
        <v>7306400000</v>
      </c>
      <c r="H227" t="s">
        <v>246</v>
      </c>
      <c r="I227" t="s">
        <v>323</v>
      </c>
      <c r="J227" t="s">
        <v>38</v>
      </c>
      <c r="K227" t="s">
        <v>39</v>
      </c>
      <c r="L227">
        <v>12</v>
      </c>
      <c r="M227">
        <v>2</v>
      </c>
      <c r="N227" t="s">
        <v>40</v>
      </c>
      <c r="O227">
        <v>8.51</v>
      </c>
      <c r="P227">
        <v>114.29</v>
      </c>
      <c r="Q227">
        <v>13.12</v>
      </c>
      <c r="R227">
        <v>0.76</v>
      </c>
      <c r="S227">
        <v>128.18</v>
      </c>
      <c r="T227" t="s">
        <v>41</v>
      </c>
      <c r="U227" t="s">
        <v>41</v>
      </c>
      <c r="V227" t="s">
        <v>38</v>
      </c>
      <c r="W227" t="s">
        <v>324</v>
      </c>
      <c r="X227">
        <v>57.15</v>
      </c>
      <c r="Y227" s="9">
        <f t="shared" si="15"/>
        <v>57.145000000000003</v>
      </c>
      <c r="Z227" s="9">
        <f t="shared" si="16"/>
        <v>107.14687500000001</v>
      </c>
      <c r="AA227" s="5">
        <f t="shared" si="17"/>
        <v>119.04017812500001</v>
      </c>
      <c r="AB227" s="6">
        <f t="shared" si="18"/>
        <v>173.56722281250001</v>
      </c>
      <c r="AD227" s="10">
        <f t="shared" si="19"/>
        <v>217.31850628125005</v>
      </c>
    </row>
    <row r="228" spans="1:30" x14ac:dyDescent="0.3">
      <c r="A228" t="s">
        <v>30</v>
      </c>
      <c r="B228" s="8" t="s">
        <v>31</v>
      </c>
      <c r="C228" s="8" t="s">
        <v>32</v>
      </c>
      <c r="D228" s="8" t="s">
        <v>33</v>
      </c>
      <c r="E228" s="8" t="s">
        <v>34</v>
      </c>
      <c r="F228" s="8" t="s">
        <v>35</v>
      </c>
      <c r="G228">
        <v>7304490000</v>
      </c>
      <c r="H228" t="s">
        <v>36</v>
      </c>
      <c r="I228" t="s">
        <v>37</v>
      </c>
      <c r="J228" t="s">
        <v>38</v>
      </c>
      <c r="K228" t="s">
        <v>39</v>
      </c>
      <c r="L228">
        <v>6</v>
      </c>
      <c r="M228">
        <v>2</v>
      </c>
      <c r="N228" t="s">
        <v>40</v>
      </c>
      <c r="O228">
        <v>0</v>
      </c>
      <c r="P228">
        <v>90.15</v>
      </c>
      <c r="Q228">
        <v>6.12</v>
      </c>
      <c r="R228">
        <v>0.59</v>
      </c>
      <c r="S228">
        <v>96.85</v>
      </c>
      <c r="T228" t="s">
        <v>41</v>
      </c>
      <c r="U228" t="s">
        <v>41</v>
      </c>
      <c r="V228" t="s">
        <v>38</v>
      </c>
      <c r="W228" t="s">
        <v>325</v>
      </c>
      <c r="X228">
        <v>45.08</v>
      </c>
      <c r="Y228" s="9">
        <f t="shared" si="15"/>
        <v>45.075000000000003</v>
      </c>
      <c r="Z228" s="9">
        <f t="shared" si="16"/>
        <v>84.515625</v>
      </c>
      <c r="AA228" s="5">
        <f t="shared" si="17"/>
        <v>93.896859375000005</v>
      </c>
      <c r="AB228" s="6">
        <f t="shared" si="18"/>
        <v>136.9068609375</v>
      </c>
      <c r="AD228" s="10">
        <f t="shared" si="19"/>
        <v>171.41712609375003</v>
      </c>
    </row>
    <row r="229" spans="1:30" x14ac:dyDescent="0.3">
      <c r="A229" t="s">
        <v>30</v>
      </c>
      <c r="B229" s="8" t="s">
        <v>32</v>
      </c>
      <c r="C229" s="8" t="s">
        <v>32</v>
      </c>
      <c r="D229" s="8" t="s">
        <v>33</v>
      </c>
      <c r="E229" s="8" t="s">
        <v>34</v>
      </c>
      <c r="F229" s="8" t="s">
        <v>35</v>
      </c>
      <c r="G229">
        <v>4016930000</v>
      </c>
      <c r="H229" t="s">
        <v>141</v>
      </c>
      <c r="I229" t="s">
        <v>130</v>
      </c>
      <c r="J229" t="s">
        <v>38</v>
      </c>
      <c r="K229" t="s">
        <v>39</v>
      </c>
      <c r="L229">
        <v>4</v>
      </c>
      <c r="M229">
        <v>3</v>
      </c>
      <c r="N229" t="s">
        <v>64</v>
      </c>
      <c r="O229">
        <v>0</v>
      </c>
      <c r="P229">
        <v>7.86</v>
      </c>
      <c r="Q229">
        <v>0.41</v>
      </c>
      <c r="R229">
        <v>0.05</v>
      </c>
      <c r="S229">
        <v>8.32</v>
      </c>
      <c r="T229" t="s">
        <v>41</v>
      </c>
      <c r="U229" t="s">
        <v>41</v>
      </c>
      <c r="V229" t="s">
        <v>38</v>
      </c>
      <c r="W229" t="s">
        <v>326</v>
      </c>
      <c r="X229">
        <v>2.62</v>
      </c>
      <c r="Y229" s="9">
        <f t="shared" si="15"/>
        <v>2.62</v>
      </c>
      <c r="Z229" s="9">
        <f t="shared" si="16"/>
        <v>4.9125000000000005</v>
      </c>
      <c r="AA229" s="5">
        <f t="shared" si="17"/>
        <v>5.4577875000000002</v>
      </c>
      <c r="AB229" s="6">
        <f t="shared" si="18"/>
        <v>7.95775875</v>
      </c>
      <c r="AD229" s="10">
        <f t="shared" si="19"/>
        <v>9.9636798750000022</v>
      </c>
    </row>
    <row r="230" spans="1:30" x14ac:dyDescent="0.3">
      <c r="A230" t="s">
        <v>30</v>
      </c>
      <c r="B230" s="8" t="s">
        <v>31</v>
      </c>
      <c r="C230" s="8" t="s">
        <v>32</v>
      </c>
      <c r="D230" s="8" t="s">
        <v>33</v>
      </c>
      <c r="E230" s="8" t="s">
        <v>34</v>
      </c>
      <c r="F230" s="8" t="s">
        <v>35</v>
      </c>
      <c r="G230">
        <v>4009320000</v>
      </c>
      <c r="H230" t="s">
        <v>88</v>
      </c>
      <c r="I230" t="s">
        <v>46</v>
      </c>
      <c r="J230" t="s">
        <v>38</v>
      </c>
      <c r="K230" t="s">
        <v>39</v>
      </c>
      <c r="L230">
        <v>6</v>
      </c>
      <c r="M230">
        <v>2</v>
      </c>
      <c r="N230" t="s">
        <v>40</v>
      </c>
      <c r="O230">
        <v>0</v>
      </c>
      <c r="P230">
        <v>323.35000000000002</v>
      </c>
      <c r="Q230">
        <v>21.94</v>
      </c>
      <c r="R230">
        <v>2.1</v>
      </c>
      <c r="S230">
        <v>347.4</v>
      </c>
      <c r="T230" t="s">
        <v>41</v>
      </c>
      <c r="U230" t="s">
        <v>41</v>
      </c>
      <c r="V230" t="s">
        <v>38</v>
      </c>
      <c r="W230" t="s">
        <v>327</v>
      </c>
      <c r="X230">
        <v>161.68</v>
      </c>
      <c r="Y230" s="9">
        <f t="shared" si="15"/>
        <v>161.67500000000001</v>
      </c>
      <c r="Z230" s="9">
        <f t="shared" si="16"/>
        <v>303.140625</v>
      </c>
      <c r="AA230" s="5">
        <f t="shared" si="17"/>
        <v>336.78923437499998</v>
      </c>
      <c r="AB230" s="6">
        <f t="shared" si="18"/>
        <v>491.05749843749999</v>
      </c>
      <c r="AD230" s="10">
        <f t="shared" si="19"/>
        <v>614.83890984375012</v>
      </c>
    </row>
    <row r="231" spans="1:30" x14ac:dyDescent="0.3">
      <c r="A231" t="s">
        <v>30</v>
      </c>
      <c r="B231" s="8" t="s">
        <v>221</v>
      </c>
      <c r="C231" s="8" t="s">
        <v>32</v>
      </c>
      <c r="D231" s="8" t="s">
        <v>33</v>
      </c>
      <c r="E231" s="8" t="s">
        <v>34</v>
      </c>
      <c r="F231" s="8" t="s">
        <v>35</v>
      </c>
      <c r="G231">
        <v>8419509099</v>
      </c>
      <c r="H231" t="s">
        <v>36</v>
      </c>
      <c r="I231" t="s">
        <v>328</v>
      </c>
      <c r="J231" t="s">
        <v>38</v>
      </c>
      <c r="K231" t="s">
        <v>39</v>
      </c>
      <c r="L231">
        <v>4</v>
      </c>
      <c r="M231">
        <v>1</v>
      </c>
      <c r="N231" t="s">
        <v>64</v>
      </c>
      <c r="O231">
        <v>128.03</v>
      </c>
      <c r="P231">
        <v>508.81</v>
      </c>
      <c r="Q231">
        <v>26.64</v>
      </c>
      <c r="R231">
        <v>3.32</v>
      </c>
      <c r="S231">
        <v>538.76</v>
      </c>
      <c r="T231" t="s">
        <v>41</v>
      </c>
      <c r="U231" t="s">
        <v>41</v>
      </c>
      <c r="V231" t="s">
        <v>38</v>
      </c>
      <c r="W231" t="s">
        <v>329</v>
      </c>
      <c r="X231">
        <v>508.81</v>
      </c>
      <c r="Y231" s="9">
        <f t="shared" si="15"/>
        <v>508.81</v>
      </c>
      <c r="Z231" s="9">
        <f t="shared" si="16"/>
        <v>954.01874999999995</v>
      </c>
      <c r="AA231" s="5">
        <f t="shared" si="17"/>
        <v>1059.9148312499999</v>
      </c>
      <c r="AB231" s="6">
        <f t="shared" si="18"/>
        <v>1545.4149731249997</v>
      </c>
      <c r="AD231" s="10">
        <f t="shared" si="19"/>
        <v>1934.9694493125</v>
      </c>
    </row>
    <row r="232" spans="1:30" x14ac:dyDescent="0.3">
      <c r="A232" t="s">
        <v>30</v>
      </c>
      <c r="B232" s="8" t="s">
        <v>31</v>
      </c>
      <c r="C232" s="8" t="s">
        <v>32</v>
      </c>
      <c r="D232" s="8" t="s">
        <v>33</v>
      </c>
      <c r="E232" s="8" t="s">
        <v>34</v>
      </c>
      <c r="F232" s="8" t="s">
        <v>35</v>
      </c>
      <c r="G232">
        <v>8421999000</v>
      </c>
      <c r="H232" t="s">
        <v>36</v>
      </c>
      <c r="I232" t="s">
        <v>228</v>
      </c>
      <c r="J232" t="s">
        <v>38</v>
      </c>
      <c r="K232" t="s">
        <v>39</v>
      </c>
      <c r="L232">
        <v>8</v>
      </c>
      <c r="M232">
        <v>10</v>
      </c>
      <c r="N232" t="s">
        <v>64</v>
      </c>
      <c r="O232">
        <v>0</v>
      </c>
      <c r="P232">
        <v>125.69</v>
      </c>
      <c r="Q232">
        <v>13.42</v>
      </c>
      <c r="R232">
        <v>0.84</v>
      </c>
      <c r="S232">
        <v>139.94999999999999</v>
      </c>
      <c r="T232" t="s">
        <v>41</v>
      </c>
      <c r="U232" t="s">
        <v>41</v>
      </c>
      <c r="V232" t="s">
        <v>38</v>
      </c>
      <c r="W232" t="s">
        <v>330</v>
      </c>
      <c r="X232">
        <v>12.57</v>
      </c>
      <c r="Y232" s="9">
        <f t="shared" si="15"/>
        <v>12.568999999999999</v>
      </c>
      <c r="Z232" s="9">
        <f t="shared" si="16"/>
        <v>23.566875</v>
      </c>
      <c r="AA232" s="5">
        <f t="shared" si="17"/>
        <v>26.182798124999998</v>
      </c>
      <c r="AB232" s="6">
        <f t="shared" si="18"/>
        <v>38.175980812499994</v>
      </c>
      <c r="AD232" s="10">
        <f t="shared" si="19"/>
        <v>47.799042881250003</v>
      </c>
    </row>
    <row r="233" spans="1:30" x14ac:dyDescent="0.3">
      <c r="A233" t="s">
        <v>30</v>
      </c>
      <c r="B233" s="8" t="s">
        <v>62</v>
      </c>
      <c r="C233" s="8" t="s">
        <v>32</v>
      </c>
      <c r="D233" s="8" t="s">
        <v>33</v>
      </c>
      <c r="E233" s="8" t="s">
        <v>34</v>
      </c>
      <c r="F233" s="8" t="s">
        <v>35</v>
      </c>
      <c r="G233">
        <v>8481909090</v>
      </c>
      <c r="H233" t="s">
        <v>238</v>
      </c>
      <c r="I233" t="s">
        <v>331</v>
      </c>
      <c r="J233" t="s">
        <v>38</v>
      </c>
      <c r="K233" t="s">
        <v>39</v>
      </c>
      <c r="L233">
        <v>8</v>
      </c>
      <c r="M233">
        <v>2</v>
      </c>
      <c r="N233" t="s">
        <v>64</v>
      </c>
      <c r="O233">
        <v>29.91</v>
      </c>
      <c r="P233">
        <v>148.5</v>
      </c>
      <c r="Q233">
        <v>21.37</v>
      </c>
      <c r="R233">
        <v>1.04</v>
      </c>
      <c r="S233">
        <v>170.91</v>
      </c>
      <c r="T233" t="s">
        <v>41</v>
      </c>
      <c r="U233" t="s">
        <v>41</v>
      </c>
      <c r="V233" t="s">
        <v>38</v>
      </c>
      <c r="W233" t="s">
        <v>332</v>
      </c>
      <c r="X233">
        <v>74.25</v>
      </c>
      <c r="Y233" s="9">
        <f t="shared" si="15"/>
        <v>74.25</v>
      </c>
      <c r="Z233" s="9">
        <f t="shared" si="16"/>
        <v>139.21875</v>
      </c>
      <c r="AA233" s="5">
        <f t="shared" si="17"/>
        <v>154.67203125</v>
      </c>
      <c r="AB233" s="6">
        <f t="shared" si="18"/>
        <v>225.52045312499999</v>
      </c>
      <c r="AD233" s="10">
        <f t="shared" si="19"/>
        <v>282.36764531250003</v>
      </c>
    </row>
    <row r="234" spans="1:30" x14ac:dyDescent="0.3">
      <c r="A234" t="s">
        <v>30</v>
      </c>
      <c r="B234" s="8" t="s">
        <v>62</v>
      </c>
      <c r="C234" s="8" t="s">
        <v>32</v>
      </c>
      <c r="D234" s="8" t="s">
        <v>33</v>
      </c>
      <c r="E234" s="8" t="s">
        <v>34</v>
      </c>
      <c r="F234" s="8" t="s">
        <v>35</v>
      </c>
      <c r="G234">
        <v>8481909090</v>
      </c>
      <c r="H234" t="s">
        <v>238</v>
      </c>
      <c r="I234" t="s">
        <v>333</v>
      </c>
      <c r="J234" t="s">
        <v>38</v>
      </c>
      <c r="K234" t="s">
        <v>39</v>
      </c>
      <c r="L234">
        <v>3</v>
      </c>
      <c r="M234">
        <v>3</v>
      </c>
      <c r="N234" t="s">
        <v>64</v>
      </c>
      <c r="O234">
        <v>46.27</v>
      </c>
      <c r="P234">
        <v>229.88</v>
      </c>
      <c r="Q234">
        <v>9.84</v>
      </c>
      <c r="R234">
        <v>1.48</v>
      </c>
      <c r="S234">
        <v>241.2</v>
      </c>
      <c r="T234" t="s">
        <v>41</v>
      </c>
      <c r="U234" t="s">
        <v>43</v>
      </c>
      <c r="V234" t="s">
        <v>38</v>
      </c>
      <c r="W234" t="s">
        <v>332</v>
      </c>
      <c r="X234">
        <v>76.63</v>
      </c>
      <c r="Y234" s="9">
        <f t="shared" si="15"/>
        <v>76.626666666666665</v>
      </c>
      <c r="Z234" s="9">
        <f t="shared" si="16"/>
        <v>143.67500000000001</v>
      </c>
      <c r="AA234" s="5">
        <f t="shared" si="17"/>
        <v>159.62292500000001</v>
      </c>
      <c r="AB234" s="6">
        <f t="shared" si="18"/>
        <v>232.73913250000001</v>
      </c>
      <c r="AD234" s="10">
        <f t="shared" si="19"/>
        <v>291.40594525000006</v>
      </c>
    </row>
    <row r="235" spans="1:30" x14ac:dyDescent="0.3">
      <c r="A235" t="s">
        <v>30</v>
      </c>
      <c r="B235" s="8" t="s">
        <v>62</v>
      </c>
      <c r="C235" s="8" t="s">
        <v>32</v>
      </c>
      <c r="D235" s="8" t="s">
        <v>33</v>
      </c>
      <c r="E235" s="8" t="s">
        <v>34</v>
      </c>
      <c r="F235" s="8" t="s">
        <v>35</v>
      </c>
      <c r="G235">
        <v>8481909090</v>
      </c>
      <c r="H235" t="s">
        <v>53</v>
      </c>
      <c r="I235" t="s">
        <v>331</v>
      </c>
      <c r="J235" t="s">
        <v>38</v>
      </c>
      <c r="K235" t="s">
        <v>39</v>
      </c>
      <c r="L235">
        <v>8</v>
      </c>
      <c r="M235">
        <v>3</v>
      </c>
      <c r="N235" t="s">
        <v>64</v>
      </c>
      <c r="O235">
        <v>46.4</v>
      </c>
      <c r="P235">
        <v>230.42</v>
      </c>
      <c r="Q235">
        <v>28.86</v>
      </c>
      <c r="R235">
        <v>1.57</v>
      </c>
      <c r="S235">
        <v>260.86</v>
      </c>
      <c r="T235" t="s">
        <v>41</v>
      </c>
      <c r="U235" t="s">
        <v>41</v>
      </c>
      <c r="V235" t="s">
        <v>38</v>
      </c>
      <c r="W235" t="s">
        <v>332</v>
      </c>
      <c r="X235">
        <v>76.81</v>
      </c>
      <c r="Y235" s="9">
        <f t="shared" si="15"/>
        <v>76.806666666666658</v>
      </c>
      <c r="Z235" s="9">
        <f t="shared" si="16"/>
        <v>144.01249999999999</v>
      </c>
      <c r="AA235" s="5">
        <f t="shared" si="17"/>
        <v>159.99788749999999</v>
      </c>
      <c r="AB235" s="6">
        <f t="shared" si="18"/>
        <v>233.28584874999996</v>
      </c>
      <c r="AD235" s="10">
        <f t="shared" si="19"/>
        <v>292.09047287499999</v>
      </c>
    </row>
    <row r="236" spans="1:30" x14ac:dyDescent="0.3">
      <c r="A236" t="s">
        <v>30</v>
      </c>
      <c r="B236" s="8" t="s">
        <v>31</v>
      </c>
      <c r="C236" s="8" t="s">
        <v>32</v>
      </c>
      <c r="D236" s="8" t="s">
        <v>33</v>
      </c>
      <c r="E236" s="8" t="s">
        <v>34</v>
      </c>
      <c r="F236" s="8" t="s">
        <v>35</v>
      </c>
      <c r="G236">
        <v>8421999000</v>
      </c>
      <c r="H236" t="s">
        <v>36</v>
      </c>
      <c r="I236" t="s">
        <v>253</v>
      </c>
      <c r="J236" t="s">
        <v>38</v>
      </c>
      <c r="K236" t="s">
        <v>39</v>
      </c>
      <c r="L236">
        <v>8</v>
      </c>
      <c r="M236">
        <v>3</v>
      </c>
      <c r="N236" t="s">
        <v>64</v>
      </c>
      <c r="O236">
        <v>0</v>
      </c>
      <c r="P236">
        <v>307.52</v>
      </c>
      <c r="Q236">
        <v>44.26</v>
      </c>
      <c r="R236">
        <v>2.16</v>
      </c>
      <c r="S236">
        <v>353.94</v>
      </c>
      <c r="T236" t="s">
        <v>41</v>
      </c>
      <c r="U236" t="s">
        <v>41</v>
      </c>
      <c r="V236" t="s">
        <v>38</v>
      </c>
      <c r="W236" t="s">
        <v>334</v>
      </c>
      <c r="X236">
        <v>102.51</v>
      </c>
      <c r="Y236" s="9">
        <f t="shared" si="15"/>
        <v>102.50666666666666</v>
      </c>
      <c r="Z236" s="9">
        <f t="shared" si="16"/>
        <v>192.2</v>
      </c>
      <c r="AA236" s="5">
        <f t="shared" si="17"/>
        <v>213.5342</v>
      </c>
      <c r="AB236" s="6">
        <f t="shared" si="18"/>
        <v>311.34477999999996</v>
      </c>
      <c r="AD236" s="10">
        <f t="shared" si="19"/>
        <v>389.825806</v>
      </c>
    </row>
    <row r="237" spans="1:30" x14ac:dyDescent="0.3">
      <c r="A237" t="s">
        <v>30</v>
      </c>
      <c r="B237" s="8" t="s">
        <v>31</v>
      </c>
      <c r="C237" s="8" t="s">
        <v>32</v>
      </c>
      <c r="D237" s="8" t="s">
        <v>33</v>
      </c>
      <c r="E237" s="8" t="s">
        <v>34</v>
      </c>
      <c r="F237" s="8" t="s">
        <v>35</v>
      </c>
      <c r="G237">
        <v>8421999000</v>
      </c>
      <c r="H237" t="s">
        <v>36</v>
      </c>
      <c r="I237" t="s">
        <v>253</v>
      </c>
      <c r="J237" t="s">
        <v>38</v>
      </c>
      <c r="K237" t="s">
        <v>39</v>
      </c>
      <c r="L237">
        <v>8</v>
      </c>
      <c r="M237">
        <v>2</v>
      </c>
      <c r="N237" t="s">
        <v>64</v>
      </c>
      <c r="O237">
        <v>0</v>
      </c>
      <c r="P237">
        <v>205.01</v>
      </c>
      <c r="Q237">
        <v>29.5</v>
      </c>
      <c r="R237">
        <v>1.44</v>
      </c>
      <c r="S237">
        <v>235.96</v>
      </c>
      <c r="T237" t="s">
        <v>41</v>
      </c>
      <c r="U237" t="s">
        <v>41</v>
      </c>
      <c r="V237" t="s">
        <v>38</v>
      </c>
      <c r="W237" t="s">
        <v>334</v>
      </c>
      <c r="X237">
        <v>102.5</v>
      </c>
      <c r="Y237" s="9">
        <f t="shared" si="15"/>
        <v>102.505</v>
      </c>
      <c r="Z237" s="9">
        <f t="shared" si="16"/>
        <v>192.19687499999998</v>
      </c>
      <c r="AA237" s="5">
        <f t="shared" si="17"/>
        <v>213.53072812499997</v>
      </c>
      <c r="AB237" s="6">
        <f t="shared" si="18"/>
        <v>311.33971781249994</v>
      </c>
      <c r="AD237" s="10">
        <f t="shared" si="19"/>
        <v>389.81946778125001</v>
      </c>
    </row>
    <row r="238" spans="1:30" x14ac:dyDescent="0.3">
      <c r="A238" t="s">
        <v>30</v>
      </c>
      <c r="B238" s="8" t="s">
        <v>31</v>
      </c>
      <c r="C238" s="8" t="s">
        <v>32</v>
      </c>
      <c r="D238" s="8" t="s">
        <v>69</v>
      </c>
      <c r="E238" s="8" t="s">
        <v>70</v>
      </c>
      <c r="F238" s="8" t="s">
        <v>71</v>
      </c>
      <c r="G238">
        <v>8421999000</v>
      </c>
      <c r="H238" t="s">
        <v>36</v>
      </c>
      <c r="I238" t="s">
        <v>255</v>
      </c>
      <c r="J238" t="s">
        <v>38</v>
      </c>
      <c r="K238" t="s">
        <v>39</v>
      </c>
      <c r="L238">
        <v>13</v>
      </c>
      <c r="M238">
        <v>15</v>
      </c>
      <c r="N238" t="s">
        <v>64</v>
      </c>
      <c r="O238">
        <v>0</v>
      </c>
      <c r="P238">
        <v>1278.9000000000001</v>
      </c>
      <c r="Q238">
        <v>90.8</v>
      </c>
      <c r="R238">
        <v>8.36</v>
      </c>
      <c r="S238">
        <v>1378.06</v>
      </c>
      <c r="T238" t="s">
        <v>41</v>
      </c>
      <c r="U238" t="s">
        <v>41</v>
      </c>
      <c r="V238" t="s">
        <v>38</v>
      </c>
      <c r="W238" t="s">
        <v>334</v>
      </c>
      <c r="X238">
        <v>85.26</v>
      </c>
      <c r="Y238" s="9">
        <f t="shared" si="15"/>
        <v>85.26</v>
      </c>
      <c r="Z238" s="9">
        <f t="shared" si="16"/>
        <v>159.86250000000001</v>
      </c>
      <c r="AA238" s="5">
        <f t="shared" si="17"/>
        <v>177.6072375</v>
      </c>
      <c r="AB238" s="6">
        <f t="shared" si="18"/>
        <v>258.96126375</v>
      </c>
      <c r="AD238" s="10">
        <f t="shared" si="19"/>
        <v>324.23791837500005</v>
      </c>
    </row>
    <row r="239" spans="1:30" x14ac:dyDescent="0.3">
      <c r="A239" t="s">
        <v>30</v>
      </c>
      <c r="B239" s="8" t="s">
        <v>31</v>
      </c>
      <c r="C239" s="8" t="s">
        <v>32</v>
      </c>
      <c r="D239" s="8" t="s">
        <v>33</v>
      </c>
      <c r="E239" s="8" t="s">
        <v>34</v>
      </c>
      <c r="F239" s="8" t="s">
        <v>35</v>
      </c>
      <c r="G239">
        <v>8421999000</v>
      </c>
      <c r="H239" t="s">
        <v>36</v>
      </c>
      <c r="I239" t="s">
        <v>253</v>
      </c>
      <c r="J239" t="s">
        <v>38</v>
      </c>
      <c r="K239" t="s">
        <v>39</v>
      </c>
      <c r="L239">
        <v>8</v>
      </c>
      <c r="M239">
        <v>8</v>
      </c>
      <c r="N239" t="s">
        <v>64</v>
      </c>
      <c r="O239">
        <v>0</v>
      </c>
      <c r="P239">
        <v>848.19</v>
      </c>
      <c r="Q239">
        <v>90.54</v>
      </c>
      <c r="R239">
        <v>5.68</v>
      </c>
      <c r="S239">
        <v>944.41</v>
      </c>
      <c r="T239" t="s">
        <v>41</v>
      </c>
      <c r="U239" t="s">
        <v>41</v>
      </c>
      <c r="V239" t="s">
        <v>38</v>
      </c>
      <c r="W239" t="s">
        <v>334</v>
      </c>
      <c r="X239">
        <v>106.02</v>
      </c>
      <c r="Y239" s="9">
        <f t="shared" si="15"/>
        <v>106.02375000000001</v>
      </c>
      <c r="Z239" s="9">
        <f t="shared" si="16"/>
        <v>198.79453125000001</v>
      </c>
      <c r="AA239" s="5">
        <f t="shared" si="17"/>
        <v>220.86072421874999</v>
      </c>
      <c r="AB239" s="6">
        <f t="shared" si="18"/>
        <v>322.02726117187501</v>
      </c>
      <c r="AD239" s="10">
        <f t="shared" si="19"/>
        <v>403.20103211718754</v>
      </c>
    </row>
    <row r="240" spans="1:30" x14ac:dyDescent="0.3">
      <c r="A240" t="s">
        <v>30</v>
      </c>
      <c r="B240" s="8" t="s">
        <v>31</v>
      </c>
      <c r="C240" s="8" t="s">
        <v>32</v>
      </c>
      <c r="D240" s="8" t="s">
        <v>69</v>
      </c>
      <c r="E240" s="8" t="s">
        <v>70</v>
      </c>
      <c r="F240" s="8" t="s">
        <v>71</v>
      </c>
      <c r="G240">
        <v>8421999000</v>
      </c>
      <c r="H240" t="s">
        <v>36</v>
      </c>
      <c r="I240" t="s">
        <v>255</v>
      </c>
      <c r="J240" t="s">
        <v>38</v>
      </c>
      <c r="K240" t="s">
        <v>39</v>
      </c>
      <c r="L240">
        <v>8</v>
      </c>
      <c r="M240">
        <v>6</v>
      </c>
      <c r="N240" t="s">
        <v>64</v>
      </c>
      <c r="O240">
        <v>0</v>
      </c>
      <c r="P240">
        <v>622.02</v>
      </c>
      <c r="Q240">
        <v>40.72</v>
      </c>
      <c r="R240">
        <v>4.03</v>
      </c>
      <c r="S240">
        <v>666.77</v>
      </c>
      <c r="T240" t="s">
        <v>41</v>
      </c>
      <c r="U240" t="s">
        <v>41</v>
      </c>
      <c r="V240" t="s">
        <v>38</v>
      </c>
      <c r="W240" t="s">
        <v>334</v>
      </c>
      <c r="X240">
        <v>103.67</v>
      </c>
      <c r="Y240" s="9">
        <f t="shared" si="15"/>
        <v>103.67</v>
      </c>
      <c r="Z240" s="9">
        <f t="shared" si="16"/>
        <v>194.38124999999999</v>
      </c>
      <c r="AA240" s="5">
        <f t="shared" si="17"/>
        <v>215.95756874999998</v>
      </c>
      <c r="AB240" s="6">
        <f t="shared" si="18"/>
        <v>314.87818687499998</v>
      </c>
      <c r="AD240" s="10">
        <f t="shared" si="19"/>
        <v>394.24988268750002</v>
      </c>
    </row>
    <row r="241" spans="1:30" x14ac:dyDescent="0.3">
      <c r="A241" t="s">
        <v>30</v>
      </c>
      <c r="B241" s="8" t="s">
        <v>31</v>
      </c>
      <c r="C241" s="8" t="s">
        <v>32</v>
      </c>
      <c r="D241" s="8" t="s">
        <v>69</v>
      </c>
      <c r="E241" s="8" t="s">
        <v>70</v>
      </c>
      <c r="F241" s="8" t="s">
        <v>71</v>
      </c>
      <c r="G241">
        <v>8421999000</v>
      </c>
      <c r="H241" t="s">
        <v>36</v>
      </c>
      <c r="I241" t="s">
        <v>255</v>
      </c>
      <c r="J241" t="s">
        <v>38</v>
      </c>
      <c r="K241" t="s">
        <v>39</v>
      </c>
      <c r="L241">
        <v>13</v>
      </c>
      <c r="M241">
        <v>16</v>
      </c>
      <c r="N241" t="s">
        <v>64</v>
      </c>
      <c r="O241">
        <v>0</v>
      </c>
      <c r="P241">
        <v>1658.72</v>
      </c>
      <c r="Q241">
        <v>88.56</v>
      </c>
      <c r="R241">
        <v>10.66</v>
      </c>
      <c r="S241">
        <v>1757.94</v>
      </c>
      <c r="T241" t="s">
        <v>72</v>
      </c>
      <c r="U241" t="s">
        <v>72</v>
      </c>
      <c r="V241" t="s">
        <v>38</v>
      </c>
      <c r="W241" t="s">
        <v>334</v>
      </c>
      <c r="X241">
        <v>103.67</v>
      </c>
      <c r="Y241" s="9">
        <f t="shared" si="15"/>
        <v>103.67</v>
      </c>
      <c r="Z241" s="9">
        <f t="shared" si="16"/>
        <v>194.38124999999999</v>
      </c>
      <c r="AA241" s="5">
        <f t="shared" si="17"/>
        <v>215.95756874999998</v>
      </c>
      <c r="AB241" s="6">
        <f t="shared" si="18"/>
        <v>314.87818687499998</v>
      </c>
      <c r="AD241" s="10">
        <f t="shared" si="19"/>
        <v>394.24988268750002</v>
      </c>
    </row>
    <row r="242" spans="1:30" x14ac:dyDescent="0.3">
      <c r="A242" t="s">
        <v>30</v>
      </c>
      <c r="B242" s="8" t="s">
        <v>31</v>
      </c>
      <c r="C242" s="8" t="s">
        <v>32</v>
      </c>
      <c r="D242" s="8" t="s">
        <v>33</v>
      </c>
      <c r="E242" s="8" t="s">
        <v>34</v>
      </c>
      <c r="F242" s="8" t="s">
        <v>35</v>
      </c>
      <c r="G242">
        <v>8421999000</v>
      </c>
      <c r="H242" t="s">
        <v>36</v>
      </c>
      <c r="I242" t="s">
        <v>255</v>
      </c>
      <c r="J242" t="s">
        <v>38</v>
      </c>
      <c r="K242" t="s">
        <v>39</v>
      </c>
      <c r="L242">
        <v>12</v>
      </c>
      <c r="M242">
        <v>4</v>
      </c>
      <c r="N242" t="s">
        <v>64</v>
      </c>
      <c r="O242">
        <v>0</v>
      </c>
      <c r="P242">
        <v>426.83</v>
      </c>
      <c r="Q242">
        <v>49.01</v>
      </c>
      <c r="R242">
        <v>2.84</v>
      </c>
      <c r="S242">
        <v>478.68</v>
      </c>
      <c r="T242" t="s">
        <v>41</v>
      </c>
      <c r="U242" t="s">
        <v>41</v>
      </c>
      <c r="V242" t="s">
        <v>38</v>
      </c>
      <c r="W242" t="s">
        <v>334</v>
      </c>
      <c r="X242">
        <v>106.71</v>
      </c>
      <c r="Y242" s="9">
        <f t="shared" si="15"/>
        <v>106.7075</v>
      </c>
      <c r="Z242" s="9">
        <f t="shared" si="16"/>
        <v>200.07656249999999</v>
      </c>
      <c r="AA242" s="5">
        <f t="shared" si="17"/>
        <v>222.28506093749999</v>
      </c>
      <c r="AB242" s="6">
        <f t="shared" si="18"/>
        <v>324.10402359374996</v>
      </c>
      <c r="AD242" s="10">
        <f t="shared" si="19"/>
        <v>405.80128635937501</v>
      </c>
    </row>
    <row r="243" spans="1:30" x14ac:dyDescent="0.3">
      <c r="A243" t="s">
        <v>30</v>
      </c>
      <c r="B243" s="8" t="s">
        <v>31</v>
      </c>
      <c r="C243" s="8" t="s">
        <v>32</v>
      </c>
      <c r="D243" s="8" t="s">
        <v>33</v>
      </c>
      <c r="E243" s="8" t="s">
        <v>34</v>
      </c>
      <c r="F243" s="8" t="s">
        <v>35</v>
      </c>
      <c r="G243">
        <v>8421999000</v>
      </c>
      <c r="H243" t="s">
        <v>36</v>
      </c>
      <c r="I243" t="s">
        <v>255</v>
      </c>
      <c r="J243" t="s">
        <v>38</v>
      </c>
      <c r="K243" t="s">
        <v>39</v>
      </c>
      <c r="L243">
        <v>8</v>
      </c>
      <c r="M243">
        <v>4</v>
      </c>
      <c r="N243" t="s">
        <v>64</v>
      </c>
      <c r="O243">
        <v>0</v>
      </c>
      <c r="P243">
        <v>423.7</v>
      </c>
      <c r="Q243">
        <v>53.08</v>
      </c>
      <c r="R243">
        <v>2.89</v>
      </c>
      <c r="S243">
        <v>479.68</v>
      </c>
      <c r="T243" t="s">
        <v>41</v>
      </c>
      <c r="U243" t="s">
        <v>41</v>
      </c>
      <c r="V243" t="s">
        <v>38</v>
      </c>
      <c r="W243" t="s">
        <v>334</v>
      </c>
      <c r="X243">
        <v>105.93</v>
      </c>
      <c r="Y243" s="9">
        <f t="shared" si="15"/>
        <v>105.925</v>
      </c>
      <c r="Z243" s="9">
        <f t="shared" si="16"/>
        <v>198.609375</v>
      </c>
      <c r="AA243" s="5">
        <f t="shared" si="17"/>
        <v>220.655015625</v>
      </c>
      <c r="AB243" s="6">
        <f t="shared" si="18"/>
        <v>321.72732656249997</v>
      </c>
      <c r="AD243" s="10">
        <f t="shared" si="19"/>
        <v>402.82549265625005</v>
      </c>
    </row>
    <row r="244" spans="1:30" x14ac:dyDescent="0.3">
      <c r="A244" t="s">
        <v>168</v>
      </c>
      <c r="B244" s="8" t="s">
        <v>31</v>
      </c>
      <c r="C244" s="8" t="s">
        <v>32</v>
      </c>
      <c r="E244" s="8" t="s">
        <v>70</v>
      </c>
      <c r="F244" s="8" t="s">
        <v>71</v>
      </c>
      <c r="G244">
        <v>8421999000</v>
      </c>
      <c r="H244" t="s">
        <v>36</v>
      </c>
      <c r="I244" t="s">
        <v>255</v>
      </c>
      <c r="J244" t="s">
        <v>38</v>
      </c>
      <c r="K244" t="s">
        <v>39</v>
      </c>
      <c r="L244">
        <v>0</v>
      </c>
      <c r="M244">
        <v>10</v>
      </c>
      <c r="N244" t="s">
        <v>64</v>
      </c>
      <c r="O244">
        <v>0</v>
      </c>
      <c r="P244">
        <v>897.79</v>
      </c>
      <c r="Q244">
        <v>68.92</v>
      </c>
      <c r="R244">
        <v>6.47</v>
      </c>
      <c r="S244">
        <v>973.18</v>
      </c>
      <c r="T244" t="s">
        <v>41</v>
      </c>
      <c r="U244" t="s">
        <v>41</v>
      </c>
      <c r="V244" t="s">
        <v>38</v>
      </c>
      <c r="W244" t="s">
        <v>334</v>
      </c>
      <c r="X244">
        <v>89.78</v>
      </c>
      <c r="Y244" s="9">
        <f t="shared" si="15"/>
        <v>89.778999999999996</v>
      </c>
      <c r="Z244" s="9">
        <f t="shared" si="16"/>
        <v>168.33562499999999</v>
      </c>
      <c r="AA244" s="5">
        <f t="shared" si="17"/>
        <v>187.02087937499999</v>
      </c>
      <c r="AB244" s="6">
        <f t="shared" si="18"/>
        <v>272.68687893749996</v>
      </c>
      <c r="AD244" s="10">
        <f t="shared" si="19"/>
        <v>341.42336469375005</v>
      </c>
    </row>
    <row r="245" spans="1:30" x14ac:dyDescent="0.3">
      <c r="A245" t="s">
        <v>30</v>
      </c>
      <c r="B245" s="8" t="s">
        <v>32</v>
      </c>
      <c r="C245" s="8" t="s">
        <v>32</v>
      </c>
      <c r="D245" s="8" t="s">
        <v>33</v>
      </c>
      <c r="E245" s="8" t="s">
        <v>34</v>
      </c>
      <c r="F245" s="8" t="s">
        <v>35</v>
      </c>
      <c r="G245">
        <v>8544429000</v>
      </c>
      <c r="H245" t="s">
        <v>268</v>
      </c>
      <c r="I245" t="s">
        <v>335</v>
      </c>
      <c r="J245" t="s">
        <v>38</v>
      </c>
      <c r="K245" t="s">
        <v>39</v>
      </c>
      <c r="L245">
        <v>6</v>
      </c>
      <c r="M245">
        <v>4</v>
      </c>
      <c r="N245" t="s">
        <v>40</v>
      </c>
      <c r="O245">
        <v>22.9</v>
      </c>
      <c r="P245">
        <v>413.71</v>
      </c>
      <c r="Q245">
        <v>28.07</v>
      </c>
      <c r="R245">
        <v>2.69</v>
      </c>
      <c r="S245">
        <v>444.47</v>
      </c>
      <c r="T245" t="s">
        <v>41</v>
      </c>
      <c r="U245" t="s">
        <v>41</v>
      </c>
      <c r="V245" t="s">
        <v>38</v>
      </c>
      <c r="W245" t="s">
        <v>336</v>
      </c>
      <c r="X245">
        <v>103.43</v>
      </c>
      <c r="Y245" s="9">
        <f t="shared" si="15"/>
        <v>103.42749999999999</v>
      </c>
      <c r="Z245" s="9">
        <f t="shared" si="16"/>
        <v>193.92656249999999</v>
      </c>
      <c r="AA245" s="5">
        <f t="shared" si="17"/>
        <v>215.45241093749999</v>
      </c>
      <c r="AB245" s="6">
        <f t="shared" si="18"/>
        <v>314.14163859374997</v>
      </c>
      <c r="AD245" s="10">
        <f t="shared" si="19"/>
        <v>393.32767185937502</v>
      </c>
    </row>
    <row r="246" spans="1:30" x14ac:dyDescent="0.3">
      <c r="A246" t="s">
        <v>30</v>
      </c>
      <c r="B246" s="8" t="s">
        <v>337</v>
      </c>
      <c r="C246" s="8" t="s">
        <v>32</v>
      </c>
      <c r="D246" s="8" t="s">
        <v>33</v>
      </c>
      <c r="E246" s="8" t="s">
        <v>34</v>
      </c>
      <c r="F246" s="8" t="s">
        <v>35</v>
      </c>
      <c r="G246">
        <v>8483909000</v>
      </c>
      <c r="H246" t="s">
        <v>338</v>
      </c>
      <c r="I246" t="s">
        <v>339</v>
      </c>
      <c r="J246" t="s">
        <v>74</v>
      </c>
      <c r="K246" t="s">
        <v>39</v>
      </c>
      <c r="L246">
        <v>7</v>
      </c>
      <c r="M246">
        <v>2</v>
      </c>
      <c r="N246" t="s">
        <v>64</v>
      </c>
      <c r="O246">
        <v>0</v>
      </c>
      <c r="P246">
        <v>772.4</v>
      </c>
      <c r="Q246">
        <v>43.62</v>
      </c>
      <c r="R246">
        <v>4.92</v>
      </c>
      <c r="S246">
        <v>820.94</v>
      </c>
      <c r="T246" t="s">
        <v>75</v>
      </c>
      <c r="U246" t="s">
        <v>339</v>
      </c>
      <c r="V246" t="s">
        <v>74</v>
      </c>
      <c r="W246" t="s">
        <v>340</v>
      </c>
      <c r="X246">
        <v>386.2</v>
      </c>
      <c r="Y246" s="9">
        <f t="shared" si="15"/>
        <v>386.2</v>
      </c>
      <c r="Z246" s="9">
        <f t="shared" si="16"/>
        <v>724.125</v>
      </c>
      <c r="AA246" s="5">
        <f t="shared" si="17"/>
        <v>804.50287500000002</v>
      </c>
      <c r="AB246" s="6">
        <f t="shared" si="18"/>
        <v>1173.0100874999998</v>
      </c>
      <c r="AD246" s="10">
        <f t="shared" si="19"/>
        <v>1468.6920487500001</v>
      </c>
    </row>
    <row r="247" spans="1:30" x14ac:dyDescent="0.3">
      <c r="A247" t="s">
        <v>30</v>
      </c>
      <c r="B247" s="8" t="s">
        <v>337</v>
      </c>
      <c r="C247" s="8" t="s">
        <v>32</v>
      </c>
      <c r="D247" s="8" t="s">
        <v>33</v>
      </c>
      <c r="E247" s="8" t="s">
        <v>34</v>
      </c>
      <c r="F247" s="8" t="s">
        <v>35</v>
      </c>
      <c r="G247">
        <v>8483409200</v>
      </c>
      <c r="H247" t="s">
        <v>341</v>
      </c>
      <c r="I247" t="s">
        <v>342</v>
      </c>
      <c r="J247" t="s">
        <v>38</v>
      </c>
      <c r="K247" t="s">
        <v>39</v>
      </c>
      <c r="L247">
        <v>10</v>
      </c>
      <c r="M247">
        <v>2</v>
      </c>
      <c r="N247" t="s">
        <v>64</v>
      </c>
      <c r="O247">
        <v>0</v>
      </c>
      <c r="P247">
        <v>772.61</v>
      </c>
      <c r="Q247">
        <v>64.31</v>
      </c>
      <c r="R247">
        <v>5.0599999999999996</v>
      </c>
      <c r="S247">
        <v>841.97</v>
      </c>
      <c r="T247" t="s">
        <v>41</v>
      </c>
      <c r="U247" t="s">
        <v>43</v>
      </c>
      <c r="V247" t="s">
        <v>38</v>
      </c>
      <c r="W247" t="s">
        <v>340</v>
      </c>
      <c r="X247">
        <v>386.3</v>
      </c>
      <c r="Y247" s="9">
        <f t="shared" si="15"/>
        <v>386.30500000000001</v>
      </c>
      <c r="Z247" s="9">
        <f t="shared" si="16"/>
        <v>724.32187499999998</v>
      </c>
      <c r="AA247" s="5">
        <f t="shared" si="17"/>
        <v>804.721603125</v>
      </c>
      <c r="AB247" s="6">
        <f t="shared" si="18"/>
        <v>1173.3290053124999</v>
      </c>
      <c r="AD247" s="10">
        <f t="shared" si="19"/>
        <v>1469.0913565312501</v>
      </c>
    </row>
    <row r="248" spans="1:30" x14ac:dyDescent="0.3">
      <c r="A248" t="s">
        <v>30</v>
      </c>
      <c r="B248" s="8" t="s">
        <v>337</v>
      </c>
      <c r="C248" s="8" t="s">
        <v>32</v>
      </c>
      <c r="D248" s="8" t="s">
        <v>33</v>
      </c>
      <c r="E248" s="8" t="s">
        <v>34</v>
      </c>
      <c r="F248" s="8" t="s">
        <v>35</v>
      </c>
      <c r="G248">
        <v>8483909000</v>
      </c>
      <c r="H248" t="s">
        <v>338</v>
      </c>
      <c r="I248" t="s">
        <v>343</v>
      </c>
      <c r="J248" t="s">
        <v>74</v>
      </c>
      <c r="K248" t="s">
        <v>39</v>
      </c>
      <c r="L248">
        <v>7</v>
      </c>
      <c r="M248">
        <v>2</v>
      </c>
      <c r="N248" t="s">
        <v>64</v>
      </c>
      <c r="O248">
        <v>0</v>
      </c>
      <c r="P248">
        <v>670.76</v>
      </c>
      <c r="Q248">
        <v>37.880000000000003</v>
      </c>
      <c r="R248">
        <v>4.2699999999999996</v>
      </c>
      <c r="S248">
        <v>712.92</v>
      </c>
      <c r="T248" t="s">
        <v>75</v>
      </c>
      <c r="U248" t="s">
        <v>343</v>
      </c>
      <c r="V248" t="s">
        <v>74</v>
      </c>
      <c r="W248" t="s">
        <v>344</v>
      </c>
      <c r="X248">
        <v>335.38</v>
      </c>
      <c r="Y248" s="9">
        <f t="shared" si="15"/>
        <v>335.38</v>
      </c>
      <c r="Z248" s="9">
        <f t="shared" si="16"/>
        <v>628.83749999999998</v>
      </c>
      <c r="AA248" s="5">
        <f t="shared" si="17"/>
        <v>698.63846249999995</v>
      </c>
      <c r="AB248" s="6">
        <f t="shared" si="18"/>
        <v>1018.6538662499999</v>
      </c>
      <c r="AD248" s="10">
        <f t="shared" si="19"/>
        <v>1275.4270826250001</v>
      </c>
    </row>
    <row r="249" spans="1:30" x14ac:dyDescent="0.3">
      <c r="A249" t="s">
        <v>30</v>
      </c>
      <c r="B249" s="8" t="s">
        <v>337</v>
      </c>
      <c r="C249" s="8" t="s">
        <v>32</v>
      </c>
      <c r="D249" s="8" t="s">
        <v>33</v>
      </c>
      <c r="E249" s="8" t="s">
        <v>34</v>
      </c>
      <c r="F249" s="8" t="s">
        <v>35</v>
      </c>
      <c r="G249">
        <v>8483909000</v>
      </c>
      <c r="H249" t="s">
        <v>338</v>
      </c>
      <c r="I249" t="s">
        <v>345</v>
      </c>
      <c r="J249" t="s">
        <v>38</v>
      </c>
      <c r="K249" t="s">
        <v>39</v>
      </c>
      <c r="L249">
        <v>10</v>
      </c>
      <c r="M249">
        <v>2</v>
      </c>
      <c r="N249" t="s">
        <v>64</v>
      </c>
      <c r="O249">
        <v>0</v>
      </c>
      <c r="P249">
        <v>670.95</v>
      </c>
      <c r="Q249">
        <v>55.84</v>
      </c>
      <c r="R249">
        <v>4.3899999999999997</v>
      </c>
      <c r="S249">
        <v>731.19</v>
      </c>
      <c r="T249" t="s">
        <v>41</v>
      </c>
      <c r="U249" t="s">
        <v>43</v>
      </c>
      <c r="V249" t="s">
        <v>38</v>
      </c>
      <c r="W249" t="s">
        <v>344</v>
      </c>
      <c r="X249">
        <v>335.47</v>
      </c>
      <c r="Y249" s="9">
        <f t="shared" si="15"/>
        <v>335.47500000000002</v>
      </c>
      <c r="Z249" s="9">
        <f t="shared" si="16"/>
        <v>629.015625</v>
      </c>
      <c r="AA249" s="5">
        <f t="shared" si="17"/>
        <v>698.83635937500003</v>
      </c>
      <c r="AB249" s="6">
        <f t="shared" si="18"/>
        <v>1018.9424109375</v>
      </c>
      <c r="AD249" s="10">
        <f t="shared" si="19"/>
        <v>1275.7883610937502</v>
      </c>
    </row>
    <row r="250" spans="1:30" x14ac:dyDescent="0.3">
      <c r="A250" t="s">
        <v>30</v>
      </c>
      <c r="B250" s="8" t="s">
        <v>32</v>
      </c>
      <c r="C250" s="8" t="s">
        <v>32</v>
      </c>
      <c r="D250" s="8" t="s">
        <v>33</v>
      </c>
      <c r="E250" s="8" t="s">
        <v>34</v>
      </c>
      <c r="F250" s="8" t="s">
        <v>35</v>
      </c>
      <c r="G250">
        <v>8307100090</v>
      </c>
      <c r="H250" t="s">
        <v>36</v>
      </c>
      <c r="I250" t="s">
        <v>46</v>
      </c>
      <c r="J250" t="s">
        <v>38</v>
      </c>
      <c r="K250" t="s">
        <v>39</v>
      </c>
      <c r="L250">
        <v>4</v>
      </c>
      <c r="M250">
        <v>1</v>
      </c>
      <c r="N250" t="s">
        <v>40</v>
      </c>
      <c r="O250">
        <v>0</v>
      </c>
      <c r="P250">
        <v>352.27</v>
      </c>
      <c r="Q250">
        <v>18.440000000000001</v>
      </c>
      <c r="R250">
        <v>2.2999999999999998</v>
      </c>
      <c r="S250">
        <v>373.01</v>
      </c>
      <c r="T250" t="s">
        <v>41</v>
      </c>
      <c r="U250" t="s">
        <v>41</v>
      </c>
      <c r="V250" t="s">
        <v>38</v>
      </c>
      <c r="W250" t="s">
        <v>346</v>
      </c>
      <c r="X250">
        <v>352.27</v>
      </c>
      <c r="Y250" s="9">
        <f t="shared" si="15"/>
        <v>352.27</v>
      </c>
      <c r="Z250" s="9">
        <f t="shared" si="16"/>
        <v>660.50624999999991</v>
      </c>
      <c r="AA250" s="5">
        <f t="shared" si="17"/>
        <v>733.82244374999993</v>
      </c>
      <c r="AB250" s="6">
        <f t="shared" si="18"/>
        <v>1069.9540743749999</v>
      </c>
      <c r="AD250" s="10">
        <f t="shared" si="19"/>
        <v>1339.6585914375</v>
      </c>
    </row>
    <row r="251" spans="1:30" x14ac:dyDescent="0.3">
      <c r="A251" t="s">
        <v>30</v>
      </c>
      <c r="B251" s="8" t="s">
        <v>32</v>
      </c>
      <c r="C251" s="8" t="s">
        <v>32</v>
      </c>
      <c r="D251" s="8" t="s">
        <v>33</v>
      </c>
      <c r="E251" s="8" t="s">
        <v>34</v>
      </c>
      <c r="F251" s="8" t="s">
        <v>35</v>
      </c>
      <c r="G251">
        <v>8307100090</v>
      </c>
      <c r="H251" t="s">
        <v>36</v>
      </c>
      <c r="I251" t="s">
        <v>347</v>
      </c>
      <c r="J251" t="s">
        <v>74</v>
      </c>
      <c r="K251" t="s">
        <v>39</v>
      </c>
      <c r="L251">
        <v>7</v>
      </c>
      <c r="M251">
        <v>2</v>
      </c>
      <c r="N251" t="s">
        <v>40</v>
      </c>
      <c r="O251">
        <v>0</v>
      </c>
      <c r="P251">
        <v>702.59</v>
      </c>
      <c r="Q251">
        <v>39.68</v>
      </c>
      <c r="R251">
        <v>4.4800000000000004</v>
      </c>
      <c r="S251">
        <v>746.74</v>
      </c>
      <c r="T251" t="s">
        <v>75</v>
      </c>
      <c r="U251" t="s">
        <v>347</v>
      </c>
      <c r="V251" t="s">
        <v>74</v>
      </c>
      <c r="W251" t="s">
        <v>346</v>
      </c>
      <c r="X251">
        <v>351.3</v>
      </c>
      <c r="Y251" s="9">
        <f t="shared" si="15"/>
        <v>351.29500000000002</v>
      </c>
      <c r="Z251" s="9">
        <f t="shared" si="16"/>
        <v>658.67812500000002</v>
      </c>
      <c r="AA251" s="5">
        <f t="shared" si="17"/>
        <v>731.79139687500003</v>
      </c>
      <c r="AB251" s="6">
        <f t="shared" si="18"/>
        <v>1066.9926946875</v>
      </c>
      <c r="AD251" s="10">
        <f t="shared" si="19"/>
        <v>1335.9507334687503</v>
      </c>
    </row>
    <row r="252" spans="1:30" x14ac:dyDescent="0.3">
      <c r="A252" t="s">
        <v>30</v>
      </c>
      <c r="B252" s="8" t="s">
        <v>32</v>
      </c>
      <c r="C252" s="8" t="s">
        <v>32</v>
      </c>
      <c r="D252" s="8" t="s">
        <v>33</v>
      </c>
      <c r="E252" s="8" t="s">
        <v>34</v>
      </c>
      <c r="F252" s="8" t="s">
        <v>35</v>
      </c>
      <c r="G252">
        <v>8307100090</v>
      </c>
      <c r="H252" t="s">
        <v>36</v>
      </c>
      <c r="I252" t="s">
        <v>347</v>
      </c>
      <c r="J252" t="s">
        <v>74</v>
      </c>
      <c r="K252" t="s">
        <v>39</v>
      </c>
      <c r="L252">
        <v>7</v>
      </c>
      <c r="M252">
        <v>2</v>
      </c>
      <c r="N252" t="s">
        <v>40</v>
      </c>
      <c r="O252">
        <v>0</v>
      </c>
      <c r="P252">
        <v>666.74</v>
      </c>
      <c r="Q252">
        <v>37.65</v>
      </c>
      <c r="R252">
        <v>4.25</v>
      </c>
      <c r="S252">
        <v>708.65</v>
      </c>
      <c r="T252" t="s">
        <v>75</v>
      </c>
      <c r="U252" t="s">
        <v>347</v>
      </c>
      <c r="V252" t="s">
        <v>74</v>
      </c>
      <c r="W252" t="s">
        <v>348</v>
      </c>
      <c r="X252">
        <v>333.37</v>
      </c>
      <c r="Y252" s="9">
        <f t="shared" si="15"/>
        <v>333.37</v>
      </c>
      <c r="Z252" s="9">
        <f t="shared" si="16"/>
        <v>625.06875000000002</v>
      </c>
      <c r="AA252" s="5">
        <f t="shared" si="17"/>
        <v>694.45138125000005</v>
      </c>
      <c r="AB252" s="6">
        <f t="shared" si="18"/>
        <v>1012.548868125</v>
      </c>
      <c r="AD252" s="10">
        <f t="shared" si="19"/>
        <v>1267.7831908125002</v>
      </c>
    </row>
    <row r="253" spans="1:30" x14ac:dyDescent="0.3">
      <c r="A253" t="s">
        <v>30</v>
      </c>
      <c r="B253" s="8" t="s">
        <v>349</v>
      </c>
      <c r="C253" s="8" t="s">
        <v>32</v>
      </c>
      <c r="D253" s="8" t="s">
        <v>33</v>
      </c>
      <c r="E253" s="8" t="s">
        <v>34</v>
      </c>
      <c r="F253" s="8" t="s">
        <v>35</v>
      </c>
      <c r="G253">
        <v>8481809990</v>
      </c>
      <c r="H253" t="s">
        <v>53</v>
      </c>
      <c r="I253" t="s">
        <v>350</v>
      </c>
      <c r="J253" t="s">
        <v>38</v>
      </c>
      <c r="K253" t="s">
        <v>39</v>
      </c>
      <c r="L253">
        <v>4</v>
      </c>
      <c r="M253">
        <v>1</v>
      </c>
      <c r="N253" t="s">
        <v>64</v>
      </c>
      <c r="O253">
        <v>0</v>
      </c>
      <c r="P253">
        <v>584.96</v>
      </c>
      <c r="Q253">
        <v>30.63</v>
      </c>
      <c r="R253">
        <v>3.81</v>
      </c>
      <c r="S253">
        <v>619.4</v>
      </c>
      <c r="T253" t="s">
        <v>41</v>
      </c>
      <c r="U253" t="s">
        <v>41</v>
      </c>
      <c r="V253" t="s">
        <v>38</v>
      </c>
      <c r="W253" t="s">
        <v>351</v>
      </c>
      <c r="X253">
        <v>584.96</v>
      </c>
      <c r="Y253" s="9">
        <f t="shared" si="15"/>
        <v>584.96</v>
      </c>
      <c r="Z253" s="9">
        <f t="shared" si="16"/>
        <v>1096.8000000000002</v>
      </c>
      <c r="AA253" s="5">
        <f t="shared" si="17"/>
        <v>1218.5448000000001</v>
      </c>
      <c r="AB253" s="6">
        <f t="shared" si="18"/>
        <v>1776.7063200000002</v>
      </c>
      <c r="AD253" s="10">
        <f t="shared" si="19"/>
        <v>2224.5626640000005</v>
      </c>
    </row>
    <row r="254" spans="1:30" x14ac:dyDescent="0.3">
      <c r="A254" t="s">
        <v>30</v>
      </c>
      <c r="B254" s="8" t="s">
        <v>66</v>
      </c>
      <c r="C254" s="8" t="s">
        <v>32</v>
      </c>
      <c r="D254" s="8" t="s">
        <v>33</v>
      </c>
      <c r="E254" s="8" t="s">
        <v>34</v>
      </c>
      <c r="F254" s="8" t="s">
        <v>35</v>
      </c>
      <c r="G254">
        <v>4009220000</v>
      </c>
      <c r="H254" t="s">
        <v>88</v>
      </c>
      <c r="I254" t="s">
        <v>46</v>
      </c>
      <c r="J254" t="s">
        <v>38</v>
      </c>
      <c r="K254" t="s">
        <v>39</v>
      </c>
      <c r="L254">
        <v>8</v>
      </c>
      <c r="M254">
        <v>2</v>
      </c>
      <c r="N254" t="s">
        <v>40</v>
      </c>
      <c r="O254">
        <v>0</v>
      </c>
      <c r="P254">
        <v>168.01</v>
      </c>
      <c r="Q254">
        <v>17.93</v>
      </c>
      <c r="R254">
        <v>1.1299999999999999</v>
      </c>
      <c r="S254">
        <v>187.07</v>
      </c>
      <c r="T254" t="s">
        <v>41</v>
      </c>
      <c r="U254" t="s">
        <v>41</v>
      </c>
      <c r="V254" t="s">
        <v>38</v>
      </c>
      <c r="W254" t="s">
        <v>352</v>
      </c>
      <c r="X254">
        <v>84</v>
      </c>
      <c r="Y254" s="9">
        <f t="shared" si="15"/>
        <v>84.004999999999995</v>
      </c>
      <c r="Z254" s="9">
        <f t="shared" si="16"/>
        <v>157.50937499999998</v>
      </c>
      <c r="AA254" s="5">
        <f t="shared" si="17"/>
        <v>174.99291562499997</v>
      </c>
      <c r="AB254" s="6">
        <f t="shared" si="18"/>
        <v>255.14943656249994</v>
      </c>
      <c r="AD254" s="10">
        <f t="shared" si="19"/>
        <v>319.46523965624999</v>
      </c>
    </row>
    <row r="255" spans="1:30" x14ac:dyDescent="0.3">
      <c r="A255" t="s">
        <v>30</v>
      </c>
      <c r="B255" s="8" t="s">
        <v>66</v>
      </c>
      <c r="C255" s="8" t="s">
        <v>32</v>
      </c>
      <c r="D255" s="8" t="s">
        <v>33</v>
      </c>
      <c r="E255" s="8" t="s">
        <v>34</v>
      </c>
      <c r="F255" s="8" t="s">
        <v>35</v>
      </c>
      <c r="G255">
        <v>4009220000</v>
      </c>
      <c r="H255" t="s">
        <v>88</v>
      </c>
      <c r="I255" t="s">
        <v>46</v>
      </c>
      <c r="J255" t="s">
        <v>38</v>
      </c>
      <c r="K255" t="s">
        <v>39</v>
      </c>
      <c r="L255">
        <v>8</v>
      </c>
      <c r="M255">
        <v>2</v>
      </c>
      <c r="N255" t="s">
        <v>40</v>
      </c>
      <c r="O255">
        <v>0</v>
      </c>
      <c r="P255">
        <v>145</v>
      </c>
      <c r="Q255">
        <v>15.48</v>
      </c>
      <c r="R255">
        <v>0.97</v>
      </c>
      <c r="S255">
        <v>161.44999999999999</v>
      </c>
      <c r="T255" t="s">
        <v>41</v>
      </c>
      <c r="U255" t="s">
        <v>41</v>
      </c>
      <c r="V255" t="s">
        <v>38</v>
      </c>
      <c r="W255" t="s">
        <v>353</v>
      </c>
      <c r="X255">
        <v>72.5</v>
      </c>
      <c r="Y255" s="9">
        <f t="shared" si="15"/>
        <v>72.5</v>
      </c>
      <c r="Z255" s="9">
        <f t="shared" si="16"/>
        <v>135.9375</v>
      </c>
      <c r="AA255" s="5">
        <f t="shared" si="17"/>
        <v>151.02656250000001</v>
      </c>
      <c r="AB255" s="6">
        <f t="shared" si="18"/>
        <v>220.20515624999999</v>
      </c>
      <c r="AD255" s="10">
        <f t="shared" si="19"/>
        <v>275.71251562500004</v>
      </c>
    </row>
    <row r="256" spans="1:30" x14ac:dyDescent="0.3">
      <c r="A256" t="s">
        <v>30</v>
      </c>
      <c r="B256" s="8" t="s">
        <v>62</v>
      </c>
      <c r="C256" s="8" t="s">
        <v>32</v>
      </c>
      <c r="D256" s="8" t="s">
        <v>33</v>
      </c>
      <c r="E256" s="8" t="s">
        <v>34</v>
      </c>
      <c r="F256" s="8" t="s">
        <v>35</v>
      </c>
      <c r="G256">
        <v>8481909090</v>
      </c>
      <c r="H256" t="s">
        <v>238</v>
      </c>
      <c r="I256" t="s">
        <v>354</v>
      </c>
      <c r="J256" t="s">
        <v>38</v>
      </c>
      <c r="K256" t="s">
        <v>39</v>
      </c>
      <c r="L256">
        <v>3</v>
      </c>
      <c r="M256">
        <v>2</v>
      </c>
      <c r="N256" t="s">
        <v>64</v>
      </c>
      <c r="O256">
        <v>33.86</v>
      </c>
      <c r="P256">
        <v>168.2</v>
      </c>
      <c r="Q256">
        <v>7.2</v>
      </c>
      <c r="R256">
        <v>1.0900000000000001</v>
      </c>
      <c r="S256">
        <v>176.48</v>
      </c>
      <c r="T256" t="s">
        <v>41</v>
      </c>
      <c r="U256" t="s">
        <v>43</v>
      </c>
      <c r="V256" t="s">
        <v>38</v>
      </c>
      <c r="W256" t="s">
        <v>355</v>
      </c>
      <c r="X256">
        <v>84.1</v>
      </c>
      <c r="Y256" s="9">
        <f t="shared" si="15"/>
        <v>84.1</v>
      </c>
      <c r="Z256" s="9">
        <f t="shared" si="16"/>
        <v>157.6875</v>
      </c>
      <c r="AA256" s="5">
        <f t="shared" si="17"/>
        <v>175.19081249999999</v>
      </c>
      <c r="AB256" s="6">
        <f t="shared" si="18"/>
        <v>255.43798124999998</v>
      </c>
      <c r="AD256" s="10">
        <f t="shared" si="19"/>
        <v>319.82651812500001</v>
      </c>
    </row>
    <row r="257" spans="1:30" x14ac:dyDescent="0.3">
      <c r="A257" t="s">
        <v>30</v>
      </c>
      <c r="B257" s="8" t="s">
        <v>337</v>
      </c>
      <c r="C257" s="8" t="s">
        <v>32</v>
      </c>
      <c r="D257" s="8" t="s">
        <v>33</v>
      </c>
      <c r="E257" s="8" t="s">
        <v>34</v>
      </c>
      <c r="F257" s="8" t="s">
        <v>35</v>
      </c>
      <c r="G257">
        <v>8483409900</v>
      </c>
      <c r="H257" t="s">
        <v>177</v>
      </c>
      <c r="I257" t="s">
        <v>356</v>
      </c>
      <c r="J257" t="s">
        <v>38</v>
      </c>
      <c r="K257" t="s">
        <v>39</v>
      </c>
      <c r="L257">
        <v>4</v>
      </c>
      <c r="M257">
        <v>1</v>
      </c>
      <c r="N257" t="s">
        <v>64</v>
      </c>
      <c r="O257">
        <v>0</v>
      </c>
      <c r="P257">
        <v>386.5</v>
      </c>
      <c r="Q257">
        <v>20.239999999999998</v>
      </c>
      <c r="R257">
        <v>2.52</v>
      </c>
      <c r="S257">
        <v>409.26</v>
      </c>
      <c r="T257" t="s">
        <v>41</v>
      </c>
      <c r="U257" t="s">
        <v>41</v>
      </c>
      <c r="V257" t="s">
        <v>38</v>
      </c>
      <c r="W257" t="s">
        <v>357</v>
      </c>
      <c r="X257">
        <v>386.5</v>
      </c>
      <c r="Y257" s="9">
        <f t="shared" si="15"/>
        <v>386.5</v>
      </c>
      <c r="Z257" s="9">
        <f t="shared" si="16"/>
        <v>724.6875</v>
      </c>
      <c r="AA257" s="5">
        <f t="shared" si="17"/>
        <v>805.1278125</v>
      </c>
      <c r="AB257" s="6">
        <f t="shared" si="18"/>
        <v>1173.92128125</v>
      </c>
      <c r="AD257" s="10">
        <f t="shared" si="19"/>
        <v>1469.8329281250001</v>
      </c>
    </row>
    <row r="258" spans="1:30" x14ac:dyDescent="0.3">
      <c r="A258" t="s">
        <v>30</v>
      </c>
      <c r="B258" s="8" t="s">
        <v>337</v>
      </c>
      <c r="C258" s="8" t="s">
        <v>32</v>
      </c>
      <c r="D258" s="8" t="s">
        <v>33</v>
      </c>
      <c r="E258" s="8" t="s">
        <v>34</v>
      </c>
      <c r="F258" s="8" t="s">
        <v>35</v>
      </c>
      <c r="G258">
        <v>8483409900</v>
      </c>
      <c r="H258" t="s">
        <v>177</v>
      </c>
      <c r="I258" t="s">
        <v>358</v>
      </c>
      <c r="J258" t="s">
        <v>38</v>
      </c>
      <c r="K258" t="s">
        <v>39</v>
      </c>
      <c r="L258">
        <v>4</v>
      </c>
      <c r="M258">
        <v>1</v>
      </c>
      <c r="N258" t="s">
        <v>64</v>
      </c>
      <c r="O258">
        <v>0</v>
      </c>
      <c r="P258">
        <v>396.95</v>
      </c>
      <c r="Q258">
        <v>20.78</v>
      </c>
      <c r="R258">
        <v>2.59</v>
      </c>
      <c r="S258">
        <v>420.32</v>
      </c>
      <c r="T258" t="s">
        <v>41</v>
      </c>
      <c r="U258" t="s">
        <v>41</v>
      </c>
      <c r="V258" t="s">
        <v>38</v>
      </c>
      <c r="W258" t="s">
        <v>359</v>
      </c>
      <c r="X258">
        <v>396.95</v>
      </c>
      <c r="Y258" s="9">
        <f t="shared" si="15"/>
        <v>396.95</v>
      </c>
      <c r="Z258" s="9">
        <f t="shared" si="16"/>
        <v>744.28125</v>
      </c>
      <c r="AA258" s="5">
        <f t="shared" si="17"/>
        <v>826.89646874999994</v>
      </c>
      <c r="AB258" s="6">
        <f t="shared" si="18"/>
        <v>1205.6611968749999</v>
      </c>
      <c r="AD258" s="10">
        <f t="shared" si="19"/>
        <v>1509.5735596875002</v>
      </c>
    </row>
    <row r="259" spans="1:30" x14ac:dyDescent="0.3">
      <c r="A259" t="s">
        <v>30</v>
      </c>
      <c r="B259" s="8" t="s">
        <v>52</v>
      </c>
      <c r="C259" s="8" t="s">
        <v>32</v>
      </c>
      <c r="D259" s="8" t="s">
        <v>33</v>
      </c>
      <c r="E259" s="8" t="s">
        <v>34</v>
      </c>
      <c r="F259" s="8" t="s">
        <v>35</v>
      </c>
      <c r="G259">
        <v>8481809990</v>
      </c>
      <c r="H259" t="s">
        <v>160</v>
      </c>
      <c r="I259" t="s">
        <v>360</v>
      </c>
      <c r="J259" t="s">
        <v>38</v>
      </c>
      <c r="K259" t="s">
        <v>39</v>
      </c>
      <c r="L259">
        <v>6</v>
      </c>
      <c r="M259">
        <v>1</v>
      </c>
      <c r="N259" t="s">
        <v>64</v>
      </c>
      <c r="O259">
        <v>0</v>
      </c>
      <c r="P259">
        <v>54.93</v>
      </c>
      <c r="Q259">
        <v>6.64</v>
      </c>
      <c r="R259">
        <v>0.38</v>
      </c>
      <c r="S259">
        <v>61.96</v>
      </c>
      <c r="T259" t="s">
        <v>41</v>
      </c>
      <c r="U259" t="s">
        <v>43</v>
      </c>
      <c r="V259" t="s">
        <v>38</v>
      </c>
      <c r="W259" t="s">
        <v>361</v>
      </c>
      <c r="X259">
        <v>54.93</v>
      </c>
      <c r="Y259" s="9">
        <f t="shared" ref="Y259:Y322" si="20">SUM(P259)/M259</f>
        <v>54.93</v>
      </c>
      <c r="Z259" s="9">
        <f t="shared" ref="Z259:Z322" si="21">SUM(Y259)*1.875</f>
        <v>102.99375000000001</v>
      </c>
      <c r="AA259" s="5">
        <f t="shared" ref="AA259:AA322" si="22">SUM(Z259)*1.111</f>
        <v>114.42605625</v>
      </c>
      <c r="AB259" s="6">
        <f t="shared" ref="AB259:AB322" si="23">SUM(Z259)*1.6199</f>
        <v>166.83957562500001</v>
      </c>
      <c r="AD259" s="10">
        <f t="shared" ref="AD259:AD322" si="24">SUM(Z259)*2.02823</f>
        <v>208.89501356250003</v>
      </c>
    </row>
    <row r="260" spans="1:30" x14ac:dyDescent="0.3">
      <c r="A260" t="s">
        <v>30</v>
      </c>
      <c r="B260" s="8" t="s">
        <v>52</v>
      </c>
      <c r="C260" s="8" t="s">
        <v>32</v>
      </c>
      <c r="D260" s="8" t="s">
        <v>33</v>
      </c>
      <c r="E260" s="8" t="s">
        <v>34</v>
      </c>
      <c r="F260" s="8" t="s">
        <v>35</v>
      </c>
      <c r="G260">
        <v>8481809990</v>
      </c>
      <c r="H260" t="s">
        <v>160</v>
      </c>
      <c r="I260" t="s">
        <v>362</v>
      </c>
      <c r="J260" t="s">
        <v>38</v>
      </c>
      <c r="K260" t="s">
        <v>39</v>
      </c>
      <c r="L260">
        <v>8</v>
      </c>
      <c r="M260">
        <v>10</v>
      </c>
      <c r="N260" t="s">
        <v>64</v>
      </c>
      <c r="O260">
        <v>0</v>
      </c>
      <c r="P260">
        <v>542.52</v>
      </c>
      <c r="Q260">
        <v>78.069999999999993</v>
      </c>
      <c r="R260">
        <v>3.82</v>
      </c>
      <c r="S260">
        <v>624.41</v>
      </c>
      <c r="T260" t="s">
        <v>41</v>
      </c>
      <c r="U260" t="s">
        <v>41</v>
      </c>
      <c r="V260" t="s">
        <v>38</v>
      </c>
      <c r="W260" t="s">
        <v>361</v>
      </c>
      <c r="X260">
        <v>54.25</v>
      </c>
      <c r="Y260" s="9">
        <f t="shared" si="20"/>
        <v>54.251999999999995</v>
      </c>
      <c r="Z260" s="9">
        <f t="shared" si="21"/>
        <v>101.7225</v>
      </c>
      <c r="AA260" s="5">
        <f t="shared" si="22"/>
        <v>113.01369749999999</v>
      </c>
      <c r="AB260" s="6">
        <f t="shared" si="23"/>
        <v>164.78027774999998</v>
      </c>
      <c r="AD260" s="10">
        <f t="shared" si="24"/>
        <v>206.31662617500001</v>
      </c>
    </row>
    <row r="261" spans="1:30" x14ac:dyDescent="0.3">
      <c r="A261" t="s">
        <v>30</v>
      </c>
      <c r="B261" s="8" t="s">
        <v>221</v>
      </c>
      <c r="C261" s="8" t="s">
        <v>32</v>
      </c>
      <c r="D261" s="8" t="s">
        <v>33</v>
      </c>
      <c r="E261" s="8" t="s">
        <v>34</v>
      </c>
      <c r="F261" s="8" t="s">
        <v>35</v>
      </c>
      <c r="G261">
        <v>8419509099</v>
      </c>
      <c r="H261" t="s">
        <v>36</v>
      </c>
      <c r="I261" t="s">
        <v>363</v>
      </c>
      <c r="J261" t="s">
        <v>38</v>
      </c>
      <c r="K261" t="s">
        <v>39</v>
      </c>
      <c r="L261">
        <v>8</v>
      </c>
      <c r="M261">
        <v>1</v>
      </c>
      <c r="N261" t="s">
        <v>64</v>
      </c>
      <c r="O261">
        <v>762.6</v>
      </c>
      <c r="P261">
        <v>3029.71</v>
      </c>
      <c r="Q261">
        <v>379.54</v>
      </c>
      <c r="R261">
        <v>20.69</v>
      </c>
      <c r="S261">
        <v>3429.94</v>
      </c>
      <c r="T261" t="s">
        <v>41</v>
      </c>
      <c r="U261" t="s">
        <v>41</v>
      </c>
      <c r="V261" t="s">
        <v>38</v>
      </c>
      <c r="W261" t="s">
        <v>364</v>
      </c>
      <c r="X261">
        <v>3029.71</v>
      </c>
      <c r="Y261" s="9">
        <f t="shared" si="20"/>
        <v>3029.71</v>
      </c>
      <c r="Z261" s="9">
        <f t="shared" si="21"/>
        <v>5680.7062500000002</v>
      </c>
      <c r="AA261" s="5">
        <f t="shared" si="22"/>
        <v>6311.2646437499998</v>
      </c>
      <c r="AB261" s="6">
        <f t="shared" si="23"/>
        <v>9202.1760543750006</v>
      </c>
      <c r="AD261" s="10">
        <f t="shared" si="24"/>
        <v>11521.778837437501</v>
      </c>
    </row>
    <row r="262" spans="1:30" x14ac:dyDescent="0.3">
      <c r="A262" t="s">
        <v>30</v>
      </c>
      <c r="B262" s="8" t="s">
        <v>349</v>
      </c>
      <c r="C262" s="8" t="s">
        <v>32</v>
      </c>
      <c r="D262" s="8" t="s">
        <v>33</v>
      </c>
      <c r="E262" s="8" t="s">
        <v>34</v>
      </c>
      <c r="F262" s="8" t="s">
        <v>35</v>
      </c>
      <c r="G262">
        <v>7306900000</v>
      </c>
      <c r="H262" t="s">
        <v>36</v>
      </c>
      <c r="I262" t="s">
        <v>46</v>
      </c>
      <c r="J262" t="s">
        <v>38</v>
      </c>
      <c r="K262" t="s">
        <v>39</v>
      </c>
      <c r="L262">
        <v>8</v>
      </c>
      <c r="M262">
        <v>1</v>
      </c>
      <c r="N262" t="s">
        <v>40</v>
      </c>
      <c r="O262">
        <v>13.45</v>
      </c>
      <c r="P262">
        <v>53.42</v>
      </c>
      <c r="Q262">
        <v>7.69</v>
      </c>
      <c r="R262">
        <v>0.38</v>
      </c>
      <c r="S262">
        <v>61.48</v>
      </c>
      <c r="T262" t="s">
        <v>41</v>
      </c>
      <c r="U262" t="s">
        <v>41</v>
      </c>
      <c r="V262" t="s">
        <v>38</v>
      </c>
      <c r="W262" t="s">
        <v>365</v>
      </c>
      <c r="X262">
        <v>53.42</v>
      </c>
      <c r="Y262" s="9">
        <f t="shared" si="20"/>
        <v>53.42</v>
      </c>
      <c r="Z262" s="9">
        <f t="shared" si="21"/>
        <v>100.16250000000001</v>
      </c>
      <c r="AA262" s="5">
        <f t="shared" si="22"/>
        <v>111.28053750000001</v>
      </c>
      <c r="AB262" s="6">
        <f t="shared" si="23"/>
        <v>162.25323374999999</v>
      </c>
      <c r="AD262" s="10">
        <f t="shared" si="24"/>
        <v>203.15258737500002</v>
      </c>
    </row>
    <row r="263" spans="1:30" x14ac:dyDescent="0.3">
      <c r="A263" t="s">
        <v>30</v>
      </c>
      <c r="B263" s="8" t="s">
        <v>62</v>
      </c>
      <c r="C263" s="8" t="s">
        <v>32</v>
      </c>
      <c r="D263" s="8" t="s">
        <v>33</v>
      </c>
      <c r="E263" s="8" t="s">
        <v>34</v>
      </c>
      <c r="F263" s="8" t="s">
        <v>35</v>
      </c>
      <c r="G263">
        <v>7320209090</v>
      </c>
      <c r="H263" t="s">
        <v>36</v>
      </c>
      <c r="I263" t="s">
        <v>244</v>
      </c>
      <c r="J263" t="s">
        <v>38</v>
      </c>
      <c r="K263" t="s">
        <v>39</v>
      </c>
      <c r="L263">
        <v>8</v>
      </c>
      <c r="M263">
        <v>1</v>
      </c>
      <c r="N263" t="s">
        <v>40</v>
      </c>
      <c r="O263">
        <v>0</v>
      </c>
      <c r="P263">
        <v>8.77</v>
      </c>
      <c r="Q263">
        <v>1.26</v>
      </c>
      <c r="R263">
        <v>0.06</v>
      </c>
      <c r="S263">
        <v>10.09</v>
      </c>
      <c r="T263" t="s">
        <v>41</v>
      </c>
      <c r="U263" t="s">
        <v>41</v>
      </c>
      <c r="V263" t="s">
        <v>38</v>
      </c>
      <c r="W263" t="s">
        <v>366</v>
      </c>
      <c r="X263">
        <v>8.77</v>
      </c>
      <c r="Y263" s="9">
        <f t="shared" si="20"/>
        <v>8.77</v>
      </c>
      <c r="Z263" s="9">
        <f t="shared" si="21"/>
        <v>16.443749999999998</v>
      </c>
      <c r="AA263" s="5">
        <f t="shared" si="22"/>
        <v>18.269006249999997</v>
      </c>
      <c r="AB263" s="6">
        <f t="shared" si="23"/>
        <v>26.637230624999994</v>
      </c>
      <c r="AD263" s="10">
        <f t="shared" si="24"/>
        <v>33.351707062499997</v>
      </c>
    </row>
    <row r="264" spans="1:30" x14ac:dyDescent="0.3">
      <c r="A264" t="s">
        <v>30</v>
      </c>
      <c r="B264" s="8" t="s">
        <v>62</v>
      </c>
      <c r="C264" s="8" t="s">
        <v>32</v>
      </c>
      <c r="D264" s="8" t="s">
        <v>33</v>
      </c>
      <c r="E264" s="8" t="s">
        <v>34</v>
      </c>
      <c r="F264" s="8" t="s">
        <v>35</v>
      </c>
      <c r="G264">
        <v>7320209090</v>
      </c>
      <c r="H264" t="s">
        <v>36</v>
      </c>
      <c r="I264" t="s">
        <v>244</v>
      </c>
      <c r="J264" t="s">
        <v>38</v>
      </c>
      <c r="K264" t="s">
        <v>39</v>
      </c>
      <c r="L264">
        <v>10</v>
      </c>
      <c r="M264">
        <v>2</v>
      </c>
      <c r="N264" t="s">
        <v>40</v>
      </c>
      <c r="O264">
        <v>0</v>
      </c>
      <c r="P264">
        <v>18.100000000000001</v>
      </c>
      <c r="Q264">
        <v>1.51</v>
      </c>
      <c r="R264">
        <v>0.12</v>
      </c>
      <c r="S264">
        <v>19.73</v>
      </c>
      <c r="T264" t="s">
        <v>41</v>
      </c>
      <c r="U264" t="s">
        <v>43</v>
      </c>
      <c r="V264" t="s">
        <v>38</v>
      </c>
      <c r="W264" t="s">
        <v>366</v>
      </c>
      <c r="X264">
        <v>9.0500000000000007</v>
      </c>
      <c r="Y264" s="9">
        <f t="shared" si="20"/>
        <v>9.0500000000000007</v>
      </c>
      <c r="Z264" s="9">
        <f t="shared" si="21"/>
        <v>16.96875</v>
      </c>
      <c r="AA264" s="5">
        <f t="shared" si="22"/>
        <v>18.852281250000001</v>
      </c>
      <c r="AB264" s="6">
        <f t="shared" si="23"/>
        <v>27.487678124999999</v>
      </c>
      <c r="AD264" s="10">
        <f t="shared" si="24"/>
        <v>34.4165278125</v>
      </c>
    </row>
    <row r="265" spans="1:30" x14ac:dyDescent="0.3">
      <c r="A265" t="s">
        <v>30</v>
      </c>
      <c r="B265" s="8" t="s">
        <v>62</v>
      </c>
      <c r="C265" s="8" t="s">
        <v>32</v>
      </c>
      <c r="D265" s="8" t="s">
        <v>33</v>
      </c>
      <c r="E265" s="8" t="s">
        <v>34</v>
      </c>
      <c r="F265" s="8" t="s">
        <v>35</v>
      </c>
      <c r="G265">
        <v>7320209090</v>
      </c>
      <c r="H265" t="s">
        <v>36</v>
      </c>
      <c r="I265" t="s">
        <v>244</v>
      </c>
      <c r="J265" t="s">
        <v>38</v>
      </c>
      <c r="K265" t="s">
        <v>39</v>
      </c>
      <c r="L265">
        <v>3</v>
      </c>
      <c r="M265">
        <v>10</v>
      </c>
      <c r="N265" t="s">
        <v>40</v>
      </c>
      <c r="O265">
        <v>0</v>
      </c>
      <c r="P265">
        <v>11.72</v>
      </c>
      <c r="Q265">
        <v>0.5</v>
      </c>
      <c r="R265">
        <v>0.08</v>
      </c>
      <c r="S265">
        <v>12.3</v>
      </c>
      <c r="T265" t="s">
        <v>41</v>
      </c>
      <c r="U265" t="s">
        <v>43</v>
      </c>
      <c r="V265" t="s">
        <v>38</v>
      </c>
      <c r="W265" t="s">
        <v>367</v>
      </c>
      <c r="X265">
        <v>1.17</v>
      </c>
      <c r="Y265" s="9">
        <f t="shared" si="20"/>
        <v>1.1720000000000002</v>
      </c>
      <c r="Z265" s="9">
        <f t="shared" si="21"/>
        <v>2.1975000000000002</v>
      </c>
      <c r="AA265" s="5">
        <f t="shared" si="22"/>
        <v>2.4414225000000003</v>
      </c>
      <c r="AB265" s="6">
        <f t="shared" si="23"/>
        <v>3.5597302500000003</v>
      </c>
      <c r="AD265" s="10">
        <f t="shared" si="24"/>
        <v>4.4570354250000008</v>
      </c>
    </row>
    <row r="266" spans="1:30" x14ac:dyDescent="0.3">
      <c r="A266" t="s">
        <v>30</v>
      </c>
      <c r="B266" s="8" t="s">
        <v>62</v>
      </c>
      <c r="C266" s="8" t="s">
        <v>32</v>
      </c>
      <c r="D266" s="8" t="s">
        <v>69</v>
      </c>
      <c r="E266" s="8" t="s">
        <v>70</v>
      </c>
      <c r="F266" s="8" t="s">
        <v>71</v>
      </c>
      <c r="G266">
        <v>7320209090</v>
      </c>
      <c r="H266" t="s">
        <v>36</v>
      </c>
      <c r="I266" t="s">
        <v>368</v>
      </c>
      <c r="J266" t="s">
        <v>38</v>
      </c>
      <c r="K266" t="s">
        <v>39</v>
      </c>
      <c r="L266">
        <v>9</v>
      </c>
      <c r="M266">
        <v>10</v>
      </c>
      <c r="N266" t="s">
        <v>40</v>
      </c>
      <c r="O266">
        <v>0</v>
      </c>
      <c r="P266">
        <v>11.1</v>
      </c>
      <c r="Q266">
        <v>0.56000000000000005</v>
      </c>
      <c r="R266">
        <v>7.0000000000000007E-2</v>
      </c>
      <c r="S266">
        <v>11.73</v>
      </c>
      <c r="T266" t="s">
        <v>41</v>
      </c>
      <c r="U266" t="s">
        <v>43</v>
      </c>
      <c r="V266" t="s">
        <v>38</v>
      </c>
      <c r="W266" t="s">
        <v>367</v>
      </c>
      <c r="X266">
        <v>1.1100000000000001</v>
      </c>
      <c r="Y266" s="9">
        <f t="shared" si="20"/>
        <v>1.1099999999999999</v>
      </c>
      <c r="Z266" s="9">
        <f t="shared" si="21"/>
        <v>2.0812499999999998</v>
      </c>
      <c r="AA266" s="5">
        <f t="shared" si="22"/>
        <v>2.3122687499999999</v>
      </c>
      <c r="AB266" s="6">
        <f t="shared" si="23"/>
        <v>3.3714168749999995</v>
      </c>
      <c r="AD266" s="10">
        <f t="shared" si="24"/>
        <v>4.2212536875</v>
      </c>
    </row>
    <row r="267" spans="1:30" x14ac:dyDescent="0.3">
      <c r="A267" t="s">
        <v>30</v>
      </c>
      <c r="B267" s="8" t="s">
        <v>52</v>
      </c>
      <c r="C267" s="8" t="s">
        <v>32</v>
      </c>
      <c r="D267" s="8" t="s">
        <v>33</v>
      </c>
      <c r="E267" s="8" t="s">
        <v>34</v>
      </c>
      <c r="F267" s="8" t="s">
        <v>35</v>
      </c>
      <c r="G267">
        <v>7320209090</v>
      </c>
      <c r="H267" t="s">
        <v>36</v>
      </c>
      <c r="I267" t="s">
        <v>244</v>
      </c>
      <c r="J267" t="s">
        <v>38</v>
      </c>
      <c r="K267" t="s">
        <v>39</v>
      </c>
      <c r="L267">
        <v>3</v>
      </c>
      <c r="M267">
        <v>1</v>
      </c>
      <c r="N267" t="s">
        <v>40</v>
      </c>
      <c r="O267">
        <v>0</v>
      </c>
      <c r="P267">
        <v>1.52</v>
      </c>
      <c r="Q267">
        <v>0.06</v>
      </c>
      <c r="R267">
        <v>0.01</v>
      </c>
      <c r="S267">
        <v>1.59</v>
      </c>
      <c r="T267" t="s">
        <v>41</v>
      </c>
      <c r="U267" t="s">
        <v>43</v>
      </c>
      <c r="V267" t="s">
        <v>38</v>
      </c>
      <c r="W267" t="s">
        <v>369</v>
      </c>
      <c r="X267">
        <v>1.52</v>
      </c>
      <c r="Y267" s="9">
        <f t="shared" si="20"/>
        <v>1.52</v>
      </c>
      <c r="Z267" s="9">
        <f t="shared" si="21"/>
        <v>2.85</v>
      </c>
      <c r="AA267" s="5">
        <f t="shared" si="22"/>
        <v>3.16635</v>
      </c>
      <c r="AB267" s="6">
        <f t="shared" si="23"/>
        <v>4.6167150000000001</v>
      </c>
      <c r="AD267" s="10">
        <f t="shared" si="24"/>
        <v>5.7804555000000004</v>
      </c>
    </row>
    <row r="268" spans="1:30" x14ac:dyDescent="0.3">
      <c r="A268" t="s">
        <v>30</v>
      </c>
      <c r="B268" s="8" t="s">
        <v>349</v>
      </c>
      <c r="C268" s="8" t="s">
        <v>32</v>
      </c>
      <c r="D268" s="8" t="s">
        <v>33</v>
      </c>
      <c r="E268" s="8" t="s">
        <v>34</v>
      </c>
      <c r="F268" s="8" t="s">
        <v>35</v>
      </c>
      <c r="G268">
        <v>4009220000</v>
      </c>
      <c r="H268" t="s">
        <v>88</v>
      </c>
      <c r="I268" t="s">
        <v>46</v>
      </c>
      <c r="J268" t="s">
        <v>38</v>
      </c>
      <c r="K268" t="s">
        <v>39</v>
      </c>
      <c r="L268">
        <v>8</v>
      </c>
      <c r="M268">
        <v>1</v>
      </c>
      <c r="N268" t="s">
        <v>40</v>
      </c>
      <c r="O268">
        <v>0</v>
      </c>
      <c r="P268">
        <v>177.49</v>
      </c>
      <c r="Q268">
        <v>25.54</v>
      </c>
      <c r="R268">
        <v>1.25</v>
      </c>
      <c r="S268">
        <v>204.28</v>
      </c>
      <c r="T268" t="s">
        <v>41</v>
      </c>
      <c r="U268" t="s">
        <v>41</v>
      </c>
      <c r="V268" t="s">
        <v>38</v>
      </c>
      <c r="W268" t="s">
        <v>370</v>
      </c>
      <c r="X268">
        <v>177.49</v>
      </c>
      <c r="Y268" s="9">
        <f t="shared" si="20"/>
        <v>177.49</v>
      </c>
      <c r="Z268" s="9">
        <f t="shared" si="21"/>
        <v>332.79375000000005</v>
      </c>
      <c r="AA268" s="5">
        <f t="shared" si="22"/>
        <v>369.73385625000003</v>
      </c>
      <c r="AB268" s="6">
        <f t="shared" si="23"/>
        <v>539.09259562500006</v>
      </c>
      <c r="AD268" s="10">
        <f t="shared" si="24"/>
        <v>674.98226756250017</v>
      </c>
    </row>
    <row r="269" spans="1:30" x14ac:dyDescent="0.3">
      <c r="A269" t="s">
        <v>30</v>
      </c>
      <c r="B269" s="8" t="s">
        <v>32</v>
      </c>
      <c r="C269" s="8" t="s">
        <v>32</v>
      </c>
      <c r="D269" s="8" t="s">
        <v>33</v>
      </c>
      <c r="E269" s="8" t="s">
        <v>34</v>
      </c>
      <c r="F269" s="8" t="s">
        <v>35</v>
      </c>
      <c r="G269">
        <v>4009220000</v>
      </c>
      <c r="H269" t="s">
        <v>88</v>
      </c>
      <c r="I269" t="s">
        <v>46</v>
      </c>
      <c r="J269" t="s">
        <v>38</v>
      </c>
      <c r="K269" t="s">
        <v>39</v>
      </c>
      <c r="L269">
        <v>8</v>
      </c>
      <c r="M269">
        <v>1</v>
      </c>
      <c r="N269" t="s">
        <v>40</v>
      </c>
      <c r="O269">
        <v>0</v>
      </c>
      <c r="P269">
        <v>99.52</v>
      </c>
      <c r="Q269">
        <v>14.32</v>
      </c>
      <c r="R269">
        <v>0.7</v>
      </c>
      <c r="S269">
        <v>114.55</v>
      </c>
      <c r="T269" t="s">
        <v>41</v>
      </c>
      <c r="U269" t="s">
        <v>41</v>
      </c>
      <c r="V269" t="s">
        <v>38</v>
      </c>
      <c r="W269" t="s">
        <v>371</v>
      </c>
      <c r="X269">
        <v>99.52</v>
      </c>
      <c r="Y269" s="9">
        <f t="shared" si="20"/>
        <v>99.52</v>
      </c>
      <c r="Z269" s="9">
        <f t="shared" si="21"/>
        <v>186.6</v>
      </c>
      <c r="AA269" s="5">
        <f t="shared" si="22"/>
        <v>207.3126</v>
      </c>
      <c r="AB269" s="6">
        <f t="shared" si="23"/>
        <v>302.27333999999996</v>
      </c>
      <c r="AD269" s="10">
        <f t="shared" si="24"/>
        <v>378.46771800000005</v>
      </c>
    </row>
    <row r="270" spans="1:30" x14ac:dyDescent="0.3">
      <c r="A270" t="s">
        <v>30</v>
      </c>
      <c r="B270" s="8" t="s">
        <v>349</v>
      </c>
      <c r="C270" s="8" t="s">
        <v>32</v>
      </c>
      <c r="D270" s="8" t="s">
        <v>33</v>
      </c>
      <c r="E270" s="8" t="s">
        <v>34</v>
      </c>
      <c r="F270" s="8" t="s">
        <v>35</v>
      </c>
      <c r="G270">
        <v>4009220000</v>
      </c>
      <c r="H270" t="s">
        <v>88</v>
      </c>
      <c r="I270" t="s">
        <v>46</v>
      </c>
      <c r="J270" t="s">
        <v>38</v>
      </c>
      <c r="K270" t="s">
        <v>39</v>
      </c>
      <c r="L270">
        <v>8</v>
      </c>
      <c r="M270">
        <v>1</v>
      </c>
      <c r="N270" t="s">
        <v>40</v>
      </c>
      <c r="O270">
        <v>0</v>
      </c>
      <c r="P270">
        <v>123.02</v>
      </c>
      <c r="Q270">
        <v>17.7</v>
      </c>
      <c r="R270">
        <v>0.87</v>
      </c>
      <c r="S270">
        <v>141.59</v>
      </c>
      <c r="T270" t="s">
        <v>41</v>
      </c>
      <c r="U270" t="s">
        <v>41</v>
      </c>
      <c r="V270" t="s">
        <v>38</v>
      </c>
      <c r="W270" t="s">
        <v>372</v>
      </c>
      <c r="X270">
        <v>123.02</v>
      </c>
      <c r="Y270" s="9">
        <f t="shared" si="20"/>
        <v>123.02</v>
      </c>
      <c r="Z270" s="9">
        <f t="shared" si="21"/>
        <v>230.66249999999999</v>
      </c>
      <c r="AA270" s="5">
        <f t="shared" si="22"/>
        <v>256.26603749999998</v>
      </c>
      <c r="AB270" s="6">
        <f t="shared" si="23"/>
        <v>373.65018374999994</v>
      </c>
      <c r="AD270" s="10">
        <f t="shared" si="24"/>
        <v>467.83660237500004</v>
      </c>
    </row>
    <row r="271" spans="1:30" x14ac:dyDescent="0.3">
      <c r="A271" t="s">
        <v>30</v>
      </c>
      <c r="B271" s="8" t="s">
        <v>349</v>
      </c>
      <c r="C271" s="8" t="s">
        <v>32</v>
      </c>
      <c r="D271" s="8" t="s">
        <v>33</v>
      </c>
      <c r="E271" s="8" t="s">
        <v>34</v>
      </c>
      <c r="F271" s="8" t="s">
        <v>35</v>
      </c>
      <c r="G271">
        <v>4009220000</v>
      </c>
      <c r="H271" t="s">
        <v>88</v>
      </c>
      <c r="I271" t="s">
        <v>46</v>
      </c>
      <c r="J271" t="s">
        <v>38</v>
      </c>
      <c r="K271" t="s">
        <v>39</v>
      </c>
      <c r="L271">
        <v>8</v>
      </c>
      <c r="M271">
        <v>1</v>
      </c>
      <c r="N271" t="s">
        <v>40</v>
      </c>
      <c r="O271">
        <v>0</v>
      </c>
      <c r="P271">
        <v>130.30000000000001</v>
      </c>
      <c r="Q271">
        <v>18.75</v>
      </c>
      <c r="R271">
        <v>0.92</v>
      </c>
      <c r="S271">
        <v>149.97</v>
      </c>
      <c r="T271" t="s">
        <v>41</v>
      </c>
      <c r="U271" t="s">
        <v>41</v>
      </c>
      <c r="V271" t="s">
        <v>38</v>
      </c>
      <c r="W271" t="s">
        <v>373</v>
      </c>
      <c r="X271">
        <v>130.30000000000001</v>
      </c>
      <c r="Y271" s="9">
        <f t="shared" si="20"/>
        <v>130.30000000000001</v>
      </c>
      <c r="Z271" s="9">
        <f t="shared" si="21"/>
        <v>244.31250000000003</v>
      </c>
      <c r="AA271" s="5">
        <f t="shared" si="22"/>
        <v>271.43118750000002</v>
      </c>
      <c r="AB271" s="6">
        <f t="shared" si="23"/>
        <v>395.76181875000003</v>
      </c>
      <c r="AD271" s="10">
        <f t="shared" si="24"/>
        <v>495.5219418750001</v>
      </c>
    </row>
    <row r="272" spans="1:30" x14ac:dyDescent="0.3">
      <c r="A272" t="s">
        <v>30</v>
      </c>
      <c r="B272" s="8" t="s">
        <v>349</v>
      </c>
      <c r="C272" s="8" t="s">
        <v>32</v>
      </c>
      <c r="D272" s="8" t="s">
        <v>33</v>
      </c>
      <c r="E272" s="8" t="s">
        <v>34</v>
      </c>
      <c r="F272" s="8" t="s">
        <v>35</v>
      </c>
      <c r="G272">
        <v>4009220000</v>
      </c>
      <c r="H272" t="s">
        <v>88</v>
      </c>
      <c r="I272" t="s">
        <v>46</v>
      </c>
      <c r="J272" t="s">
        <v>38</v>
      </c>
      <c r="K272" t="s">
        <v>39</v>
      </c>
      <c r="L272">
        <v>8</v>
      </c>
      <c r="M272">
        <v>1</v>
      </c>
      <c r="N272" t="s">
        <v>40</v>
      </c>
      <c r="O272">
        <v>0</v>
      </c>
      <c r="P272">
        <v>161.59</v>
      </c>
      <c r="Q272">
        <v>23.25</v>
      </c>
      <c r="R272">
        <v>1.1399999999999999</v>
      </c>
      <c r="S272">
        <v>185.99</v>
      </c>
      <c r="T272" t="s">
        <v>41</v>
      </c>
      <c r="U272" t="s">
        <v>41</v>
      </c>
      <c r="V272" t="s">
        <v>38</v>
      </c>
      <c r="W272" t="s">
        <v>374</v>
      </c>
      <c r="X272">
        <v>161.59</v>
      </c>
      <c r="Y272" s="9">
        <f t="shared" si="20"/>
        <v>161.59</v>
      </c>
      <c r="Z272" s="9">
        <f t="shared" si="21"/>
        <v>302.98124999999999</v>
      </c>
      <c r="AA272" s="5">
        <f t="shared" si="22"/>
        <v>336.61216874999997</v>
      </c>
      <c r="AB272" s="6">
        <f t="shared" si="23"/>
        <v>490.79932687499996</v>
      </c>
      <c r="AD272" s="10">
        <f t="shared" si="24"/>
        <v>614.51566068750003</v>
      </c>
    </row>
    <row r="273" spans="1:30" x14ac:dyDescent="0.3">
      <c r="A273" t="s">
        <v>30</v>
      </c>
      <c r="B273" s="8" t="s">
        <v>31</v>
      </c>
      <c r="C273" s="8" t="s">
        <v>32</v>
      </c>
      <c r="D273" s="8" t="s">
        <v>33</v>
      </c>
      <c r="E273" s="8" t="s">
        <v>34</v>
      </c>
      <c r="F273" s="8" t="s">
        <v>35</v>
      </c>
      <c r="G273">
        <v>4009320000</v>
      </c>
      <c r="H273" t="s">
        <v>88</v>
      </c>
      <c r="I273" t="s">
        <v>46</v>
      </c>
      <c r="J273" t="s">
        <v>38</v>
      </c>
      <c r="K273" t="s">
        <v>39</v>
      </c>
      <c r="L273">
        <v>6</v>
      </c>
      <c r="M273">
        <v>2</v>
      </c>
      <c r="N273" t="s">
        <v>40</v>
      </c>
      <c r="O273">
        <v>0</v>
      </c>
      <c r="P273">
        <v>540.27</v>
      </c>
      <c r="Q273">
        <v>36.659999999999997</v>
      </c>
      <c r="R273">
        <v>3.51</v>
      </c>
      <c r="S273">
        <v>580.44000000000005</v>
      </c>
      <c r="T273" t="s">
        <v>41</v>
      </c>
      <c r="U273" t="s">
        <v>41</v>
      </c>
      <c r="V273" t="s">
        <v>38</v>
      </c>
      <c r="W273" t="s">
        <v>375</v>
      </c>
      <c r="X273">
        <v>270.13</v>
      </c>
      <c r="Y273" s="9">
        <f t="shared" si="20"/>
        <v>270.13499999999999</v>
      </c>
      <c r="Z273" s="9">
        <f t="shared" si="21"/>
        <v>506.50312499999995</v>
      </c>
      <c r="AA273" s="5">
        <f t="shared" si="22"/>
        <v>562.72497187499994</v>
      </c>
      <c r="AB273" s="6">
        <f t="shared" si="23"/>
        <v>820.48441218749986</v>
      </c>
      <c r="AD273" s="10">
        <f t="shared" si="24"/>
        <v>1027.30483321875</v>
      </c>
    </row>
    <row r="274" spans="1:30" x14ac:dyDescent="0.3">
      <c r="A274" t="s">
        <v>30</v>
      </c>
      <c r="B274" s="8" t="s">
        <v>31</v>
      </c>
      <c r="C274" s="8" t="s">
        <v>32</v>
      </c>
      <c r="D274" s="8" t="s">
        <v>33</v>
      </c>
      <c r="E274" s="8" t="s">
        <v>34</v>
      </c>
      <c r="F274" s="8" t="s">
        <v>35</v>
      </c>
      <c r="G274">
        <v>4009320000</v>
      </c>
      <c r="H274" t="s">
        <v>88</v>
      </c>
      <c r="I274" t="s">
        <v>95</v>
      </c>
      <c r="J274" t="s">
        <v>74</v>
      </c>
      <c r="K274" t="s">
        <v>39</v>
      </c>
      <c r="L274">
        <v>7</v>
      </c>
      <c r="M274">
        <v>2</v>
      </c>
      <c r="N274" t="s">
        <v>40</v>
      </c>
      <c r="O274">
        <v>0</v>
      </c>
      <c r="P274">
        <v>539.15</v>
      </c>
      <c r="Q274">
        <v>30.45</v>
      </c>
      <c r="R274">
        <v>3.44</v>
      </c>
      <c r="S274">
        <v>573.03</v>
      </c>
      <c r="T274" t="s">
        <v>75</v>
      </c>
      <c r="U274" t="s">
        <v>95</v>
      </c>
      <c r="V274" t="s">
        <v>74</v>
      </c>
      <c r="W274" t="s">
        <v>375</v>
      </c>
      <c r="X274">
        <v>269.57</v>
      </c>
      <c r="Y274" s="9">
        <f t="shared" si="20"/>
        <v>269.57499999999999</v>
      </c>
      <c r="Z274" s="9">
        <f t="shared" si="21"/>
        <v>505.453125</v>
      </c>
      <c r="AA274" s="5">
        <f t="shared" si="22"/>
        <v>561.55842187500002</v>
      </c>
      <c r="AB274" s="6">
        <f t="shared" si="23"/>
        <v>818.78351718749991</v>
      </c>
      <c r="AD274" s="10">
        <f t="shared" si="24"/>
        <v>1025.1751917187501</v>
      </c>
    </row>
    <row r="275" spans="1:30" x14ac:dyDescent="0.3">
      <c r="A275" t="s">
        <v>30</v>
      </c>
      <c r="B275" s="8" t="s">
        <v>337</v>
      </c>
      <c r="C275" s="8" t="s">
        <v>32</v>
      </c>
      <c r="D275" s="8" t="s">
        <v>33</v>
      </c>
      <c r="E275" s="8" t="s">
        <v>34</v>
      </c>
      <c r="F275" s="8" t="s">
        <v>35</v>
      </c>
      <c r="G275">
        <v>8483409900</v>
      </c>
      <c r="H275" t="s">
        <v>36</v>
      </c>
      <c r="I275" t="s">
        <v>376</v>
      </c>
      <c r="J275" t="s">
        <v>74</v>
      </c>
      <c r="K275" t="s">
        <v>39</v>
      </c>
      <c r="L275">
        <v>7</v>
      </c>
      <c r="M275">
        <v>2</v>
      </c>
      <c r="N275" t="s">
        <v>64</v>
      </c>
      <c r="O275">
        <v>0</v>
      </c>
      <c r="P275">
        <v>1060.3399999999999</v>
      </c>
      <c r="Q275">
        <v>59.88</v>
      </c>
      <c r="R275">
        <v>6.76</v>
      </c>
      <c r="S275">
        <v>1126.97</v>
      </c>
      <c r="T275" t="s">
        <v>75</v>
      </c>
      <c r="U275" t="s">
        <v>376</v>
      </c>
      <c r="V275" t="s">
        <v>74</v>
      </c>
      <c r="W275" t="s">
        <v>377</v>
      </c>
      <c r="X275">
        <v>530.16999999999996</v>
      </c>
      <c r="Y275" s="9">
        <f t="shared" si="20"/>
        <v>530.16999999999996</v>
      </c>
      <c r="Z275" s="9">
        <f t="shared" si="21"/>
        <v>994.06874999999991</v>
      </c>
      <c r="AA275" s="5">
        <f t="shared" si="22"/>
        <v>1104.4103812499998</v>
      </c>
      <c r="AB275" s="6">
        <f t="shared" si="23"/>
        <v>1610.2919681249998</v>
      </c>
      <c r="AD275" s="10">
        <f t="shared" si="24"/>
        <v>2016.2000608124999</v>
      </c>
    </row>
    <row r="276" spans="1:30" x14ac:dyDescent="0.3">
      <c r="A276" t="s">
        <v>30</v>
      </c>
      <c r="B276" s="8" t="s">
        <v>337</v>
      </c>
      <c r="C276" s="8" t="s">
        <v>32</v>
      </c>
      <c r="D276" s="8" t="s">
        <v>33</v>
      </c>
      <c r="E276" s="8" t="s">
        <v>34</v>
      </c>
      <c r="F276" s="8" t="s">
        <v>35</v>
      </c>
      <c r="G276">
        <v>8483409200</v>
      </c>
      <c r="H276" t="s">
        <v>341</v>
      </c>
      <c r="I276" t="s">
        <v>342</v>
      </c>
      <c r="J276" t="s">
        <v>38</v>
      </c>
      <c r="K276" t="s">
        <v>39</v>
      </c>
      <c r="L276">
        <v>10</v>
      </c>
      <c r="M276">
        <v>2</v>
      </c>
      <c r="N276" t="s">
        <v>64</v>
      </c>
      <c r="O276">
        <v>0</v>
      </c>
      <c r="P276">
        <v>1060.6300000000001</v>
      </c>
      <c r="Q276">
        <v>88.28</v>
      </c>
      <c r="R276">
        <v>6.95</v>
      </c>
      <c r="S276">
        <v>1155.8499999999999</v>
      </c>
      <c r="T276" t="s">
        <v>41</v>
      </c>
      <c r="U276" t="s">
        <v>43</v>
      </c>
      <c r="V276" t="s">
        <v>38</v>
      </c>
      <c r="W276" t="s">
        <v>377</v>
      </c>
      <c r="X276">
        <v>530.30999999999995</v>
      </c>
      <c r="Y276" s="9">
        <f t="shared" si="20"/>
        <v>530.31500000000005</v>
      </c>
      <c r="Z276" s="9">
        <f t="shared" si="21"/>
        <v>994.34062500000005</v>
      </c>
      <c r="AA276" s="5">
        <f t="shared" si="22"/>
        <v>1104.7124343749999</v>
      </c>
      <c r="AB276" s="6">
        <f t="shared" si="23"/>
        <v>1610.7323784375001</v>
      </c>
      <c r="AD276" s="10">
        <f t="shared" si="24"/>
        <v>2016.7514858437503</v>
      </c>
    </row>
    <row r="277" spans="1:30" x14ac:dyDescent="0.3">
      <c r="A277" t="s">
        <v>30</v>
      </c>
      <c r="B277" s="8" t="s">
        <v>337</v>
      </c>
      <c r="C277" s="8" t="s">
        <v>32</v>
      </c>
      <c r="D277" s="8" t="s">
        <v>33</v>
      </c>
      <c r="E277" s="8" t="s">
        <v>34</v>
      </c>
      <c r="F277" s="8" t="s">
        <v>35</v>
      </c>
      <c r="G277">
        <v>8483409900</v>
      </c>
      <c r="H277" t="s">
        <v>36</v>
      </c>
      <c r="I277" t="s">
        <v>378</v>
      </c>
      <c r="J277" t="s">
        <v>38</v>
      </c>
      <c r="K277" t="s">
        <v>39</v>
      </c>
      <c r="L277">
        <v>8</v>
      </c>
      <c r="M277">
        <v>1</v>
      </c>
      <c r="N277" t="s">
        <v>64</v>
      </c>
      <c r="O277">
        <v>0</v>
      </c>
      <c r="P277">
        <v>531.09</v>
      </c>
      <c r="Q277">
        <v>66.53</v>
      </c>
      <c r="R277">
        <v>3.63</v>
      </c>
      <c r="S277">
        <v>601.25</v>
      </c>
      <c r="T277" t="s">
        <v>41</v>
      </c>
      <c r="U277" t="s">
        <v>41</v>
      </c>
      <c r="V277" t="s">
        <v>38</v>
      </c>
      <c r="W277" t="s">
        <v>377</v>
      </c>
      <c r="X277">
        <v>531.09</v>
      </c>
      <c r="Y277" s="9">
        <f t="shared" si="20"/>
        <v>531.09</v>
      </c>
      <c r="Z277" s="9">
        <f t="shared" si="21"/>
        <v>995.79375000000005</v>
      </c>
      <c r="AA277" s="5">
        <f t="shared" si="22"/>
        <v>1106.32685625</v>
      </c>
      <c r="AB277" s="6">
        <f t="shared" si="23"/>
        <v>1613.086295625</v>
      </c>
      <c r="AD277" s="10">
        <f t="shared" si="24"/>
        <v>2019.6987575625003</v>
      </c>
    </row>
    <row r="278" spans="1:30" x14ac:dyDescent="0.3">
      <c r="A278" t="s">
        <v>30</v>
      </c>
      <c r="B278" s="8" t="s">
        <v>62</v>
      </c>
      <c r="C278" s="8" t="s">
        <v>32</v>
      </c>
      <c r="D278" s="8" t="s">
        <v>33</v>
      </c>
      <c r="E278" s="8" t="s">
        <v>34</v>
      </c>
      <c r="F278" s="8" t="s">
        <v>35</v>
      </c>
      <c r="G278">
        <v>8481809990</v>
      </c>
      <c r="H278" t="s">
        <v>160</v>
      </c>
      <c r="I278" t="s">
        <v>379</v>
      </c>
      <c r="J278" t="s">
        <v>38</v>
      </c>
      <c r="K278" t="s">
        <v>39</v>
      </c>
      <c r="L278">
        <v>3</v>
      </c>
      <c r="M278">
        <v>1</v>
      </c>
      <c r="N278" t="s">
        <v>64</v>
      </c>
      <c r="O278">
        <v>0</v>
      </c>
      <c r="P278">
        <v>369.79</v>
      </c>
      <c r="Q278">
        <v>15.82</v>
      </c>
      <c r="R278">
        <v>2.38</v>
      </c>
      <c r="S278">
        <v>388</v>
      </c>
      <c r="T278" t="s">
        <v>41</v>
      </c>
      <c r="U278" t="s">
        <v>43</v>
      </c>
      <c r="V278" t="s">
        <v>38</v>
      </c>
      <c r="W278" t="s">
        <v>380</v>
      </c>
      <c r="X278">
        <v>369.79</v>
      </c>
      <c r="Y278" s="9">
        <f t="shared" si="20"/>
        <v>369.79</v>
      </c>
      <c r="Z278" s="9">
        <f t="shared" si="21"/>
        <v>693.35625000000005</v>
      </c>
      <c r="AA278" s="5">
        <f t="shared" si="22"/>
        <v>770.31879375000005</v>
      </c>
      <c r="AB278" s="6">
        <f t="shared" si="23"/>
        <v>1123.167789375</v>
      </c>
      <c r="AD278" s="10">
        <f t="shared" si="24"/>
        <v>1406.2859469375003</v>
      </c>
    </row>
    <row r="279" spans="1:30" x14ac:dyDescent="0.3">
      <c r="A279" t="s">
        <v>30</v>
      </c>
      <c r="B279" s="8" t="s">
        <v>62</v>
      </c>
      <c r="C279" s="8" t="s">
        <v>32</v>
      </c>
      <c r="D279" s="8" t="s">
        <v>33</v>
      </c>
      <c r="E279" s="8" t="s">
        <v>34</v>
      </c>
      <c r="F279" s="8" t="s">
        <v>35</v>
      </c>
      <c r="G279">
        <v>8481809990</v>
      </c>
      <c r="H279" t="s">
        <v>53</v>
      </c>
      <c r="I279" t="s">
        <v>379</v>
      </c>
      <c r="J279" t="s">
        <v>38</v>
      </c>
      <c r="K279" t="s">
        <v>39</v>
      </c>
      <c r="L279">
        <v>4</v>
      </c>
      <c r="M279">
        <v>3</v>
      </c>
      <c r="N279" t="s">
        <v>64</v>
      </c>
      <c r="O279">
        <v>0</v>
      </c>
      <c r="P279">
        <v>520.65</v>
      </c>
      <c r="Q279">
        <v>27.26</v>
      </c>
      <c r="R279">
        <v>3.39</v>
      </c>
      <c r="S279">
        <v>551.30999999999995</v>
      </c>
      <c r="T279" t="s">
        <v>41</v>
      </c>
      <c r="U279" t="s">
        <v>41</v>
      </c>
      <c r="V279" t="s">
        <v>38</v>
      </c>
      <c r="W279" t="s">
        <v>380</v>
      </c>
      <c r="X279">
        <v>173.55</v>
      </c>
      <c r="Y279" s="9">
        <f t="shared" si="20"/>
        <v>173.54999999999998</v>
      </c>
      <c r="Z279" s="9">
        <f t="shared" si="21"/>
        <v>325.40624999999994</v>
      </c>
      <c r="AA279" s="5">
        <f t="shared" si="22"/>
        <v>361.52634374999991</v>
      </c>
      <c r="AB279" s="6">
        <f t="shared" si="23"/>
        <v>527.1255843749999</v>
      </c>
      <c r="AD279" s="10">
        <f t="shared" si="24"/>
        <v>659.99871843749997</v>
      </c>
    </row>
    <row r="280" spans="1:30" x14ac:dyDescent="0.3">
      <c r="A280" t="s">
        <v>30</v>
      </c>
      <c r="B280" s="8" t="s">
        <v>62</v>
      </c>
      <c r="C280" s="8" t="s">
        <v>32</v>
      </c>
      <c r="D280" s="8" t="s">
        <v>69</v>
      </c>
      <c r="E280" s="8" t="s">
        <v>70</v>
      </c>
      <c r="F280" s="8" t="s">
        <v>71</v>
      </c>
      <c r="G280">
        <v>8481809990</v>
      </c>
      <c r="H280" t="s">
        <v>53</v>
      </c>
      <c r="I280" t="s">
        <v>379</v>
      </c>
      <c r="J280" t="s">
        <v>38</v>
      </c>
      <c r="K280" t="s">
        <v>39</v>
      </c>
      <c r="L280">
        <v>13</v>
      </c>
      <c r="M280">
        <v>1</v>
      </c>
      <c r="N280" t="s">
        <v>64</v>
      </c>
      <c r="O280">
        <v>0</v>
      </c>
      <c r="P280">
        <v>169.68</v>
      </c>
      <c r="Q280">
        <v>9.06</v>
      </c>
      <c r="R280">
        <v>1.0900000000000001</v>
      </c>
      <c r="S280">
        <v>179.83</v>
      </c>
      <c r="T280" t="s">
        <v>72</v>
      </c>
      <c r="U280" t="s">
        <v>72</v>
      </c>
      <c r="V280" t="s">
        <v>38</v>
      </c>
      <c r="W280" t="s">
        <v>380</v>
      </c>
      <c r="X280">
        <v>169.68</v>
      </c>
      <c r="Y280" s="9">
        <f t="shared" si="20"/>
        <v>169.68</v>
      </c>
      <c r="Z280" s="9">
        <f t="shared" si="21"/>
        <v>318.15000000000003</v>
      </c>
      <c r="AA280" s="5">
        <f t="shared" si="22"/>
        <v>353.46465000000001</v>
      </c>
      <c r="AB280" s="6">
        <f t="shared" si="23"/>
        <v>515.37118499999997</v>
      </c>
      <c r="AD280" s="10">
        <f t="shared" si="24"/>
        <v>645.28137450000008</v>
      </c>
    </row>
    <row r="281" spans="1:30" x14ac:dyDescent="0.3">
      <c r="A281" t="s">
        <v>30</v>
      </c>
      <c r="B281" s="8" t="s">
        <v>381</v>
      </c>
      <c r="C281" s="8" t="s">
        <v>32</v>
      </c>
      <c r="D281" s="8" t="s">
        <v>33</v>
      </c>
      <c r="E281" s="8" t="s">
        <v>34</v>
      </c>
      <c r="F281" s="8" t="s">
        <v>35</v>
      </c>
      <c r="G281">
        <v>8481909090</v>
      </c>
      <c r="H281" t="s">
        <v>238</v>
      </c>
      <c r="I281" t="s">
        <v>382</v>
      </c>
      <c r="J281" t="s">
        <v>38</v>
      </c>
      <c r="K281" t="s">
        <v>39</v>
      </c>
      <c r="L281">
        <v>3</v>
      </c>
      <c r="M281">
        <v>1</v>
      </c>
      <c r="N281" t="s">
        <v>64</v>
      </c>
      <c r="O281">
        <v>12.1</v>
      </c>
      <c r="P281">
        <v>60.11</v>
      </c>
      <c r="Q281">
        <v>2.57</v>
      </c>
      <c r="R281">
        <v>0.39</v>
      </c>
      <c r="S281">
        <v>63.07</v>
      </c>
      <c r="T281" t="s">
        <v>41</v>
      </c>
      <c r="U281" t="s">
        <v>43</v>
      </c>
      <c r="V281" t="s">
        <v>38</v>
      </c>
      <c r="W281" t="s">
        <v>383</v>
      </c>
      <c r="X281">
        <v>60.11</v>
      </c>
      <c r="Y281" s="9">
        <f t="shared" si="20"/>
        <v>60.11</v>
      </c>
      <c r="Z281" s="9">
        <f t="shared" si="21"/>
        <v>112.70625</v>
      </c>
      <c r="AA281" s="5">
        <f t="shared" si="22"/>
        <v>125.21664374999999</v>
      </c>
      <c r="AB281" s="6">
        <f t="shared" si="23"/>
        <v>182.57285437499999</v>
      </c>
      <c r="AD281" s="10">
        <f t="shared" si="24"/>
        <v>228.59419743750001</v>
      </c>
    </row>
    <row r="282" spans="1:30" x14ac:dyDescent="0.3">
      <c r="A282" t="s">
        <v>30</v>
      </c>
      <c r="B282" s="8" t="s">
        <v>221</v>
      </c>
      <c r="C282" s="8" t="s">
        <v>32</v>
      </c>
      <c r="D282" s="8" t="s">
        <v>33</v>
      </c>
      <c r="E282" s="8" t="s">
        <v>34</v>
      </c>
      <c r="F282" s="8" t="s">
        <v>35</v>
      </c>
      <c r="G282">
        <v>7304310000</v>
      </c>
      <c r="H282" t="s">
        <v>285</v>
      </c>
      <c r="I282" t="s">
        <v>37</v>
      </c>
      <c r="J282" t="s">
        <v>38</v>
      </c>
      <c r="K282" t="s">
        <v>39</v>
      </c>
      <c r="L282">
        <v>8</v>
      </c>
      <c r="M282">
        <v>1</v>
      </c>
      <c r="N282" t="s">
        <v>40</v>
      </c>
      <c r="O282">
        <v>0</v>
      </c>
      <c r="P282">
        <v>44.37</v>
      </c>
      <c r="Q282">
        <v>6.39</v>
      </c>
      <c r="R282">
        <v>0.31</v>
      </c>
      <c r="S282">
        <v>51.06</v>
      </c>
      <c r="T282" t="s">
        <v>41</v>
      </c>
      <c r="U282" t="s">
        <v>41</v>
      </c>
      <c r="V282" t="s">
        <v>38</v>
      </c>
      <c r="W282" t="s">
        <v>384</v>
      </c>
      <c r="X282">
        <v>44.37</v>
      </c>
      <c r="Y282" s="9">
        <f t="shared" si="20"/>
        <v>44.37</v>
      </c>
      <c r="Z282" s="9">
        <f t="shared" si="21"/>
        <v>83.193749999999994</v>
      </c>
      <c r="AA282" s="5">
        <f t="shared" si="22"/>
        <v>92.42825624999999</v>
      </c>
      <c r="AB282" s="6">
        <f t="shared" si="23"/>
        <v>134.76555562499999</v>
      </c>
      <c r="AD282" s="10">
        <f t="shared" si="24"/>
        <v>168.7360595625</v>
      </c>
    </row>
    <row r="283" spans="1:30" x14ac:dyDescent="0.3">
      <c r="A283" t="s">
        <v>30</v>
      </c>
      <c r="B283" s="8" t="s">
        <v>221</v>
      </c>
      <c r="C283" s="8" t="s">
        <v>32</v>
      </c>
      <c r="D283" s="8" t="s">
        <v>33</v>
      </c>
      <c r="E283" s="8" t="s">
        <v>34</v>
      </c>
      <c r="F283" s="8" t="s">
        <v>35</v>
      </c>
      <c r="G283">
        <v>7304310000</v>
      </c>
      <c r="H283" t="s">
        <v>285</v>
      </c>
      <c r="I283" t="s">
        <v>37</v>
      </c>
      <c r="J283" t="s">
        <v>38</v>
      </c>
      <c r="K283" t="s">
        <v>39</v>
      </c>
      <c r="L283">
        <v>8</v>
      </c>
      <c r="M283">
        <v>1</v>
      </c>
      <c r="N283" t="s">
        <v>40</v>
      </c>
      <c r="O283">
        <v>0</v>
      </c>
      <c r="P283">
        <v>45.03</v>
      </c>
      <c r="Q283">
        <v>6.48</v>
      </c>
      <c r="R283">
        <v>0.32</v>
      </c>
      <c r="S283">
        <v>51.82</v>
      </c>
      <c r="T283" t="s">
        <v>41</v>
      </c>
      <c r="U283" t="s">
        <v>41</v>
      </c>
      <c r="V283" t="s">
        <v>38</v>
      </c>
      <c r="W283" t="s">
        <v>385</v>
      </c>
      <c r="X283">
        <v>45.03</v>
      </c>
      <c r="Y283" s="9">
        <f t="shared" si="20"/>
        <v>45.03</v>
      </c>
      <c r="Z283" s="9">
        <f t="shared" si="21"/>
        <v>84.431250000000006</v>
      </c>
      <c r="AA283" s="5">
        <f t="shared" si="22"/>
        <v>93.80311875000001</v>
      </c>
      <c r="AB283" s="6">
        <f t="shared" si="23"/>
        <v>136.77018187499999</v>
      </c>
      <c r="AD283" s="10">
        <f t="shared" si="24"/>
        <v>171.24599418750003</v>
      </c>
    </row>
    <row r="284" spans="1:30" x14ac:dyDescent="0.3">
      <c r="A284" t="s">
        <v>30</v>
      </c>
      <c r="B284" s="8" t="s">
        <v>128</v>
      </c>
      <c r="C284" s="8" t="s">
        <v>32</v>
      </c>
      <c r="D284" s="8" t="s">
        <v>33</v>
      </c>
      <c r="E284" s="8" t="s">
        <v>34</v>
      </c>
      <c r="F284" s="8" t="s">
        <v>35</v>
      </c>
      <c r="G284">
        <v>3926909000</v>
      </c>
      <c r="H284" t="s">
        <v>36</v>
      </c>
      <c r="I284" t="s">
        <v>386</v>
      </c>
      <c r="J284" t="s">
        <v>38</v>
      </c>
      <c r="K284" t="s">
        <v>39</v>
      </c>
      <c r="L284">
        <v>6</v>
      </c>
      <c r="M284">
        <v>1</v>
      </c>
      <c r="N284" t="s">
        <v>64</v>
      </c>
      <c r="O284">
        <v>0.24</v>
      </c>
      <c r="P284">
        <v>13.07</v>
      </c>
      <c r="Q284">
        <v>1.58</v>
      </c>
      <c r="R284">
        <v>0.09</v>
      </c>
      <c r="S284">
        <v>14.74</v>
      </c>
      <c r="T284" t="s">
        <v>41</v>
      </c>
      <c r="U284" t="s">
        <v>43</v>
      </c>
      <c r="V284" t="s">
        <v>38</v>
      </c>
      <c r="W284" t="s">
        <v>387</v>
      </c>
      <c r="X284">
        <v>13.07</v>
      </c>
      <c r="Y284" s="9">
        <f t="shared" si="20"/>
        <v>13.07</v>
      </c>
      <c r="Z284" s="9">
        <f t="shared" si="21"/>
        <v>24.506250000000001</v>
      </c>
      <c r="AA284" s="5">
        <f t="shared" si="22"/>
        <v>27.226443750000001</v>
      </c>
      <c r="AB284" s="6">
        <f t="shared" si="23"/>
        <v>39.697674374999998</v>
      </c>
      <c r="AD284" s="10">
        <f t="shared" si="24"/>
        <v>49.70431143750001</v>
      </c>
    </row>
    <row r="285" spans="1:30" x14ac:dyDescent="0.3">
      <c r="A285" t="s">
        <v>30</v>
      </c>
      <c r="B285" s="8" t="s">
        <v>58</v>
      </c>
      <c r="C285" s="8" t="s">
        <v>32</v>
      </c>
      <c r="D285" s="8" t="s">
        <v>33</v>
      </c>
      <c r="E285" s="8" t="s">
        <v>34</v>
      </c>
      <c r="F285" s="8" t="s">
        <v>35</v>
      </c>
      <c r="G285">
        <v>8483309000</v>
      </c>
      <c r="H285" t="s">
        <v>177</v>
      </c>
      <c r="I285" t="s">
        <v>388</v>
      </c>
      <c r="J285" t="s">
        <v>38</v>
      </c>
      <c r="K285" t="s">
        <v>39</v>
      </c>
      <c r="L285">
        <v>6</v>
      </c>
      <c r="M285">
        <v>1</v>
      </c>
      <c r="N285" t="s">
        <v>64</v>
      </c>
      <c r="O285">
        <v>0</v>
      </c>
      <c r="P285">
        <v>16.97</v>
      </c>
      <c r="Q285">
        <v>2.0499999999999998</v>
      </c>
      <c r="R285">
        <v>0.12</v>
      </c>
      <c r="S285">
        <v>19.14</v>
      </c>
      <c r="T285" t="s">
        <v>41</v>
      </c>
      <c r="U285" t="s">
        <v>43</v>
      </c>
      <c r="V285" t="s">
        <v>38</v>
      </c>
      <c r="W285" t="s">
        <v>389</v>
      </c>
      <c r="X285">
        <v>16.97</v>
      </c>
      <c r="Y285" s="9">
        <f t="shared" si="20"/>
        <v>16.97</v>
      </c>
      <c r="Z285" s="9">
        <f t="shared" si="21"/>
        <v>31.818749999999998</v>
      </c>
      <c r="AA285" s="5">
        <f t="shared" si="22"/>
        <v>35.350631249999999</v>
      </c>
      <c r="AB285" s="6">
        <f t="shared" si="23"/>
        <v>51.543193124999995</v>
      </c>
      <c r="AD285" s="10">
        <f t="shared" si="24"/>
        <v>64.535743312500003</v>
      </c>
    </row>
    <row r="286" spans="1:30" x14ac:dyDescent="0.3">
      <c r="A286" t="s">
        <v>30</v>
      </c>
      <c r="B286" s="8" t="s">
        <v>58</v>
      </c>
      <c r="C286" s="8" t="s">
        <v>32</v>
      </c>
      <c r="D286" s="8" t="s">
        <v>33</v>
      </c>
      <c r="E286" s="8" t="s">
        <v>34</v>
      </c>
      <c r="F286" s="8" t="s">
        <v>35</v>
      </c>
      <c r="G286">
        <v>8481805900</v>
      </c>
      <c r="H286" t="s">
        <v>53</v>
      </c>
      <c r="I286" t="s">
        <v>390</v>
      </c>
      <c r="J286" t="s">
        <v>38</v>
      </c>
      <c r="K286" t="s">
        <v>39</v>
      </c>
      <c r="L286">
        <v>12</v>
      </c>
      <c r="M286">
        <v>2</v>
      </c>
      <c r="N286" t="s">
        <v>64</v>
      </c>
      <c r="O286">
        <v>0</v>
      </c>
      <c r="P286">
        <v>593.16</v>
      </c>
      <c r="Q286">
        <v>68.11</v>
      </c>
      <c r="R286">
        <v>3.95</v>
      </c>
      <c r="S286">
        <v>665.22</v>
      </c>
      <c r="T286" t="s">
        <v>41</v>
      </c>
      <c r="U286" t="s">
        <v>41</v>
      </c>
      <c r="V286" t="s">
        <v>38</v>
      </c>
      <c r="W286" t="s">
        <v>391</v>
      </c>
      <c r="X286">
        <v>296.58</v>
      </c>
      <c r="Y286" s="9">
        <f t="shared" si="20"/>
        <v>296.58</v>
      </c>
      <c r="Z286" s="9">
        <f t="shared" si="21"/>
        <v>556.08749999999998</v>
      </c>
      <c r="AA286" s="5">
        <f t="shared" si="22"/>
        <v>617.81321249999996</v>
      </c>
      <c r="AB286" s="6">
        <f t="shared" si="23"/>
        <v>900.80614124999988</v>
      </c>
      <c r="AD286" s="10">
        <f t="shared" si="24"/>
        <v>1127.8733501250001</v>
      </c>
    </row>
    <row r="287" spans="1:30" x14ac:dyDescent="0.3">
      <c r="A287" t="s">
        <v>30</v>
      </c>
      <c r="B287" s="8" t="s">
        <v>349</v>
      </c>
      <c r="C287" s="8" t="s">
        <v>32</v>
      </c>
      <c r="D287" s="8" t="s">
        <v>33</v>
      </c>
      <c r="E287" s="8" t="s">
        <v>34</v>
      </c>
      <c r="F287" s="8" t="s">
        <v>35</v>
      </c>
      <c r="G287">
        <v>8481809990</v>
      </c>
      <c r="H287" t="s">
        <v>160</v>
      </c>
      <c r="I287" t="s">
        <v>392</v>
      </c>
      <c r="J287" t="s">
        <v>38</v>
      </c>
      <c r="K287" t="s">
        <v>39</v>
      </c>
      <c r="L287">
        <v>6</v>
      </c>
      <c r="M287">
        <v>1</v>
      </c>
      <c r="N287" t="s">
        <v>64</v>
      </c>
      <c r="O287">
        <v>0</v>
      </c>
      <c r="P287">
        <v>60.76</v>
      </c>
      <c r="Q287">
        <v>7.35</v>
      </c>
      <c r="R287">
        <v>0.42</v>
      </c>
      <c r="S287">
        <v>68.540000000000006</v>
      </c>
      <c r="T287" t="s">
        <v>41</v>
      </c>
      <c r="U287" t="s">
        <v>43</v>
      </c>
      <c r="V287" t="s">
        <v>38</v>
      </c>
      <c r="W287" t="s">
        <v>393</v>
      </c>
      <c r="X287">
        <v>60.76</v>
      </c>
      <c r="Y287" s="9">
        <f t="shared" si="20"/>
        <v>60.76</v>
      </c>
      <c r="Z287" s="9">
        <f t="shared" si="21"/>
        <v>113.925</v>
      </c>
      <c r="AA287" s="5">
        <f t="shared" si="22"/>
        <v>126.57067499999999</v>
      </c>
      <c r="AB287" s="6">
        <f t="shared" si="23"/>
        <v>184.54710749999998</v>
      </c>
      <c r="AD287" s="10">
        <f t="shared" si="24"/>
        <v>231.06610275000003</v>
      </c>
    </row>
    <row r="288" spans="1:30" x14ac:dyDescent="0.3">
      <c r="A288" t="s">
        <v>30</v>
      </c>
      <c r="B288" s="8" t="s">
        <v>349</v>
      </c>
      <c r="C288" s="8" t="s">
        <v>32</v>
      </c>
      <c r="D288" s="8" t="s">
        <v>33</v>
      </c>
      <c r="E288" s="8" t="s">
        <v>34</v>
      </c>
      <c r="F288" s="8" t="s">
        <v>35</v>
      </c>
      <c r="G288">
        <v>8481400090</v>
      </c>
      <c r="H288" t="s">
        <v>53</v>
      </c>
      <c r="I288" t="s">
        <v>394</v>
      </c>
      <c r="J288" t="s">
        <v>38</v>
      </c>
      <c r="K288" t="s">
        <v>39</v>
      </c>
      <c r="L288">
        <v>8</v>
      </c>
      <c r="M288">
        <v>6</v>
      </c>
      <c r="N288" t="s">
        <v>64</v>
      </c>
      <c r="O288">
        <v>0</v>
      </c>
      <c r="P288">
        <v>335.09</v>
      </c>
      <c r="Q288">
        <v>18.97</v>
      </c>
      <c r="R288">
        <v>2.14</v>
      </c>
      <c r="S288">
        <v>356.2</v>
      </c>
      <c r="T288" t="s">
        <v>41</v>
      </c>
      <c r="U288" t="s">
        <v>41</v>
      </c>
      <c r="V288" t="s">
        <v>38</v>
      </c>
      <c r="W288" t="s">
        <v>393</v>
      </c>
      <c r="X288">
        <v>55.85</v>
      </c>
      <c r="Y288" s="9">
        <f t="shared" si="20"/>
        <v>55.848333333333329</v>
      </c>
      <c r="Z288" s="9">
        <f t="shared" si="21"/>
        <v>104.71562499999999</v>
      </c>
      <c r="AA288" s="5">
        <f t="shared" si="22"/>
        <v>116.33905937499999</v>
      </c>
      <c r="AB288" s="6">
        <f t="shared" si="23"/>
        <v>169.62884093749997</v>
      </c>
      <c r="AD288" s="10">
        <f t="shared" si="24"/>
        <v>212.38737209375</v>
      </c>
    </row>
    <row r="289" spans="1:30" x14ac:dyDescent="0.3">
      <c r="A289" t="s">
        <v>30</v>
      </c>
      <c r="B289" s="8" t="s">
        <v>66</v>
      </c>
      <c r="C289" s="8" t="s">
        <v>32</v>
      </c>
      <c r="D289" s="8" t="s">
        <v>33</v>
      </c>
      <c r="E289" s="8" t="s">
        <v>34</v>
      </c>
      <c r="F289" s="8" t="s">
        <v>35</v>
      </c>
      <c r="G289">
        <v>8481909090</v>
      </c>
      <c r="H289" t="s">
        <v>238</v>
      </c>
      <c r="I289" t="s">
        <v>395</v>
      </c>
      <c r="J289" t="s">
        <v>38</v>
      </c>
      <c r="K289" t="s">
        <v>39</v>
      </c>
      <c r="L289">
        <v>8</v>
      </c>
      <c r="M289">
        <v>1</v>
      </c>
      <c r="N289" t="s">
        <v>64</v>
      </c>
      <c r="O289">
        <v>0</v>
      </c>
      <c r="P289">
        <v>90.3</v>
      </c>
      <c r="Q289">
        <v>12.99</v>
      </c>
      <c r="R289">
        <v>0.64</v>
      </c>
      <c r="S289">
        <v>103.93</v>
      </c>
      <c r="T289" t="s">
        <v>41</v>
      </c>
      <c r="U289" t="s">
        <v>41</v>
      </c>
      <c r="V289" t="s">
        <v>38</v>
      </c>
      <c r="W289" t="s">
        <v>396</v>
      </c>
      <c r="X289">
        <v>90.3</v>
      </c>
      <c r="Y289" s="9">
        <f t="shared" si="20"/>
        <v>90.3</v>
      </c>
      <c r="Z289" s="9">
        <f t="shared" si="21"/>
        <v>169.3125</v>
      </c>
      <c r="AA289" s="5">
        <f t="shared" si="22"/>
        <v>188.1061875</v>
      </c>
      <c r="AB289" s="6">
        <f t="shared" si="23"/>
        <v>274.26931874999997</v>
      </c>
      <c r="AD289" s="10">
        <f t="shared" si="24"/>
        <v>343.40469187500003</v>
      </c>
    </row>
    <row r="290" spans="1:30" x14ac:dyDescent="0.3">
      <c r="A290" t="s">
        <v>168</v>
      </c>
      <c r="B290" s="8" t="s">
        <v>66</v>
      </c>
      <c r="C290" s="8" t="s">
        <v>32</v>
      </c>
      <c r="D290" s="8" t="s">
        <v>33</v>
      </c>
      <c r="E290" s="8" t="s">
        <v>34</v>
      </c>
      <c r="F290" s="8" t="s">
        <v>35</v>
      </c>
      <c r="G290">
        <v>7616999090</v>
      </c>
      <c r="H290" t="s">
        <v>36</v>
      </c>
      <c r="I290" t="s">
        <v>397</v>
      </c>
      <c r="J290" t="s">
        <v>38</v>
      </c>
      <c r="K290" t="s">
        <v>39</v>
      </c>
      <c r="L290">
        <v>11</v>
      </c>
      <c r="M290">
        <v>3</v>
      </c>
      <c r="N290" t="s">
        <v>40</v>
      </c>
      <c r="O290">
        <v>82.23</v>
      </c>
      <c r="P290">
        <v>816.76</v>
      </c>
      <c r="Q290">
        <v>78.23</v>
      </c>
      <c r="R290">
        <v>5.51</v>
      </c>
      <c r="S290">
        <v>900.5</v>
      </c>
      <c r="T290" t="s">
        <v>41</v>
      </c>
      <c r="U290" t="s">
        <v>43</v>
      </c>
      <c r="V290" t="s">
        <v>38</v>
      </c>
      <c r="W290" t="s">
        <v>398</v>
      </c>
      <c r="X290">
        <v>272.25</v>
      </c>
      <c r="Y290" s="9">
        <f t="shared" si="20"/>
        <v>272.25333333333333</v>
      </c>
      <c r="Z290" s="9">
        <f t="shared" si="21"/>
        <v>510.47500000000002</v>
      </c>
      <c r="AA290" s="5">
        <f t="shared" si="22"/>
        <v>567.13772500000005</v>
      </c>
      <c r="AB290" s="6">
        <f t="shared" si="23"/>
        <v>826.91845249999994</v>
      </c>
      <c r="AD290" s="10">
        <f t="shared" si="24"/>
        <v>1035.3607092500001</v>
      </c>
    </row>
    <row r="291" spans="1:30" x14ac:dyDescent="0.3">
      <c r="A291" t="s">
        <v>30</v>
      </c>
      <c r="B291" s="8" t="s">
        <v>31</v>
      </c>
      <c r="C291" s="8" t="s">
        <v>32</v>
      </c>
      <c r="D291" s="8" t="s">
        <v>33</v>
      </c>
      <c r="E291" s="8" t="s">
        <v>34</v>
      </c>
      <c r="F291" s="8" t="s">
        <v>35</v>
      </c>
      <c r="G291">
        <v>8481909090</v>
      </c>
      <c r="H291" t="s">
        <v>238</v>
      </c>
      <c r="I291" t="s">
        <v>313</v>
      </c>
      <c r="J291" t="s">
        <v>38</v>
      </c>
      <c r="K291" t="s">
        <v>39</v>
      </c>
      <c r="L291">
        <v>6</v>
      </c>
      <c r="M291">
        <v>1</v>
      </c>
      <c r="N291" t="s">
        <v>64</v>
      </c>
      <c r="O291">
        <v>0</v>
      </c>
      <c r="P291">
        <v>265.20999999999998</v>
      </c>
      <c r="Q291">
        <v>32.07</v>
      </c>
      <c r="R291">
        <v>1.85</v>
      </c>
      <c r="S291">
        <v>299.13</v>
      </c>
      <c r="T291" t="s">
        <v>41</v>
      </c>
      <c r="U291" t="s">
        <v>43</v>
      </c>
      <c r="V291" t="s">
        <v>38</v>
      </c>
      <c r="W291" t="s">
        <v>399</v>
      </c>
      <c r="X291">
        <v>265.20999999999998</v>
      </c>
      <c r="Y291" s="9">
        <f t="shared" si="20"/>
        <v>265.20999999999998</v>
      </c>
      <c r="Z291" s="9">
        <f t="shared" si="21"/>
        <v>497.26874999999995</v>
      </c>
      <c r="AA291" s="5">
        <f t="shared" si="22"/>
        <v>552.4655812499999</v>
      </c>
      <c r="AB291" s="6">
        <f t="shared" si="23"/>
        <v>805.52564812499986</v>
      </c>
      <c r="AD291" s="10">
        <f t="shared" si="24"/>
        <v>1008.5753968125</v>
      </c>
    </row>
    <row r="292" spans="1:30" x14ac:dyDescent="0.3">
      <c r="A292" t="s">
        <v>30</v>
      </c>
      <c r="B292" s="8" t="s">
        <v>32</v>
      </c>
      <c r="C292" s="8" t="s">
        <v>32</v>
      </c>
      <c r="D292" s="8" t="s">
        <v>33</v>
      </c>
      <c r="E292" s="8" t="s">
        <v>34</v>
      </c>
      <c r="F292" s="8" t="s">
        <v>35</v>
      </c>
      <c r="G292">
        <v>7609000000</v>
      </c>
      <c r="H292" t="s">
        <v>400</v>
      </c>
      <c r="I292" t="s">
        <v>300</v>
      </c>
      <c r="J292" t="s">
        <v>38</v>
      </c>
      <c r="K292" t="s">
        <v>39</v>
      </c>
      <c r="L292">
        <v>10</v>
      </c>
      <c r="M292">
        <v>2</v>
      </c>
      <c r="N292" t="s">
        <v>40</v>
      </c>
      <c r="O292">
        <v>0</v>
      </c>
      <c r="P292">
        <v>107.41</v>
      </c>
      <c r="Q292">
        <v>8.94</v>
      </c>
      <c r="R292">
        <v>0.7</v>
      </c>
      <c r="S292">
        <v>117.06</v>
      </c>
      <c r="T292" t="s">
        <v>41</v>
      </c>
      <c r="U292" t="s">
        <v>43</v>
      </c>
      <c r="V292" t="s">
        <v>38</v>
      </c>
      <c r="W292" t="s">
        <v>401</v>
      </c>
      <c r="X292">
        <v>53.71</v>
      </c>
      <c r="Y292" s="9">
        <f t="shared" si="20"/>
        <v>53.704999999999998</v>
      </c>
      <c r="Z292" s="9">
        <f t="shared" si="21"/>
        <v>100.69687499999999</v>
      </c>
      <c r="AA292" s="5">
        <f t="shared" si="22"/>
        <v>111.87422812499999</v>
      </c>
      <c r="AB292" s="6">
        <f t="shared" si="23"/>
        <v>163.11886781249999</v>
      </c>
      <c r="AD292" s="10">
        <f t="shared" si="24"/>
        <v>204.23642278125001</v>
      </c>
    </row>
    <row r="293" spans="1:30" x14ac:dyDescent="0.3">
      <c r="A293" t="s">
        <v>30</v>
      </c>
      <c r="B293" s="8" t="s">
        <v>32</v>
      </c>
      <c r="C293" s="8" t="s">
        <v>32</v>
      </c>
      <c r="D293" s="8" t="s">
        <v>33</v>
      </c>
      <c r="E293" s="8" t="s">
        <v>34</v>
      </c>
      <c r="F293" s="8" t="s">
        <v>35</v>
      </c>
      <c r="G293">
        <v>7609000000</v>
      </c>
      <c r="H293" t="s">
        <v>400</v>
      </c>
      <c r="I293" t="s">
        <v>300</v>
      </c>
      <c r="J293" t="s">
        <v>38</v>
      </c>
      <c r="K293" t="s">
        <v>39</v>
      </c>
      <c r="L293">
        <v>8</v>
      </c>
      <c r="M293">
        <v>2</v>
      </c>
      <c r="N293" t="s">
        <v>40</v>
      </c>
      <c r="O293">
        <v>0</v>
      </c>
      <c r="P293">
        <v>128.5</v>
      </c>
      <c r="Q293">
        <v>16.100000000000001</v>
      </c>
      <c r="R293">
        <v>0.88</v>
      </c>
      <c r="S293">
        <v>145.47</v>
      </c>
      <c r="T293" t="s">
        <v>41</v>
      </c>
      <c r="U293" t="s">
        <v>41</v>
      </c>
      <c r="V293" t="s">
        <v>38</v>
      </c>
      <c r="W293" t="s">
        <v>402</v>
      </c>
      <c r="X293">
        <v>64.25</v>
      </c>
      <c r="Y293" s="9">
        <f t="shared" si="20"/>
        <v>64.25</v>
      </c>
      <c r="Z293" s="9">
        <f t="shared" si="21"/>
        <v>120.46875</v>
      </c>
      <c r="AA293" s="5">
        <f t="shared" si="22"/>
        <v>133.84078124999999</v>
      </c>
      <c r="AB293" s="6">
        <f t="shared" si="23"/>
        <v>195.147328125</v>
      </c>
      <c r="AD293" s="10">
        <f t="shared" si="24"/>
        <v>244.33833281250003</v>
      </c>
    </row>
    <row r="294" spans="1:30" x14ac:dyDescent="0.3">
      <c r="A294" t="s">
        <v>30</v>
      </c>
      <c r="B294" s="8" t="s">
        <v>32</v>
      </c>
      <c r="C294" s="8" t="s">
        <v>32</v>
      </c>
      <c r="D294" s="8" t="s">
        <v>33</v>
      </c>
      <c r="E294" s="8" t="s">
        <v>34</v>
      </c>
      <c r="F294" s="8" t="s">
        <v>35</v>
      </c>
      <c r="G294">
        <v>7307990099</v>
      </c>
      <c r="H294" t="s">
        <v>36</v>
      </c>
      <c r="I294" t="s">
        <v>403</v>
      </c>
      <c r="J294" t="s">
        <v>38</v>
      </c>
      <c r="K294" t="s">
        <v>39</v>
      </c>
      <c r="L294">
        <v>10</v>
      </c>
      <c r="M294">
        <v>2</v>
      </c>
      <c r="N294" t="s">
        <v>40</v>
      </c>
      <c r="O294">
        <v>0</v>
      </c>
      <c r="P294">
        <v>268.68</v>
      </c>
      <c r="Q294">
        <v>22.36</v>
      </c>
      <c r="R294">
        <v>1.76</v>
      </c>
      <c r="S294">
        <v>292.8</v>
      </c>
      <c r="T294" t="s">
        <v>41</v>
      </c>
      <c r="U294" t="s">
        <v>43</v>
      </c>
      <c r="V294" t="s">
        <v>38</v>
      </c>
      <c r="W294" t="s">
        <v>404</v>
      </c>
      <c r="X294">
        <v>134.34</v>
      </c>
      <c r="Y294" s="9">
        <f t="shared" si="20"/>
        <v>134.34</v>
      </c>
      <c r="Z294" s="9">
        <f t="shared" si="21"/>
        <v>251.88750000000002</v>
      </c>
      <c r="AA294" s="5">
        <f t="shared" si="22"/>
        <v>279.84701250000001</v>
      </c>
      <c r="AB294" s="6">
        <f t="shared" si="23"/>
        <v>408.03256125000001</v>
      </c>
      <c r="AD294" s="10">
        <f t="shared" si="24"/>
        <v>510.8857841250001</v>
      </c>
    </row>
    <row r="295" spans="1:30" x14ac:dyDescent="0.3">
      <c r="A295" t="s">
        <v>30</v>
      </c>
      <c r="B295" s="8" t="s">
        <v>349</v>
      </c>
      <c r="C295" s="8" t="s">
        <v>32</v>
      </c>
      <c r="D295" s="8" t="s">
        <v>33</v>
      </c>
      <c r="E295" s="8" t="s">
        <v>34</v>
      </c>
      <c r="F295" s="8" t="s">
        <v>35</v>
      </c>
      <c r="G295">
        <v>2818200000</v>
      </c>
      <c r="H295" t="s">
        <v>405</v>
      </c>
      <c r="I295" t="s">
        <v>406</v>
      </c>
      <c r="J295" t="s">
        <v>38</v>
      </c>
      <c r="K295" t="s">
        <v>39</v>
      </c>
      <c r="L295">
        <v>10</v>
      </c>
      <c r="M295">
        <v>8</v>
      </c>
      <c r="N295" t="s">
        <v>40</v>
      </c>
      <c r="O295">
        <v>0</v>
      </c>
      <c r="P295">
        <v>733.2</v>
      </c>
      <c r="Q295">
        <v>61.03</v>
      </c>
      <c r="R295">
        <v>4.8</v>
      </c>
      <c r="S295">
        <v>799.03</v>
      </c>
      <c r="T295" t="s">
        <v>41</v>
      </c>
      <c r="U295" t="s">
        <v>43</v>
      </c>
      <c r="V295" t="s">
        <v>38</v>
      </c>
      <c r="W295" t="s">
        <v>407</v>
      </c>
      <c r="X295">
        <v>91.65</v>
      </c>
      <c r="Y295" s="9">
        <f t="shared" si="20"/>
        <v>91.65</v>
      </c>
      <c r="Z295" s="9">
        <f t="shared" si="21"/>
        <v>171.84375</v>
      </c>
      <c r="AA295" s="5">
        <f t="shared" si="22"/>
        <v>190.91840625</v>
      </c>
      <c r="AB295" s="6">
        <f t="shared" si="23"/>
        <v>278.36969062499998</v>
      </c>
      <c r="AD295" s="10">
        <f t="shared" si="24"/>
        <v>348.53864906250004</v>
      </c>
    </row>
    <row r="296" spans="1:30" x14ac:dyDescent="0.3">
      <c r="A296" t="s">
        <v>30</v>
      </c>
      <c r="B296" s="8" t="s">
        <v>349</v>
      </c>
      <c r="C296" s="8" t="s">
        <v>32</v>
      </c>
      <c r="D296" s="8" t="s">
        <v>33</v>
      </c>
      <c r="E296" s="8" t="s">
        <v>34</v>
      </c>
      <c r="F296" s="8" t="s">
        <v>35</v>
      </c>
      <c r="G296">
        <v>2818200000</v>
      </c>
      <c r="H296" t="s">
        <v>405</v>
      </c>
      <c r="I296" t="s">
        <v>406</v>
      </c>
      <c r="J296" t="s">
        <v>38</v>
      </c>
      <c r="K296" t="s">
        <v>39</v>
      </c>
      <c r="L296">
        <v>10</v>
      </c>
      <c r="M296">
        <v>15</v>
      </c>
      <c r="N296" t="s">
        <v>40</v>
      </c>
      <c r="O296">
        <v>0</v>
      </c>
      <c r="P296">
        <v>1856.99</v>
      </c>
      <c r="Q296">
        <v>154.56</v>
      </c>
      <c r="R296">
        <v>12.16</v>
      </c>
      <c r="S296">
        <v>2023.71</v>
      </c>
      <c r="T296" t="s">
        <v>41</v>
      </c>
      <c r="U296" t="s">
        <v>43</v>
      </c>
      <c r="V296" t="s">
        <v>38</v>
      </c>
      <c r="W296" t="s">
        <v>408</v>
      </c>
      <c r="X296">
        <v>123.8</v>
      </c>
      <c r="Y296" s="9">
        <f t="shared" si="20"/>
        <v>123.79933333333334</v>
      </c>
      <c r="Z296" s="9">
        <f t="shared" si="21"/>
        <v>232.12375</v>
      </c>
      <c r="AA296" s="5">
        <f t="shared" si="22"/>
        <v>257.88948625</v>
      </c>
      <c r="AB296" s="6">
        <f t="shared" si="23"/>
        <v>376.017262625</v>
      </c>
      <c r="AD296" s="10">
        <f t="shared" si="24"/>
        <v>470.80035346250003</v>
      </c>
    </row>
    <row r="297" spans="1:30" x14ac:dyDescent="0.3">
      <c r="A297" t="s">
        <v>30</v>
      </c>
      <c r="B297" s="8" t="s">
        <v>349</v>
      </c>
      <c r="C297" s="8" t="s">
        <v>32</v>
      </c>
      <c r="D297" s="8" t="s">
        <v>33</v>
      </c>
      <c r="E297" s="8" t="s">
        <v>34</v>
      </c>
      <c r="F297" s="8" t="s">
        <v>35</v>
      </c>
      <c r="G297">
        <v>2818200000</v>
      </c>
      <c r="H297" t="s">
        <v>405</v>
      </c>
      <c r="I297" t="s">
        <v>406</v>
      </c>
      <c r="J297" t="s">
        <v>38</v>
      </c>
      <c r="K297" t="s">
        <v>39</v>
      </c>
      <c r="L297">
        <v>10</v>
      </c>
      <c r="M297">
        <v>1</v>
      </c>
      <c r="N297" t="s">
        <v>40</v>
      </c>
      <c r="O297">
        <v>0</v>
      </c>
      <c r="P297">
        <v>123.8</v>
      </c>
      <c r="Q297">
        <v>10.3</v>
      </c>
      <c r="R297">
        <v>0.81</v>
      </c>
      <c r="S297">
        <v>134.91</v>
      </c>
      <c r="T297" t="s">
        <v>41</v>
      </c>
      <c r="U297" t="s">
        <v>43</v>
      </c>
      <c r="V297" t="s">
        <v>38</v>
      </c>
      <c r="W297" t="s">
        <v>408</v>
      </c>
      <c r="X297">
        <v>123.8</v>
      </c>
      <c r="Y297" s="9">
        <f t="shared" si="20"/>
        <v>123.8</v>
      </c>
      <c r="Z297" s="9">
        <f t="shared" si="21"/>
        <v>232.125</v>
      </c>
      <c r="AA297" s="5">
        <f t="shared" si="22"/>
        <v>257.89087499999999</v>
      </c>
      <c r="AB297" s="6">
        <f t="shared" si="23"/>
        <v>376.01928749999996</v>
      </c>
      <c r="AD297" s="10">
        <f t="shared" si="24"/>
        <v>470.80288875000002</v>
      </c>
    </row>
    <row r="298" spans="1:30" x14ac:dyDescent="0.3">
      <c r="A298" t="s">
        <v>30</v>
      </c>
      <c r="B298" s="8" t="s">
        <v>249</v>
      </c>
      <c r="C298" s="8" t="s">
        <v>32</v>
      </c>
      <c r="D298" s="8" t="s">
        <v>33</v>
      </c>
      <c r="E298" s="8" t="s">
        <v>34</v>
      </c>
      <c r="F298" s="8" t="s">
        <v>35</v>
      </c>
      <c r="G298">
        <v>9026200000</v>
      </c>
      <c r="H298" t="s">
        <v>163</v>
      </c>
      <c r="I298" t="s">
        <v>409</v>
      </c>
      <c r="J298" t="s">
        <v>38</v>
      </c>
      <c r="K298" t="s">
        <v>39</v>
      </c>
      <c r="L298">
        <v>10</v>
      </c>
      <c r="M298">
        <v>4</v>
      </c>
      <c r="N298" t="s">
        <v>64</v>
      </c>
      <c r="O298">
        <v>0</v>
      </c>
      <c r="P298">
        <v>298</v>
      </c>
      <c r="Q298">
        <v>24.8</v>
      </c>
      <c r="R298">
        <v>1.95</v>
      </c>
      <c r="S298">
        <v>324.75</v>
      </c>
      <c r="T298" t="s">
        <v>41</v>
      </c>
      <c r="U298" t="s">
        <v>43</v>
      </c>
      <c r="V298" t="s">
        <v>38</v>
      </c>
      <c r="W298" t="s">
        <v>410</v>
      </c>
      <c r="X298">
        <v>74.5</v>
      </c>
      <c r="Y298" s="9">
        <f t="shared" si="20"/>
        <v>74.5</v>
      </c>
      <c r="Z298" s="9">
        <f t="shared" si="21"/>
        <v>139.6875</v>
      </c>
      <c r="AA298" s="5">
        <f t="shared" si="22"/>
        <v>155.1928125</v>
      </c>
      <c r="AB298" s="6">
        <f t="shared" si="23"/>
        <v>226.27978124999998</v>
      </c>
      <c r="AD298" s="10">
        <f t="shared" si="24"/>
        <v>283.31837812500004</v>
      </c>
    </row>
    <row r="299" spans="1:30" x14ac:dyDescent="0.3">
      <c r="A299" t="s">
        <v>30</v>
      </c>
      <c r="B299" s="8" t="s">
        <v>62</v>
      </c>
      <c r="C299" s="8" t="s">
        <v>32</v>
      </c>
      <c r="D299" s="8" t="s">
        <v>33</v>
      </c>
      <c r="E299" s="8" t="s">
        <v>34</v>
      </c>
      <c r="F299" s="8" t="s">
        <v>35</v>
      </c>
      <c r="G299">
        <v>8421299090</v>
      </c>
      <c r="H299" t="s">
        <v>243</v>
      </c>
      <c r="I299" t="s">
        <v>411</v>
      </c>
      <c r="J299" t="s">
        <v>74</v>
      </c>
      <c r="K299" t="s">
        <v>39</v>
      </c>
      <c r="L299">
        <v>7</v>
      </c>
      <c r="M299">
        <v>2</v>
      </c>
      <c r="N299" t="s">
        <v>64</v>
      </c>
      <c r="O299">
        <v>0</v>
      </c>
      <c r="P299">
        <v>49.37</v>
      </c>
      <c r="Q299">
        <v>2.79</v>
      </c>
      <c r="R299">
        <v>0.31</v>
      </c>
      <c r="S299">
        <v>52.47</v>
      </c>
      <c r="T299" t="s">
        <v>75</v>
      </c>
      <c r="U299" t="s">
        <v>412</v>
      </c>
      <c r="V299" t="s">
        <v>74</v>
      </c>
      <c r="W299" t="s">
        <v>413</v>
      </c>
      <c r="X299">
        <v>24.68</v>
      </c>
      <c r="Y299" s="9">
        <f t="shared" si="20"/>
        <v>24.684999999999999</v>
      </c>
      <c r="Z299" s="9">
        <f t="shared" si="21"/>
        <v>46.284374999999997</v>
      </c>
      <c r="AA299" s="5">
        <f t="shared" si="22"/>
        <v>51.421940624999998</v>
      </c>
      <c r="AB299" s="6">
        <f t="shared" si="23"/>
        <v>74.976059062499985</v>
      </c>
      <c r="AD299" s="10">
        <f t="shared" si="24"/>
        <v>93.875357906250002</v>
      </c>
    </row>
    <row r="300" spans="1:30" x14ac:dyDescent="0.3">
      <c r="A300" t="s">
        <v>30</v>
      </c>
      <c r="B300" s="8" t="s">
        <v>62</v>
      </c>
      <c r="C300" s="8" t="s">
        <v>32</v>
      </c>
      <c r="D300" s="8" t="s">
        <v>33</v>
      </c>
      <c r="E300" s="8" t="s">
        <v>34</v>
      </c>
      <c r="F300" s="8" t="s">
        <v>35</v>
      </c>
      <c r="G300">
        <v>8421299090</v>
      </c>
      <c r="H300" t="s">
        <v>243</v>
      </c>
      <c r="I300" t="s">
        <v>412</v>
      </c>
      <c r="J300" t="s">
        <v>38</v>
      </c>
      <c r="K300" t="s">
        <v>39</v>
      </c>
      <c r="L300">
        <v>10</v>
      </c>
      <c r="M300">
        <v>1</v>
      </c>
      <c r="N300" t="s">
        <v>64</v>
      </c>
      <c r="O300">
        <v>0</v>
      </c>
      <c r="P300">
        <v>24.69</v>
      </c>
      <c r="Q300">
        <v>2.06</v>
      </c>
      <c r="R300">
        <v>0.16</v>
      </c>
      <c r="S300">
        <v>26.91</v>
      </c>
      <c r="T300" t="s">
        <v>41</v>
      </c>
      <c r="U300" t="s">
        <v>43</v>
      </c>
      <c r="V300" t="s">
        <v>38</v>
      </c>
      <c r="W300" t="s">
        <v>413</v>
      </c>
      <c r="X300">
        <v>24.69</v>
      </c>
      <c r="Y300" s="9">
        <f t="shared" si="20"/>
        <v>24.69</v>
      </c>
      <c r="Z300" s="9">
        <f t="shared" si="21"/>
        <v>46.293750000000003</v>
      </c>
      <c r="AA300" s="5">
        <f t="shared" si="22"/>
        <v>51.432356250000005</v>
      </c>
      <c r="AB300" s="6">
        <f t="shared" si="23"/>
        <v>74.991245625000005</v>
      </c>
      <c r="AD300" s="10">
        <f t="shared" si="24"/>
        <v>93.89437256250001</v>
      </c>
    </row>
    <row r="301" spans="1:30" x14ac:dyDescent="0.3">
      <c r="A301" t="s">
        <v>30</v>
      </c>
      <c r="B301" s="8" t="s">
        <v>414</v>
      </c>
      <c r="C301" s="8" t="s">
        <v>32</v>
      </c>
      <c r="D301" s="8" t="s">
        <v>33</v>
      </c>
      <c r="E301" s="8" t="s">
        <v>34</v>
      </c>
      <c r="F301" s="8" t="s">
        <v>35</v>
      </c>
      <c r="G301">
        <v>8414309900</v>
      </c>
      <c r="H301" t="s">
        <v>36</v>
      </c>
      <c r="I301" t="s">
        <v>308</v>
      </c>
      <c r="J301" t="s">
        <v>38</v>
      </c>
      <c r="K301" t="s">
        <v>39</v>
      </c>
      <c r="L301">
        <v>10</v>
      </c>
      <c r="M301">
        <v>1</v>
      </c>
      <c r="N301" t="s">
        <v>64</v>
      </c>
      <c r="O301">
        <v>0</v>
      </c>
      <c r="P301">
        <v>404.48</v>
      </c>
      <c r="Q301">
        <v>33.67</v>
      </c>
      <c r="R301">
        <v>2.65</v>
      </c>
      <c r="S301">
        <v>440.8</v>
      </c>
      <c r="T301" t="s">
        <v>41</v>
      </c>
      <c r="U301" t="s">
        <v>43</v>
      </c>
      <c r="V301" t="s">
        <v>38</v>
      </c>
      <c r="W301" t="s">
        <v>415</v>
      </c>
      <c r="X301">
        <v>404.48</v>
      </c>
      <c r="Y301" s="9">
        <f t="shared" si="20"/>
        <v>404.48</v>
      </c>
      <c r="Z301" s="9">
        <f t="shared" si="21"/>
        <v>758.40000000000009</v>
      </c>
      <c r="AA301" s="5">
        <f t="shared" si="22"/>
        <v>842.58240000000012</v>
      </c>
      <c r="AB301" s="6">
        <f t="shared" si="23"/>
        <v>1228.53216</v>
      </c>
      <c r="AD301" s="10">
        <f t="shared" si="24"/>
        <v>1538.2096320000003</v>
      </c>
    </row>
    <row r="302" spans="1:30" x14ac:dyDescent="0.3">
      <c r="A302" t="s">
        <v>30</v>
      </c>
      <c r="B302" s="8" t="s">
        <v>414</v>
      </c>
      <c r="C302" s="8" t="s">
        <v>32</v>
      </c>
      <c r="D302" s="8" t="s">
        <v>33</v>
      </c>
      <c r="E302" s="8" t="s">
        <v>34</v>
      </c>
      <c r="F302" s="8" t="s">
        <v>35</v>
      </c>
      <c r="G302">
        <v>8414309900</v>
      </c>
      <c r="H302" t="s">
        <v>36</v>
      </c>
      <c r="I302" t="s">
        <v>416</v>
      </c>
      <c r="J302" t="s">
        <v>74</v>
      </c>
      <c r="K302" t="s">
        <v>39</v>
      </c>
      <c r="L302">
        <v>7</v>
      </c>
      <c r="M302">
        <v>1</v>
      </c>
      <c r="N302" t="s">
        <v>64</v>
      </c>
      <c r="O302">
        <v>0</v>
      </c>
      <c r="P302">
        <v>404.37</v>
      </c>
      <c r="Q302">
        <v>22.84</v>
      </c>
      <c r="R302">
        <v>2.58</v>
      </c>
      <c r="S302">
        <v>429.79</v>
      </c>
      <c r="T302" t="s">
        <v>75</v>
      </c>
      <c r="U302" t="s">
        <v>416</v>
      </c>
      <c r="V302" t="s">
        <v>74</v>
      </c>
      <c r="W302" t="s">
        <v>417</v>
      </c>
      <c r="X302">
        <v>404.37</v>
      </c>
      <c r="Y302" s="9">
        <f t="shared" si="20"/>
        <v>404.37</v>
      </c>
      <c r="Z302" s="9">
        <f t="shared" si="21"/>
        <v>758.19375000000002</v>
      </c>
      <c r="AA302" s="5">
        <f t="shared" si="22"/>
        <v>842.35325625000007</v>
      </c>
      <c r="AB302" s="6">
        <f t="shared" si="23"/>
        <v>1228.1980556250001</v>
      </c>
      <c r="AD302" s="10">
        <f t="shared" si="24"/>
        <v>1537.7913095625001</v>
      </c>
    </row>
    <row r="303" spans="1:30" x14ac:dyDescent="0.3">
      <c r="A303" t="s">
        <v>30</v>
      </c>
      <c r="B303" s="8" t="s">
        <v>66</v>
      </c>
      <c r="C303" s="8" t="s">
        <v>32</v>
      </c>
      <c r="D303" s="8" t="s">
        <v>33</v>
      </c>
      <c r="E303" s="8" t="s">
        <v>34</v>
      </c>
      <c r="F303" s="8" t="s">
        <v>35</v>
      </c>
      <c r="G303">
        <v>8481805900</v>
      </c>
      <c r="H303" t="s">
        <v>36</v>
      </c>
      <c r="I303" t="s">
        <v>418</v>
      </c>
      <c r="J303" t="s">
        <v>38</v>
      </c>
      <c r="K303" t="s">
        <v>39</v>
      </c>
      <c r="L303">
        <v>7</v>
      </c>
      <c r="M303">
        <v>1</v>
      </c>
      <c r="N303" t="s">
        <v>64</v>
      </c>
      <c r="O303">
        <v>0</v>
      </c>
      <c r="P303">
        <v>145.91999999999999</v>
      </c>
      <c r="Q303">
        <v>23.05</v>
      </c>
      <c r="R303">
        <v>0.9</v>
      </c>
      <c r="S303">
        <v>169.87</v>
      </c>
      <c r="T303" t="s">
        <v>41</v>
      </c>
      <c r="U303" t="s">
        <v>41</v>
      </c>
      <c r="V303" t="s">
        <v>38</v>
      </c>
      <c r="W303" t="s">
        <v>419</v>
      </c>
      <c r="X303">
        <v>145.91999999999999</v>
      </c>
      <c r="Y303" s="9">
        <f t="shared" si="20"/>
        <v>145.91999999999999</v>
      </c>
      <c r="Z303" s="9">
        <f t="shared" si="21"/>
        <v>273.59999999999997</v>
      </c>
      <c r="AA303" s="5">
        <f t="shared" si="22"/>
        <v>303.96959999999996</v>
      </c>
      <c r="AB303" s="6">
        <f t="shared" si="23"/>
        <v>443.20463999999993</v>
      </c>
      <c r="AD303" s="10">
        <f t="shared" si="24"/>
        <v>554.92372799999998</v>
      </c>
    </row>
    <row r="304" spans="1:30" x14ac:dyDescent="0.3">
      <c r="A304" t="s">
        <v>30</v>
      </c>
      <c r="B304" s="8" t="s">
        <v>66</v>
      </c>
      <c r="C304" s="8" t="s">
        <v>32</v>
      </c>
      <c r="D304" s="8" t="s">
        <v>69</v>
      </c>
      <c r="E304" s="8" t="s">
        <v>70</v>
      </c>
      <c r="F304" s="8" t="s">
        <v>71</v>
      </c>
      <c r="G304">
        <v>8481805900</v>
      </c>
      <c r="H304" t="s">
        <v>36</v>
      </c>
      <c r="I304" t="s">
        <v>418</v>
      </c>
      <c r="J304" t="s">
        <v>38</v>
      </c>
      <c r="K304" t="s">
        <v>39</v>
      </c>
      <c r="L304">
        <v>13</v>
      </c>
      <c r="M304">
        <v>5</v>
      </c>
      <c r="N304" t="s">
        <v>64</v>
      </c>
      <c r="O304">
        <v>0</v>
      </c>
      <c r="P304">
        <v>692.25</v>
      </c>
      <c r="Q304">
        <v>49.15</v>
      </c>
      <c r="R304">
        <v>4.53</v>
      </c>
      <c r="S304">
        <v>745.93</v>
      </c>
      <c r="T304" t="s">
        <v>41</v>
      </c>
      <c r="U304" t="s">
        <v>41</v>
      </c>
      <c r="V304" t="s">
        <v>38</v>
      </c>
      <c r="W304" t="s">
        <v>419</v>
      </c>
      <c r="X304">
        <v>138.44999999999999</v>
      </c>
      <c r="Y304" s="9">
        <f t="shared" si="20"/>
        <v>138.44999999999999</v>
      </c>
      <c r="Z304" s="9">
        <f t="shared" si="21"/>
        <v>259.59375</v>
      </c>
      <c r="AA304" s="5">
        <f t="shared" si="22"/>
        <v>288.40865624999998</v>
      </c>
      <c r="AB304" s="6">
        <f t="shared" si="23"/>
        <v>420.51591562499999</v>
      </c>
      <c r="AD304" s="10">
        <f t="shared" si="24"/>
        <v>526.51583156250001</v>
      </c>
    </row>
    <row r="305" spans="1:30" x14ac:dyDescent="0.3">
      <c r="A305" t="s">
        <v>30</v>
      </c>
      <c r="B305" s="8" t="s">
        <v>66</v>
      </c>
      <c r="C305" s="8" t="s">
        <v>32</v>
      </c>
      <c r="D305" s="8" t="s">
        <v>33</v>
      </c>
      <c r="E305" s="8" t="s">
        <v>34</v>
      </c>
      <c r="F305" s="8" t="s">
        <v>35</v>
      </c>
      <c r="G305">
        <v>8481805900</v>
      </c>
      <c r="H305" t="s">
        <v>53</v>
      </c>
      <c r="I305" t="s">
        <v>418</v>
      </c>
      <c r="J305" t="s">
        <v>74</v>
      </c>
      <c r="K305" t="s">
        <v>39</v>
      </c>
      <c r="L305">
        <v>7</v>
      </c>
      <c r="M305">
        <v>4</v>
      </c>
      <c r="N305" t="s">
        <v>64</v>
      </c>
      <c r="O305">
        <v>0</v>
      </c>
      <c r="P305">
        <v>582.01</v>
      </c>
      <c r="Q305">
        <v>32.869999999999997</v>
      </c>
      <c r="R305">
        <v>3.71</v>
      </c>
      <c r="S305">
        <v>618.58000000000004</v>
      </c>
      <c r="T305" t="s">
        <v>75</v>
      </c>
      <c r="U305" t="s">
        <v>418</v>
      </c>
      <c r="V305" t="s">
        <v>74</v>
      </c>
      <c r="W305" t="s">
        <v>419</v>
      </c>
      <c r="X305">
        <v>145.5</v>
      </c>
      <c r="Y305" s="9">
        <f t="shared" si="20"/>
        <v>145.5025</v>
      </c>
      <c r="Z305" s="9">
        <f t="shared" si="21"/>
        <v>272.81718749999999</v>
      </c>
      <c r="AA305" s="5">
        <f t="shared" si="22"/>
        <v>303.0998953125</v>
      </c>
      <c r="AB305" s="6">
        <f t="shared" si="23"/>
        <v>441.93656203124993</v>
      </c>
      <c r="AD305" s="10">
        <f t="shared" si="24"/>
        <v>553.33600420312507</v>
      </c>
    </row>
    <row r="306" spans="1:30" x14ac:dyDescent="0.3">
      <c r="A306" t="s">
        <v>30</v>
      </c>
      <c r="B306" s="8" t="s">
        <v>66</v>
      </c>
      <c r="C306" s="8" t="s">
        <v>32</v>
      </c>
      <c r="D306" s="8" t="s">
        <v>33</v>
      </c>
      <c r="E306" s="8" t="s">
        <v>34</v>
      </c>
      <c r="F306" s="8" t="s">
        <v>35</v>
      </c>
      <c r="G306">
        <v>8481805900</v>
      </c>
      <c r="H306" t="s">
        <v>53</v>
      </c>
      <c r="I306" t="s">
        <v>420</v>
      </c>
      <c r="J306" t="s">
        <v>38</v>
      </c>
      <c r="K306" t="s">
        <v>39</v>
      </c>
      <c r="L306">
        <v>10</v>
      </c>
      <c r="M306">
        <v>3</v>
      </c>
      <c r="N306" t="s">
        <v>64</v>
      </c>
      <c r="O306">
        <v>0</v>
      </c>
      <c r="P306">
        <v>436.62</v>
      </c>
      <c r="Q306">
        <v>36.340000000000003</v>
      </c>
      <c r="R306">
        <v>2.86</v>
      </c>
      <c r="S306">
        <v>475.82</v>
      </c>
      <c r="T306" t="s">
        <v>41</v>
      </c>
      <c r="U306" t="s">
        <v>43</v>
      </c>
      <c r="V306" t="s">
        <v>38</v>
      </c>
      <c r="W306" t="s">
        <v>419</v>
      </c>
      <c r="X306">
        <v>145.54</v>
      </c>
      <c r="Y306" s="9">
        <f t="shared" si="20"/>
        <v>145.54</v>
      </c>
      <c r="Z306" s="9">
        <f t="shared" si="21"/>
        <v>272.88749999999999</v>
      </c>
      <c r="AA306" s="5">
        <f t="shared" si="22"/>
        <v>303.17801249999997</v>
      </c>
      <c r="AB306" s="6">
        <f t="shared" si="23"/>
        <v>442.05046124999996</v>
      </c>
      <c r="AD306" s="10">
        <f t="shared" si="24"/>
        <v>553.47861412500004</v>
      </c>
    </row>
    <row r="307" spans="1:30" x14ac:dyDescent="0.3">
      <c r="A307" t="s">
        <v>30</v>
      </c>
      <c r="B307" s="8" t="s">
        <v>66</v>
      </c>
      <c r="C307" s="8" t="s">
        <v>32</v>
      </c>
      <c r="D307" s="8" t="s">
        <v>33</v>
      </c>
      <c r="E307" s="8" t="s">
        <v>34</v>
      </c>
      <c r="F307" s="8" t="s">
        <v>35</v>
      </c>
      <c r="G307">
        <v>8537109090</v>
      </c>
      <c r="H307" t="s">
        <v>36</v>
      </c>
      <c r="I307" t="s">
        <v>421</v>
      </c>
      <c r="J307" t="s">
        <v>38</v>
      </c>
      <c r="K307" t="s">
        <v>39</v>
      </c>
      <c r="L307">
        <v>3</v>
      </c>
      <c r="M307">
        <v>1</v>
      </c>
      <c r="N307" t="s">
        <v>64</v>
      </c>
      <c r="O307">
        <v>0</v>
      </c>
      <c r="P307">
        <v>281.62</v>
      </c>
      <c r="Q307">
        <v>12.05</v>
      </c>
      <c r="R307">
        <v>1.82</v>
      </c>
      <c r="S307">
        <v>295.48</v>
      </c>
      <c r="T307" t="s">
        <v>41</v>
      </c>
      <c r="U307" t="s">
        <v>43</v>
      </c>
      <c r="V307" t="s">
        <v>38</v>
      </c>
      <c r="W307" t="s">
        <v>422</v>
      </c>
      <c r="X307">
        <v>281.62</v>
      </c>
      <c r="Y307" s="9">
        <f t="shared" si="20"/>
        <v>281.62</v>
      </c>
      <c r="Z307" s="9">
        <f t="shared" si="21"/>
        <v>528.03750000000002</v>
      </c>
      <c r="AA307" s="5">
        <f t="shared" si="22"/>
        <v>586.64966249999998</v>
      </c>
      <c r="AB307" s="6">
        <f t="shared" si="23"/>
        <v>855.36794624999993</v>
      </c>
      <c r="AD307" s="10">
        <f t="shared" si="24"/>
        <v>1070.9814986250001</v>
      </c>
    </row>
    <row r="308" spans="1:30" x14ac:dyDescent="0.3">
      <c r="A308" t="s">
        <v>30</v>
      </c>
      <c r="B308" s="8" t="s">
        <v>221</v>
      </c>
      <c r="C308" s="8" t="s">
        <v>32</v>
      </c>
      <c r="D308" s="8" t="s">
        <v>33</v>
      </c>
      <c r="E308" s="8" t="s">
        <v>34</v>
      </c>
      <c r="F308" s="8" t="s">
        <v>35</v>
      </c>
      <c r="G308">
        <v>8482500000</v>
      </c>
      <c r="H308" t="s">
        <v>83</v>
      </c>
      <c r="I308" t="s">
        <v>81</v>
      </c>
      <c r="J308" t="s">
        <v>38</v>
      </c>
      <c r="K308" t="s">
        <v>39</v>
      </c>
      <c r="L308">
        <v>4</v>
      </c>
      <c r="M308">
        <v>1</v>
      </c>
      <c r="N308" t="s">
        <v>64</v>
      </c>
      <c r="O308">
        <v>0</v>
      </c>
      <c r="P308">
        <v>353.41</v>
      </c>
      <c r="Q308">
        <v>18.5</v>
      </c>
      <c r="R308">
        <v>2.2999999999999998</v>
      </c>
      <c r="S308">
        <v>374.22</v>
      </c>
      <c r="T308" t="s">
        <v>41</v>
      </c>
      <c r="U308" t="s">
        <v>41</v>
      </c>
      <c r="V308" t="s">
        <v>38</v>
      </c>
      <c r="W308" t="s">
        <v>423</v>
      </c>
      <c r="X308">
        <v>353.41</v>
      </c>
      <c r="Y308" s="9">
        <f t="shared" si="20"/>
        <v>353.41</v>
      </c>
      <c r="Z308" s="9">
        <f t="shared" si="21"/>
        <v>662.64375000000007</v>
      </c>
      <c r="AA308" s="5">
        <f t="shared" si="22"/>
        <v>736.19720625000002</v>
      </c>
      <c r="AB308" s="6">
        <f t="shared" si="23"/>
        <v>1073.416610625</v>
      </c>
      <c r="AD308" s="10">
        <f t="shared" si="24"/>
        <v>1343.9939330625002</v>
      </c>
    </row>
    <row r="309" spans="1:30" x14ac:dyDescent="0.3">
      <c r="A309" t="s">
        <v>168</v>
      </c>
      <c r="B309" s="8" t="s">
        <v>44</v>
      </c>
      <c r="C309" s="8" t="s">
        <v>32</v>
      </c>
      <c r="D309" s="8" t="s">
        <v>33</v>
      </c>
      <c r="E309" s="8" t="s">
        <v>34</v>
      </c>
      <c r="F309" s="8" t="s">
        <v>35</v>
      </c>
      <c r="G309">
        <v>8487909000</v>
      </c>
      <c r="H309" t="s">
        <v>424</v>
      </c>
      <c r="I309" t="s">
        <v>310</v>
      </c>
      <c r="J309" t="s">
        <v>38</v>
      </c>
      <c r="K309" t="s">
        <v>39</v>
      </c>
      <c r="L309">
        <v>11</v>
      </c>
      <c r="M309">
        <v>8</v>
      </c>
      <c r="N309" t="s">
        <v>64</v>
      </c>
      <c r="O309">
        <v>0</v>
      </c>
      <c r="P309">
        <v>59.67</v>
      </c>
      <c r="Q309">
        <v>5.72</v>
      </c>
      <c r="R309">
        <v>0.4</v>
      </c>
      <c r="S309">
        <v>65.790000000000006</v>
      </c>
      <c r="T309" t="s">
        <v>41</v>
      </c>
      <c r="U309" t="s">
        <v>43</v>
      </c>
      <c r="V309" t="s">
        <v>38</v>
      </c>
      <c r="W309" t="s">
        <v>425</v>
      </c>
      <c r="X309">
        <v>7.46</v>
      </c>
      <c r="Y309" s="9">
        <f t="shared" si="20"/>
        <v>7.4587500000000002</v>
      </c>
      <c r="Z309" s="9">
        <f t="shared" si="21"/>
        <v>13.985156250000001</v>
      </c>
      <c r="AA309" s="5">
        <f t="shared" si="22"/>
        <v>15.537508593750001</v>
      </c>
      <c r="AB309" s="6">
        <f t="shared" si="23"/>
        <v>22.654554609375001</v>
      </c>
      <c r="AD309" s="10">
        <f t="shared" si="24"/>
        <v>28.365113460937504</v>
      </c>
    </row>
    <row r="310" spans="1:30" x14ac:dyDescent="0.3">
      <c r="A310" t="s">
        <v>30</v>
      </c>
      <c r="B310" s="8" t="s">
        <v>44</v>
      </c>
      <c r="C310" s="8" t="s">
        <v>32</v>
      </c>
      <c r="D310" s="8" t="s">
        <v>33</v>
      </c>
      <c r="E310" s="8" t="s">
        <v>34</v>
      </c>
      <c r="F310" s="8" t="s">
        <v>35</v>
      </c>
      <c r="G310">
        <v>8487909000</v>
      </c>
      <c r="H310" t="s">
        <v>36</v>
      </c>
      <c r="I310" t="s">
        <v>250</v>
      </c>
      <c r="J310" t="s">
        <v>38</v>
      </c>
      <c r="K310" t="s">
        <v>39</v>
      </c>
      <c r="L310">
        <v>8</v>
      </c>
      <c r="M310">
        <v>12</v>
      </c>
      <c r="N310" t="s">
        <v>64</v>
      </c>
      <c r="O310">
        <v>0</v>
      </c>
      <c r="P310">
        <v>88.89</v>
      </c>
      <c r="Q310">
        <v>11.14</v>
      </c>
      <c r="R310">
        <v>0.61</v>
      </c>
      <c r="S310">
        <v>100.64</v>
      </c>
      <c r="T310" t="s">
        <v>41</v>
      </c>
      <c r="U310" t="s">
        <v>41</v>
      </c>
      <c r="V310" t="s">
        <v>38</v>
      </c>
      <c r="W310" t="s">
        <v>425</v>
      </c>
      <c r="X310">
        <v>7.41</v>
      </c>
      <c r="Y310" s="9">
        <f t="shared" si="20"/>
        <v>7.4074999999999998</v>
      </c>
      <c r="Z310" s="9">
        <f t="shared" si="21"/>
        <v>13.8890625</v>
      </c>
      <c r="AA310" s="5">
        <f t="shared" si="22"/>
        <v>15.4307484375</v>
      </c>
      <c r="AB310" s="6">
        <f t="shared" si="23"/>
        <v>22.498892343749997</v>
      </c>
      <c r="AD310" s="10">
        <f t="shared" si="24"/>
        <v>28.170213234375002</v>
      </c>
    </row>
    <row r="311" spans="1:30" x14ac:dyDescent="0.3">
      <c r="A311" t="s">
        <v>30</v>
      </c>
      <c r="B311" s="8" t="s">
        <v>32</v>
      </c>
      <c r="C311" s="8" t="s">
        <v>32</v>
      </c>
      <c r="D311" s="8" t="s">
        <v>33</v>
      </c>
      <c r="E311" s="8" t="s">
        <v>34</v>
      </c>
      <c r="F311" s="8" t="s">
        <v>35</v>
      </c>
      <c r="G311">
        <v>7318190000</v>
      </c>
      <c r="H311" t="s">
        <v>36</v>
      </c>
      <c r="I311" t="s">
        <v>426</v>
      </c>
      <c r="J311" t="s">
        <v>38</v>
      </c>
      <c r="K311" t="s">
        <v>39</v>
      </c>
      <c r="L311">
        <v>7</v>
      </c>
      <c r="M311">
        <v>1</v>
      </c>
      <c r="N311" t="s">
        <v>40</v>
      </c>
      <c r="O311">
        <v>2.0299999999999998</v>
      </c>
      <c r="P311">
        <v>8.08</v>
      </c>
      <c r="Q311">
        <v>1.28</v>
      </c>
      <c r="R311">
        <v>0.05</v>
      </c>
      <c r="S311">
        <v>9.41</v>
      </c>
      <c r="T311" t="s">
        <v>41</v>
      </c>
      <c r="U311" t="s">
        <v>41</v>
      </c>
      <c r="V311" t="s">
        <v>38</v>
      </c>
      <c r="W311" t="s">
        <v>427</v>
      </c>
      <c r="X311">
        <v>8.08</v>
      </c>
      <c r="Y311" s="9">
        <f t="shared" si="20"/>
        <v>8.08</v>
      </c>
      <c r="Z311" s="9">
        <f t="shared" si="21"/>
        <v>15.15</v>
      </c>
      <c r="AA311" s="5">
        <f t="shared" si="22"/>
        <v>16.83165</v>
      </c>
      <c r="AB311" s="6">
        <f t="shared" si="23"/>
        <v>24.541484999999998</v>
      </c>
      <c r="AD311" s="10">
        <f t="shared" si="24"/>
        <v>30.727684500000002</v>
      </c>
    </row>
    <row r="312" spans="1:30" x14ac:dyDescent="0.3">
      <c r="A312" t="s">
        <v>30</v>
      </c>
      <c r="B312" s="8" t="s">
        <v>32</v>
      </c>
      <c r="C312" s="8" t="s">
        <v>32</v>
      </c>
      <c r="D312" s="8" t="s">
        <v>69</v>
      </c>
      <c r="E312" s="8" t="s">
        <v>70</v>
      </c>
      <c r="F312" s="8" t="s">
        <v>71</v>
      </c>
      <c r="G312">
        <v>7318190000</v>
      </c>
      <c r="H312" t="s">
        <v>36</v>
      </c>
      <c r="I312" t="s">
        <v>426</v>
      </c>
      <c r="J312" t="s">
        <v>38</v>
      </c>
      <c r="K312" t="s">
        <v>39</v>
      </c>
      <c r="L312">
        <v>9</v>
      </c>
      <c r="M312">
        <v>1</v>
      </c>
      <c r="N312" t="s">
        <v>40</v>
      </c>
      <c r="O312">
        <v>0.56999999999999995</v>
      </c>
      <c r="P312">
        <v>7.67</v>
      </c>
      <c r="Q312">
        <v>0.39</v>
      </c>
      <c r="R312">
        <v>0.05</v>
      </c>
      <c r="S312">
        <v>8.11</v>
      </c>
      <c r="T312" t="s">
        <v>41</v>
      </c>
      <c r="U312" t="s">
        <v>43</v>
      </c>
      <c r="V312" t="s">
        <v>38</v>
      </c>
      <c r="W312" t="s">
        <v>427</v>
      </c>
      <c r="X312">
        <v>7.67</v>
      </c>
      <c r="Y312" s="9">
        <f t="shared" si="20"/>
        <v>7.67</v>
      </c>
      <c r="Z312" s="9">
        <f t="shared" si="21"/>
        <v>14.38125</v>
      </c>
      <c r="AA312" s="5">
        <f t="shared" si="22"/>
        <v>15.97756875</v>
      </c>
      <c r="AB312" s="6">
        <f t="shared" si="23"/>
        <v>23.296186874999997</v>
      </c>
      <c r="AD312" s="10">
        <f t="shared" si="24"/>
        <v>29.168482687500003</v>
      </c>
    </row>
    <row r="313" spans="1:30" x14ac:dyDescent="0.3">
      <c r="A313" t="s">
        <v>30</v>
      </c>
      <c r="B313" s="8" t="s">
        <v>31</v>
      </c>
      <c r="C313" s="8" t="s">
        <v>32</v>
      </c>
      <c r="D313" s="8" t="s">
        <v>33</v>
      </c>
      <c r="E313" s="8" t="s">
        <v>34</v>
      </c>
      <c r="F313" s="8" t="s">
        <v>35</v>
      </c>
      <c r="G313">
        <v>8421299090</v>
      </c>
      <c r="H313" t="s">
        <v>36</v>
      </c>
      <c r="I313" t="s">
        <v>318</v>
      </c>
      <c r="J313" t="s">
        <v>38</v>
      </c>
      <c r="K313" t="s">
        <v>39</v>
      </c>
      <c r="L313">
        <v>3</v>
      </c>
      <c r="M313">
        <v>6</v>
      </c>
      <c r="N313" t="s">
        <v>64</v>
      </c>
      <c r="O313">
        <v>0</v>
      </c>
      <c r="P313">
        <v>294.44</v>
      </c>
      <c r="Q313">
        <v>12.6</v>
      </c>
      <c r="R313">
        <v>1.9</v>
      </c>
      <c r="S313">
        <v>308.94</v>
      </c>
      <c r="T313" t="s">
        <v>41</v>
      </c>
      <c r="U313" t="s">
        <v>43</v>
      </c>
      <c r="V313" t="s">
        <v>38</v>
      </c>
      <c r="W313" t="s">
        <v>428</v>
      </c>
      <c r="X313">
        <v>49.07</v>
      </c>
      <c r="Y313" s="9">
        <f t="shared" si="20"/>
        <v>49.073333333333331</v>
      </c>
      <c r="Z313" s="9">
        <f t="shared" si="21"/>
        <v>92.012499999999989</v>
      </c>
      <c r="AA313" s="5">
        <f t="shared" si="22"/>
        <v>102.22588749999998</v>
      </c>
      <c r="AB313" s="6">
        <f t="shared" si="23"/>
        <v>149.05104874999998</v>
      </c>
      <c r="AD313" s="10">
        <f t="shared" si="24"/>
        <v>186.62251287499998</v>
      </c>
    </row>
    <row r="314" spans="1:30" x14ac:dyDescent="0.3">
      <c r="A314" t="s">
        <v>30</v>
      </c>
      <c r="B314" s="8" t="s">
        <v>31</v>
      </c>
      <c r="C314" s="8" t="s">
        <v>32</v>
      </c>
      <c r="D314" s="8" t="s">
        <v>33</v>
      </c>
      <c r="E314" s="8" t="s">
        <v>34</v>
      </c>
      <c r="F314" s="8" t="s">
        <v>35</v>
      </c>
      <c r="G314">
        <v>8421299090</v>
      </c>
      <c r="H314" t="s">
        <v>36</v>
      </c>
      <c r="I314" t="s">
        <v>241</v>
      </c>
      <c r="J314" t="s">
        <v>38</v>
      </c>
      <c r="K314" t="s">
        <v>39</v>
      </c>
      <c r="L314">
        <v>6</v>
      </c>
      <c r="M314">
        <v>4</v>
      </c>
      <c r="N314" t="s">
        <v>64</v>
      </c>
      <c r="O314">
        <v>0</v>
      </c>
      <c r="P314">
        <v>196.82</v>
      </c>
      <c r="Q314">
        <v>13.36</v>
      </c>
      <c r="R314">
        <v>1.28</v>
      </c>
      <c r="S314">
        <v>211.45</v>
      </c>
      <c r="T314" t="s">
        <v>41</v>
      </c>
      <c r="U314" t="s">
        <v>41</v>
      </c>
      <c r="V314" t="s">
        <v>38</v>
      </c>
      <c r="W314" t="s">
        <v>428</v>
      </c>
      <c r="X314">
        <v>49.2</v>
      </c>
      <c r="Y314" s="9">
        <f t="shared" si="20"/>
        <v>49.204999999999998</v>
      </c>
      <c r="Z314" s="9">
        <f t="shared" si="21"/>
        <v>92.259374999999991</v>
      </c>
      <c r="AA314" s="5">
        <f t="shared" si="22"/>
        <v>102.50016562499999</v>
      </c>
      <c r="AB314" s="6">
        <f t="shared" si="23"/>
        <v>149.45096156249997</v>
      </c>
      <c r="AD314" s="10">
        <f t="shared" si="24"/>
        <v>187.12323215625</v>
      </c>
    </row>
    <row r="315" spans="1:30" x14ac:dyDescent="0.3">
      <c r="A315" t="s">
        <v>168</v>
      </c>
      <c r="B315" s="8" t="s">
        <v>31</v>
      </c>
      <c r="C315" s="8" t="s">
        <v>32</v>
      </c>
      <c r="D315" s="8" t="s">
        <v>33</v>
      </c>
      <c r="E315" s="8" t="s">
        <v>34</v>
      </c>
      <c r="F315" s="8" t="s">
        <v>35</v>
      </c>
      <c r="G315">
        <v>8421299090</v>
      </c>
      <c r="H315" t="s">
        <v>36</v>
      </c>
      <c r="I315" t="s">
        <v>241</v>
      </c>
      <c r="J315" t="s">
        <v>38</v>
      </c>
      <c r="K315" t="s">
        <v>39</v>
      </c>
      <c r="L315">
        <v>11</v>
      </c>
      <c r="M315">
        <v>6</v>
      </c>
      <c r="N315" t="s">
        <v>64</v>
      </c>
      <c r="O315">
        <v>0</v>
      </c>
      <c r="P315">
        <v>297.18</v>
      </c>
      <c r="Q315">
        <v>28.46</v>
      </c>
      <c r="R315">
        <v>2.0099999999999998</v>
      </c>
      <c r="S315">
        <v>327.64999999999998</v>
      </c>
      <c r="T315" t="s">
        <v>41</v>
      </c>
      <c r="U315" t="s">
        <v>43</v>
      </c>
      <c r="V315" t="s">
        <v>38</v>
      </c>
      <c r="W315" t="s">
        <v>428</v>
      </c>
      <c r="X315">
        <v>49.53</v>
      </c>
      <c r="Y315" s="9">
        <f t="shared" si="20"/>
        <v>49.53</v>
      </c>
      <c r="Z315" s="9">
        <f t="shared" si="21"/>
        <v>92.868750000000006</v>
      </c>
      <c r="AA315" s="5">
        <f t="shared" si="22"/>
        <v>103.17718125</v>
      </c>
      <c r="AB315" s="6">
        <f t="shared" si="23"/>
        <v>150.43808812500001</v>
      </c>
      <c r="AD315" s="10">
        <f t="shared" si="24"/>
        <v>188.35918481250002</v>
      </c>
    </row>
    <row r="316" spans="1:30" x14ac:dyDescent="0.3">
      <c r="A316" t="s">
        <v>30</v>
      </c>
      <c r="B316" s="8" t="s">
        <v>31</v>
      </c>
      <c r="C316" s="8" t="s">
        <v>32</v>
      </c>
      <c r="D316" s="8" t="s">
        <v>33</v>
      </c>
      <c r="E316" s="8" t="s">
        <v>34</v>
      </c>
      <c r="F316" s="8" t="s">
        <v>35</v>
      </c>
      <c r="G316">
        <v>8421299090</v>
      </c>
      <c r="H316" t="s">
        <v>243</v>
      </c>
      <c r="I316" t="s">
        <v>241</v>
      </c>
      <c r="J316" t="s">
        <v>38</v>
      </c>
      <c r="K316" t="s">
        <v>39</v>
      </c>
      <c r="L316">
        <v>8</v>
      </c>
      <c r="M316">
        <v>5</v>
      </c>
      <c r="N316" t="s">
        <v>64</v>
      </c>
      <c r="O316">
        <v>0</v>
      </c>
      <c r="P316">
        <v>246.16</v>
      </c>
      <c r="Q316">
        <v>26.28</v>
      </c>
      <c r="R316">
        <v>1.65</v>
      </c>
      <c r="S316">
        <v>274.08999999999997</v>
      </c>
      <c r="T316" t="s">
        <v>41</v>
      </c>
      <c r="U316" t="s">
        <v>41</v>
      </c>
      <c r="V316" t="s">
        <v>38</v>
      </c>
      <c r="W316" t="s">
        <v>428</v>
      </c>
      <c r="X316">
        <v>49.23</v>
      </c>
      <c r="Y316" s="9">
        <f t="shared" si="20"/>
        <v>49.231999999999999</v>
      </c>
      <c r="Z316" s="9">
        <f t="shared" si="21"/>
        <v>92.31</v>
      </c>
      <c r="AA316" s="5">
        <f t="shared" si="22"/>
        <v>102.55641</v>
      </c>
      <c r="AB316" s="6">
        <f t="shared" si="23"/>
        <v>149.53296899999998</v>
      </c>
      <c r="AD316" s="10">
        <f t="shared" si="24"/>
        <v>187.22591130000004</v>
      </c>
    </row>
    <row r="317" spans="1:30" x14ac:dyDescent="0.3">
      <c r="A317" t="s">
        <v>30</v>
      </c>
      <c r="B317" s="8" t="s">
        <v>31</v>
      </c>
      <c r="C317" s="8" t="s">
        <v>32</v>
      </c>
      <c r="D317" s="8" t="s">
        <v>69</v>
      </c>
      <c r="E317" s="8" t="s">
        <v>70</v>
      </c>
      <c r="F317" s="8" t="s">
        <v>71</v>
      </c>
      <c r="G317">
        <v>8421299090</v>
      </c>
      <c r="H317" t="s">
        <v>243</v>
      </c>
      <c r="I317" t="s">
        <v>241</v>
      </c>
      <c r="J317" t="s">
        <v>38</v>
      </c>
      <c r="K317" t="s">
        <v>39</v>
      </c>
      <c r="L317">
        <v>8</v>
      </c>
      <c r="M317">
        <v>4</v>
      </c>
      <c r="N317" t="s">
        <v>64</v>
      </c>
      <c r="O317">
        <v>0</v>
      </c>
      <c r="P317">
        <v>192.56</v>
      </c>
      <c r="Q317">
        <v>12.61</v>
      </c>
      <c r="R317">
        <v>1.25</v>
      </c>
      <c r="S317">
        <v>206.41</v>
      </c>
      <c r="T317" t="s">
        <v>41</v>
      </c>
      <c r="U317" t="s">
        <v>41</v>
      </c>
      <c r="V317" t="s">
        <v>38</v>
      </c>
      <c r="W317" t="s">
        <v>428</v>
      </c>
      <c r="X317">
        <v>48.14</v>
      </c>
      <c r="Y317" s="9">
        <f t="shared" si="20"/>
        <v>48.14</v>
      </c>
      <c r="Z317" s="9">
        <f t="shared" si="21"/>
        <v>90.262500000000003</v>
      </c>
      <c r="AA317" s="5">
        <f t="shared" si="22"/>
        <v>100.2816375</v>
      </c>
      <c r="AB317" s="6">
        <f t="shared" si="23"/>
        <v>146.21622374999998</v>
      </c>
      <c r="AD317" s="10">
        <f t="shared" si="24"/>
        <v>183.07311037500003</v>
      </c>
    </row>
    <row r="318" spans="1:30" x14ac:dyDescent="0.3">
      <c r="A318" t="s">
        <v>168</v>
      </c>
      <c r="B318" s="8" t="s">
        <v>31</v>
      </c>
      <c r="C318" s="8" t="s">
        <v>32</v>
      </c>
      <c r="E318" s="8" t="s">
        <v>70</v>
      </c>
      <c r="F318" s="8" t="s">
        <v>71</v>
      </c>
      <c r="G318">
        <v>8421299090</v>
      </c>
      <c r="H318" t="s">
        <v>243</v>
      </c>
      <c r="I318" t="s">
        <v>241</v>
      </c>
      <c r="J318" t="s">
        <v>38</v>
      </c>
      <c r="K318" t="s">
        <v>39</v>
      </c>
      <c r="L318">
        <v>0</v>
      </c>
      <c r="M318">
        <v>6</v>
      </c>
      <c r="N318" t="s">
        <v>64</v>
      </c>
      <c r="O318">
        <v>0</v>
      </c>
      <c r="P318">
        <v>250.15</v>
      </c>
      <c r="Q318">
        <v>19.2</v>
      </c>
      <c r="R318">
        <v>1.8</v>
      </c>
      <c r="S318">
        <v>271.14999999999998</v>
      </c>
      <c r="T318" t="s">
        <v>41</v>
      </c>
      <c r="U318" t="s">
        <v>41</v>
      </c>
      <c r="V318" t="s">
        <v>38</v>
      </c>
      <c r="W318" t="s">
        <v>428</v>
      </c>
      <c r="X318">
        <v>41.69</v>
      </c>
      <c r="Y318" s="9">
        <f t="shared" si="20"/>
        <v>41.69166666666667</v>
      </c>
      <c r="Z318" s="9">
        <f t="shared" si="21"/>
        <v>78.171875</v>
      </c>
      <c r="AA318" s="5">
        <f t="shared" si="22"/>
        <v>86.848953124999994</v>
      </c>
      <c r="AB318" s="6">
        <f t="shared" si="23"/>
        <v>126.63062031249999</v>
      </c>
      <c r="AD318" s="10">
        <f t="shared" si="24"/>
        <v>158.55054203125002</v>
      </c>
    </row>
    <row r="319" spans="1:30" x14ac:dyDescent="0.3">
      <c r="A319" t="s">
        <v>30</v>
      </c>
      <c r="B319" s="8" t="s">
        <v>31</v>
      </c>
      <c r="C319" s="8" t="s">
        <v>32</v>
      </c>
      <c r="D319" s="8" t="s">
        <v>69</v>
      </c>
      <c r="E319" s="8" t="s">
        <v>70</v>
      </c>
      <c r="F319" s="8" t="s">
        <v>71</v>
      </c>
      <c r="G319">
        <v>8421392000</v>
      </c>
      <c r="H319" t="s">
        <v>429</v>
      </c>
      <c r="I319" t="s">
        <v>430</v>
      </c>
      <c r="J319" t="s">
        <v>38</v>
      </c>
      <c r="K319" t="s">
        <v>39</v>
      </c>
      <c r="L319">
        <v>8</v>
      </c>
      <c r="M319">
        <v>4</v>
      </c>
      <c r="N319" t="s">
        <v>64</v>
      </c>
      <c r="O319">
        <v>33.47</v>
      </c>
      <c r="P319">
        <v>665.04</v>
      </c>
      <c r="Q319">
        <v>43.54</v>
      </c>
      <c r="R319">
        <v>4.3099999999999996</v>
      </c>
      <c r="S319">
        <v>712.89</v>
      </c>
      <c r="T319" t="s">
        <v>41</v>
      </c>
      <c r="U319" t="s">
        <v>41</v>
      </c>
      <c r="V319" t="s">
        <v>38</v>
      </c>
      <c r="W319" t="s">
        <v>431</v>
      </c>
      <c r="X319">
        <v>166.26</v>
      </c>
      <c r="Y319" s="9">
        <f t="shared" si="20"/>
        <v>166.26</v>
      </c>
      <c r="Z319" s="9">
        <f t="shared" si="21"/>
        <v>311.73749999999995</v>
      </c>
      <c r="AA319" s="5">
        <f t="shared" si="22"/>
        <v>346.34036249999997</v>
      </c>
      <c r="AB319" s="6">
        <f t="shared" si="23"/>
        <v>504.98357624999989</v>
      </c>
      <c r="AD319" s="10">
        <f t="shared" si="24"/>
        <v>632.27534962499999</v>
      </c>
    </row>
    <row r="320" spans="1:30" x14ac:dyDescent="0.3">
      <c r="A320" t="s">
        <v>30</v>
      </c>
      <c r="B320" s="8" t="s">
        <v>31</v>
      </c>
      <c r="C320" s="8" t="s">
        <v>32</v>
      </c>
      <c r="D320" s="8" t="s">
        <v>69</v>
      </c>
      <c r="E320" s="8" t="s">
        <v>70</v>
      </c>
      <c r="F320" s="8" t="s">
        <v>71</v>
      </c>
      <c r="G320">
        <v>8421392000</v>
      </c>
      <c r="H320" t="s">
        <v>429</v>
      </c>
      <c r="I320" t="s">
        <v>430</v>
      </c>
      <c r="J320" t="s">
        <v>38</v>
      </c>
      <c r="K320" t="s">
        <v>39</v>
      </c>
      <c r="L320">
        <v>13</v>
      </c>
      <c r="M320">
        <v>3</v>
      </c>
      <c r="N320" t="s">
        <v>64</v>
      </c>
      <c r="O320">
        <v>25.1</v>
      </c>
      <c r="P320">
        <v>498.78</v>
      </c>
      <c r="Q320">
        <v>26.63</v>
      </c>
      <c r="R320">
        <v>3.2</v>
      </c>
      <c r="S320">
        <v>528.61</v>
      </c>
      <c r="T320" t="s">
        <v>72</v>
      </c>
      <c r="U320" t="s">
        <v>72</v>
      </c>
      <c r="V320" t="s">
        <v>38</v>
      </c>
      <c r="W320" t="s">
        <v>431</v>
      </c>
      <c r="X320">
        <v>166.26</v>
      </c>
      <c r="Y320" s="9">
        <f t="shared" si="20"/>
        <v>166.26</v>
      </c>
      <c r="Z320" s="9">
        <f t="shared" si="21"/>
        <v>311.73749999999995</v>
      </c>
      <c r="AA320" s="5">
        <f t="shared" si="22"/>
        <v>346.34036249999997</v>
      </c>
      <c r="AB320" s="6">
        <f t="shared" si="23"/>
        <v>504.98357624999989</v>
      </c>
      <c r="AD320" s="10">
        <f t="shared" si="24"/>
        <v>632.27534962499999</v>
      </c>
    </row>
    <row r="321" spans="1:30" x14ac:dyDescent="0.3">
      <c r="A321" t="s">
        <v>168</v>
      </c>
      <c r="B321" s="8" t="s">
        <v>31</v>
      </c>
      <c r="C321" s="8" t="s">
        <v>32</v>
      </c>
      <c r="E321" s="8" t="s">
        <v>70</v>
      </c>
      <c r="F321" s="8" t="s">
        <v>71</v>
      </c>
      <c r="G321">
        <v>8421392000</v>
      </c>
      <c r="H321" t="s">
        <v>429</v>
      </c>
      <c r="I321" t="s">
        <v>430</v>
      </c>
      <c r="J321" t="s">
        <v>38</v>
      </c>
      <c r="K321" t="s">
        <v>39</v>
      </c>
      <c r="L321">
        <v>0</v>
      </c>
      <c r="M321">
        <v>4</v>
      </c>
      <c r="N321" t="s">
        <v>64</v>
      </c>
      <c r="O321">
        <v>31.22</v>
      </c>
      <c r="P321">
        <v>575.94000000000005</v>
      </c>
      <c r="Q321">
        <v>44.21</v>
      </c>
      <c r="R321">
        <v>4.1500000000000004</v>
      </c>
      <c r="S321">
        <v>624.29999999999995</v>
      </c>
      <c r="T321" t="s">
        <v>41</v>
      </c>
      <c r="U321" t="s">
        <v>41</v>
      </c>
      <c r="V321" t="s">
        <v>38</v>
      </c>
      <c r="W321" t="s">
        <v>431</v>
      </c>
      <c r="X321">
        <v>143.99</v>
      </c>
      <c r="Y321" s="9">
        <f t="shared" si="20"/>
        <v>143.98500000000001</v>
      </c>
      <c r="Z321" s="9">
        <f t="shared" si="21"/>
        <v>269.97187500000001</v>
      </c>
      <c r="AA321" s="5">
        <f t="shared" si="22"/>
        <v>299.93875312500001</v>
      </c>
      <c r="AB321" s="6">
        <f t="shared" si="23"/>
        <v>437.32744031250002</v>
      </c>
      <c r="AD321" s="10">
        <f t="shared" si="24"/>
        <v>547.56505603125004</v>
      </c>
    </row>
    <row r="322" spans="1:30" x14ac:dyDescent="0.3">
      <c r="A322" t="s">
        <v>30</v>
      </c>
      <c r="B322" s="8" t="s">
        <v>32</v>
      </c>
      <c r="C322" s="8" t="s">
        <v>32</v>
      </c>
      <c r="D322" s="8" t="s">
        <v>33</v>
      </c>
      <c r="E322" s="8" t="s">
        <v>34</v>
      </c>
      <c r="F322" s="8" t="s">
        <v>35</v>
      </c>
      <c r="G322">
        <v>7304390000</v>
      </c>
      <c r="H322" t="s">
        <v>36</v>
      </c>
      <c r="I322" t="s">
        <v>432</v>
      </c>
      <c r="J322" t="s">
        <v>38</v>
      </c>
      <c r="K322" t="s">
        <v>39</v>
      </c>
      <c r="L322">
        <v>16</v>
      </c>
      <c r="M322">
        <v>2</v>
      </c>
      <c r="N322" t="s">
        <v>40</v>
      </c>
      <c r="O322">
        <v>0</v>
      </c>
      <c r="P322">
        <v>98.53</v>
      </c>
      <c r="Q322">
        <v>13.6</v>
      </c>
      <c r="R322">
        <v>0.66</v>
      </c>
      <c r="S322">
        <v>112.79</v>
      </c>
      <c r="T322" t="s">
        <v>41</v>
      </c>
      <c r="U322" t="s">
        <v>41</v>
      </c>
      <c r="V322" t="s">
        <v>38</v>
      </c>
      <c r="W322" t="s">
        <v>433</v>
      </c>
      <c r="X322">
        <v>49.27</v>
      </c>
      <c r="Y322" s="9">
        <f t="shared" si="20"/>
        <v>49.265000000000001</v>
      </c>
      <c r="Z322" s="9">
        <f t="shared" si="21"/>
        <v>92.371875000000003</v>
      </c>
      <c r="AA322" s="5">
        <f t="shared" si="22"/>
        <v>102.625153125</v>
      </c>
      <c r="AB322" s="6">
        <f t="shared" si="23"/>
        <v>149.63320031250001</v>
      </c>
      <c r="AD322" s="10">
        <f t="shared" si="24"/>
        <v>187.35140803125003</v>
      </c>
    </row>
    <row r="323" spans="1:30" x14ac:dyDescent="0.3">
      <c r="A323" t="s">
        <v>30</v>
      </c>
      <c r="B323" s="8" t="s">
        <v>249</v>
      </c>
      <c r="C323" s="8" t="s">
        <v>32</v>
      </c>
      <c r="D323" s="8" t="s">
        <v>33</v>
      </c>
      <c r="E323" s="8" t="s">
        <v>34</v>
      </c>
      <c r="F323" s="8" t="s">
        <v>35</v>
      </c>
      <c r="G323">
        <v>8504409000</v>
      </c>
      <c r="H323" t="s">
        <v>36</v>
      </c>
      <c r="I323" t="s">
        <v>434</v>
      </c>
      <c r="J323" t="s">
        <v>38</v>
      </c>
      <c r="K323" t="s">
        <v>39</v>
      </c>
      <c r="L323">
        <v>8</v>
      </c>
      <c r="M323">
        <v>1</v>
      </c>
      <c r="N323" t="s">
        <v>64</v>
      </c>
      <c r="O323">
        <v>0</v>
      </c>
      <c r="P323">
        <v>2672.98</v>
      </c>
      <c r="Q323">
        <v>151.33000000000001</v>
      </c>
      <c r="R323">
        <v>17.059999999999999</v>
      </c>
      <c r="S323">
        <v>2841.36</v>
      </c>
      <c r="T323" t="s">
        <v>41</v>
      </c>
      <c r="U323" t="s">
        <v>41</v>
      </c>
      <c r="V323" t="s">
        <v>38</v>
      </c>
      <c r="W323" t="s">
        <v>435</v>
      </c>
      <c r="X323">
        <v>2672.98</v>
      </c>
      <c r="Y323" s="9">
        <f t="shared" ref="Y323:Y386" si="25">SUM(P323)/M323</f>
        <v>2672.98</v>
      </c>
      <c r="Z323" s="9">
        <f t="shared" ref="Z323:Z386" si="26">SUM(Y323)*1.875</f>
        <v>5011.8374999999996</v>
      </c>
      <c r="AA323" s="5">
        <f t="shared" ref="AA323:AA386" si="27">SUM(Z323)*1.111</f>
        <v>5568.1514625</v>
      </c>
      <c r="AB323" s="6">
        <f t="shared" ref="AB323:AB386" si="28">SUM(Z323)*1.6199</f>
        <v>8118.6755662499991</v>
      </c>
      <c r="AD323" s="10">
        <f t="shared" ref="AD323:AD386" si="29">SUM(Z323)*2.02823</f>
        <v>10165.159172625001</v>
      </c>
    </row>
    <row r="324" spans="1:30" x14ac:dyDescent="0.3">
      <c r="A324" t="s">
        <v>30</v>
      </c>
      <c r="B324" s="8" t="s">
        <v>66</v>
      </c>
      <c r="C324" s="8" t="s">
        <v>32</v>
      </c>
      <c r="D324" s="8" t="s">
        <v>33</v>
      </c>
      <c r="E324" s="8" t="s">
        <v>34</v>
      </c>
      <c r="F324" s="8" t="s">
        <v>35</v>
      </c>
      <c r="G324">
        <v>4009220000</v>
      </c>
      <c r="H324" t="s">
        <v>88</v>
      </c>
      <c r="I324" t="s">
        <v>46</v>
      </c>
      <c r="J324" t="s">
        <v>38</v>
      </c>
      <c r="K324" t="s">
        <v>39</v>
      </c>
      <c r="L324">
        <v>6</v>
      </c>
      <c r="M324">
        <v>2</v>
      </c>
      <c r="N324" t="s">
        <v>40</v>
      </c>
      <c r="O324">
        <v>0</v>
      </c>
      <c r="P324">
        <v>109.45</v>
      </c>
      <c r="Q324">
        <v>7.43</v>
      </c>
      <c r="R324">
        <v>0.71</v>
      </c>
      <c r="S324">
        <v>117.58</v>
      </c>
      <c r="T324" t="s">
        <v>41</v>
      </c>
      <c r="U324" t="s">
        <v>41</v>
      </c>
      <c r="V324" t="s">
        <v>38</v>
      </c>
      <c r="W324" t="s">
        <v>436</v>
      </c>
      <c r="X324">
        <v>54.73</v>
      </c>
      <c r="Y324" s="9">
        <f t="shared" si="25"/>
        <v>54.725000000000001</v>
      </c>
      <c r="Z324" s="9">
        <f t="shared" si="26"/>
        <v>102.609375</v>
      </c>
      <c r="AA324" s="5">
        <f t="shared" si="27"/>
        <v>113.999015625</v>
      </c>
      <c r="AB324" s="6">
        <f t="shared" si="28"/>
        <v>166.21692656249999</v>
      </c>
      <c r="AD324" s="10">
        <f t="shared" si="29"/>
        <v>208.11541265625002</v>
      </c>
    </row>
    <row r="325" spans="1:30" x14ac:dyDescent="0.3">
      <c r="A325" t="s">
        <v>30</v>
      </c>
      <c r="B325" s="8" t="s">
        <v>66</v>
      </c>
      <c r="C325" s="8" t="s">
        <v>32</v>
      </c>
      <c r="D325" s="8" t="s">
        <v>33</v>
      </c>
      <c r="E325" s="8" t="s">
        <v>34</v>
      </c>
      <c r="F325" s="8" t="s">
        <v>35</v>
      </c>
      <c r="G325">
        <v>4009220000</v>
      </c>
      <c r="H325" t="s">
        <v>88</v>
      </c>
      <c r="I325" t="s">
        <v>437</v>
      </c>
      <c r="J325" t="s">
        <v>38</v>
      </c>
      <c r="K325" t="s">
        <v>39</v>
      </c>
      <c r="L325">
        <v>16</v>
      </c>
      <c r="M325">
        <v>1</v>
      </c>
      <c r="N325" t="s">
        <v>40</v>
      </c>
      <c r="O325">
        <v>0</v>
      </c>
      <c r="P325">
        <v>54.93</v>
      </c>
      <c r="Q325">
        <v>7.58</v>
      </c>
      <c r="R325">
        <v>0.37</v>
      </c>
      <c r="S325">
        <v>62.88</v>
      </c>
      <c r="T325" t="s">
        <v>41</v>
      </c>
      <c r="U325" t="s">
        <v>41</v>
      </c>
      <c r="V325" t="s">
        <v>38</v>
      </c>
      <c r="W325" t="s">
        <v>436</v>
      </c>
      <c r="X325">
        <v>54.93</v>
      </c>
      <c r="Y325" s="9">
        <f t="shared" si="25"/>
        <v>54.93</v>
      </c>
      <c r="Z325" s="9">
        <f t="shared" si="26"/>
        <v>102.99375000000001</v>
      </c>
      <c r="AA325" s="5">
        <f t="shared" si="27"/>
        <v>114.42605625</v>
      </c>
      <c r="AB325" s="6">
        <f t="shared" si="28"/>
        <v>166.83957562500001</v>
      </c>
      <c r="AD325" s="10">
        <f t="shared" si="29"/>
        <v>208.89501356250003</v>
      </c>
    </row>
    <row r="326" spans="1:30" x14ac:dyDescent="0.3">
      <c r="A326" t="s">
        <v>30</v>
      </c>
      <c r="B326" s="8" t="s">
        <v>66</v>
      </c>
      <c r="C326" s="8" t="s">
        <v>32</v>
      </c>
      <c r="D326" s="8" t="s">
        <v>33</v>
      </c>
      <c r="E326" s="8" t="s">
        <v>34</v>
      </c>
      <c r="F326" s="8" t="s">
        <v>35</v>
      </c>
      <c r="G326">
        <v>4009220000</v>
      </c>
      <c r="H326" t="s">
        <v>88</v>
      </c>
      <c r="I326" t="s">
        <v>46</v>
      </c>
      <c r="J326" t="s">
        <v>38</v>
      </c>
      <c r="K326" t="s">
        <v>39</v>
      </c>
      <c r="L326">
        <v>6</v>
      </c>
      <c r="M326">
        <v>2</v>
      </c>
      <c r="N326" t="s">
        <v>40</v>
      </c>
      <c r="O326">
        <v>0</v>
      </c>
      <c r="P326">
        <v>118.34</v>
      </c>
      <c r="Q326">
        <v>8.0299999999999994</v>
      </c>
      <c r="R326">
        <v>0.77</v>
      </c>
      <c r="S326">
        <v>127.14</v>
      </c>
      <c r="T326" t="s">
        <v>41</v>
      </c>
      <c r="U326" t="s">
        <v>41</v>
      </c>
      <c r="V326" t="s">
        <v>38</v>
      </c>
      <c r="W326" t="s">
        <v>438</v>
      </c>
      <c r="X326">
        <v>59.17</v>
      </c>
      <c r="Y326" s="9">
        <f t="shared" si="25"/>
        <v>59.17</v>
      </c>
      <c r="Z326" s="9">
        <f t="shared" si="26"/>
        <v>110.94375000000001</v>
      </c>
      <c r="AA326" s="5">
        <f t="shared" si="27"/>
        <v>123.25850625000001</v>
      </c>
      <c r="AB326" s="6">
        <f t="shared" si="28"/>
        <v>179.71778062499999</v>
      </c>
      <c r="AD326" s="10">
        <f t="shared" si="29"/>
        <v>225.01944206250005</v>
      </c>
    </row>
    <row r="327" spans="1:30" x14ac:dyDescent="0.3">
      <c r="A327" t="s">
        <v>30</v>
      </c>
      <c r="B327" s="8" t="s">
        <v>66</v>
      </c>
      <c r="C327" s="8" t="s">
        <v>32</v>
      </c>
      <c r="D327" s="8" t="s">
        <v>33</v>
      </c>
      <c r="E327" s="8" t="s">
        <v>34</v>
      </c>
      <c r="F327" s="8" t="s">
        <v>35</v>
      </c>
      <c r="G327">
        <v>4009220000</v>
      </c>
      <c r="H327" t="s">
        <v>88</v>
      </c>
      <c r="I327" t="s">
        <v>439</v>
      </c>
      <c r="J327" t="s">
        <v>38</v>
      </c>
      <c r="K327" t="s">
        <v>39</v>
      </c>
      <c r="L327">
        <v>16</v>
      </c>
      <c r="M327">
        <v>1</v>
      </c>
      <c r="N327" t="s">
        <v>40</v>
      </c>
      <c r="O327">
        <v>0</v>
      </c>
      <c r="P327">
        <v>59.39</v>
      </c>
      <c r="Q327">
        <v>8.1999999999999993</v>
      </c>
      <c r="R327">
        <v>0.4</v>
      </c>
      <c r="S327">
        <v>67.98</v>
      </c>
      <c r="T327" t="s">
        <v>41</v>
      </c>
      <c r="U327" t="s">
        <v>41</v>
      </c>
      <c r="V327" t="s">
        <v>38</v>
      </c>
      <c r="W327" t="s">
        <v>438</v>
      </c>
      <c r="X327">
        <v>59.39</v>
      </c>
      <c r="Y327" s="9">
        <f t="shared" si="25"/>
        <v>59.39</v>
      </c>
      <c r="Z327" s="9">
        <f t="shared" si="26"/>
        <v>111.35625</v>
      </c>
      <c r="AA327" s="5">
        <f t="shared" si="27"/>
        <v>123.71679375000001</v>
      </c>
      <c r="AB327" s="6">
        <f t="shared" si="28"/>
        <v>180.38598937499998</v>
      </c>
      <c r="AD327" s="10">
        <f t="shared" si="29"/>
        <v>225.85608693750004</v>
      </c>
    </row>
    <row r="328" spans="1:30" x14ac:dyDescent="0.3">
      <c r="A328" t="s">
        <v>30</v>
      </c>
      <c r="B328" s="8" t="s">
        <v>66</v>
      </c>
      <c r="C328" s="8" t="s">
        <v>32</v>
      </c>
      <c r="D328" s="8" t="s">
        <v>33</v>
      </c>
      <c r="E328" s="8" t="s">
        <v>34</v>
      </c>
      <c r="F328" s="8" t="s">
        <v>35</v>
      </c>
      <c r="G328">
        <v>4009220000</v>
      </c>
      <c r="H328" t="s">
        <v>88</v>
      </c>
      <c r="I328" t="s">
        <v>46</v>
      </c>
      <c r="J328" t="s">
        <v>38</v>
      </c>
      <c r="K328" t="s">
        <v>39</v>
      </c>
      <c r="L328">
        <v>6</v>
      </c>
      <c r="M328">
        <v>2</v>
      </c>
      <c r="N328" t="s">
        <v>40</v>
      </c>
      <c r="O328">
        <v>0</v>
      </c>
      <c r="P328">
        <v>85.96</v>
      </c>
      <c r="Q328">
        <v>5.83</v>
      </c>
      <c r="R328">
        <v>0.56000000000000005</v>
      </c>
      <c r="S328">
        <v>92.35</v>
      </c>
      <c r="T328" t="s">
        <v>41</v>
      </c>
      <c r="U328" t="s">
        <v>41</v>
      </c>
      <c r="V328" t="s">
        <v>38</v>
      </c>
      <c r="W328" t="s">
        <v>440</v>
      </c>
      <c r="X328">
        <v>42.98</v>
      </c>
      <c r="Y328" s="9">
        <f t="shared" si="25"/>
        <v>42.98</v>
      </c>
      <c r="Z328" s="9">
        <f t="shared" si="26"/>
        <v>80.587499999999991</v>
      </c>
      <c r="AA328" s="5">
        <f t="shared" si="27"/>
        <v>89.532712499999988</v>
      </c>
      <c r="AB328" s="6">
        <f t="shared" si="28"/>
        <v>130.54369124999997</v>
      </c>
      <c r="AD328" s="10">
        <f t="shared" si="29"/>
        <v>163.44998512500001</v>
      </c>
    </row>
    <row r="329" spans="1:30" x14ac:dyDescent="0.3">
      <c r="A329" t="s">
        <v>30</v>
      </c>
      <c r="B329" s="8" t="s">
        <v>66</v>
      </c>
      <c r="C329" s="8" t="s">
        <v>32</v>
      </c>
      <c r="D329" s="8" t="s">
        <v>33</v>
      </c>
      <c r="E329" s="8" t="s">
        <v>34</v>
      </c>
      <c r="F329" s="8" t="s">
        <v>35</v>
      </c>
      <c r="G329">
        <v>4009220000</v>
      </c>
      <c r="H329" t="s">
        <v>88</v>
      </c>
      <c r="I329" t="s">
        <v>437</v>
      </c>
      <c r="J329" t="s">
        <v>38</v>
      </c>
      <c r="K329" t="s">
        <v>39</v>
      </c>
      <c r="L329">
        <v>16</v>
      </c>
      <c r="M329">
        <v>1</v>
      </c>
      <c r="N329" t="s">
        <v>40</v>
      </c>
      <c r="O329">
        <v>0</v>
      </c>
      <c r="P329">
        <v>43.14</v>
      </c>
      <c r="Q329">
        <v>5.95</v>
      </c>
      <c r="R329">
        <v>0.28999999999999998</v>
      </c>
      <c r="S329">
        <v>49.38</v>
      </c>
      <c r="T329" t="s">
        <v>41</v>
      </c>
      <c r="U329" t="s">
        <v>41</v>
      </c>
      <c r="V329" t="s">
        <v>38</v>
      </c>
      <c r="W329" t="s">
        <v>440</v>
      </c>
      <c r="X329">
        <v>43.14</v>
      </c>
      <c r="Y329" s="9">
        <f t="shared" si="25"/>
        <v>43.14</v>
      </c>
      <c r="Z329" s="9">
        <f t="shared" si="26"/>
        <v>80.887500000000003</v>
      </c>
      <c r="AA329" s="5">
        <f t="shared" si="27"/>
        <v>89.866012499999997</v>
      </c>
      <c r="AB329" s="6">
        <f t="shared" si="28"/>
        <v>131.02966125</v>
      </c>
      <c r="AD329" s="10">
        <f t="shared" si="29"/>
        <v>164.05845412500003</v>
      </c>
    </row>
    <row r="330" spans="1:30" x14ac:dyDescent="0.3">
      <c r="A330" t="s">
        <v>30</v>
      </c>
      <c r="B330" s="8" t="s">
        <v>66</v>
      </c>
      <c r="C330" s="8" t="s">
        <v>32</v>
      </c>
      <c r="D330" s="8" t="s">
        <v>33</v>
      </c>
      <c r="E330" s="8" t="s">
        <v>34</v>
      </c>
      <c r="F330" s="8" t="s">
        <v>35</v>
      </c>
      <c r="G330">
        <v>4009220000</v>
      </c>
      <c r="H330" t="s">
        <v>88</v>
      </c>
      <c r="I330" t="s">
        <v>46</v>
      </c>
      <c r="J330" t="s">
        <v>38</v>
      </c>
      <c r="K330" t="s">
        <v>39</v>
      </c>
      <c r="L330">
        <v>6</v>
      </c>
      <c r="M330">
        <v>2</v>
      </c>
      <c r="N330" t="s">
        <v>40</v>
      </c>
      <c r="O330">
        <v>0</v>
      </c>
      <c r="P330">
        <v>262.58</v>
      </c>
      <c r="Q330">
        <v>17.82</v>
      </c>
      <c r="R330">
        <v>1.71</v>
      </c>
      <c r="S330">
        <v>282.11</v>
      </c>
      <c r="T330" t="s">
        <v>41</v>
      </c>
      <c r="U330" t="s">
        <v>41</v>
      </c>
      <c r="V330" t="s">
        <v>38</v>
      </c>
      <c r="W330" t="s">
        <v>441</v>
      </c>
      <c r="X330">
        <v>131.29</v>
      </c>
      <c r="Y330" s="9">
        <f t="shared" si="25"/>
        <v>131.29</v>
      </c>
      <c r="Z330" s="9">
        <f t="shared" si="26"/>
        <v>246.16874999999999</v>
      </c>
      <c r="AA330" s="5">
        <f t="shared" si="27"/>
        <v>273.49348125</v>
      </c>
      <c r="AB330" s="6">
        <f t="shared" si="28"/>
        <v>398.76875812499998</v>
      </c>
      <c r="AD330" s="10">
        <f t="shared" si="29"/>
        <v>499.28684381250002</v>
      </c>
    </row>
    <row r="331" spans="1:30" x14ac:dyDescent="0.3">
      <c r="A331" t="s">
        <v>30</v>
      </c>
      <c r="B331" s="8" t="s">
        <v>66</v>
      </c>
      <c r="C331" s="8" t="s">
        <v>32</v>
      </c>
      <c r="D331" s="8" t="s">
        <v>33</v>
      </c>
      <c r="E331" s="8" t="s">
        <v>34</v>
      </c>
      <c r="F331" s="8" t="s">
        <v>35</v>
      </c>
      <c r="G331">
        <v>4009220000</v>
      </c>
      <c r="H331" t="s">
        <v>88</v>
      </c>
      <c r="I331" t="s">
        <v>46</v>
      </c>
      <c r="J331" t="s">
        <v>38</v>
      </c>
      <c r="K331" t="s">
        <v>39</v>
      </c>
      <c r="L331">
        <v>16</v>
      </c>
      <c r="M331">
        <v>1</v>
      </c>
      <c r="N331" t="s">
        <v>40</v>
      </c>
      <c r="O331">
        <v>0</v>
      </c>
      <c r="P331">
        <v>131.78</v>
      </c>
      <c r="Q331">
        <v>18.190000000000001</v>
      </c>
      <c r="R331">
        <v>0.88</v>
      </c>
      <c r="S331">
        <v>150.85</v>
      </c>
      <c r="T331" t="s">
        <v>41</v>
      </c>
      <c r="U331" t="s">
        <v>41</v>
      </c>
      <c r="V331" t="s">
        <v>38</v>
      </c>
      <c r="W331" t="s">
        <v>441</v>
      </c>
      <c r="X331">
        <v>131.78</v>
      </c>
      <c r="Y331" s="9">
        <f t="shared" si="25"/>
        <v>131.78</v>
      </c>
      <c r="Z331" s="9">
        <f t="shared" si="26"/>
        <v>247.08750000000001</v>
      </c>
      <c r="AA331" s="5">
        <f t="shared" si="27"/>
        <v>274.51421249999999</v>
      </c>
      <c r="AB331" s="6">
        <f t="shared" si="28"/>
        <v>400.25704124999999</v>
      </c>
      <c r="AD331" s="10">
        <f t="shared" si="29"/>
        <v>501.15028012500005</v>
      </c>
    </row>
    <row r="332" spans="1:30" x14ac:dyDescent="0.3">
      <c r="A332" t="s">
        <v>30</v>
      </c>
      <c r="B332" s="8" t="s">
        <v>66</v>
      </c>
      <c r="C332" s="8" t="s">
        <v>32</v>
      </c>
      <c r="D332" s="8" t="s">
        <v>33</v>
      </c>
      <c r="E332" s="8" t="s">
        <v>34</v>
      </c>
      <c r="F332" s="8" t="s">
        <v>35</v>
      </c>
      <c r="G332">
        <v>4009220000</v>
      </c>
      <c r="H332" t="s">
        <v>88</v>
      </c>
      <c r="I332" t="s">
        <v>437</v>
      </c>
      <c r="J332" t="s">
        <v>38</v>
      </c>
      <c r="K332" t="s">
        <v>39</v>
      </c>
      <c r="L332">
        <v>16</v>
      </c>
      <c r="M332">
        <v>1</v>
      </c>
      <c r="N332" t="s">
        <v>40</v>
      </c>
      <c r="O332">
        <v>0</v>
      </c>
      <c r="P332">
        <v>60.23</v>
      </c>
      <c r="Q332">
        <v>8.31</v>
      </c>
      <c r="R332">
        <v>0.4</v>
      </c>
      <c r="S332">
        <v>68.95</v>
      </c>
      <c r="T332" t="s">
        <v>41</v>
      </c>
      <c r="U332" t="s">
        <v>41</v>
      </c>
      <c r="V332" t="s">
        <v>38</v>
      </c>
      <c r="W332" t="s">
        <v>442</v>
      </c>
      <c r="X332">
        <v>60.23</v>
      </c>
      <c r="Y332" s="9">
        <f t="shared" si="25"/>
        <v>60.23</v>
      </c>
      <c r="Z332" s="9">
        <f t="shared" si="26"/>
        <v>112.93124999999999</v>
      </c>
      <c r="AA332" s="5">
        <f t="shared" si="27"/>
        <v>125.46661874999999</v>
      </c>
      <c r="AB332" s="6">
        <f t="shared" si="28"/>
        <v>182.93733187499998</v>
      </c>
      <c r="AD332" s="10">
        <f t="shared" si="29"/>
        <v>229.0505491875</v>
      </c>
    </row>
    <row r="333" spans="1:30" x14ac:dyDescent="0.3">
      <c r="A333" t="s">
        <v>30</v>
      </c>
      <c r="B333" s="8" t="s">
        <v>66</v>
      </c>
      <c r="C333" s="8" t="s">
        <v>32</v>
      </c>
      <c r="D333" s="8" t="s">
        <v>33</v>
      </c>
      <c r="E333" s="8" t="s">
        <v>34</v>
      </c>
      <c r="F333" s="8" t="s">
        <v>35</v>
      </c>
      <c r="G333">
        <v>4009220000</v>
      </c>
      <c r="H333" t="s">
        <v>88</v>
      </c>
      <c r="I333" t="s">
        <v>437</v>
      </c>
      <c r="J333" t="s">
        <v>38</v>
      </c>
      <c r="K333" t="s">
        <v>39</v>
      </c>
      <c r="L333">
        <v>16</v>
      </c>
      <c r="M333">
        <v>1</v>
      </c>
      <c r="N333" t="s">
        <v>40</v>
      </c>
      <c r="O333">
        <v>0</v>
      </c>
      <c r="P333">
        <v>69.89</v>
      </c>
      <c r="Q333">
        <v>9.65</v>
      </c>
      <c r="R333">
        <v>0.47</v>
      </c>
      <c r="S333">
        <v>80</v>
      </c>
      <c r="T333" t="s">
        <v>41</v>
      </c>
      <c r="U333" t="s">
        <v>41</v>
      </c>
      <c r="V333" t="s">
        <v>38</v>
      </c>
      <c r="W333" t="s">
        <v>443</v>
      </c>
      <c r="X333">
        <v>69.89</v>
      </c>
      <c r="Y333" s="9">
        <f t="shared" si="25"/>
        <v>69.89</v>
      </c>
      <c r="Z333" s="9">
        <f t="shared" si="26"/>
        <v>131.04374999999999</v>
      </c>
      <c r="AA333" s="5">
        <f t="shared" si="27"/>
        <v>145.58960624999997</v>
      </c>
      <c r="AB333" s="6">
        <f t="shared" si="28"/>
        <v>212.27777062499996</v>
      </c>
      <c r="AD333" s="10">
        <f t="shared" si="29"/>
        <v>265.7868650625</v>
      </c>
    </row>
    <row r="334" spans="1:30" x14ac:dyDescent="0.3">
      <c r="A334" t="s">
        <v>30</v>
      </c>
      <c r="B334" s="8" t="s">
        <v>66</v>
      </c>
      <c r="C334" s="8" t="s">
        <v>32</v>
      </c>
      <c r="D334" s="8" t="s">
        <v>33</v>
      </c>
      <c r="E334" s="8" t="s">
        <v>34</v>
      </c>
      <c r="F334" s="8" t="s">
        <v>35</v>
      </c>
      <c r="G334">
        <v>4009220000</v>
      </c>
      <c r="H334" t="s">
        <v>88</v>
      </c>
      <c r="I334" t="s">
        <v>46</v>
      </c>
      <c r="J334" t="s">
        <v>38</v>
      </c>
      <c r="K334" t="s">
        <v>39</v>
      </c>
      <c r="L334">
        <v>6</v>
      </c>
      <c r="M334">
        <v>2</v>
      </c>
      <c r="N334" t="s">
        <v>40</v>
      </c>
      <c r="O334">
        <v>0</v>
      </c>
      <c r="P334">
        <v>186.45</v>
      </c>
      <c r="Q334">
        <v>12.65</v>
      </c>
      <c r="R334">
        <v>1.21</v>
      </c>
      <c r="S334">
        <v>200.32</v>
      </c>
      <c r="T334" t="s">
        <v>41</v>
      </c>
      <c r="U334" t="s">
        <v>41</v>
      </c>
      <c r="V334" t="s">
        <v>38</v>
      </c>
      <c r="W334" t="s">
        <v>444</v>
      </c>
      <c r="X334">
        <v>93.22</v>
      </c>
      <c r="Y334" s="9">
        <f t="shared" si="25"/>
        <v>93.224999999999994</v>
      </c>
      <c r="Z334" s="9">
        <f t="shared" si="26"/>
        <v>174.796875</v>
      </c>
      <c r="AA334" s="5">
        <f t="shared" si="27"/>
        <v>194.19932812499999</v>
      </c>
      <c r="AB334" s="6">
        <f t="shared" si="28"/>
        <v>283.15345781249999</v>
      </c>
      <c r="AD334" s="10">
        <f t="shared" si="29"/>
        <v>354.52826578125001</v>
      </c>
    </row>
    <row r="335" spans="1:30" x14ac:dyDescent="0.3">
      <c r="A335" t="s">
        <v>30</v>
      </c>
      <c r="B335" s="8" t="s">
        <v>66</v>
      </c>
      <c r="C335" s="8" t="s">
        <v>32</v>
      </c>
      <c r="D335" s="8" t="s">
        <v>33</v>
      </c>
      <c r="E335" s="8" t="s">
        <v>34</v>
      </c>
      <c r="F335" s="8" t="s">
        <v>35</v>
      </c>
      <c r="G335">
        <v>4009220000</v>
      </c>
      <c r="H335" t="s">
        <v>88</v>
      </c>
      <c r="I335" t="s">
        <v>46</v>
      </c>
      <c r="J335" t="s">
        <v>38</v>
      </c>
      <c r="K335" t="s">
        <v>39</v>
      </c>
      <c r="L335">
        <v>6</v>
      </c>
      <c r="M335">
        <v>2</v>
      </c>
      <c r="N335" t="s">
        <v>40</v>
      </c>
      <c r="O335">
        <v>0</v>
      </c>
      <c r="P335">
        <v>177.09</v>
      </c>
      <c r="Q335">
        <v>12.02</v>
      </c>
      <c r="R335">
        <v>1.1499999999999999</v>
      </c>
      <c r="S335">
        <v>190.26</v>
      </c>
      <c r="T335" t="s">
        <v>41</v>
      </c>
      <c r="U335" t="s">
        <v>41</v>
      </c>
      <c r="V335" t="s">
        <v>38</v>
      </c>
      <c r="W335" t="s">
        <v>445</v>
      </c>
      <c r="X335">
        <v>88.55</v>
      </c>
      <c r="Y335" s="9">
        <f t="shared" si="25"/>
        <v>88.545000000000002</v>
      </c>
      <c r="Z335" s="9">
        <f t="shared" si="26"/>
        <v>166.02187499999999</v>
      </c>
      <c r="AA335" s="5">
        <f t="shared" si="27"/>
        <v>184.450303125</v>
      </c>
      <c r="AB335" s="6">
        <f t="shared" si="28"/>
        <v>268.93883531249998</v>
      </c>
      <c r="AD335" s="10">
        <f t="shared" si="29"/>
        <v>336.73054753125001</v>
      </c>
    </row>
    <row r="336" spans="1:30" x14ac:dyDescent="0.3">
      <c r="A336" t="s">
        <v>30</v>
      </c>
      <c r="B336" s="8" t="s">
        <v>32</v>
      </c>
      <c r="C336" s="8" t="s">
        <v>32</v>
      </c>
      <c r="D336" s="8" t="s">
        <v>33</v>
      </c>
      <c r="E336" s="8" t="s">
        <v>34</v>
      </c>
      <c r="F336" s="8" t="s">
        <v>35</v>
      </c>
      <c r="G336">
        <v>8307100090</v>
      </c>
      <c r="H336" t="s">
        <v>36</v>
      </c>
      <c r="I336" t="s">
        <v>46</v>
      </c>
      <c r="J336" t="s">
        <v>38</v>
      </c>
      <c r="K336" t="s">
        <v>39</v>
      </c>
      <c r="L336">
        <v>6</v>
      </c>
      <c r="M336">
        <v>3</v>
      </c>
      <c r="N336" t="s">
        <v>40</v>
      </c>
      <c r="O336">
        <v>0</v>
      </c>
      <c r="P336">
        <v>1103.31</v>
      </c>
      <c r="Q336">
        <v>133.43</v>
      </c>
      <c r="R336">
        <v>7.69</v>
      </c>
      <c r="S336">
        <v>1244.42</v>
      </c>
      <c r="T336" t="s">
        <v>41</v>
      </c>
      <c r="U336" t="s">
        <v>43</v>
      </c>
      <c r="V336" t="s">
        <v>38</v>
      </c>
      <c r="W336" t="s">
        <v>446</v>
      </c>
      <c r="X336">
        <v>367.77</v>
      </c>
      <c r="Y336" s="9">
        <f t="shared" si="25"/>
        <v>367.77</v>
      </c>
      <c r="Z336" s="9">
        <f t="shared" si="26"/>
        <v>689.56874999999991</v>
      </c>
      <c r="AA336" s="5">
        <f t="shared" si="27"/>
        <v>766.11088124999992</v>
      </c>
      <c r="AB336" s="6">
        <f t="shared" si="28"/>
        <v>1117.0324181249998</v>
      </c>
      <c r="AD336" s="10">
        <f t="shared" si="29"/>
        <v>1398.6040258124999</v>
      </c>
    </row>
    <row r="337" spans="1:30" x14ac:dyDescent="0.3">
      <c r="A337" t="s">
        <v>30</v>
      </c>
      <c r="B337" s="8" t="s">
        <v>32</v>
      </c>
      <c r="C337" s="8" t="s">
        <v>32</v>
      </c>
      <c r="D337" s="8" t="s">
        <v>33</v>
      </c>
      <c r="E337" s="8" t="s">
        <v>34</v>
      </c>
      <c r="F337" s="8" t="s">
        <v>35</v>
      </c>
      <c r="G337">
        <v>8307100090</v>
      </c>
      <c r="H337" t="s">
        <v>36</v>
      </c>
      <c r="I337" t="s">
        <v>46</v>
      </c>
      <c r="J337" t="s">
        <v>38</v>
      </c>
      <c r="K337" t="s">
        <v>39</v>
      </c>
      <c r="L337">
        <v>8</v>
      </c>
      <c r="M337">
        <v>3</v>
      </c>
      <c r="N337" t="s">
        <v>40</v>
      </c>
      <c r="O337">
        <v>0</v>
      </c>
      <c r="P337">
        <v>1126.71</v>
      </c>
      <c r="Q337">
        <v>141.15</v>
      </c>
      <c r="R337">
        <v>7.7</v>
      </c>
      <c r="S337">
        <v>1275.55</v>
      </c>
      <c r="T337" t="s">
        <v>41</v>
      </c>
      <c r="U337" t="s">
        <v>41</v>
      </c>
      <c r="V337" t="s">
        <v>38</v>
      </c>
      <c r="W337" t="s">
        <v>446</v>
      </c>
      <c r="X337">
        <v>375.57</v>
      </c>
      <c r="Y337" s="9">
        <f t="shared" si="25"/>
        <v>375.57</v>
      </c>
      <c r="Z337" s="9">
        <f t="shared" si="26"/>
        <v>704.19375000000002</v>
      </c>
      <c r="AA337" s="5">
        <f t="shared" si="27"/>
        <v>782.35925625000004</v>
      </c>
      <c r="AB337" s="6">
        <f t="shared" si="28"/>
        <v>1140.723455625</v>
      </c>
      <c r="AD337" s="10">
        <f t="shared" si="29"/>
        <v>1428.2668895625002</v>
      </c>
    </row>
    <row r="338" spans="1:30" x14ac:dyDescent="0.3">
      <c r="A338" t="s">
        <v>30</v>
      </c>
      <c r="B338" s="8" t="s">
        <v>221</v>
      </c>
      <c r="C338" s="8" t="s">
        <v>32</v>
      </c>
      <c r="D338" s="8" t="s">
        <v>33</v>
      </c>
      <c r="E338" s="8" t="s">
        <v>34</v>
      </c>
      <c r="F338" s="8" t="s">
        <v>35</v>
      </c>
      <c r="G338">
        <v>7306400000</v>
      </c>
      <c r="H338" t="s">
        <v>246</v>
      </c>
      <c r="I338" t="s">
        <v>447</v>
      </c>
      <c r="J338" t="s">
        <v>38</v>
      </c>
      <c r="K338" t="s">
        <v>39</v>
      </c>
      <c r="L338">
        <v>8</v>
      </c>
      <c r="M338">
        <v>3</v>
      </c>
      <c r="N338" t="s">
        <v>40</v>
      </c>
      <c r="O338">
        <v>30.72</v>
      </c>
      <c r="P338">
        <v>122.06</v>
      </c>
      <c r="Q338">
        <v>15.29</v>
      </c>
      <c r="R338">
        <v>0.83</v>
      </c>
      <c r="S338">
        <v>138.18</v>
      </c>
      <c r="T338" t="s">
        <v>41</v>
      </c>
      <c r="U338" t="s">
        <v>41</v>
      </c>
      <c r="V338" t="s">
        <v>38</v>
      </c>
      <c r="W338" t="s">
        <v>448</v>
      </c>
      <c r="X338">
        <v>40.69</v>
      </c>
      <c r="Y338" s="9">
        <f t="shared" si="25"/>
        <v>40.686666666666667</v>
      </c>
      <c r="Z338" s="9">
        <f t="shared" si="26"/>
        <v>76.287499999999994</v>
      </c>
      <c r="AA338" s="5">
        <f t="shared" si="27"/>
        <v>84.755412499999991</v>
      </c>
      <c r="AB338" s="6">
        <f t="shared" si="28"/>
        <v>123.57812124999998</v>
      </c>
      <c r="AD338" s="10">
        <f t="shared" si="29"/>
        <v>154.728596125</v>
      </c>
    </row>
    <row r="339" spans="1:30" x14ac:dyDescent="0.3">
      <c r="A339" t="s">
        <v>30</v>
      </c>
      <c r="B339" s="8" t="s">
        <v>32</v>
      </c>
      <c r="C339" s="8" t="s">
        <v>32</v>
      </c>
      <c r="D339" s="8" t="s">
        <v>33</v>
      </c>
      <c r="E339" s="8" t="s">
        <v>34</v>
      </c>
      <c r="F339" s="8" t="s">
        <v>35</v>
      </c>
      <c r="G339">
        <v>7412200000</v>
      </c>
      <c r="H339" t="s">
        <v>299</v>
      </c>
      <c r="I339" t="s">
        <v>449</v>
      </c>
      <c r="J339" t="s">
        <v>38</v>
      </c>
      <c r="K339" t="s">
        <v>39</v>
      </c>
      <c r="L339">
        <v>8</v>
      </c>
      <c r="M339">
        <v>1</v>
      </c>
      <c r="N339" t="s">
        <v>40</v>
      </c>
      <c r="O339">
        <v>0</v>
      </c>
      <c r="P339">
        <v>23.08</v>
      </c>
      <c r="Q339">
        <v>3.32</v>
      </c>
      <c r="R339">
        <v>0.16</v>
      </c>
      <c r="S339">
        <v>26.57</v>
      </c>
      <c r="T339" t="s">
        <v>41</v>
      </c>
      <c r="U339" t="s">
        <v>41</v>
      </c>
      <c r="V339" t="s">
        <v>38</v>
      </c>
      <c r="W339" t="s">
        <v>450</v>
      </c>
      <c r="X339">
        <v>23.08</v>
      </c>
      <c r="Y339" s="9">
        <f t="shared" si="25"/>
        <v>23.08</v>
      </c>
      <c r="Z339" s="9">
        <f t="shared" si="26"/>
        <v>43.274999999999999</v>
      </c>
      <c r="AA339" s="5">
        <f t="shared" si="27"/>
        <v>48.078524999999999</v>
      </c>
      <c r="AB339" s="6">
        <f t="shared" si="28"/>
        <v>70.10117249999999</v>
      </c>
      <c r="AD339" s="10">
        <f t="shared" si="29"/>
        <v>87.77165325</v>
      </c>
    </row>
    <row r="340" spans="1:30" x14ac:dyDescent="0.3">
      <c r="A340" t="s">
        <v>30</v>
      </c>
      <c r="B340" s="8" t="s">
        <v>32</v>
      </c>
      <c r="C340" s="8" t="s">
        <v>32</v>
      </c>
      <c r="D340" s="8" t="s">
        <v>33</v>
      </c>
      <c r="E340" s="8" t="s">
        <v>34</v>
      </c>
      <c r="F340" s="8" t="s">
        <v>35</v>
      </c>
      <c r="G340">
        <v>8307100090</v>
      </c>
      <c r="H340" t="s">
        <v>36</v>
      </c>
      <c r="I340" t="s">
        <v>46</v>
      </c>
      <c r="J340" t="s">
        <v>38</v>
      </c>
      <c r="K340" t="s">
        <v>39</v>
      </c>
      <c r="L340">
        <v>3</v>
      </c>
      <c r="M340">
        <v>1</v>
      </c>
      <c r="N340" t="s">
        <v>40</v>
      </c>
      <c r="O340">
        <v>0</v>
      </c>
      <c r="P340">
        <v>435.83</v>
      </c>
      <c r="Q340">
        <v>18.649999999999999</v>
      </c>
      <c r="R340">
        <v>2.81</v>
      </c>
      <c r="S340">
        <v>457.29</v>
      </c>
      <c r="T340" t="s">
        <v>41</v>
      </c>
      <c r="U340" t="s">
        <v>43</v>
      </c>
      <c r="V340" t="s">
        <v>38</v>
      </c>
      <c r="W340" t="s">
        <v>451</v>
      </c>
      <c r="X340">
        <v>435.83</v>
      </c>
      <c r="Y340" s="9">
        <f t="shared" si="25"/>
        <v>435.83</v>
      </c>
      <c r="Z340" s="9">
        <f t="shared" si="26"/>
        <v>817.18124999999998</v>
      </c>
      <c r="AA340" s="5">
        <f t="shared" si="27"/>
        <v>907.88836874999993</v>
      </c>
      <c r="AB340" s="6">
        <f t="shared" si="28"/>
        <v>1323.7519068749998</v>
      </c>
      <c r="AD340" s="10">
        <f t="shared" si="29"/>
        <v>1657.4315266875001</v>
      </c>
    </row>
    <row r="341" spans="1:30" x14ac:dyDescent="0.3">
      <c r="A341" t="s">
        <v>30</v>
      </c>
      <c r="B341" s="8" t="s">
        <v>31</v>
      </c>
      <c r="C341" s="8" t="s">
        <v>32</v>
      </c>
      <c r="D341" s="8" t="s">
        <v>33</v>
      </c>
      <c r="E341" s="8" t="s">
        <v>34</v>
      </c>
      <c r="F341" s="8" t="s">
        <v>35</v>
      </c>
      <c r="G341">
        <v>3917399000</v>
      </c>
      <c r="H341" t="s">
        <v>36</v>
      </c>
      <c r="I341" t="s">
        <v>46</v>
      </c>
      <c r="J341" t="s">
        <v>38</v>
      </c>
      <c r="K341" t="s">
        <v>39</v>
      </c>
      <c r="L341">
        <v>4</v>
      </c>
      <c r="M341">
        <v>1</v>
      </c>
      <c r="N341" t="s">
        <v>40</v>
      </c>
      <c r="O341">
        <v>0</v>
      </c>
      <c r="P341">
        <v>101.03</v>
      </c>
      <c r="Q341">
        <v>5.29</v>
      </c>
      <c r="R341">
        <v>0.66</v>
      </c>
      <c r="S341">
        <v>106.98</v>
      </c>
      <c r="T341" t="s">
        <v>41</v>
      </c>
      <c r="U341" t="s">
        <v>41</v>
      </c>
      <c r="V341" t="s">
        <v>38</v>
      </c>
      <c r="W341" t="s">
        <v>452</v>
      </c>
      <c r="X341">
        <v>101.03</v>
      </c>
      <c r="Y341" s="9">
        <f t="shared" si="25"/>
        <v>101.03</v>
      </c>
      <c r="Z341" s="9">
        <f t="shared" si="26"/>
        <v>189.43125000000001</v>
      </c>
      <c r="AA341" s="5">
        <f t="shared" si="27"/>
        <v>210.45811875000001</v>
      </c>
      <c r="AB341" s="6">
        <f t="shared" si="28"/>
        <v>306.85968187499998</v>
      </c>
      <c r="AD341" s="10">
        <f t="shared" si="29"/>
        <v>384.21014418750008</v>
      </c>
    </row>
    <row r="342" spans="1:30" x14ac:dyDescent="0.3">
      <c r="A342" t="s">
        <v>30</v>
      </c>
      <c r="B342" s="8" t="s">
        <v>31</v>
      </c>
      <c r="C342" s="8" t="s">
        <v>32</v>
      </c>
      <c r="D342" s="8" t="s">
        <v>33</v>
      </c>
      <c r="E342" s="8" t="s">
        <v>34</v>
      </c>
      <c r="F342" s="8" t="s">
        <v>35</v>
      </c>
      <c r="G342">
        <v>3917399000</v>
      </c>
      <c r="H342" t="s">
        <v>36</v>
      </c>
      <c r="I342" t="s">
        <v>453</v>
      </c>
      <c r="J342" t="s">
        <v>74</v>
      </c>
      <c r="K342" t="s">
        <v>39</v>
      </c>
      <c r="L342">
        <v>7</v>
      </c>
      <c r="M342">
        <v>2</v>
      </c>
      <c r="N342" t="s">
        <v>40</v>
      </c>
      <c r="O342">
        <v>0</v>
      </c>
      <c r="P342">
        <v>201.51</v>
      </c>
      <c r="Q342">
        <v>11.38</v>
      </c>
      <c r="R342">
        <v>1.28</v>
      </c>
      <c r="S342">
        <v>214.17</v>
      </c>
      <c r="T342" t="s">
        <v>75</v>
      </c>
      <c r="U342" t="s">
        <v>453</v>
      </c>
      <c r="V342" t="s">
        <v>74</v>
      </c>
      <c r="W342" t="s">
        <v>452</v>
      </c>
      <c r="X342">
        <v>100.75</v>
      </c>
      <c r="Y342" s="9">
        <f t="shared" si="25"/>
        <v>100.755</v>
      </c>
      <c r="Z342" s="9">
        <f t="shared" si="26"/>
        <v>188.91562499999998</v>
      </c>
      <c r="AA342" s="5">
        <f t="shared" si="27"/>
        <v>209.88525937499998</v>
      </c>
      <c r="AB342" s="6">
        <f t="shared" si="28"/>
        <v>306.02442093749994</v>
      </c>
      <c r="AD342" s="10">
        <f t="shared" si="29"/>
        <v>383.16433809375002</v>
      </c>
    </row>
    <row r="343" spans="1:30" x14ac:dyDescent="0.3">
      <c r="A343" t="s">
        <v>30</v>
      </c>
      <c r="B343" s="8" t="s">
        <v>31</v>
      </c>
      <c r="C343" s="8" t="s">
        <v>32</v>
      </c>
      <c r="D343" s="8" t="s">
        <v>33</v>
      </c>
      <c r="E343" s="8" t="s">
        <v>34</v>
      </c>
      <c r="F343" s="8" t="s">
        <v>35</v>
      </c>
      <c r="G343">
        <v>3917399000</v>
      </c>
      <c r="H343" t="s">
        <v>36</v>
      </c>
      <c r="I343" t="s">
        <v>46</v>
      </c>
      <c r="J343" t="s">
        <v>38</v>
      </c>
      <c r="K343" t="s">
        <v>39</v>
      </c>
      <c r="L343">
        <v>8</v>
      </c>
      <c r="M343">
        <v>1</v>
      </c>
      <c r="N343" t="s">
        <v>40</v>
      </c>
      <c r="O343">
        <v>0</v>
      </c>
      <c r="P343">
        <v>100.93</v>
      </c>
      <c r="Q343">
        <v>12.64</v>
      </c>
      <c r="R343">
        <v>0.69</v>
      </c>
      <c r="S343">
        <v>114.26</v>
      </c>
      <c r="T343" t="s">
        <v>41</v>
      </c>
      <c r="U343" t="s">
        <v>41</v>
      </c>
      <c r="V343" t="s">
        <v>38</v>
      </c>
      <c r="W343" t="s">
        <v>452</v>
      </c>
      <c r="X343">
        <v>100.93</v>
      </c>
      <c r="Y343" s="9">
        <f t="shared" si="25"/>
        <v>100.93</v>
      </c>
      <c r="Z343" s="9">
        <f t="shared" si="26"/>
        <v>189.24375000000001</v>
      </c>
      <c r="AA343" s="5">
        <f t="shared" si="27"/>
        <v>210.24980625000001</v>
      </c>
      <c r="AB343" s="6">
        <f t="shared" si="28"/>
        <v>306.55595062499998</v>
      </c>
      <c r="AD343" s="10">
        <f t="shared" si="29"/>
        <v>383.82985106250004</v>
      </c>
    </row>
    <row r="344" spans="1:30" x14ac:dyDescent="0.3">
      <c r="A344" t="s">
        <v>30</v>
      </c>
      <c r="B344" s="8" t="s">
        <v>32</v>
      </c>
      <c r="C344" s="8" t="s">
        <v>32</v>
      </c>
      <c r="D344" s="8" t="s">
        <v>33</v>
      </c>
      <c r="E344" s="8" t="s">
        <v>34</v>
      </c>
      <c r="F344" s="8" t="s">
        <v>35</v>
      </c>
      <c r="G344">
        <v>7306400000</v>
      </c>
      <c r="H344" t="s">
        <v>246</v>
      </c>
      <c r="I344" t="s">
        <v>454</v>
      </c>
      <c r="J344" t="s">
        <v>38</v>
      </c>
      <c r="K344" t="s">
        <v>39</v>
      </c>
      <c r="L344">
        <v>7</v>
      </c>
      <c r="M344">
        <v>1</v>
      </c>
      <c r="N344" t="s">
        <v>40</v>
      </c>
      <c r="O344">
        <v>9.52</v>
      </c>
      <c r="P344">
        <v>37.85</v>
      </c>
      <c r="Q344">
        <v>5.98</v>
      </c>
      <c r="R344">
        <v>0.23</v>
      </c>
      <c r="S344">
        <v>44.06</v>
      </c>
      <c r="T344" t="s">
        <v>41</v>
      </c>
      <c r="U344" t="s">
        <v>41</v>
      </c>
      <c r="V344" t="s">
        <v>38</v>
      </c>
      <c r="W344" t="s">
        <v>455</v>
      </c>
      <c r="X344">
        <v>37.85</v>
      </c>
      <c r="Y344" s="9">
        <f t="shared" si="25"/>
        <v>37.85</v>
      </c>
      <c r="Z344" s="9">
        <f t="shared" si="26"/>
        <v>70.96875</v>
      </c>
      <c r="AA344" s="5">
        <f t="shared" si="27"/>
        <v>78.846281250000004</v>
      </c>
      <c r="AB344" s="6">
        <f t="shared" si="28"/>
        <v>114.962278125</v>
      </c>
      <c r="AD344" s="10">
        <f t="shared" si="29"/>
        <v>143.94094781250001</v>
      </c>
    </row>
    <row r="345" spans="1:30" x14ac:dyDescent="0.3">
      <c r="A345" t="s">
        <v>30</v>
      </c>
      <c r="B345" s="8" t="s">
        <v>32</v>
      </c>
      <c r="C345" s="8" t="s">
        <v>32</v>
      </c>
      <c r="D345" s="8" t="s">
        <v>69</v>
      </c>
      <c r="E345" s="8" t="s">
        <v>70</v>
      </c>
      <c r="F345" s="8" t="s">
        <v>71</v>
      </c>
      <c r="G345">
        <v>7306400000</v>
      </c>
      <c r="H345" t="s">
        <v>246</v>
      </c>
      <c r="I345" t="s">
        <v>454</v>
      </c>
      <c r="J345" t="s">
        <v>38</v>
      </c>
      <c r="K345" t="s">
        <v>39</v>
      </c>
      <c r="L345">
        <v>9</v>
      </c>
      <c r="M345">
        <v>2</v>
      </c>
      <c r="N345" t="s">
        <v>40</v>
      </c>
      <c r="O345">
        <v>5.35</v>
      </c>
      <c r="P345">
        <v>71.819999999999993</v>
      </c>
      <c r="Q345">
        <v>3.62</v>
      </c>
      <c r="R345">
        <v>0.46</v>
      </c>
      <c r="S345">
        <v>75.89</v>
      </c>
      <c r="T345" t="s">
        <v>41</v>
      </c>
      <c r="U345" t="s">
        <v>43</v>
      </c>
      <c r="V345" t="s">
        <v>38</v>
      </c>
      <c r="W345" t="s">
        <v>455</v>
      </c>
      <c r="X345">
        <v>35.909999999999997</v>
      </c>
      <c r="Y345" s="9">
        <f t="shared" si="25"/>
        <v>35.909999999999997</v>
      </c>
      <c r="Z345" s="9">
        <f t="shared" si="26"/>
        <v>67.331249999999997</v>
      </c>
      <c r="AA345" s="5">
        <f t="shared" si="27"/>
        <v>74.805018750000002</v>
      </c>
      <c r="AB345" s="6">
        <f t="shared" si="28"/>
        <v>109.06989187499998</v>
      </c>
      <c r="AD345" s="10">
        <f t="shared" si="29"/>
        <v>136.56326118750002</v>
      </c>
    </row>
    <row r="346" spans="1:30" x14ac:dyDescent="0.3">
      <c r="A346" t="s">
        <v>30</v>
      </c>
      <c r="B346" s="8" t="s">
        <v>32</v>
      </c>
      <c r="C346" s="8" t="s">
        <v>32</v>
      </c>
      <c r="D346" s="8" t="s">
        <v>33</v>
      </c>
      <c r="E346" s="8" t="s">
        <v>34</v>
      </c>
      <c r="F346" s="8" t="s">
        <v>35</v>
      </c>
      <c r="G346">
        <v>7306400000</v>
      </c>
      <c r="H346" t="s">
        <v>246</v>
      </c>
      <c r="I346" t="s">
        <v>456</v>
      </c>
      <c r="J346" t="s">
        <v>38</v>
      </c>
      <c r="K346" t="s">
        <v>39</v>
      </c>
      <c r="L346">
        <v>4</v>
      </c>
      <c r="M346">
        <v>2</v>
      </c>
      <c r="N346" t="s">
        <v>40</v>
      </c>
      <c r="O346">
        <v>5.64</v>
      </c>
      <c r="P346">
        <v>75.69</v>
      </c>
      <c r="Q346">
        <v>3.96</v>
      </c>
      <c r="R346">
        <v>0.49</v>
      </c>
      <c r="S346">
        <v>80.14</v>
      </c>
      <c r="T346" t="s">
        <v>41</v>
      </c>
      <c r="U346" t="s">
        <v>41</v>
      </c>
      <c r="V346" t="s">
        <v>38</v>
      </c>
      <c r="W346" t="s">
        <v>455</v>
      </c>
      <c r="X346">
        <v>37.840000000000003</v>
      </c>
      <c r="Y346" s="9">
        <f t="shared" si="25"/>
        <v>37.844999999999999</v>
      </c>
      <c r="Z346" s="9">
        <f t="shared" si="26"/>
        <v>70.959374999999994</v>
      </c>
      <c r="AA346" s="5">
        <f t="shared" si="27"/>
        <v>78.835865624999997</v>
      </c>
      <c r="AB346" s="6">
        <f t="shared" si="28"/>
        <v>114.94709156249998</v>
      </c>
      <c r="AD346" s="10">
        <f t="shared" si="29"/>
        <v>143.92193315624999</v>
      </c>
    </row>
    <row r="347" spans="1:30" x14ac:dyDescent="0.3">
      <c r="A347" t="s">
        <v>30</v>
      </c>
      <c r="B347" s="8" t="s">
        <v>32</v>
      </c>
      <c r="C347" s="8" t="s">
        <v>32</v>
      </c>
      <c r="D347" s="8" t="s">
        <v>69</v>
      </c>
      <c r="E347" s="8" t="s">
        <v>70</v>
      </c>
      <c r="F347" s="8" t="s">
        <v>71</v>
      </c>
      <c r="G347">
        <v>7306400000</v>
      </c>
      <c r="H347" t="s">
        <v>246</v>
      </c>
      <c r="I347" t="s">
        <v>457</v>
      </c>
      <c r="J347" t="s">
        <v>38</v>
      </c>
      <c r="K347" t="s">
        <v>39</v>
      </c>
      <c r="L347">
        <v>13</v>
      </c>
      <c r="M347">
        <v>4</v>
      </c>
      <c r="N347" t="s">
        <v>40</v>
      </c>
      <c r="O347">
        <v>10.7</v>
      </c>
      <c r="P347">
        <v>143.63999999999999</v>
      </c>
      <c r="Q347">
        <v>7.67</v>
      </c>
      <c r="R347">
        <v>0.92</v>
      </c>
      <c r="S347">
        <v>152.22999999999999</v>
      </c>
      <c r="T347" t="s">
        <v>72</v>
      </c>
      <c r="U347" t="s">
        <v>72</v>
      </c>
      <c r="V347" t="s">
        <v>38</v>
      </c>
      <c r="W347" t="s">
        <v>455</v>
      </c>
      <c r="X347">
        <v>35.909999999999997</v>
      </c>
      <c r="Y347" s="9">
        <f t="shared" si="25"/>
        <v>35.909999999999997</v>
      </c>
      <c r="Z347" s="9">
        <f t="shared" si="26"/>
        <v>67.331249999999997</v>
      </c>
      <c r="AA347" s="5">
        <f t="shared" si="27"/>
        <v>74.805018750000002</v>
      </c>
      <c r="AB347" s="6">
        <f t="shared" si="28"/>
        <v>109.06989187499998</v>
      </c>
      <c r="AD347" s="10">
        <f t="shared" si="29"/>
        <v>136.56326118750002</v>
      </c>
    </row>
    <row r="348" spans="1:30" x14ac:dyDescent="0.3">
      <c r="A348" t="s">
        <v>30</v>
      </c>
      <c r="B348" s="8" t="s">
        <v>349</v>
      </c>
      <c r="C348" s="8" t="s">
        <v>32</v>
      </c>
      <c r="D348" s="8" t="s">
        <v>33</v>
      </c>
      <c r="E348" s="8" t="s">
        <v>34</v>
      </c>
      <c r="F348" s="8" t="s">
        <v>35</v>
      </c>
      <c r="G348">
        <v>3926904000</v>
      </c>
      <c r="H348" t="s">
        <v>141</v>
      </c>
      <c r="I348" t="s">
        <v>458</v>
      </c>
      <c r="J348" t="s">
        <v>38</v>
      </c>
      <c r="K348" t="s">
        <v>39</v>
      </c>
      <c r="L348">
        <v>8</v>
      </c>
      <c r="M348">
        <v>20</v>
      </c>
      <c r="N348" t="s">
        <v>64</v>
      </c>
      <c r="O348">
        <v>14.77</v>
      </c>
      <c r="P348">
        <v>73.31</v>
      </c>
      <c r="Q348">
        <v>10.55</v>
      </c>
      <c r="R348">
        <v>0.52</v>
      </c>
      <c r="S348">
        <v>84.38</v>
      </c>
      <c r="T348" t="s">
        <v>41</v>
      </c>
      <c r="U348" t="s">
        <v>41</v>
      </c>
      <c r="V348" t="s">
        <v>38</v>
      </c>
      <c r="W348" t="s">
        <v>459</v>
      </c>
      <c r="X348">
        <v>3.67</v>
      </c>
      <c r="Y348" s="9">
        <f t="shared" si="25"/>
        <v>3.6655000000000002</v>
      </c>
      <c r="Z348" s="9">
        <f t="shared" si="26"/>
        <v>6.8728125000000002</v>
      </c>
      <c r="AA348" s="5">
        <f t="shared" si="27"/>
        <v>7.6356946875</v>
      </c>
      <c r="AB348" s="6">
        <f t="shared" si="28"/>
        <v>11.13326896875</v>
      </c>
      <c r="AD348" s="10">
        <f t="shared" si="29"/>
        <v>13.939644496875001</v>
      </c>
    </row>
    <row r="349" spans="1:30" x14ac:dyDescent="0.3">
      <c r="A349" t="s">
        <v>30</v>
      </c>
      <c r="B349" s="8" t="s">
        <v>349</v>
      </c>
      <c r="C349" s="8" t="s">
        <v>32</v>
      </c>
      <c r="D349" s="8" t="s">
        <v>33</v>
      </c>
      <c r="E349" s="8" t="s">
        <v>34</v>
      </c>
      <c r="F349" s="8" t="s">
        <v>35</v>
      </c>
      <c r="G349">
        <v>3926904000</v>
      </c>
      <c r="H349" t="s">
        <v>141</v>
      </c>
      <c r="I349" t="s">
        <v>458</v>
      </c>
      <c r="J349" t="s">
        <v>38</v>
      </c>
      <c r="K349" t="s">
        <v>39</v>
      </c>
      <c r="L349">
        <v>8</v>
      </c>
      <c r="M349">
        <v>4</v>
      </c>
      <c r="N349" t="s">
        <v>64</v>
      </c>
      <c r="O349">
        <v>4.1900000000000004</v>
      </c>
      <c r="P349">
        <v>20.81</v>
      </c>
      <c r="Q349">
        <v>2.99</v>
      </c>
      <c r="R349">
        <v>0.15</v>
      </c>
      <c r="S349">
        <v>23.95</v>
      </c>
      <c r="T349" t="s">
        <v>41</v>
      </c>
      <c r="U349" t="s">
        <v>41</v>
      </c>
      <c r="V349" t="s">
        <v>38</v>
      </c>
      <c r="W349" t="s">
        <v>460</v>
      </c>
      <c r="X349">
        <v>5.2</v>
      </c>
      <c r="Y349" s="9">
        <f t="shared" si="25"/>
        <v>5.2024999999999997</v>
      </c>
      <c r="Z349" s="9">
        <f t="shared" si="26"/>
        <v>9.7546874999999993</v>
      </c>
      <c r="AA349" s="5">
        <f t="shared" si="27"/>
        <v>10.837457812499999</v>
      </c>
      <c r="AB349" s="6">
        <f t="shared" si="28"/>
        <v>15.801618281249997</v>
      </c>
      <c r="AD349" s="10">
        <f t="shared" si="29"/>
        <v>19.784749828125001</v>
      </c>
    </row>
    <row r="350" spans="1:30" x14ac:dyDescent="0.3">
      <c r="A350" t="s">
        <v>30</v>
      </c>
      <c r="B350" s="8" t="s">
        <v>221</v>
      </c>
      <c r="C350" s="8" t="s">
        <v>32</v>
      </c>
      <c r="D350" s="8" t="s">
        <v>33</v>
      </c>
      <c r="E350" s="8" t="s">
        <v>34</v>
      </c>
      <c r="F350" s="8" t="s">
        <v>35</v>
      </c>
      <c r="G350">
        <v>7304490000</v>
      </c>
      <c r="H350" t="s">
        <v>36</v>
      </c>
      <c r="I350" t="s">
        <v>37</v>
      </c>
      <c r="J350" t="s">
        <v>38</v>
      </c>
      <c r="K350" t="s">
        <v>39</v>
      </c>
      <c r="L350">
        <v>16</v>
      </c>
      <c r="M350">
        <v>1</v>
      </c>
      <c r="N350" t="s">
        <v>40</v>
      </c>
      <c r="O350">
        <v>0</v>
      </c>
      <c r="P350">
        <v>27.09</v>
      </c>
      <c r="Q350">
        <v>3.74</v>
      </c>
      <c r="R350">
        <v>0.18</v>
      </c>
      <c r="S350">
        <v>31.02</v>
      </c>
      <c r="T350" t="s">
        <v>41</v>
      </c>
      <c r="U350" t="s">
        <v>41</v>
      </c>
      <c r="V350" t="s">
        <v>38</v>
      </c>
      <c r="W350" t="s">
        <v>461</v>
      </c>
      <c r="X350">
        <v>27.09</v>
      </c>
      <c r="Y350" s="9">
        <f t="shared" si="25"/>
        <v>27.09</v>
      </c>
      <c r="Z350" s="9">
        <f t="shared" si="26"/>
        <v>50.793750000000003</v>
      </c>
      <c r="AA350" s="5">
        <f t="shared" si="27"/>
        <v>56.431856250000003</v>
      </c>
      <c r="AB350" s="6">
        <f t="shared" si="28"/>
        <v>82.280795624999996</v>
      </c>
      <c r="AD350" s="10">
        <f t="shared" si="29"/>
        <v>103.02140756250002</v>
      </c>
    </row>
    <row r="351" spans="1:30" x14ac:dyDescent="0.3">
      <c r="A351" t="s">
        <v>30</v>
      </c>
      <c r="B351" s="8" t="s">
        <v>221</v>
      </c>
      <c r="C351" s="8" t="s">
        <v>32</v>
      </c>
      <c r="D351" s="8" t="s">
        <v>33</v>
      </c>
      <c r="E351" s="8" t="s">
        <v>34</v>
      </c>
      <c r="F351" s="8" t="s">
        <v>35</v>
      </c>
      <c r="G351">
        <v>7304490000</v>
      </c>
      <c r="H351" t="s">
        <v>36</v>
      </c>
      <c r="I351" t="s">
        <v>37</v>
      </c>
      <c r="J351" t="s">
        <v>38</v>
      </c>
      <c r="K351" t="s">
        <v>39</v>
      </c>
      <c r="L351">
        <v>12</v>
      </c>
      <c r="M351">
        <v>2</v>
      </c>
      <c r="N351" t="s">
        <v>40</v>
      </c>
      <c r="O351">
        <v>0</v>
      </c>
      <c r="P351">
        <v>55.58</v>
      </c>
      <c r="Q351">
        <v>6.38</v>
      </c>
      <c r="R351">
        <v>0.37</v>
      </c>
      <c r="S351">
        <v>62.33</v>
      </c>
      <c r="T351" t="s">
        <v>41</v>
      </c>
      <c r="U351" t="s">
        <v>41</v>
      </c>
      <c r="V351" t="s">
        <v>38</v>
      </c>
      <c r="W351" t="s">
        <v>461</v>
      </c>
      <c r="X351">
        <v>27.79</v>
      </c>
      <c r="Y351" s="9">
        <f t="shared" si="25"/>
        <v>27.79</v>
      </c>
      <c r="Z351" s="9">
        <f t="shared" si="26"/>
        <v>52.106249999999996</v>
      </c>
      <c r="AA351" s="5">
        <f t="shared" si="27"/>
        <v>57.890043749999997</v>
      </c>
      <c r="AB351" s="6">
        <f t="shared" si="28"/>
        <v>84.406914374999985</v>
      </c>
      <c r="AD351" s="10">
        <f t="shared" si="29"/>
        <v>105.68345943750001</v>
      </c>
    </row>
    <row r="352" spans="1:30" x14ac:dyDescent="0.3">
      <c r="A352" t="s">
        <v>30</v>
      </c>
      <c r="B352" s="8" t="s">
        <v>32</v>
      </c>
      <c r="C352" s="8" t="s">
        <v>32</v>
      </c>
      <c r="D352" s="8" t="s">
        <v>33</v>
      </c>
      <c r="E352" s="8" t="s">
        <v>34</v>
      </c>
      <c r="F352" s="8" t="s">
        <v>35</v>
      </c>
      <c r="G352">
        <v>8481100000</v>
      </c>
      <c r="H352" t="s">
        <v>462</v>
      </c>
      <c r="I352" t="s">
        <v>463</v>
      </c>
      <c r="J352" t="s">
        <v>38</v>
      </c>
      <c r="K352" t="s">
        <v>39</v>
      </c>
      <c r="L352">
        <v>8</v>
      </c>
      <c r="M352">
        <v>1</v>
      </c>
      <c r="N352" t="s">
        <v>64</v>
      </c>
      <c r="O352">
        <v>0</v>
      </c>
      <c r="P352">
        <v>244.35</v>
      </c>
      <c r="Q352">
        <v>30.61</v>
      </c>
      <c r="R352">
        <v>1.67</v>
      </c>
      <c r="S352">
        <v>276.64</v>
      </c>
      <c r="T352" t="s">
        <v>41</v>
      </c>
      <c r="U352" t="s">
        <v>41</v>
      </c>
      <c r="V352" t="s">
        <v>38</v>
      </c>
      <c r="W352" t="s">
        <v>464</v>
      </c>
      <c r="X352">
        <v>244.35</v>
      </c>
      <c r="Y352" s="9">
        <f t="shared" si="25"/>
        <v>244.35</v>
      </c>
      <c r="Z352" s="9">
        <f t="shared" si="26"/>
        <v>458.15625</v>
      </c>
      <c r="AA352" s="5">
        <f t="shared" si="27"/>
        <v>509.01159374999997</v>
      </c>
      <c r="AB352" s="6">
        <f t="shared" si="28"/>
        <v>742.16730937499995</v>
      </c>
      <c r="AD352" s="10">
        <f t="shared" si="29"/>
        <v>929.24625093750012</v>
      </c>
    </row>
    <row r="353" spans="1:30" x14ac:dyDescent="0.3">
      <c r="A353" t="s">
        <v>30</v>
      </c>
      <c r="B353" s="8" t="s">
        <v>32</v>
      </c>
      <c r="C353" s="8" t="s">
        <v>32</v>
      </c>
      <c r="D353" s="8" t="s">
        <v>33</v>
      </c>
      <c r="E353" s="8" t="s">
        <v>34</v>
      </c>
      <c r="F353" s="8" t="s">
        <v>35</v>
      </c>
      <c r="G353">
        <v>8481100000</v>
      </c>
      <c r="H353" t="s">
        <v>462</v>
      </c>
      <c r="I353" t="s">
        <v>465</v>
      </c>
      <c r="J353" t="s">
        <v>38</v>
      </c>
      <c r="K353" t="s">
        <v>39</v>
      </c>
      <c r="L353">
        <v>8</v>
      </c>
      <c r="M353">
        <v>1</v>
      </c>
      <c r="N353" t="s">
        <v>64</v>
      </c>
      <c r="O353">
        <v>0</v>
      </c>
      <c r="P353">
        <v>243.15</v>
      </c>
      <c r="Q353">
        <v>13.77</v>
      </c>
      <c r="R353">
        <v>1.55</v>
      </c>
      <c r="S353">
        <v>258.47000000000003</v>
      </c>
      <c r="T353" t="s">
        <v>41</v>
      </c>
      <c r="U353" t="s">
        <v>41</v>
      </c>
      <c r="V353" t="s">
        <v>38</v>
      </c>
      <c r="W353" t="s">
        <v>464</v>
      </c>
      <c r="X353">
        <v>243.15</v>
      </c>
      <c r="Y353" s="9">
        <f t="shared" si="25"/>
        <v>243.15</v>
      </c>
      <c r="Z353" s="9">
        <f t="shared" si="26"/>
        <v>455.90625</v>
      </c>
      <c r="AA353" s="5">
        <f t="shared" si="27"/>
        <v>506.51184374999997</v>
      </c>
      <c r="AB353" s="6">
        <f t="shared" si="28"/>
        <v>738.52253437499996</v>
      </c>
      <c r="AD353" s="10">
        <f t="shared" si="29"/>
        <v>924.68273343750013</v>
      </c>
    </row>
    <row r="354" spans="1:30" x14ac:dyDescent="0.3">
      <c r="A354" t="s">
        <v>30</v>
      </c>
      <c r="B354" s="8" t="s">
        <v>31</v>
      </c>
      <c r="C354" s="8" t="s">
        <v>32</v>
      </c>
      <c r="D354" s="8" t="s">
        <v>33</v>
      </c>
      <c r="E354" s="8" t="s">
        <v>34</v>
      </c>
      <c r="F354" s="8" t="s">
        <v>35</v>
      </c>
      <c r="G354">
        <v>8414590000</v>
      </c>
      <c r="H354" t="s">
        <v>36</v>
      </c>
      <c r="I354" t="s">
        <v>466</v>
      </c>
      <c r="J354" t="s">
        <v>38</v>
      </c>
      <c r="K354" t="s">
        <v>39</v>
      </c>
      <c r="L354">
        <v>8</v>
      </c>
      <c r="M354">
        <v>1</v>
      </c>
      <c r="N354" t="s">
        <v>64</v>
      </c>
      <c r="O354">
        <v>0</v>
      </c>
      <c r="P354">
        <v>1146.54</v>
      </c>
      <c r="Q354">
        <v>165</v>
      </c>
      <c r="R354">
        <v>8.07</v>
      </c>
      <c r="S354">
        <v>1319.6</v>
      </c>
      <c r="T354" t="s">
        <v>41</v>
      </c>
      <c r="U354" t="s">
        <v>41</v>
      </c>
      <c r="V354" t="s">
        <v>38</v>
      </c>
      <c r="W354" t="s">
        <v>467</v>
      </c>
      <c r="X354">
        <v>1146.54</v>
      </c>
      <c r="Y354" s="9">
        <f t="shared" si="25"/>
        <v>1146.54</v>
      </c>
      <c r="Z354" s="9">
        <f t="shared" si="26"/>
        <v>2149.7624999999998</v>
      </c>
      <c r="AA354" s="5">
        <f t="shared" si="27"/>
        <v>2388.3861374999997</v>
      </c>
      <c r="AB354" s="6">
        <f t="shared" si="28"/>
        <v>3482.4002737499995</v>
      </c>
      <c r="AD354" s="10">
        <f t="shared" si="29"/>
        <v>4360.2127953750005</v>
      </c>
    </row>
    <row r="355" spans="1:30" x14ac:dyDescent="0.3">
      <c r="A355" t="s">
        <v>30</v>
      </c>
      <c r="B355" s="8" t="s">
        <v>31</v>
      </c>
      <c r="C355" s="8" t="s">
        <v>32</v>
      </c>
      <c r="D355" s="8" t="s">
        <v>33</v>
      </c>
      <c r="E355" s="8" t="s">
        <v>34</v>
      </c>
      <c r="F355" s="8" t="s">
        <v>35</v>
      </c>
      <c r="G355">
        <v>8414590000</v>
      </c>
      <c r="H355" t="s">
        <v>36</v>
      </c>
      <c r="I355" t="s">
        <v>466</v>
      </c>
      <c r="J355" t="s">
        <v>38</v>
      </c>
      <c r="K355" t="s">
        <v>39</v>
      </c>
      <c r="L355">
        <v>16</v>
      </c>
      <c r="M355">
        <v>1</v>
      </c>
      <c r="N355" t="s">
        <v>64</v>
      </c>
      <c r="O355">
        <v>0</v>
      </c>
      <c r="P355">
        <v>1038.1300000000001</v>
      </c>
      <c r="Q355">
        <v>143.28</v>
      </c>
      <c r="R355">
        <v>6.93</v>
      </c>
      <c r="S355">
        <v>1188.33</v>
      </c>
      <c r="T355" t="s">
        <v>41</v>
      </c>
      <c r="U355" t="s">
        <v>41</v>
      </c>
      <c r="V355" t="s">
        <v>38</v>
      </c>
      <c r="W355" t="s">
        <v>467</v>
      </c>
      <c r="X355">
        <v>1038.1300000000001</v>
      </c>
      <c r="Y355" s="9">
        <f t="shared" si="25"/>
        <v>1038.1300000000001</v>
      </c>
      <c r="Z355" s="9">
        <f t="shared" si="26"/>
        <v>1946.4937500000001</v>
      </c>
      <c r="AA355" s="5">
        <f t="shared" si="27"/>
        <v>2162.5545562500001</v>
      </c>
      <c r="AB355" s="6">
        <f t="shared" si="28"/>
        <v>3153.125225625</v>
      </c>
      <c r="AD355" s="10">
        <f t="shared" si="29"/>
        <v>3947.9370185625007</v>
      </c>
    </row>
    <row r="356" spans="1:30" x14ac:dyDescent="0.3">
      <c r="A356" t="s">
        <v>30</v>
      </c>
      <c r="B356" s="8" t="s">
        <v>66</v>
      </c>
      <c r="C356" s="8" t="s">
        <v>32</v>
      </c>
      <c r="D356" s="8" t="s">
        <v>33</v>
      </c>
      <c r="E356" s="8" t="s">
        <v>34</v>
      </c>
      <c r="F356" s="8" t="s">
        <v>35</v>
      </c>
      <c r="G356">
        <v>8481805900</v>
      </c>
      <c r="H356" t="s">
        <v>36</v>
      </c>
      <c r="I356" t="s">
        <v>468</v>
      </c>
      <c r="J356" t="s">
        <v>38</v>
      </c>
      <c r="K356" t="s">
        <v>39</v>
      </c>
      <c r="L356">
        <v>6</v>
      </c>
      <c r="M356">
        <v>1</v>
      </c>
      <c r="N356" t="s">
        <v>64</v>
      </c>
      <c r="O356">
        <v>0</v>
      </c>
      <c r="P356">
        <v>438.78</v>
      </c>
      <c r="Q356">
        <v>53.06</v>
      </c>
      <c r="R356">
        <v>3.06</v>
      </c>
      <c r="S356">
        <v>494.9</v>
      </c>
      <c r="T356" t="s">
        <v>41</v>
      </c>
      <c r="U356" t="s">
        <v>43</v>
      </c>
      <c r="V356" t="s">
        <v>38</v>
      </c>
      <c r="W356" t="s">
        <v>469</v>
      </c>
      <c r="X356">
        <v>438.78</v>
      </c>
      <c r="Y356" s="9">
        <f t="shared" si="25"/>
        <v>438.78</v>
      </c>
      <c r="Z356" s="9">
        <f t="shared" si="26"/>
        <v>822.71249999999998</v>
      </c>
      <c r="AA356" s="5">
        <f t="shared" si="27"/>
        <v>914.03358749999995</v>
      </c>
      <c r="AB356" s="6">
        <f t="shared" si="28"/>
        <v>1332.7119787499998</v>
      </c>
      <c r="AD356" s="10">
        <f t="shared" si="29"/>
        <v>1668.6501738750001</v>
      </c>
    </row>
    <row r="357" spans="1:30" x14ac:dyDescent="0.3">
      <c r="A357" t="s">
        <v>30</v>
      </c>
      <c r="B357" s="8" t="s">
        <v>66</v>
      </c>
      <c r="C357" s="8" t="s">
        <v>32</v>
      </c>
      <c r="D357" s="8" t="s">
        <v>33</v>
      </c>
      <c r="E357" s="8" t="s">
        <v>34</v>
      </c>
      <c r="F357" s="8" t="s">
        <v>35</v>
      </c>
      <c r="G357">
        <v>8481805900</v>
      </c>
      <c r="H357" t="s">
        <v>36</v>
      </c>
      <c r="I357" t="s">
        <v>470</v>
      </c>
      <c r="J357" t="s">
        <v>38</v>
      </c>
      <c r="K357" t="s">
        <v>39</v>
      </c>
      <c r="L357">
        <v>3</v>
      </c>
      <c r="M357">
        <v>1</v>
      </c>
      <c r="N357" t="s">
        <v>64</v>
      </c>
      <c r="O357">
        <v>0</v>
      </c>
      <c r="P357">
        <v>447.32</v>
      </c>
      <c r="Q357">
        <v>19.14</v>
      </c>
      <c r="R357">
        <v>2.88</v>
      </c>
      <c r="S357">
        <v>469.35</v>
      </c>
      <c r="T357" t="s">
        <v>41</v>
      </c>
      <c r="U357" t="s">
        <v>43</v>
      </c>
      <c r="V357" t="s">
        <v>38</v>
      </c>
      <c r="W357" t="s">
        <v>469</v>
      </c>
      <c r="X357">
        <v>447.32</v>
      </c>
      <c r="Y357" s="9">
        <f t="shared" si="25"/>
        <v>447.32</v>
      </c>
      <c r="Z357" s="9">
        <f t="shared" si="26"/>
        <v>838.72500000000002</v>
      </c>
      <c r="AA357" s="5">
        <f t="shared" si="27"/>
        <v>931.82347500000003</v>
      </c>
      <c r="AB357" s="6">
        <f t="shared" si="28"/>
        <v>1358.6506274999999</v>
      </c>
      <c r="AD357" s="10">
        <f t="shared" si="29"/>
        <v>1701.1272067500001</v>
      </c>
    </row>
    <row r="358" spans="1:30" x14ac:dyDescent="0.3">
      <c r="A358" t="s">
        <v>30</v>
      </c>
      <c r="B358" s="8" t="s">
        <v>66</v>
      </c>
      <c r="C358" s="8" t="s">
        <v>32</v>
      </c>
      <c r="D358" s="8" t="s">
        <v>33</v>
      </c>
      <c r="E358" s="8" t="s">
        <v>34</v>
      </c>
      <c r="F358" s="8" t="s">
        <v>35</v>
      </c>
      <c r="G358">
        <v>8481805900</v>
      </c>
      <c r="H358" t="s">
        <v>53</v>
      </c>
      <c r="I358" t="s">
        <v>471</v>
      </c>
      <c r="J358" t="s">
        <v>38</v>
      </c>
      <c r="K358" t="s">
        <v>39</v>
      </c>
      <c r="L358">
        <v>8</v>
      </c>
      <c r="M358">
        <v>1</v>
      </c>
      <c r="N358" t="s">
        <v>64</v>
      </c>
      <c r="O358">
        <v>0</v>
      </c>
      <c r="P358">
        <v>448.36</v>
      </c>
      <c r="Q358">
        <v>56.17</v>
      </c>
      <c r="R358">
        <v>3.06</v>
      </c>
      <c r="S358">
        <v>507.59</v>
      </c>
      <c r="T358" t="s">
        <v>41</v>
      </c>
      <c r="U358" t="s">
        <v>41</v>
      </c>
      <c r="V358" t="s">
        <v>38</v>
      </c>
      <c r="W358" t="s">
        <v>469</v>
      </c>
      <c r="X358">
        <v>448.36</v>
      </c>
      <c r="Y358" s="9">
        <f t="shared" si="25"/>
        <v>448.36</v>
      </c>
      <c r="Z358" s="9">
        <f t="shared" si="26"/>
        <v>840.67500000000007</v>
      </c>
      <c r="AA358" s="5">
        <f t="shared" si="27"/>
        <v>933.98992500000008</v>
      </c>
      <c r="AB358" s="6">
        <f t="shared" si="28"/>
        <v>1361.8094325</v>
      </c>
      <c r="AD358" s="10">
        <f t="shared" si="29"/>
        <v>1705.0822552500003</v>
      </c>
    </row>
    <row r="359" spans="1:30" x14ac:dyDescent="0.3">
      <c r="A359" t="s">
        <v>30</v>
      </c>
      <c r="B359" s="8" t="s">
        <v>66</v>
      </c>
      <c r="C359" s="8" t="s">
        <v>32</v>
      </c>
      <c r="D359" s="8" t="s">
        <v>33</v>
      </c>
      <c r="E359" s="8" t="s">
        <v>34</v>
      </c>
      <c r="F359" s="8" t="s">
        <v>35</v>
      </c>
      <c r="G359">
        <v>8481805900</v>
      </c>
      <c r="H359" t="s">
        <v>53</v>
      </c>
      <c r="I359" t="s">
        <v>472</v>
      </c>
      <c r="J359" t="s">
        <v>38</v>
      </c>
      <c r="K359" t="s">
        <v>39</v>
      </c>
      <c r="L359">
        <v>8</v>
      </c>
      <c r="M359">
        <v>2</v>
      </c>
      <c r="N359" t="s">
        <v>64</v>
      </c>
      <c r="O359">
        <v>0</v>
      </c>
      <c r="P359">
        <v>892.29</v>
      </c>
      <c r="Q359">
        <v>50.52</v>
      </c>
      <c r="R359">
        <v>5.7</v>
      </c>
      <c r="S359">
        <v>948.51</v>
      </c>
      <c r="T359" t="s">
        <v>41</v>
      </c>
      <c r="U359" t="s">
        <v>41</v>
      </c>
      <c r="V359" t="s">
        <v>38</v>
      </c>
      <c r="W359" t="s">
        <v>469</v>
      </c>
      <c r="X359">
        <v>446.15</v>
      </c>
      <c r="Y359" s="9">
        <f t="shared" si="25"/>
        <v>446.14499999999998</v>
      </c>
      <c r="Z359" s="9">
        <f t="shared" si="26"/>
        <v>836.52187499999991</v>
      </c>
      <c r="AA359" s="5">
        <f t="shared" si="27"/>
        <v>929.37580312499983</v>
      </c>
      <c r="AB359" s="6">
        <f t="shared" si="28"/>
        <v>1355.0817853124997</v>
      </c>
      <c r="AD359" s="10">
        <f t="shared" si="29"/>
        <v>1696.65876253125</v>
      </c>
    </row>
    <row r="360" spans="1:30" x14ac:dyDescent="0.3">
      <c r="A360" t="s">
        <v>168</v>
      </c>
      <c r="B360" s="8" t="s">
        <v>124</v>
      </c>
      <c r="C360" s="8" t="s">
        <v>32</v>
      </c>
      <c r="D360" s="8" t="s">
        <v>33</v>
      </c>
      <c r="E360" s="8" t="s">
        <v>34</v>
      </c>
      <c r="F360" s="8" t="s">
        <v>35</v>
      </c>
      <c r="G360">
        <v>8544429000</v>
      </c>
      <c r="H360" t="s">
        <v>473</v>
      </c>
      <c r="I360" t="s">
        <v>269</v>
      </c>
      <c r="J360" t="s">
        <v>38</v>
      </c>
      <c r="K360" t="s">
        <v>39</v>
      </c>
      <c r="L360">
        <v>11</v>
      </c>
      <c r="M360">
        <v>6</v>
      </c>
      <c r="N360" t="s">
        <v>40</v>
      </c>
      <c r="O360">
        <v>48.16</v>
      </c>
      <c r="P360">
        <v>318.91000000000003</v>
      </c>
      <c r="Q360">
        <v>30.55</v>
      </c>
      <c r="R360">
        <v>2.15</v>
      </c>
      <c r="S360">
        <v>351.61</v>
      </c>
      <c r="T360" t="s">
        <v>41</v>
      </c>
      <c r="U360" t="s">
        <v>43</v>
      </c>
      <c r="V360" t="s">
        <v>38</v>
      </c>
      <c r="W360" t="s">
        <v>474</v>
      </c>
      <c r="X360">
        <v>53.15</v>
      </c>
      <c r="Y360" s="9">
        <f t="shared" si="25"/>
        <v>53.151666666666671</v>
      </c>
      <c r="Z360" s="9">
        <f t="shared" si="26"/>
        <v>99.659375000000011</v>
      </c>
      <c r="AA360" s="5">
        <f t="shared" si="27"/>
        <v>110.72156562500001</v>
      </c>
      <c r="AB360" s="6">
        <f t="shared" si="28"/>
        <v>161.43822156250002</v>
      </c>
      <c r="AD360" s="10">
        <f t="shared" si="29"/>
        <v>202.13213415625003</v>
      </c>
    </row>
    <row r="361" spans="1:30" x14ac:dyDescent="0.3">
      <c r="A361" t="s">
        <v>30</v>
      </c>
      <c r="B361" s="8" t="s">
        <v>156</v>
      </c>
      <c r="C361" s="8" t="s">
        <v>32</v>
      </c>
      <c r="D361" s="8" t="s">
        <v>33</v>
      </c>
      <c r="E361" s="8" t="s">
        <v>34</v>
      </c>
      <c r="F361" s="8" t="s">
        <v>35</v>
      </c>
      <c r="G361">
        <v>8481805900</v>
      </c>
      <c r="H361" t="s">
        <v>36</v>
      </c>
      <c r="I361" t="s">
        <v>191</v>
      </c>
      <c r="J361" t="s">
        <v>38</v>
      </c>
      <c r="K361" t="s">
        <v>39</v>
      </c>
      <c r="L361">
        <v>3</v>
      </c>
      <c r="M361">
        <v>4</v>
      </c>
      <c r="N361" t="s">
        <v>64</v>
      </c>
      <c r="O361">
        <v>0</v>
      </c>
      <c r="P361">
        <v>915.33</v>
      </c>
      <c r="Q361">
        <v>39.17</v>
      </c>
      <c r="R361">
        <v>5.9</v>
      </c>
      <c r="S361">
        <v>960.41</v>
      </c>
      <c r="T361" t="s">
        <v>41</v>
      </c>
      <c r="U361" t="s">
        <v>43</v>
      </c>
      <c r="V361" t="s">
        <v>38</v>
      </c>
      <c r="W361" t="s">
        <v>475</v>
      </c>
      <c r="X361">
        <v>228.83</v>
      </c>
      <c r="Y361" s="9">
        <f t="shared" si="25"/>
        <v>228.83250000000001</v>
      </c>
      <c r="Z361" s="9">
        <f t="shared" si="26"/>
        <v>429.06093750000002</v>
      </c>
      <c r="AA361" s="5">
        <f t="shared" si="27"/>
        <v>476.68670156250005</v>
      </c>
      <c r="AB361" s="6">
        <f t="shared" si="28"/>
        <v>695.03581265624996</v>
      </c>
      <c r="AD361" s="10">
        <f t="shared" si="29"/>
        <v>870.23426526562514</v>
      </c>
    </row>
    <row r="362" spans="1:30" x14ac:dyDescent="0.3">
      <c r="A362" t="s">
        <v>168</v>
      </c>
      <c r="B362" s="8" t="s">
        <v>156</v>
      </c>
      <c r="C362" s="8" t="s">
        <v>32</v>
      </c>
      <c r="D362" s="8" t="s">
        <v>33</v>
      </c>
      <c r="E362" s="8" t="s">
        <v>34</v>
      </c>
      <c r="F362" s="8" t="s">
        <v>35</v>
      </c>
      <c r="G362">
        <v>8481805900</v>
      </c>
      <c r="H362" t="s">
        <v>36</v>
      </c>
      <c r="I362" t="s">
        <v>191</v>
      </c>
      <c r="J362" t="s">
        <v>38</v>
      </c>
      <c r="K362" t="s">
        <v>39</v>
      </c>
      <c r="L362">
        <v>11</v>
      </c>
      <c r="M362">
        <v>8</v>
      </c>
      <c r="N362" t="s">
        <v>64</v>
      </c>
      <c r="O362">
        <v>0</v>
      </c>
      <c r="P362">
        <v>1847.7</v>
      </c>
      <c r="Q362">
        <v>176.97</v>
      </c>
      <c r="R362">
        <v>12.47</v>
      </c>
      <c r="S362">
        <v>2037.14</v>
      </c>
      <c r="T362" t="s">
        <v>41</v>
      </c>
      <c r="U362" t="s">
        <v>43</v>
      </c>
      <c r="V362" t="s">
        <v>38</v>
      </c>
      <c r="W362" t="s">
        <v>475</v>
      </c>
      <c r="X362">
        <v>230.96</v>
      </c>
      <c r="Y362" s="9">
        <f t="shared" si="25"/>
        <v>230.96250000000001</v>
      </c>
      <c r="Z362" s="9">
        <f t="shared" si="26"/>
        <v>433.0546875</v>
      </c>
      <c r="AA362" s="5">
        <f t="shared" si="27"/>
        <v>481.1237578125</v>
      </c>
      <c r="AB362" s="6">
        <f t="shared" si="28"/>
        <v>701.50528828124993</v>
      </c>
      <c r="AD362" s="10">
        <f t="shared" si="29"/>
        <v>878.33450882812508</v>
      </c>
    </row>
    <row r="363" spans="1:30" x14ac:dyDescent="0.3">
      <c r="A363" t="s">
        <v>168</v>
      </c>
      <c r="B363" s="8" t="s">
        <v>337</v>
      </c>
      <c r="C363" s="8" t="s">
        <v>32</v>
      </c>
      <c r="D363" s="8" t="s">
        <v>33</v>
      </c>
      <c r="E363" s="8" t="s">
        <v>34</v>
      </c>
      <c r="F363" s="8" t="s">
        <v>35</v>
      </c>
      <c r="G363">
        <v>8544429000</v>
      </c>
      <c r="H363" t="s">
        <v>473</v>
      </c>
      <c r="I363" t="s">
        <v>269</v>
      </c>
      <c r="J363" t="s">
        <v>38</v>
      </c>
      <c r="K363" t="s">
        <v>39</v>
      </c>
      <c r="L363">
        <v>11</v>
      </c>
      <c r="M363">
        <v>2</v>
      </c>
      <c r="N363" t="s">
        <v>40</v>
      </c>
      <c r="O363">
        <v>60.42</v>
      </c>
      <c r="P363">
        <v>400.07</v>
      </c>
      <c r="Q363">
        <v>38.32</v>
      </c>
      <c r="R363">
        <v>2.7</v>
      </c>
      <c r="S363">
        <v>441.09</v>
      </c>
      <c r="T363" t="s">
        <v>41</v>
      </c>
      <c r="U363" t="s">
        <v>43</v>
      </c>
      <c r="V363" t="s">
        <v>38</v>
      </c>
      <c r="W363" t="s">
        <v>476</v>
      </c>
      <c r="X363">
        <v>200.03</v>
      </c>
      <c r="Y363" s="9">
        <f t="shared" si="25"/>
        <v>200.035</v>
      </c>
      <c r="Z363" s="9">
        <f t="shared" si="26"/>
        <v>375.06562500000001</v>
      </c>
      <c r="AA363" s="5">
        <f t="shared" si="27"/>
        <v>416.69790937499999</v>
      </c>
      <c r="AB363" s="6">
        <f t="shared" si="28"/>
        <v>607.56880593749997</v>
      </c>
      <c r="AD363" s="10">
        <f t="shared" si="29"/>
        <v>760.71935259375005</v>
      </c>
    </row>
    <row r="364" spans="1:30" x14ac:dyDescent="0.3">
      <c r="A364" t="s">
        <v>30</v>
      </c>
      <c r="B364" s="8" t="s">
        <v>31</v>
      </c>
      <c r="C364" s="8" t="s">
        <v>32</v>
      </c>
      <c r="D364" s="8" t="s">
        <v>33</v>
      </c>
      <c r="E364" s="8" t="s">
        <v>34</v>
      </c>
      <c r="F364" s="8" t="s">
        <v>35</v>
      </c>
      <c r="G364">
        <v>8421999000</v>
      </c>
      <c r="H364" t="s">
        <v>36</v>
      </c>
      <c r="I364" t="s">
        <v>228</v>
      </c>
      <c r="J364" t="s">
        <v>38</v>
      </c>
      <c r="K364" t="s">
        <v>39</v>
      </c>
      <c r="L364">
        <v>4</v>
      </c>
      <c r="M364">
        <v>3</v>
      </c>
      <c r="N364" t="s">
        <v>64</v>
      </c>
      <c r="O364">
        <v>0</v>
      </c>
      <c r="P364">
        <v>596.44000000000005</v>
      </c>
      <c r="Q364">
        <v>31.23</v>
      </c>
      <c r="R364">
        <v>3.89</v>
      </c>
      <c r="S364">
        <v>631.55999999999995</v>
      </c>
      <c r="T364" t="s">
        <v>41</v>
      </c>
      <c r="U364" t="s">
        <v>41</v>
      </c>
      <c r="V364" t="s">
        <v>38</v>
      </c>
      <c r="W364" t="s">
        <v>477</v>
      </c>
      <c r="X364">
        <v>198.81</v>
      </c>
      <c r="Y364" s="9">
        <f t="shared" si="25"/>
        <v>198.81333333333336</v>
      </c>
      <c r="Z364" s="9">
        <f t="shared" si="26"/>
        <v>372.77500000000003</v>
      </c>
      <c r="AA364" s="5">
        <f t="shared" si="27"/>
        <v>414.15302500000001</v>
      </c>
      <c r="AB364" s="6">
        <f t="shared" si="28"/>
        <v>603.85822250000001</v>
      </c>
      <c r="AD364" s="10">
        <f t="shared" si="29"/>
        <v>756.07343825000009</v>
      </c>
    </row>
    <row r="365" spans="1:30" x14ac:dyDescent="0.3">
      <c r="A365" t="s">
        <v>30</v>
      </c>
      <c r="B365" s="8" t="s">
        <v>31</v>
      </c>
      <c r="C365" s="8" t="s">
        <v>32</v>
      </c>
      <c r="D365" s="8" t="s">
        <v>33</v>
      </c>
      <c r="E365" s="8" t="s">
        <v>34</v>
      </c>
      <c r="F365" s="8" t="s">
        <v>35</v>
      </c>
      <c r="G365">
        <v>8421999000</v>
      </c>
      <c r="H365" t="s">
        <v>36</v>
      </c>
      <c r="I365" t="s">
        <v>228</v>
      </c>
      <c r="J365" t="s">
        <v>38</v>
      </c>
      <c r="K365" t="s">
        <v>39</v>
      </c>
      <c r="L365">
        <v>8</v>
      </c>
      <c r="M365">
        <v>3</v>
      </c>
      <c r="N365" t="s">
        <v>64</v>
      </c>
      <c r="O365">
        <v>0</v>
      </c>
      <c r="P365">
        <v>596.38</v>
      </c>
      <c r="Q365">
        <v>63.66</v>
      </c>
      <c r="R365">
        <v>4</v>
      </c>
      <c r="S365">
        <v>664.04</v>
      </c>
      <c r="T365" t="s">
        <v>41</v>
      </c>
      <c r="U365" t="s">
        <v>41</v>
      </c>
      <c r="V365" t="s">
        <v>38</v>
      </c>
      <c r="W365" t="s">
        <v>477</v>
      </c>
      <c r="X365">
        <v>198.79</v>
      </c>
      <c r="Y365" s="9">
        <f t="shared" si="25"/>
        <v>198.79333333333332</v>
      </c>
      <c r="Z365" s="9">
        <f t="shared" si="26"/>
        <v>372.73749999999995</v>
      </c>
      <c r="AA365" s="5">
        <f t="shared" si="27"/>
        <v>414.11136249999993</v>
      </c>
      <c r="AB365" s="6">
        <f t="shared" si="28"/>
        <v>603.79747624999993</v>
      </c>
      <c r="AD365" s="10">
        <f t="shared" si="29"/>
        <v>755.99737962500001</v>
      </c>
    </row>
    <row r="366" spans="1:30" x14ac:dyDescent="0.3">
      <c r="A366" t="s">
        <v>30</v>
      </c>
      <c r="B366" s="8" t="s">
        <v>31</v>
      </c>
      <c r="C366" s="8" t="s">
        <v>32</v>
      </c>
      <c r="D366" s="8" t="s">
        <v>69</v>
      </c>
      <c r="E366" s="8" t="s">
        <v>70</v>
      </c>
      <c r="F366" s="8" t="s">
        <v>71</v>
      </c>
      <c r="G366">
        <v>8421999000</v>
      </c>
      <c r="H366" t="s">
        <v>36</v>
      </c>
      <c r="I366" t="s">
        <v>228</v>
      </c>
      <c r="J366" t="s">
        <v>38</v>
      </c>
      <c r="K366" t="s">
        <v>39</v>
      </c>
      <c r="L366">
        <v>8</v>
      </c>
      <c r="M366">
        <v>6</v>
      </c>
      <c r="N366" t="s">
        <v>64</v>
      </c>
      <c r="O366">
        <v>0</v>
      </c>
      <c r="P366">
        <v>1166.28</v>
      </c>
      <c r="Q366">
        <v>76.349999999999994</v>
      </c>
      <c r="R366">
        <v>7.56</v>
      </c>
      <c r="S366">
        <v>1250.19</v>
      </c>
      <c r="T366" t="s">
        <v>41</v>
      </c>
      <c r="U366" t="s">
        <v>41</v>
      </c>
      <c r="V366" t="s">
        <v>38</v>
      </c>
      <c r="W366" t="s">
        <v>477</v>
      </c>
      <c r="X366">
        <v>194.38</v>
      </c>
      <c r="Y366" s="9">
        <f t="shared" si="25"/>
        <v>194.38</v>
      </c>
      <c r="Z366" s="9">
        <f t="shared" si="26"/>
        <v>364.46249999999998</v>
      </c>
      <c r="AA366" s="5">
        <f t="shared" si="27"/>
        <v>404.91783749999996</v>
      </c>
      <c r="AB366" s="6">
        <f t="shared" si="28"/>
        <v>590.39280374999987</v>
      </c>
      <c r="AD366" s="10">
        <f t="shared" si="29"/>
        <v>739.21377637500007</v>
      </c>
    </row>
    <row r="367" spans="1:30" x14ac:dyDescent="0.3">
      <c r="A367" t="s">
        <v>30</v>
      </c>
      <c r="B367" s="8" t="s">
        <v>31</v>
      </c>
      <c r="C367" s="8" t="s">
        <v>32</v>
      </c>
      <c r="D367" s="8" t="s">
        <v>33</v>
      </c>
      <c r="E367" s="8" t="s">
        <v>34</v>
      </c>
      <c r="F367" s="8" t="s">
        <v>35</v>
      </c>
      <c r="G367">
        <v>8421999000</v>
      </c>
      <c r="H367" t="s">
        <v>36</v>
      </c>
      <c r="I367" t="s">
        <v>228</v>
      </c>
      <c r="J367" t="s">
        <v>38</v>
      </c>
      <c r="K367" t="s">
        <v>39</v>
      </c>
      <c r="L367">
        <v>12</v>
      </c>
      <c r="M367">
        <v>2</v>
      </c>
      <c r="N367" t="s">
        <v>64</v>
      </c>
      <c r="O367">
        <v>0</v>
      </c>
      <c r="P367">
        <v>400.15</v>
      </c>
      <c r="Q367">
        <v>45.95</v>
      </c>
      <c r="R367">
        <v>2.67</v>
      </c>
      <c r="S367">
        <v>448.76</v>
      </c>
      <c r="T367" t="s">
        <v>41</v>
      </c>
      <c r="U367" t="s">
        <v>41</v>
      </c>
      <c r="V367" t="s">
        <v>38</v>
      </c>
      <c r="W367" t="s">
        <v>477</v>
      </c>
      <c r="X367">
        <v>200.07</v>
      </c>
      <c r="Y367" s="9">
        <f t="shared" si="25"/>
        <v>200.07499999999999</v>
      </c>
      <c r="Z367" s="9">
        <f t="shared" si="26"/>
        <v>375.140625</v>
      </c>
      <c r="AA367" s="5">
        <f t="shared" si="27"/>
        <v>416.781234375</v>
      </c>
      <c r="AB367" s="6">
        <f t="shared" si="28"/>
        <v>607.69029843749991</v>
      </c>
      <c r="AD367" s="10">
        <f t="shared" si="29"/>
        <v>760.87146984375011</v>
      </c>
    </row>
    <row r="368" spans="1:30" x14ac:dyDescent="0.3">
      <c r="A368" t="s">
        <v>168</v>
      </c>
      <c r="B368" s="8" t="s">
        <v>31</v>
      </c>
      <c r="C368" s="8" t="s">
        <v>32</v>
      </c>
      <c r="E368" s="8" t="s">
        <v>70</v>
      </c>
      <c r="F368" s="8" t="s">
        <v>71</v>
      </c>
      <c r="G368">
        <v>8421999000</v>
      </c>
      <c r="H368" t="s">
        <v>36</v>
      </c>
      <c r="I368" t="s">
        <v>478</v>
      </c>
      <c r="J368" t="s">
        <v>38</v>
      </c>
      <c r="K368" t="s">
        <v>39</v>
      </c>
      <c r="L368">
        <v>0</v>
      </c>
      <c r="M368">
        <v>5</v>
      </c>
      <c r="N368" t="s">
        <v>64</v>
      </c>
      <c r="O368">
        <v>0</v>
      </c>
      <c r="P368">
        <v>841.69</v>
      </c>
      <c r="Q368">
        <v>64.61</v>
      </c>
      <c r="R368">
        <v>6.06</v>
      </c>
      <c r="S368">
        <v>912.36</v>
      </c>
      <c r="T368" t="s">
        <v>41</v>
      </c>
      <c r="U368" t="s">
        <v>41</v>
      </c>
      <c r="V368" t="s">
        <v>38</v>
      </c>
      <c r="W368" t="s">
        <v>477</v>
      </c>
      <c r="X368">
        <v>168.34</v>
      </c>
      <c r="Y368" s="9">
        <f t="shared" si="25"/>
        <v>168.33800000000002</v>
      </c>
      <c r="Z368" s="9">
        <f t="shared" si="26"/>
        <v>315.63375000000002</v>
      </c>
      <c r="AA368" s="5">
        <f t="shared" si="27"/>
        <v>350.66909625</v>
      </c>
      <c r="AB368" s="6">
        <f t="shared" si="28"/>
        <v>511.295111625</v>
      </c>
      <c r="AD368" s="10">
        <f t="shared" si="29"/>
        <v>640.17784076250007</v>
      </c>
    </row>
    <row r="369" spans="1:30" x14ac:dyDescent="0.3">
      <c r="A369" t="s">
        <v>30</v>
      </c>
      <c r="B369" s="8" t="s">
        <v>31</v>
      </c>
      <c r="C369" s="8" t="s">
        <v>32</v>
      </c>
      <c r="D369" s="8" t="s">
        <v>33</v>
      </c>
      <c r="E369" s="8" t="s">
        <v>34</v>
      </c>
      <c r="F369" s="8" t="s">
        <v>35</v>
      </c>
      <c r="G369">
        <v>8421999000</v>
      </c>
      <c r="H369" t="s">
        <v>36</v>
      </c>
      <c r="I369" t="s">
        <v>228</v>
      </c>
      <c r="J369" t="s">
        <v>38</v>
      </c>
      <c r="K369" t="s">
        <v>39</v>
      </c>
      <c r="L369">
        <v>6</v>
      </c>
      <c r="M369">
        <v>2</v>
      </c>
      <c r="N369" t="s">
        <v>64</v>
      </c>
      <c r="O369">
        <v>0</v>
      </c>
      <c r="P369">
        <v>511.31</v>
      </c>
      <c r="Q369">
        <v>61.83</v>
      </c>
      <c r="R369">
        <v>3.56</v>
      </c>
      <c r="S369">
        <v>576.71</v>
      </c>
      <c r="T369" t="s">
        <v>41</v>
      </c>
      <c r="U369" t="s">
        <v>43</v>
      </c>
      <c r="V369" t="s">
        <v>38</v>
      </c>
      <c r="W369" t="s">
        <v>479</v>
      </c>
      <c r="X369">
        <v>255.66</v>
      </c>
      <c r="Y369" s="9">
        <f t="shared" si="25"/>
        <v>255.655</v>
      </c>
      <c r="Z369" s="9">
        <f t="shared" si="26"/>
        <v>479.35312499999998</v>
      </c>
      <c r="AA369" s="5">
        <f t="shared" si="27"/>
        <v>532.56132187499998</v>
      </c>
      <c r="AB369" s="6">
        <f t="shared" si="28"/>
        <v>776.50412718749988</v>
      </c>
      <c r="AD369" s="10">
        <f t="shared" si="29"/>
        <v>972.23838871875</v>
      </c>
    </row>
    <row r="370" spans="1:30" x14ac:dyDescent="0.3">
      <c r="A370" t="s">
        <v>30</v>
      </c>
      <c r="B370" s="8" t="s">
        <v>31</v>
      </c>
      <c r="C370" s="8" t="s">
        <v>32</v>
      </c>
      <c r="D370" s="8" t="s">
        <v>33</v>
      </c>
      <c r="E370" s="8" t="s">
        <v>34</v>
      </c>
      <c r="F370" s="8" t="s">
        <v>35</v>
      </c>
      <c r="G370">
        <v>8421999000</v>
      </c>
      <c r="H370" t="s">
        <v>36</v>
      </c>
      <c r="I370" t="s">
        <v>228</v>
      </c>
      <c r="J370" t="s">
        <v>38</v>
      </c>
      <c r="K370" t="s">
        <v>39</v>
      </c>
      <c r="L370">
        <v>16</v>
      </c>
      <c r="M370">
        <v>2</v>
      </c>
      <c r="N370" t="s">
        <v>64</v>
      </c>
      <c r="O370">
        <v>0</v>
      </c>
      <c r="P370">
        <v>523.98</v>
      </c>
      <c r="Q370">
        <v>72.319999999999993</v>
      </c>
      <c r="R370">
        <v>3.5</v>
      </c>
      <c r="S370">
        <v>599.79999999999995</v>
      </c>
      <c r="T370" t="s">
        <v>41</v>
      </c>
      <c r="U370" t="s">
        <v>41</v>
      </c>
      <c r="V370" t="s">
        <v>38</v>
      </c>
      <c r="W370" t="s">
        <v>479</v>
      </c>
      <c r="X370">
        <v>261.99</v>
      </c>
      <c r="Y370" s="9">
        <f t="shared" si="25"/>
        <v>261.99</v>
      </c>
      <c r="Z370" s="9">
        <f t="shared" si="26"/>
        <v>491.23125000000005</v>
      </c>
      <c r="AA370" s="5">
        <f t="shared" si="27"/>
        <v>545.75791875000004</v>
      </c>
      <c r="AB370" s="6">
        <f t="shared" si="28"/>
        <v>795.74550187500006</v>
      </c>
      <c r="AD370" s="10">
        <f t="shared" si="29"/>
        <v>996.32995818750021</v>
      </c>
    </row>
    <row r="371" spans="1:30" x14ac:dyDescent="0.3">
      <c r="A371" t="s">
        <v>168</v>
      </c>
      <c r="B371" s="8" t="s">
        <v>31</v>
      </c>
      <c r="C371" s="8" t="s">
        <v>32</v>
      </c>
      <c r="D371" s="8" t="s">
        <v>33</v>
      </c>
      <c r="E371" s="8" t="s">
        <v>34</v>
      </c>
      <c r="F371" s="8" t="s">
        <v>35</v>
      </c>
      <c r="G371">
        <v>8421999000</v>
      </c>
      <c r="H371" t="s">
        <v>36</v>
      </c>
      <c r="I371" t="s">
        <v>228</v>
      </c>
      <c r="J371" t="s">
        <v>38</v>
      </c>
      <c r="K371" t="s">
        <v>39</v>
      </c>
      <c r="L371">
        <v>11</v>
      </c>
      <c r="M371">
        <v>2</v>
      </c>
      <c r="N371" t="s">
        <v>64</v>
      </c>
      <c r="O371">
        <v>0</v>
      </c>
      <c r="P371">
        <v>525.49</v>
      </c>
      <c r="Q371">
        <v>50.33</v>
      </c>
      <c r="R371">
        <v>3.55</v>
      </c>
      <c r="S371">
        <v>579.37</v>
      </c>
      <c r="T371" t="s">
        <v>41</v>
      </c>
      <c r="U371" t="s">
        <v>43</v>
      </c>
      <c r="V371" t="s">
        <v>38</v>
      </c>
      <c r="W371" t="s">
        <v>479</v>
      </c>
      <c r="X371">
        <v>262.75</v>
      </c>
      <c r="Y371" s="9">
        <f t="shared" si="25"/>
        <v>262.745</v>
      </c>
      <c r="Z371" s="9">
        <f t="shared" si="26"/>
        <v>492.64687500000002</v>
      </c>
      <c r="AA371" s="5">
        <f t="shared" si="27"/>
        <v>547.33067812499996</v>
      </c>
      <c r="AB371" s="6">
        <f t="shared" si="28"/>
        <v>798.03867281249995</v>
      </c>
      <c r="AD371" s="10">
        <f t="shared" si="29"/>
        <v>999.20117128125014</v>
      </c>
    </row>
    <row r="372" spans="1:30" x14ac:dyDescent="0.3">
      <c r="A372" t="s">
        <v>30</v>
      </c>
      <c r="B372" s="8" t="s">
        <v>31</v>
      </c>
      <c r="C372" s="8" t="s">
        <v>32</v>
      </c>
      <c r="D372" s="8" t="s">
        <v>33</v>
      </c>
      <c r="E372" s="8" t="s">
        <v>34</v>
      </c>
      <c r="F372" s="8" t="s">
        <v>35</v>
      </c>
      <c r="G372">
        <v>8421999000</v>
      </c>
      <c r="H372" t="s">
        <v>36</v>
      </c>
      <c r="I372" t="s">
        <v>228</v>
      </c>
      <c r="J372" t="s">
        <v>38</v>
      </c>
      <c r="K372" t="s">
        <v>39</v>
      </c>
      <c r="L372">
        <v>8</v>
      </c>
      <c r="M372">
        <v>3</v>
      </c>
      <c r="N372" t="s">
        <v>64</v>
      </c>
      <c r="O372">
        <v>0</v>
      </c>
      <c r="P372">
        <v>783.5</v>
      </c>
      <c r="Q372">
        <v>83.64</v>
      </c>
      <c r="R372">
        <v>5.25</v>
      </c>
      <c r="S372">
        <v>872.39</v>
      </c>
      <c r="T372" t="s">
        <v>41</v>
      </c>
      <c r="U372" t="s">
        <v>41</v>
      </c>
      <c r="V372" t="s">
        <v>38</v>
      </c>
      <c r="W372" t="s">
        <v>479</v>
      </c>
      <c r="X372">
        <v>261.17</v>
      </c>
      <c r="Y372" s="9">
        <f t="shared" si="25"/>
        <v>261.16666666666669</v>
      </c>
      <c r="Z372" s="9">
        <f t="shared" si="26"/>
        <v>489.68750000000006</v>
      </c>
      <c r="AA372" s="5">
        <f t="shared" si="27"/>
        <v>544.04281250000008</v>
      </c>
      <c r="AB372" s="6">
        <f t="shared" si="28"/>
        <v>793.24478125000007</v>
      </c>
      <c r="AD372" s="10">
        <f t="shared" si="29"/>
        <v>993.19887812500019</v>
      </c>
    </row>
    <row r="373" spans="1:30" x14ac:dyDescent="0.3">
      <c r="A373" t="s">
        <v>30</v>
      </c>
      <c r="B373" s="8" t="s">
        <v>31</v>
      </c>
      <c r="C373" s="8" t="s">
        <v>32</v>
      </c>
      <c r="D373" s="8" t="s">
        <v>69</v>
      </c>
      <c r="E373" s="8" t="s">
        <v>70</v>
      </c>
      <c r="F373" s="8" t="s">
        <v>71</v>
      </c>
      <c r="G373">
        <v>8421999000</v>
      </c>
      <c r="H373" t="s">
        <v>36</v>
      </c>
      <c r="I373" t="s">
        <v>228</v>
      </c>
      <c r="J373" t="s">
        <v>38</v>
      </c>
      <c r="K373" t="s">
        <v>39</v>
      </c>
      <c r="L373">
        <v>8</v>
      </c>
      <c r="M373">
        <v>4</v>
      </c>
      <c r="N373" t="s">
        <v>64</v>
      </c>
      <c r="O373">
        <v>0</v>
      </c>
      <c r="P373">
        <v>1021.48</v>
      </c>
      <c r="Q373">
        <v>66.87</v>
      </c>
      <c r="R373">
        <v>6.63</v>
      </c>
      <c r="S373">
        <v>1094.97</v>
      </c>
      <c r="T373" t="s">
        <v>41</v>
      </c>
      <c r="U373" t="s">
        <v>41</v>
      </c>
      <c r="V373" t="s">
        <v>38</v>
      </c>
      <c r="W373" t="s">
        <v>479</v>
      </c>
      <c r="X373">
        <v>255.37</v>
      </c>
      <c r="Y373" s="9">
        <f t="shared" si="25"/>
        <v>255.37</v>
      </c>
      <c r="Z373" s="9">
        <f t="shared" si="26"/>
        <v>478.81875000000002</v>
      </c>
      <c r="AA373" s="5">
        <f t="shared" si="27"/>
        <v>531.96763125000007</v>
      </c>
      <c r="AB373" s="6">
        <f t="shared" si="28"/>
        <v>775.63849312499997</v>
      </c>
      <c r="AD373" s="10">
        <f t="shared" si="29"/>
        <v>971.15455331250018</v>
      </c>
    </row>
    <row r="374" spans="1:30" x14ac:dyDescent="0.3">
      <c r="A374" t="s">
        <v>30</v>
      </c>
      <c r="B374" s="8" t="s">
        <v>31</v>
      </c>
      <c r="C374" s="8" t="s">
        <v>32</v>
      </c>
      <c r="D374" s="8" t="s">
        <v>69</v>
      </c>
      <c r="E374" s="8" t="s">
        <v>70</v>
      </c>
      <c r="F374" s="8" t="s">
        <v>71</v>
      </c>
      <c r="G374">
        <v>8421999000</v>
      </c>
      <c r="H374" t="s">
        <v>36</v>
      </c>
      <c r="I374" t="s">
        <v>228</v>
      </c>
      <c r="J374" t="s">
        <v>38</v>
      </c>
      <c r="K374" t="s">
        <v>39</v>
      </c>
      <c r="L374">
        <v>13</v>
      </c>
      <c r="M374">
        <v>1</v>
      </c>
      <c r="N374" t="s">
        <v>64</v>
      </c>
      <c r="O374">
        <v>0</v>
      </c>
      <c r="P374">
        <v>255.37</v>
      </c>
      <c r="Q374">
        <v>13.63</v>
      </c>
      <c r="R374">
        <v>1.64</v>
      </c>
      <c r="S374">
        <v>270.64</v>
      </c>
      <c r="T374" t="s">
        <v>72</v>
      </c>
      <c r="U374" t="s">
        <v>72</v>
      </c>
      <c r="V374" t="s">
        <v>38</v>
      </c>
      <c r="W374" t="s">
        <v>479</v>
      </c>
      <c r="X374">
        <v>255.37</v>
      </c>
      <c r="Y374" s="9">
        <f t="shared" si="25"/>
        <v>255.37</v>
      </c>
      <c r="Z374" s="9">
        <f t="shared" si="26"/>
        <v>478.81875000000002</v>
      </c>
      <c r="AA374" s="5">
        <f t="shared" si="27"/>
        <v>531.96763125000007</v>
      </c>
      <c r="AB374" s="6">
        <f t="shared" si="28"/>
        <v>775.63849312499997</v>
      </c>
      <c r="AD374" s="10">
        <f t="shared" si="29"/>
        <v>971.15455331250018</v>
      </c>
    </row>
    <row r="375" spans="1:30" x14ac:dyDescent="0.3">
      <c r="A375" t="s">
        <v>30</v>
      </c>
      <c r="B375" s="8" t="s">
        <v>31</v>
      </c>
      <c r="C375" s="8" t="s">
        <v>32</v>
      </c>
      <c r="D375" s="8" t="s">
        <v>69</v>
      </c>
      <c r="E375" s="8" t="s">
        <v>70</v>
      </c>
      <c r="F375" s="8" t="s">
        <v>71</v>
      </c>
      <c r="G375">
        <v>8421999000</v>
      </c>
      <c r="H375" t="s">
        <v>36</v>
      </c>
      <c r="I375" t="s">
        <v>228</v>
      </c>
      <c r="J375" t="s">
        <v>38</v>
      </c>
      <c r="K375" t="s">
        <v>39</v>
      </c>
      <c r="L375">
        <v>13</v>
      </c>
      <c r="M375">
        <v>4</v>
      </c>
      <c r="N375" t="s">
        <v>64</v>
      </c>
      <c r="O375">
        <v>0</v>
      </c>
      <c r="P375">
        <v>1021.48</v>
      </c>
      <c r="Q375">
        <v>54.54</v>
      </c>
      <c r="R375">
        <v>6.56</v>
      </c>
      <c r="S375">
        <v>1082.58</v>
      </c>
      <c r="T375" t="s">
        <v>72</v>
      </c>
      <c r="U375" t="s">
        <v>72</v>
      </c>
      <c r="V375" t="s">
        <v>38</v>
      </c>
      <c r="W375" t="s">
        <v>479</v>
      </c>
      <c r="X375">
        <v>255.37</v>
      </c>
      <c r="Y375" s="9">
        <f t="shared" si="25"/>
        <v>255.37</v>
      </c>
      <c r="Z375" s="9">
        <f t="shared" si="26"/>
        <v>478.81875000000002</v>
      </c>
      <c r="AA375" s="5">
        <f t="shared" si="27"/>
        <v>531.96763125000007</v>
      </c>
      <c r="AB375" s="6">
        <f t="shared" si="28"/>
        <v>775.63849312499997</v>
      </c>
      <c r="AD375" s="10">
        <f t="shared" si="29"/>
        <v>971.15455331250018</v>
      </c>
    </row>
    <row r="376" spans="1:30" x14ac:dyDescent="0.3">
      <c r="A376" t="s">
        <v>30</v>
      </c>
      <c r="B376" s="8" t="s">
        <v>31</v>
      </c>
      <c r="C376" s="8" t="s">
        <v>32</v>
      </c>
      <c r="D376" s="8" t="s">
        <v>33</v>
      </c>
      <c r="E376" s="8" t="s">
        <v>34</v>
      </c>
      <c r="F376" s="8" t="s">
        <v>35</v>
      </c>
      <c r="G376">
        <v>8421999000</v>
      </c>
      <c r="H376" t="s">
        <v>36</v>
      </c>
      <c r="I376" t="s">
        <v>228</v>
      </c>
      <c r="J376" t="s">
        <v>38</v>
      </c>
      <c r="K376" t="s">
        <v>39</v>
      </c>
      <c r="L376">
        <v>6</v>
      </c>
      <c r="M376">
        <v>2</v>
      </c>
      <c r="N376" t="s">
        <v>64</v>
      </c>
      <c r="O376">
        <v>0</v>
      </c>
      <c r="P376">
        <v>1096.78</v>
      </c>
      <c r="Q376">
        <v>132.63999999999999</v>
      </c>
      <c r="R376">
        <v>7.64</v>
      </c>
      <c r="S376">
        <v>1237.06</v>
      </c>
      <c r="T376" t="s">
        <v>41</v>
      </c>
      <c r="U376" t="s">
        <v>43</v>
      </c>
      <c r="V376" t="s">
        <v>38</v>
      </c>
      <c r="W376" t="s">
        <v>480</v>
      </c>
      <c r="X376">
        <v>548.39</v>
      </c>
      <c r="Y376" s="9">
        <f t="shared" si="25"/>
        <v>548.39</v>
      </c>
      <c r="Z376" s="9">
        <f t="shared" si="26"/>
        <v>1028.23125</v>
      </c>
      <c r="AA376" s="5">
        <f t="shared" si="27"/>
        <v>1142.36491875</v>
      </c>
      <c r="AB376" s="6">
        <f t="shared" si="28"/>
        <v>1665.6318018750001</v>
      </c>
      <c r="AD376" s="10">
        <f t="shared" si="29"/>
        <v>2085.4894681875003</v>
      </c>
    </row>
    <row r="377" spans="1:30" x14ac:dyDescent="0.3">
      <c r="A377" t="s">
        <v>168</v>
      </c>
      <c r="B377" s="8" t="s">
        <v>31</v>
      </c>
      <c r="C377" s="8" t="s">
        <v>32</v>
      </c>
      <c r="D377" s="8" t="s">
        <v>33</v>
      </c>
      <c r="E377" s="8" t="s">
        <v>34</v>
      </c>
      <c r="F377" s="8" t="s">
        <v>35</v>
      </c>
      <c r="G377">
        <v>8421999000</v>
      </c>
      <c r="H377" t="s">
        <v>36</v>
      </c>
      <c r="I377" t="s">
        <v>228</v>
      </c>
      <c r="J377" t="s">
        <v>38</v>
      </c>
      <c r="K377" t="s">
        <v>39</v>
      </c>
      <c r="L377">
        <v>11</v>
      </c>
      <c r="M377">
        <v>1</v>
      </c>
      <c r="N377" t="s">
        <v>64</v>
      </c>
      <c r="O377">
        <v>0</v>
      </c>
      <c r="P377">
        <v>563.6</v>
      </c>
      <c r="Q377">
        <v>53.98</v>
      </c>
      <c r="R377">
        <v>3.8</v>
      </c>
      <c r="S377">
        <v>621.39</v>
      </c>
      <c r="T377" t="s">
        <v>41</v>
      </c>
      <c r="U377" t="s">
        <v>43</v>
      </c>
      <c r="V377" t="s">
        <v>38</v>
      </c>
      <c r="W377" t="s">
        <v>480</v>
      </c>
      <c r="X377">
        <v>563.6</v>
      </c>
      <c r="Y377" s="9">
        <f t="shared" si="25"/>
        <v>563.6</v>
      </c>
      <c r="Z377" s="9">
        <f t="shared" si="26"/>
        <v>1056.75</v>
      </c>
      <c r="AA377" s="5">
        <f t="shared" si="27"/>
        <v>1174.04925</v>
      </c>
      <c r="AB377" s="6">
        <f t="shared" si="28"/>
        <v>1711.8293249999999</v>
      </c>
      <c r="AD377" s="10">
        <f t="shared" si="29"/>
        <v>2143.3320525000004</v>
      </c>
    </row>
    <row r="378" spans="1:30" x14ac:dyDescent="0.3">
      <c r="A378" t="s">
        <v>168</v>
      </c>
      <c r="B378" s="8" t="s">
        <v>31</v>
      </c>
      <c r="C378" s="8" t="s">
        <v>32</v>
      </c>
      <c r="D378" s="8" t="s">
        <v>33</v>
      </c>
      <c r="E378" s="8" t="s">
        <v>34</v>
      </c>
      <c r="F378" s="8" t="s">
        <v>35</v>
      </c>
      <c r="G378">
        <v>8421999000</v>
      </c>
      <c r="H378" t="s">
        <v>36</v>
      </c>
      <c r="I378" t="s">
        <v>228</v>
      </c>
      <c r="J378" t="s">
        <v>38</v>
      </c>
      <c r="K378" t="s">
        <v>39</v>
      </c>
      <c r="L378">
        <v>11</v>
      </c>
      <c r="M378">
        <v>2</v>
      </c>
      <c r="N378" t="s">
        <v>64</v>
      </c>
      <c r="O378">
        <v>0</v>
      </c>
      <c r="P378">
        <v>1127.2</v>
      </c>
      <c r="Q378">
        <v>107.96</v>
      </c>
      <c r="R378">
        <v>7.61</v>
      </c>
      <c r="S378">
        <v>1242.77</v>
      </c>
      <c r="T378" t="s">
        <v>41</v>
      </c>
      <c r="U378" t="s">
        <v>43</v>
      </c>
      <c r="V378" t="s">
        <v>38</v>
      </c>
      <c r="W378" t="s">
        <v>480</v>
      </c>
      <c r="X378">
        <v>563.6</v>
      </c>
      <c r="Y378" s="9">
        <f t="shared" si="25"/>
        <v>563.6</v>
      </c>
      <c r="Z378" s="9">
        <f t="shared" si="26"/>
        <v>1056.75</v>
      </c>
      <c r="AA378" s="5">
        <f t="shared" si="27"/>
        <v>1174.04925</v>
      </c>
      <c r="AB378" s="6">
        <f t="shared" si="28"/>
        <v>1711.8293249999999</v>
      </c>
      <c r="AD378" s="10">
        <f t="shared" si="29"/>
        <v>2143.3320525000004</v>
      </c>
    </row>
    <row r="379" spans="1:30" x14ac:dyDescent="0.3">
      <c r="A379" t="s">
        <v>30</v>
      </c>
      <c r="B379" s="8" t="s">
        <v>156</v>
      </c>
      <c r="C379" s="8" t="s">
        <v>32</v>
      </c>
      <c r="D379" s="8" t="s">
        <v>69</v>
      </c>
      <c r="E379" s="8" t="s">
        <v>70</v>
      </c>
      <c r="F379" s="8" t="s">
        <v>71</v>
      </c>
      <c r="G379">
        <v>3403190000</v>
      </c>
      <c r="H379" t="s">
        <v>481</v>
      </c>
      <c r="I379" t="s">
        <v>482</v>
      </c>
      <c r="J379" t="s">
        <v>38</v>
      </c>
      <c r="K379" t="s">
        <v>39</v>
      </c>
      <c r="L379">
        <v>12</v>
      </c>
      <c r="M379">
        <v>1</v>
      </c>
      <c r="N379" t="s">
        <v>40</v>
      </c>
      <c r="O379">
        <v>0</v>
      </c>
      <c r="P379">
        <v>411.6</v>
      </c>
      <c r="Q379">
        <v>25.33</v>
      </c>
      <c r="R379">
        <v>2.67</v>
      </c>
      <c r="S379">
        <v>439.6</v>
      </c>
      <c r="T379" t="s">
        <v>483</v>
      </c>
      <c r="U379" t="s">
        <v>483</v>
      </c>
      <c r="V379" t="s">
        <v>38</v>
      </c>
      <c r="W379" t="s">
        <v>484</v>
      </c>
      <c r="X379">
        <v>411.6</v>
      </c>
      <c r="Y379" s="9">
        <f t="shared" si="25"/>
        <v>411.6</v>
      </c>
      <c r="Z379" s="9">
        <f t="shared" si="26"/>
        <v>771.75</v>
      </c>
      <c r="AA379" s="5">
        <f t="shared" si="27"/>
        <v>857.41425000000004</v>
      </c>
      <c r="AB379" s="6">
        <f t="shared" si="28"/>
        <v>1250.157825</v>
      </c>
      <c r="AD379" s="10">
        <f t="shared" si="29"/>
        <v>1565.2865025000001</v>
      </c>
    </row>
    <row r="380" spans="1:30" x14ac:dyDescent="0.3">
      <c r="A380" t="s">
        <v>30</v>
      </c>
      <c r="B380" s="8" t="s">
        <v>156</v>
      </c>
      <c r="C380" s="8" t="s">
        <v>32</v>
      </c>
      <c r="D380" s="8" t="s">
        <v>69</v>
      </c>
      <c r="E380" s="8" t="s">
        <v>70</v>
      </c>
      <c r="F380" s="8" t="s">
        <v>71</v>
      </c>
      <c r="G380">
        <v>3403190000</v>
      </c>
      <c r="H380" t="s">
        <v>481</v>
      </c>
      <c r="I380" t="s">
        <v>482</v>
      </c>
      <c r="J380" t="s">
        <v>38</v>
      </c>
      <c r="K380" t="s">
        <v>39</v>
      </c>
      <c r="L380">
        <v>12</v>
      </c>
      <c r="M380">
        <v>1</v>
      </c>
      <c r="N380" t="s">
        <v>40</v>
      </c>
      <c r="O380">
        <v>0</v>
      </c>
      <c r="P380">
        <v>411.6</v>
      </c>
      <c r="Q380">
        <v>25.33</v>
      </c>
      <c r="R380">
        <v>2.67</v>
      </c>
      <c r="S380">
        <v>439.6</v>
      </c>
      <c r="T380" t="s">
        <v>483</v>
      </c>
      <c r="U380" t="s">
        <v>483</v>
      </c>
      <c r="V380" t="s">
        <v>38</v>
      </c>
      <c r="W380" t="s">
        <v>484</v>
      </c>
      <c r="X380">
        <v>411.6</v>
      </c>
      <c r="Y380" s="9">
        <f t="shared" si="25"/>
        <v>411.6</v>
      </c>
      <c r="Z380" s="9">
        <f t="shared" si="26"/>
        <v>771.75</v>
      </c>
      <c r="AA380" s="5">
        <f t="shared" si="27"/>
        <v>857.41425000000004</v>
      </c>
      <c r="AB380" s="6">
        <f t="shared" si="28"/>
        <v>1250.157825</v>
      </c>
      <c r="AD380" s="10">
        <f t="shared" si="29"/>
        <v>1565.2865025000001</v>
      </c>
    </row>
    <row r="381" spans="1:30" x14ac:dyDescent="0.3">
      <c r="A381" t="s">
        <v>30</v>
      </c>
      <c r="B381" s="8" t="s">
        <v>156</v>
      </c>
      <c r="C381" s="8" t="s">
        <v>32</v>
      </c>
      <c r="D381" s="8" t="s">
        <v>69</v>
      </c>
      <c r="E381" s="8" t="s">
        <v>70</v>
      </c>
      <c r="F381" s="8" t="s">
        <v>71</v>
      </c>
      <c r="G381">
        <v>3403190000</v>
      </c>
      <c r="H381" t="s">
        <v>481</v>
      </c>
      <c r="I381" t="s">
        <v>482</v>
      </c>
      <c r="J381" t="s">
        <v>38</v>
      </c>
      <c r="K381" t="s">
        <v>39</v>
      </c>
      <c r="L381">
        <v>12</v>
      </c>
      <c r="M381">
        <v>1</v>
      </c>
      <c r="N381" t="s">
        <v>40</v>
      </c>
      <c r="O381">
        <v>0</v>
      </c>
      <c r="P381">
        <v>411.6</v>
      </c>
      <c r="Q381">
        <v>25.33</v>
      </c>
      <c r="R381">
        <v>2.67</v>
      </c>
      <c r="S381">
        <v>439.6</v>
      </c>
      <c r="T381" t="s">
        <v>483</v>
      </c>
      <c r="U381" t="s">
        <v>483</v>
      </c>
      <c r="V381" t="s">
        <v>38</v>
      </c>
      <c r="W381" t="s">
        <v>484</v>
      </c>
      <c r="X381">
        <v>411.6</v>
      </c>
      <c r="Y381" s="9">
        <f t="shared" si="25"/>
        <v>411.6</v>
      </c>
      <c r="Z381" s="9">
        <f t="shared" si="26"/>
        <v>771.75</v>
      </c>
      <c r="AA381" s="5">
        <f t="shared" si="27"/>
        <v>857.41425000000004</v>
      </c>
      <c r="AB381" s="6">
        <f t="shared" si="28"/>
        <v>1250.157825</v>
      </c>
      <c r="AD381" s="10">
        <f t="shared" si="29"/>
        <v>1565.2865025000001</v>
      </c>
    </row>
    <row r="382" spans="1:30" x14ac:dyDescent="0.3">
      <c r="A382" t="s">
        <v>30</v>
      </c>
      <c r="B382" s="8" t="s">
        <v>156</v>
      </c>
      <c r="C382" s="8" t="s">
        <v>32</v>
      </c>
      <c r="D382" s="8" t="s">
        <v>69</v>
      </c>
      <c r="E382" s="8" t="s">
        <v>70</v>
      </c>
      <c r="F382" s="8" t="s">
        <v>71</v>
      </c>
      <c r="G382">
        <v>3403190000</v>
      </c>
      <c r="H382" t="s">
        <v>481</v>
      </c>
      <c r="I382" t="s">
        <v>482</v>
      </c>
      <c r="J382" t="s">
        <v>38</v>
      </c>
      <c r="K382" t="s">
        <v>39</v>
      </c>
      <c r="L382">
        <v>12</v>
      </c>
      <c r="M382">
        <v>12</v>
      </c>
      <c r="N382" t="s">
        <v>40</v>
      </c>
      <c r="O382">
        <v>0</v>
      </c>
      <c r="P382">
        <v>4939.2</v>
      </c>
      <c r="Q382">
        <v>303.94</v>
      </c>
      <c r="R382">
        <v>32.049999999999997</v>
      </c>
      <c r="S382">
        <v>5275.19</v>
      </c>
      <c r="T382" t="s">
        <v>483</v>
      </c>
      <c r="U382" t="s">
        <v>483</v>
      </c>
      <c r="V382" t="s">
        <v>38</v>
      </c>
      <c r="W382" t="s">
        <v>484</v>
      </c>
      <c r="X382">
        <v>411.6</v>
      </c>
      <c r="Y382" s="9">
        <f t="shared" si="25"/>
        <v>411.59999999999997</v>
      </c>
      <c r="Z382" s="9">
        <f t="shared" si="26"/>
        <v>771.74999999999989</v>
      </c>
      <c r="AA382" s="5">
        <f t="shared" si="27"/>
        <v>857.41424999999981</v>
      </c>
      <c r="AB382" s="6">
        <f t="shared" si="28"/>
        <v>1250.1578249999998</v>
      </c>
      <c r="AD382" s="10">
        <f t="shared" si="29"/>
        <v>1565.2865024999999</v>
      </c>
    </row>
    <row r="383" spans="1:30" x14ac:dyDescent="0.3">
      <c r="A383" t="s">
        <v>30</v>
      </c>
      <c r="B383" s="8" t="s">
        <v>156</v>
      </c>
      <c r="C383" s="8" t="s">
        <v>32</v>
      </c>
      <c r="D383" s="8" t="s">
        <v>69</v>
      </c>
      <c r="E383" s="8" t="s">
        <v>70</v>
      </c>
      <c r="F383" s="8" t="s">
        <v>71</v>
      </c>
      <c r="G383">
        <v>3403190000</v>
      </c>
      <c r="H383" t="s">
        <v>53</v>
      </c>
      <c r="I383" t="s">
        <v>482</v>
      </c>
      <c r="J383" t="s">
        <v>38</v>
      </c>
      <c r="K383" t="s">
        <v>39</v>
      </c>
      <c r="L383">
        <v>10</v>
      </c>
      <c r="M383">
        <v>1</v>
      </c>
      <c r="N383" t="s">
        <v>40</v>
      </c>
      <c r="O383">
        <v>0</v>
      </c>
      <c r="P383">
        <v>411.6</v>
      </c>
      <c r="Q383">
        <v>10</v>
      </c>
      <c r="R383">
        <v>2.69</v>
      </c>
      <c r="S383">
        <v>424.29</v>
      </c>
      <c r="T383" t="s">
        <v>483</v>
      </c>
      <c r="U383" t="s">
        <v>483</v>
      </c>
      <c r="V383" t="s">
        <v>38</v>
      </c>
      <c r="W383" t="s">
        <v>484</v>
      </c>
      <c r="X383">
        <v>411.6</v>
      </c>
      <c r="Y383" s="9">
        <f t="shared" si="25"/>
        <v>411.6</v>
      </c>
      <c r="Z383" s="9">
        <f t="shared" si="26"/>
        <v>771.75</v>
      </c>
      <c r="AA383" s="5">
        <f t="shared" si="27"/>
        <v>857.41425000000004</v>
      </c>
      <c r="AB383" s="6">
        <f t="shared" si="28"/>
        <v>1250.157825</v>
      </c>
      <c r="AD383" s="10">
        <f t="shared" si="29"/>
        <v>1565.2865025000001</v>
      </c>
    </row>
    <row r="384" spans="1:30" x14ac:dyDescent="0.3">
      <c r="A384" t="s">
        <v>30</v>
      </c>
      <c r="B384" s="8" t="s">
        <v>156</v>
      </c>
      <c r="C384" s="8" t="s">
        <v>32</v>
      </c>
      <c r="D384" s="8" t="s">
        <v>69</v>
      </c>
      <c r="E384" s="8" t="s">
        <v>70</v>
      </c>
      <c r="F384" s="8" t="s">
        <v>71</v>
      </c>
      <c r="G384">
        <v>3403190000</v>
      </c>
      <c r="H384" t="s">
        <v>53</v>
      </c>
      <c r="I384" t="s">
        <v>482</v>
      </c>
      <c r="J384" t="s">
        <v>38</v>
      </c>
      <c r="K384" t="s">
        <v>39</v>
      </c>
      <c r="L384">
        <v>10</v>
      </c>
      <c r="M384">
        <v>1</v>
      </c>
      <c r="N384" t="s">
        <v>40</v>
      </c>
      <c r="O384">
        <v>0</v>
      </c>
      <c r="P384">
        <v>411.6</v>
      </c>
      <c r="Q384">
        <v>10</v>
      </c>
      <c r="R384">
        <v>2.69</v>
      </c>
      <c r="S384">
        <v>424.29</v>
      </c>
      <c r="T384" t="s">
        <v>483</v>
      </c>
      <c r="U384" t="s">
        <v>483</v>
      </c>
      <c r="V384" t="s">
        <v>38</v>
      </c>
      <c r="W384" t="s">
        <v>484</v>
      </c>
      <c r="X384">
        <v>411.6</v>
      </c>
      <c r="Y384" s="9">
        <f t="shared" si="25"/>
        <v>411.6</v>
      </c>
      <c r="Z384" s="9">
        <f t="shared" si="26"/>
        <v>771.75</v>
      </c>
      <c r="AA384" s="5">
        <f t="shared" si="27"/>
        <v>857.41425000000004</v>
      </c>
      <c r="AB384" s="6">
        <f t="shared" si="28"/>
        <v>1250.157825</v>
      </c>
      <c r="AD384" s="10">
        <f t="shared" si="29"/>
        <v>1565.2865025000001</v>
      </c>
    </row>
    <row r="385" spans="1:30" x14ac:dyDescent="0.3">
      <c r="A385" t="s">
        <v>30</v>
      </c>
      <c r="B385" s="8" t="s">
        <v>156</v>
      </c>
      <c r="C385" s="8" t="s">
        <v>32</v>
      </c>
      <c r="D385" s="8" t="s">
        <v>69</v>
      </c>
      <c r="E385" s="8" t="s">
        <v>70</v>
      </c>
      <c r="F385" s="8" t="s">
        <v>71</v>
      </c>
      <c r="G385">
        <v>3403190000</v>
      </c>
      <c r="H385" t="s">
        <v>53</v>
      </c>
      <c r="I385" t="s">
        <v>482</v>
      </c>
      <c r="J385" t="s">
        <v>38</v>
      </c>
      <c r="K385" t="s">
        <v>39</v>
      </c>
      <c r="L385">
        <v>10</v>
      </c>
      <c r="M385">
        <v>1</v>
      </c>
      <c r="N385" t="s">
        <v>40</v>
      </c>
      <c r="O385">
        <v>0</v>
      </c>
      <c r="P385">
        <v>411.6</v>
      </c>
      <c r="Q385">
        <v>10</v>
      </c>
      <c r="R385">
        <v>2.69</v>
      </c>
      <c r="S385">
        <v>424.29</v>
      </c>
      <c r="T385" t="s">
        <v>483</v>
      </c>
      <c r="U385" t="s">
        <v>483</v>
      </c>
      <c r="V385" t="s">
        <v>38</v>
      </c>
      <c r="W385" t="s">
        <v>484</v>
      </c>
      <c r="X385">
        <v>411.6</v>
      </c>
      <c r="Y385" s="9">
        <f t="shared" si="25"/>
        <v>411.6</v>
      </c>
      <c r="Z385" s="9">
        <f t="shared" si="26"/>
        <v>771.75</v>
      </c>
      <c r="AA385" s="5">
        <f t="shared" si="27"/>
        <v>857.41425000000004</v>
      </c>
      <c r="AB385" s="6">
        <f t="shared" si="28"/>
        <v>1250.157825</v>
      </c>
      <c r="AD385" s="10">
        <f t="shared" si="29"/>
        <v>1565.2865025000001</v>
      </c>
    </row>
    <row r="386" spans="1:30" x14ac:dyDescent="0.3">
      <c r="A386" t="s">
        <v>30</v>
      </c>
      <c r="B386" s="8" t="s">
        <v>156</v>
      </c>
      <c r="C386" s="8" t="s">
        <v>32</v>
      </c>
      <c r="D386" s="8" t="s">
        <v>69</v>
      </c>
      <c r="E386" s="8" t="s">
        <v>70</v>
      </c>
      <c r="F386" s="8" t="s">
        <v>71</v>
      </c>
      <c r="G386">
        <v>3403190000</v>
      </c>
      <c r="H386" t="s">
        <v>53</v>
      </c>
      <c r="I386" t="s">
        <v>482</v>
      </c>
      <c r="J386" t="s">
        <v>38</v>
      </c>
      <c r="K386" t="s">
        <v>39</v>
      </c>
      <c r="L386">
        <v>10</v>
      </c>
      <c r="M386">
        <v>12</v>
      </c>
      <c r="N386" t="s">
        <v>40</v>
      </c>
      <c r="O386">
        <v>0</v>
      </c>
      <c r="P386">
        <v>4939.2</v>
      </c>
      <c r="Q386">
        <v>130.54</v>
      </c>
      <c r="R386">
        <v>32.26</v>
      </c>
      <c r="S386">
        <v>5102.01</v>
      </c>
      <c r="T386" t="s">
        <v>483</v>
      </c>
      <c r="U386" t="s">
        <v>483</v>
      </c>
      <c r="V386" t="s">
        <v>38</v>
      </c>
      <c r="W386" t="s">
        <v>484</v>
      </c>
      <c r="X386">
        <v>411.6</v>
      </c>
      <c r="Y386" s="9">
        <f t="shared" si="25"/>
        <v>411.59999999999997</v>
      </c>
      <c r="Z386" s="9">
        <f t="shared" si="26"/>
        <v>771.74999999999989</v>
      </c>
      <c r="AA386" s="5">
        <f t="shared" si="27"/>
        <v>857.41424999999981</v>
      </c>
      <c r="AB386" s="6">
        <f t="shared" si="28"/>
        <v>1250.1578249999998</v>
      </c>
      <c r="AD386" s="10">
        <f t="shared" si="29"/>
        <v>1565.2865024999999</v>
      </c>
    </row>
    <row r="387" spans="1:30" x14ac:dyDescent="0.3">
      <c r="A387" t="s">
        <v>168</v>
      </c>
      <c r="B387" s="8" t="s">
        <v>156</v>
      </c>
      <c r="C387" s="8" t="s">
        <v>32</v>
      </c>
      <c r="E387" s="8" t="s">
        <v>70</v>
      </c>
      <c r="F387" s="8" t="s">
        <v>71</v>
      </c>
      <c r="G387">
        <v>3403190000</v>
      </c>
      <c r="H387" t="s">
        <v>53</v>
      </c>
      <c r="I387" t="s">
        <v>482</v>
      </c>
      <c r="J387" t="s">
        <v>38</v>
      </c>
      <c r="K387" t="s">
        <v>39</v>
      </c>
      <c r="L387">
        <v>0</v>
      </c>
      <c r="M387">
        <v>1</v>
      </c>
      <c r="N387" t="s">
        <v>40</v>
      </c>
      <c r="O387">
        <v>0</v>
      </c>
      <c r="P387">
        <v>388.57</v>
      </c>
      <c r="Q387">
        <v>25.23</v>
      </c>
      <c r="R387">
        <v>2.72</v>
      </c>
      <c r="S387">
        <v>416.52</v>
      </c>
      <c r="T387" t="s">
        <v>483</v>
      </c>
      <c r="U387" t="s">
        <v>483</v>
      </c>
      <c r="V387" t="s">
        <v>38</v>
      </c>
      <c r="W387" t="s">
        <v>484</v>
      </c>
      <c r="X387">
        <v>388.57</v>
      </c>
      <c r="Y387" s="9">
        <f t="shared" ref="Y387:Y450" si="30">SUM(P387)/M387</f>
        <v>388.57</v>
      </c>
      <c r="Z387" s="9">
        <f t="shared" ref="Z387:Z450" si="31">SUM(Y387)*1.875</f>
        <v>728.56875000000002</v>
      </c>
      <c r="AA387" s="5">
        <f t="shared" ref="AA387:AA450" si="32">SUM(Z387)*1.111</f>
        <v>809.43988124999998</v>
      </c>
      <c r="AB387" s="6">
        <f t="shared" ref="AB387:AB450" si="33">SUM(Z387)*1.6199</f>
        <v>1180.208518125</v>
      </c>
      <c r="AD387" s="10">
        <f t="shared" ref="AD387:AD450" si="34">SUM(Z387)*2.02823</f>
        <v>1477.7049958125001</v>
      </c>
    </row>
    <row r="388" spans="1:30" x14ac:dyDescent="0.3">
      <c r="A388" t="s">
        <v>168</v>
      </c>
      <c r="B388" s="8" t="s">
        <v>156</v>
      </c>
      <c r="C388" s="8" t="s">
        <v>32</v>
      </c>
      <c r="E388" s="8" t="s">
        <v>70</v>
      </c>
      <c r="F388" s="8" t="s">
        <v>71</v>
      </c>
      <c r="G388">
        <v>3403190000</v>
      </c>
      <c r="H388" t="s">
        <v>53</v>
      </c>
      <c r="I388" t="s">
        <v>482</v>
      </c>
      <c r="J388" t="s">
        <v>38</v>
      </c>
      <c r="K388" t="s">
        <v>39</v>
      </c>
      <c r="L388">
        <v>0</v>
      </c>
      <c r="M388">
        <v>1</v>
      </c>
      <c r="N388" t="s">
        <v>40</v>
      </c>
      <c r="O388">
        <v>0</v>
      </c>
      <c r="P388">
        <v>388.57</v>
      </c>
      <c r="Q388">
        <v>25.23</v>
      </c>
      <c r="R388">
        <v>2.72</v>
      </c>
      <c r="S388">
        <v>416.52</v>
      </c>
      <c r="T388" t="s">
        <v>483</v>
      </c>
      <c r="U388" t="s">
        <v>483</v>
      </c>
      <c r="V388" t="s">
        <v>38</v>
      </c>
      <c r="W388" t="s">
        <v>484</v>
      </c>
      <c r="X388">
        <v>388.57</v>
      </c>
      <c r="Y388" s="9">
        <f t="shared" si="30"/>
        <v>388.57</v>
      </c>
      <c r="Z388" s="9">
        <f t="shared" si="31"/>
        <v>728.56875000000002</v>
      </c>
      <c r="AA388" s="5">
        <f t="shared" si="32"/>
        <v>809.43988124999998</v>
      </c>
      <c r="AB388" s="6">
        <f t="shared" si="33"/>
        <v>1180.208518125</v>
      </c>
      <c r="AD388" s="10">
        <f t="shared" si="34"/>
        <v>1477.7049958125001</v>
      </c>
    </row>
    <row r="389" spans="1:30" x14ac:dyDescent="0.3">
      <c r="A389" t="s">
        <v>168</v>
      </c>
      <c r="B389" s="8" t="s">
        <v>156</v>
      </c>
      <c r="C389" s="8" t="s">
        <v>32</v>
      </c>
      <c r="E389" s="8" t="s">
        <v>70</v>
      </c>
      <c r="F389" s="8" t="s">
        <v>71</v>
      </c>
      <c r="G389">
        <v>3403190000</v>
      </c>
      <c r="H389" t="s">
        <v>53</v>
      </c>
      <c r="I389" t="s">
        <v>482</v>
      </c>
      <c r="J389" t="s">
        <v>38</v>
      </c>
      <c r="K389" t="s">
        <v>39</v>
      </c>
      <c r="L389">
        <v>0</v>
      </c>
      <c r="M389">
        <v>1</v>
      </c>
      <c r="N389" t="s">
        <v>40</v>
      </c>
      <c r="O389">
        <v>0</v>
      </c>
      <c r="P389">
        <v>388.57</v>
      </c>
      <c r="Q389">
        <v>25.23</v>
      </c>
      <c r="R389">
        <v>2.72</v>
      </c>
      <c r="S389">
        <v>416.52</v>
      </c>
      <c r="T389" t="s">
        <v>483</v>
      </c>
      <c r="U389" t="s">
        <v>483</v>
      </c>
      <c r="V389" t="s">
        <v>38</v>
      </c>
      <c r="W389" t="s">
        <v>484</v>
      </c>
      <c r="X389">
        <v>388.57</v>
      </c>
      <c r="Y389" s="9">
        <f t="shared" si="30"/>
        <v>388.57</v>
      </c>
      <c r="Z389" s="9">
        <f t="shared" si="31"/>
        <v>728.56875000000002</v>
      </c>
      <c r="AA389" s="5">
        <f t="shared" si="32"/>
        <v>809.43988124999998</v>
      </c>
      <c r="AB389" s="6">
        <f t="shared" si="33"/>
        <v>1180.208518125</v>
      </c>
      <c r="AD389" s="10">
        <f t="shared" si="34"/>
        <v>1477.7049958125001</v>
      </c>
    </row>
    <row r="390" spans="1:30" x14ac:dyDescent="0.3">
      <c r="A390" t="s">
        <v>168</v>
      </c>
      <c r="B390" s="8" t="s">
        <v>156</v>
      </c>
      <c r="C390" s="8" t="s">
        <v>32</v>
      </c>
      <c r="E390" s="8" t="s">
        <v>70</v>
      </c>
      <c r="F390" s="8" t="s">
        <v>71</v>
      </c>
      <c r="G390">
        <v>3403190000</v>
      </c>
      <c r="H390" t="s">
        <v>53</v>
      </c>
      <c r="I390" t="s">
        <v>482</v>
      </c>
      <c r="J390" t="s">
        <v>38</v>
      </c>
      <c r="K390" t="s">
        <v>39</v>
      </c>
      <c r="L390">
        <v>0</v>
      </c>
      <c r="M390">
        <v>12</v>
      </c>
      <c r="N390" t="s">
        <v>40</v>
      </c>
      <c r="O390">
        <v>0</v>
      </c>
      <c r="P390">
        <v>4662.8</v>
      </c>
      <c r="Q390">
        <v>302.8</v>
      </c>
      <c r="R390">
        <v>32.68</v>
      </c>
      <c r="S390">
        <v>4998.28</v>
      </c>
      <c r="T390" t="s">
        <v>483</v>
      </c>
      <c r="U390" t="s">
        <v>483</v>
      </c>
      <c r="V390" t="s">
        <v>38</v>
      </c>
      <c r="W390" t="s">
        <v>484</v>
      </c>
      <c r="X390">
        <v>388.57</v>
      </c>
      <c r="Y390" s="9">
        <f t="shared" si="30"/>
        <v>388.56666666666666</v>
      </c>
      <c r="Z390" s="9">
        <f t="shared" si="31"/>
        <v>728.5625</v>
      </c>
      <c r="AA390" s="5">
        <f t="shared" si="32"/>
        <v>809.43293749999998</v>
      </c>
      <c r="AB390" s="6">
        <f t="shared" si="33"/>
        <v>1180.1983937499999</v>
      </c>
      <c r="AD390" s="10">
        <f t="shared" si="34"/>
        <v>1477.6923193750001</v>
      </c>
    </row>
    <row r="391" spans="1:30" x14ac:dyDescent="0.3">
      <c r="A391" t="s">
        <v>30</v>
      </c>
      <c r="B391" s="8" t="s">
        <v>485</v>
      </c>
      <c r="C391" s="8" t="s">
        <v>32</v>
      </c>
      <c r="D391" s="8" t="s">
        <v>33</v>
      </c>
      <c r="E391" s="8" t="s">
        <v>34</v>
      </c>
      <c r="F391" s="8" t="s">
        <v>35</v>
      </c>
      <c r="G391">
        <v>5911909090</v>
      </c>
      <c r="H391" t="s">
        <v>36</v>
      </c>
      <c r="I391" t="s">
        <v>228</v>
      </c>
      <c r="J391" t="s">
        <v>38</v>
      </c>
      <c r="K391" t="s">
        <v>39</v>
      </c>
      <c r="L391">
        <v>16</v>
      </c>
      <c r="M391">
        <v>10</v>
      </c>
      <c r="N391" t="s">
        <v>40</v>
      </c>
      <c r="O391">
        <v>16.649999999999999</v>
      </c>
      <c r="P391">
        <v>110.29</v>
      </c>
      <c r="Q391">
        <v>15.22</v>
      </c>
      <c r="R391">
        <v>0.74</v>
      </c>
      <c r="S391">
        <v>126.25</v>
      </c>
      <c r="T391" t="s">
        <v>41</v>
      </c>
      <c r="U391" t="s">
        <v>41</v>
      </c>
      <c r="V391" t="s">
        <v>38</v>
      </c>
      <c r="W391" t="s">
        <v>486</v>
      </c>
      <c r="X391">
        <v>11.03</v>
      </c>
      <c r="Y391" s="9">
        <f t="shared" si="30"/>
        <v>11.029</v>
      </c>
      <c r="Z391" s="9">
        <f t="shared" si="31"/>
        <v>20.679375</v>
      </c>
      <c r="AA391" s="5">
        <f t="shared" si="32"/>
        <v>22.974785624999999</v>
      </c>
      <c r="AB391" s="6">
        <f t="shared" si="33"/>
        <v>33.4985195625</v>
      </c>
      <c r="AD391" s="10">
        <f t="shared" si="34"/>
        <v>41.942528756250006</v>
      </c>
    </row>
    <row r="392" spans="1:30" x14ac:dyDescent="0.3">
      <c r="A392" t="s">
        <v>168</v>
      </c>
      <c r="B392" s="8" t="s">
        <v>156</v>
      </c>
      <c r="C392" s="8" t="s">
        <v>32</v>
      </c>
      <c r="D392" s="8" t="s">
        <v>33</v>
      </c>
      <c r="E392" s="8" t="s">
        <v>34</v>
      </c>
      <c r="F392" s="8" t="s">
        <v>35</v>
      </c>
      <c r="G392">
        <v>3403190000</v>
      </c>
      <c r="H392" t="s">
        <v>481</v>
      </c>
      <c r="I392" t="s">
        <v>482</v>
      </c>
      <c r="J392" t="s">
        <v>38</v>
      </c>
      <c r="K392" t="s">
        <v>39</v>
      </c>
      <c r="L392">
        <v>11</v>
      </c>
      <c r="M392">
        <v>1</v>
      </c>
      <c r="N392" t="s">
        <v>40</v>
      </c>
      <c r="O392">
        <v>0</v>
      </c>
      <c r="P392">
        <v>285.25</v>
      </c>
      <c r="Q392">
        <v>27.32</v>
      </c>
      <c r="R392">
        <v>1.92</v>
      </c>
      <c r="S392">
        <v>314.49</v>
      </c>
      <c r="T392" t="s">
        <v>41</v>
      </c>
      <c r="U392" t="s">
        <v>43</v>
      </c>
      <c r="V392" t="s">
        <v>38</v>
      </c>
      <c r="W392" t="s">
        <v>487</v>
      </c>
      <c r="X392">
        <v>285.25</v>
      </c>
      <c r="Y392" s="9">
        <f t="shared" si="30"/>
        <v>285.25</v>
      </c>
      <c r="Z392" s="9">
        <f t="shared" si="31"/>
        <v>534.84375</v>
      </c>
      <c r="AA392" s="5">
        <f t="shared" si="32"/>
        <v>594.21140624999998</v>
      </c>
      <c r="AB392" s="6">
        <f t="shared" si="33"/>
        <v>866.39339062499994</v>
      </c>
      <c r="AD392" s="10">
        <f t="shared" si="34"/>
        <v>1084.7861390625001</v>
      </c>
    </row>
    <row r="393" spans="1:30" x14ac:dyDescent="0.3">
      <c r="A393" t="s">
        <v>168</v>
      </c>
      <c r="B393" s="8" t="s">
        <v>156</v>
      </c>
      <c r="C393" s="8" t="s">
        <v>32</v>
      </c>
      <c r="D393" s="8" t="s">
        <v>33</v>
      </c>
      <c r="E393" s="8" t="s">
        <v>34</v>
      </c>
      <c r="F393" s="8" t="s">
        <v>35</v>
      </c>
      <c r="G393">
        <v>3403190000</v>
      </c>
      <c r="H393" t="s">
        <v>481</v>
      </c>
      <c r="I393" t="s">
        <v>482</v>
      </c>
      <c r="J393" t="s">
        <v>38</v>
      </c>
      <c r="K393" t="s">
        <v>39</v>
      </c>
      <c r="L393">
        <v>11</v>
      </c>
      <c r="M393">
        <v>1</v>
      </c>
      <c r="N393" t="s">
        <v>40</v>
      </c>
      <c r="O393">
        <v>0</v>
      </c>
      <c r="P393">
        <v>285.25</v>
      </c>
      <c r="Q393">
        <v>27.32</v>
      </c>
      <c r="R393">
        <v>1.92</v>
      </c>
      <c r="S393">
        <v>314.49</v>
      </c>
      <c r="T393" t="s">
        <v>41</v>
      </c>
      <c r="U393" t="s">
        <v>43</v>
      </c>
      <c r="V393" t="s">
        <v>38</v>
      </c>
      <c r="W393" t="s">
        <v>487</v>
      </c>
      <c r="X393">
        <v>285.25</v>
      </c>
      <c r="Y393" s="9">
        <f t="shared" si="30"/>
        <v>285.25</v>
      </c>
      <c r="Z393" s="9">
        <f t="shared" si="31"/>
        <v>534.84375</v>
      </c>
      <c r="AA393" s="5">
        <f t="shared" si="32"/>
        <v>594.21140624999998</v>
      </c>
      <c r="AB393" s="6">
        <f t="shared" si="33"/>
        <v>866.39339062499994</v>
      </c>
      <c r="AD393" s="10">
        <f t="shared" si="34"/>
        <v>1084.7861390625001</v>
      </c>
    </row>
    <row r="394" spans="1:30" x14ac:dyDescent="0.3">
      <c r="A394" t="s">
        <v>30</v>
      </c>
      <c r="B394" s="8" t="s">
        <v>381</v>
      </c>
      <c r="C394" s="8" t="s">
        <v>32</v>
      </c>
      <c r="D394" s="8" t="s">
        <v>33</v>
      </c>
      <c r="E394" s="8" t="s">
        <v>34</v>
      </c>
      <c r="F394" s="8" t="s">
        <v>35</v>
      </c>
      <c r="G394">
        <v>8481300000</v>
      </c>
      <c r="H394" t="s">
        <v>488</v>
      </c>
      <c r="I394" t="s">
        <v>489</v>
      </c>
      <c r="J394" t="s">
        <v>38</v>
      </c>
      <c r="K394" t="s">
        <v>39</v>
      </c>
      <c r="L394">
        <v>3</v>
      </c>
      <c r="M394">
        <v>1</v>
      </c>
      <c r="N394" t="s">
        <v>64</v>
      </c>
      <c r="O394">
        <v>0</v>
      </c>
      <c r="P394">
        <v>166.9</v>
      </c>
      <c r="Q394">
        <v>7.14</v>
      </c>
      <c r="R394">
        <v>1.08</v>
      </c>
      <c r="S394">
        <v>175.12</v>
      </c>
      <c r="T394" t="s">
        <v>41</v>
      </c>
      <c r="U394" t="s">
        <v>43</v>
      </c>
      <c r="V394" t="s">
        <v>38</v>
      </c>
      <c r="W394" t="s">
        <v>490</v>
      </c>
      <c r="X394">
        <v>166.9</v>
      </c>
      <c r="Y394" s="9">
        <f t="shared" si="30"/>
        <v>166.9</v>
      </c>
      <c r="Z394" s="9">
        <f t="shared" si="31"/>
        <v>312.9375</v>
      </c>
      <c r="AA394" s="5">
        <f t="shared" si="32"/>
        <v>347.6735625</v>
      </c>
      <c r="AB394" s="6">
        <f t="shared" si="33"/>
        <v>506.92745624999998</v>
      </c>
      <c r="AD394" s="10">
        <f t="shared" si="34"/>
        <v>634.70922562500004</v>
      </c>
    </row>
    <row r="395" spans="1:30" x14ac:dyDescent="0.3">
      <c r="A395" t="s">
        <v>30</v>
      </c>
      <c r="B395" s="8" t="s">
        <v>58</v>
      </c>
      <c r="C395" s="8" t="s">
        <v>32</v>
      </c>
      <c r="D395" s="8" t="s">
        <v>69</v>
      </c>
      <c r="E395" s="8" t="s">
        <v>70</v>
      </c>
      <c r="F395" s="8" t="s">
        <v>71</v>
      </c>
      <c r="G395">
        <v>2710193900</v>
      </c>
      <c r="H395" t="s">
        <v>424</v>
      </c>
      <c r="I395" t="s">
        <v>482</v>
      </c>
      <c r="J395" t="s">
        <v>38</v>
      </c>
      <c r="K395" t="s">
        <v>39</v>
      </c>
      <c r="L395">
        <v>12</v>
      </c>
      <c r="M395">
        <v>1</v>
      </c>
      <c r="N395" t="s">
        <v>491</v>
      </c>
      <c r="O395">
        <v>0</v>
      </c>
      <c r="P395">
        <v>6975</v>
      </c>
      <c r="Q395">
        <v>429.21</v>
      </c>
      <c r="R395">
        <v>45.26</v>
      </c>
      <c r="S395">
        <v>7449.48</v>
      </c>
      <c r="T395" t="s">
        <v>492</v>
      </c>
      <c r="U395" t="s">
        <v>492</v>
      </c>
      <c r="V395" t="s">
        <v>38</v>
      </c>
      <c r="W395" t="s">
        <v>493</v>
      </c>
      <c r="X395">
        <v>6975</v>
      </c>
      <c r="Y395" s="9">
        <f t="shared" si="30"/>
        <v>6975</v>
      </c>
      <c r="Z395" s="9">
        <f t="shared" si="31"/>
        <v>13078.125</v>
      </c>
      <c r="AA395" s="5">
        <f t="shared" si="32"/>
        <v>14529.796875</v>
      </c>
      <c r="AB395" s="6">
        <f t="shared" si="33"/>
        <v>21185.254687499997</v>
      </c>
      <c r="AD395" s="10">
        <f>SUM(Z395/1000)*2.02823</f>
        <v>26.525445468750004</v>
      </c>
    </row>
    <row r="396" spans="1:30" x14ac:dyDescent="0.3">
      <c r="A396" t="s">
        <v>30</v>
      </c>
      <c r="B396" s="8" t="s">
        <v>58</v>
      </c>
      <c r="C396" s="8" t="s">
        <v>32</v>
      </c>
      <c r="D396" s="8" t="s">
        <v>69</v>
      </c>
      <c r="E396" s="8" t="s">
        <v>70</v>
      </c>
      <c r="F396" s="8" t="s">
        <v>71</v>
      </c>
      <c r="G396">
        <v>2710193900</v>
      </c>
      <c r="H396" t="s">
        <v>424</v>
      </c>
      <c r="I396" t="s">
        <v>482</v>
      </c>
      <c r="J396" t="s">
        <v>38</v>
      </c>
      <c r="K396" t="s">
        <v>39</v>
      </c>
      <c r="L396">
        <v>12</v>
      </c>
      <c r="M396">
        <v>1</v>
      </c>
      <c r="N396" t="s">
        <v>491</v>
      </c>
      <c r="O396">
        <v>0</v>
      </c>
      <c r="P396">
        <v>6975</v>
      </c>
      <c r="Q396">
        <v>429.21</v>
      </c>
      <c r="R396">
        <v>45.26</v>
      </c>
      <c r="S396">
        <v>7449.48</v>
      </c>
      <c r="T396" t="s">
        <v>492</v>
      </c>
      <c r="U396" t="s">
        <v>492</v>
      </c>
      <c r="V396" t="s">
        <v>38</v>
      </c>
      <c r="W396" t="s">
        <v>493</v>
      </c>
      <c r="X396">
        <v>6975</v>
      </c>
      <c r="Y396" s="9">
        <f t="shared" si="30"/>
        <v>6975</v>
      </c>
      <c r="Z396" s="9">
        <f t="shared" si="31"/>
        <v>13078.125</v>
      </c>
      <c r="AA396" s="5">
        <f t="shared" si="32"/>
        <v>14529.796875</v>
      </c>
      <c r="AB396" s="6">
        <f t="shared" si="33"/>
        <v>21185.254687499997</v>
      </c>
      <c r="AD396" s="10">
        <f t="shared" ref="AD396:AD404" si="35">SUM(Z396/1000)*2.02823</f>
        <v>26.525445468750004</v>
      </c>
    </row>
    <row r="397" spans="1:30" x14ac:dyDescent="0.3">
      <c r="A397" t="s">
        <v>30</v>
      </c>
      <c r="B397" s="8" t="s">
        <v>58</v>
      </c>
      <c r="C397" s="8" t="s">
        <v>32</v>
      </c>
      <c r="D397" s="8" t="s">
        <v>69</v>
      </c>
      <c r="E397" s="8" t="s">
        <v>70</v>
      </c>
      <c r="F397" s="8" t="s">
        <v>71</v>
      </c>
      <c r="G397">
        <v>2710193900</v>
      </c>
      <c r="H397" t="s">
        <v>424</v>
      </c>
      <c r="I397" t="s">
        <v>482</v>
      </c>
      <c r="J397" t="s">
        <v>38</v>
      </c>
      <c r="K397" t="s">
        <v>39</v>
      </c>
      <c r="L397">
        <v>12</v>
      </c>
      <c r="M397">
        <v>1</v>
      </c>
      <c r="N397" t="s">
        <v>491</v>
      </c>
      <c r="O397">
        <v>0</v>
      </c>
      <c r="P397">
        <v>6975</v>
      </c>
      <c r="Q397">
        <v>429.22</v>
      </c>
      <c r="R397">
        <v>45.26</v>
      </c>
      <c r="S397">
        <v>7449.48</v>
      </c>
      <c r="T397" t="s">
        <v>492</v>
      </c>
      <c r="U397" t="s">
        <v>492</v>
      </c>
      <c r="V397" t="s">
        <v>38</v>
      </c>
      <c r="W397" t="s">
        <v>493</v>
      </c>
      <c r="X397">
        <v>6975</v>
      </c>
      <c r="Y397" s="9">
        <f t="shared" si="30"/>
        <v>6975</v>
      </c>
      <c r="Z397" s="9">
        <f t="shared" si="31"/>
        <v>13078.125</v>
      </c>
      <c r="AA397" s="5">
        <f t="shared" si="32"/>
        <v>14529.796875</v>
      </c>
      <c r="AB397" s="6">
        <f t="shared" si="33"/>
        <v>21185.254687499997</v>
      </c>
      <c r="AD397" s="10">
        <f t="shared" si="35"/>
        <v>26.525445468750004</v>
      </c>
    </row>
    <row r="398" spans="1:30" x14ac:dyDescent="0.3">
      <c r="A398" t="s">
        <v>30</v>
      </c>
      <c r="B398" s="8" t="s">
        <v>58</v>
      </c>
      <c r="C398" s="8" t="s">
        <v>32</v>
      </c>
      <c r="D398" s="8" t="s">
        <v>69</v>
      </c>
      <c r="E398" s="8" t="s">
        <v>70</v>
      </c>
      <c r="F398" s="8" t="s">
        <v>71</v>
      </c>
      <c r="G398">
        <v>2710193900</v>
      </c>
      <c r="H398" t="s">
        <v>424</v>
      </c>
      <c r="I398" t="s">
        <v>482</v>
      </c>
      <c r="J398" t="s">
        <v>38</v>
      </c>
      <c r="K398" t="s">
        <v>39</v>
      </c>
      <c r="L398">
        <v>12</v>
      </c>
      <c r="M398">
        <v>1</v>
      </c>
      <c r="N398" t="s">
        <v>491</v>
      </c>
      <c r="O398">
        <v>0</v>
      </c>
      <c r="P398">
        <v>6975</v>
      </c>
      <c r="Q398">
        <v>429.21</v>
      </c>
      <c r="R398">
        <v>45.26</v>
      </c>
      <c r="S398">
        <v>7449.48</v>
      </c>
      <c r="T398" t="s">
        <v>492</v>
      </c>
      <c r="U398" t="s">
        <v>492</v>
      </c>
      <c r="V398" t="s">
        <v>38</v>
      </c>
      <c r="W398" t="s">
        <v>493</v>
      </c>
      <c r="X398">
        <v>6975</v>
      </c>
      <c r="Y398" s="9">
        <f t="shared" si="30"/>
        <v>6975</v>
      </c>
      <c r="Z398" s="9">
        <f t="shared" si="31"/>
        <v>13078.125</v>
      </c>
      <c r="AA398" s="5">
        <f t="shared" si="32"/>
        <v>14529.796875</v>
      </c>
      <c r="AB398" s="6">
        <f t="shared" si="33"/>
        <v>21185.254687499997</v>
      </c>
      <c r="AD398" s="10">
        <f t="shared" si="35"/>
        <v>26.525445468750004</v>
      </c>
    </row>
    <row r="399" spans="1:30" x14ac:dyDescent="0.3">
      <c r="A399" t="s">
        <v>30</v>
      </c>
      <c r="B399" s="8" t="s">
        <v>58</v>
      </c>
      <c r="C399" s="8" t="s">
        <v>32</v>
      </c>
      <c r="D399" s="8" t="s">
        <v>69</v>
      </c>
      <c r="E399" s="8" t="s">
        <v>70</v>
      </c>
      <c r="F399" s="8" t="s">
        <v>71</v>
      </c>
      <c r="G399">
        <v>2710193900</v>
      </c>
      <c r="H399" t="s">
        <v>36</v>
      </c>
      <c r="I399" t="s">
        <v>482</v>
      </c>
      <c r="J399" t="s">
        <v>38</v>
      </c>
      <c r="K399" t="s">
        <v>39</v>
      </c>
      <c r="L399">
        <v>10</v>
      </c>
      <c r="M399">
        <v>1</v>
      </c>
      <c r="N399" t="s">
        <v>491</v>
      </c>
      <c r="O399">
        <v>0</v>
      </c>
      <c r="P399">
        <v>6975</v>
      </c>
      <c r="Q399">
        <v>500.07</v>
      </c>
      <c r="R399">
        <v>45.56</v>
      </c>
      <c r="S399">
        <v>7520.63</v>
      </c>
      <c r="T399" t="s">
        <v>492</v>
      </c>
      <c r="U399" t="s">
        <v>492</v>
      </c>
      <c r="V399" t="s">
        <v>38</v>
      </c>
      <c r="W399" t="s">
        <v>493</v>
      </c>
      <c r="X399">
        <v>6975</v>
      </c>
      <c r="Y399" s="9">
        <f t="shared" si="30"/>
        <v>6975</v>
      </c>
      <c r="Z399" s="9">
        <f t="shared" si="31"/>
        <v>13078.125</v>
      </c>
      <c r="AA399" s="5">
        <f t="shared" si="32"/>
        <v>14529.796875</v>
      </c>
      <c r="AB399" s="6">
        <f t="shared" si="33"/>
        <v>21185.254687499997</v>
      </c>
      <c r="AD399" s="10">
        <f t="shared" si="35"/>
        <v>26.525445468750004</v>
      </c>
    </row>
    <row r="400" spans="1:30" x14ac:dyDescent="0.3">
      <c r="A400" t="s">
        <v>30</v>
      </c>
      <c r="B400" s="8" t="s">
        <v>58</v>
      </c>
      <c r="C400" s="8" t="s">
        <v>32</v>
      </c>
      <c r="D400" s="8" t="s">
        <v>69</v>
      </c>
      <c r="E400" s="8" t="s">
        <v>70</v>
      </c>
      <c r="F400" s="8" t="s">
        <v>71</v>
      </c>
      <c r="G400">
        <v>2710193900</v>
      </c>
      <c r="H400" t="s">
        <v>36</v>
      </c>
      <c r="I400" t="s">
        <v>482</v>
      </c>
      <c r="J400" t="s">
        <v>38</v>
      </c>
      <c r="K400" t="s">
        <v>39</v>
      </c>
      <c r="L400">
        <v>10</v>
      </c>
      <c r="M400">
        <v>1</v>
      </c>
      <c r="N400" t="s">
        <v>491</v>
      </c>
      <c r="O400">
        <v>0</v>
      </c>
      <c r="P400">
        <v>6975</v>
      </c>
      <c r="Q400">
        <v>500.07</v>
      </c>
      <c r="R400">
        <v>45.56</v>
      </c>
      <c r="S400">
        <v>7520.63</v>
      </c>
      <c r="T400" t="s">
        <v>492</v>
      </c>
      <c r="U400" t="s">
        <v>492</v>
      </c>
      <c r="V400" t="s">
        <v>38</v>
      </c>
      <c r="W400" t="s">
        <v>493</v>
      </c>
      <c r="X400">
        <v>6975</v>
      </c>
      <c r="Y400" s="9">
        <f t="shared" si="30"/>
        <v>6975</v>
      </c>
      <c r="Z400" s="9">
        <f t="shared" si="31"/>
        <v>13078.125</v>
      </c>
      <c r="AA400" s="5">
        <f t="shared" si="32"/>
        <v>14529.796875</v>
      </c>
      <c r="AB400" s="6">
        <f t="shared" si="33"/>
        <v>21185.254687499997</v>
      </c>
      <c r="AD400" s="10">
        <f t="shared" si="35"/>
        <v>26.525445468750004</v>
      </c>
    </row>
    <row r="401" spans="1:30" x14ac:dyDescent="0.3">
      <c r="A401" t="s">
        <v>30</v>
      </c>
      <c r="B401" s="8" t="s">
        <v>58</v>
      </c>
      <c r="C401" s="8" t="s">
        <v>32</v>
      </c>
      <c r="D401" s="8" t="s">
        <v>69</v>
      </c>
      <c r="E401" s="8" t="s">
        <v>70</v>
      </c>
      <c r="F401" s="8" t="s">
        <v>71</v>
      </c>
      <c r="G401">
        <v>2710193900</v>
      </c>
      <c r="H401" t="s">
        <v>36</v>
      </c>
      <c r="I401" t="s">
        <v>482</v>
      </c>
      <c r="J401" t="s">
        <v>38</v>
      </c>
      <c r="K401" t="s">
        <v>39</v>
      </c>
      <c r="L401">
        <v>10</v>
      </c>
      <c r="M401">
        <v>1</v>
      </c>
      <c r="N401" t="s">
        <v>491</v>
      </c>
      <c r="O401">
        <v>0</v>
      </c>
      <c r="P401">
        <v>6975</v>
      </c>
      <c r="Q401">
        <v>500.07</v>
      </c>
      <c r="R401">
        <v>45.56</v>
      </c>
      <c r="S401">
        <v>7520.63</v>
      </c>
      <c r="T401" t="s">
        <v>492</v>
      </c>
      <c r="U401" t="s">
        <v>492</v>
      </c>
      <c r="V401" t="s">
        <v>38</v>
      </c>
      <c r="W401" t="s">
        <v>493</v>
      </c>
      <c r="X401">
        <v>6975</v>
      </c>
      <c r="Y401" s="9">
        <f t="shared" si="30"/>
        <v>6975</v>
      </c>
      <c r="Z401" s="9">
        <f t="shared" si="31"/>
        <v>13078.125</v>
      </c>
      <c r="AA401" s="5">
        <f t="shared" si="32"/>
        <v>14529.796875</v>
      </c>
      <c r="AB401" s="6">
        <f t="shared" si="33"/>
        <v>21185.254687499997</v>
      </c>
      <c r="AD401" s="10">
        <f t="shared" si="35"/>
        <v>26.525445468750004</v>
      </c>
    </row>
    <row r="402" spans="1:30" x14ac:dyDescent="0.3">
      <c r="A402" t="s">
        <v>30</v>
      </c>
      <c r="B402" s="8" t="s">
        <v>58</v>
      </c>
      <c r="C402" s="8" t="s">
        <v>32</v>
      </c>
      <c r="D402" s="8" t="s">
        <v>69</v>
      </c>
      <c r="E402" s="8" t="s">
        <v>70</v>
      </c>
      <c r="F402" s="8" t="s">
        <v>71</v>
      </c>
      <c r="G402">
        <v>2710193900</v>
      </c>
      <c r="H402" t="s">
        <v>36</v>
      </c>
      <c r="I402" t="s">
        <v>482</v>
      </c>
      <c r="J402" t="s">
        <v>38</v>
      </c>
      <c r="K402" t="s">
        <v>39</v>
      </c>
      <c r="L402">
        <v>10</v>
      </c>
      <c r="M402">
        <v>1</v>
      </c>
      <c r="N402" t="s">
        <v>491</v>
      </c>
      <c r="O402">
        <v>0</v>
      </c>
      <c r="P402">
        <v>6975</v>
      </c>
      <c r="Q402">
        <v>500.07</v>
      </c>
      <c r="R402">
        <v>45.56</v>
      </c>
      <c r="S402">
        <v>7520.63</v>
      </c>
      <c r="T402" t="s">
        <v>492</v>
      </c>
      <c r="U402" t="s">
        <v>492</v>
      </c>
      <c r="V402" t="s">
        <v>38</v>
      </c>
      <c r="W402" t="s">
        <v>493</v>
      </c>
      <c r="X402">
        <v>6975</v>
      </c>
      <c r="Y402" s="9">
        <f t="shared" si="30"/>
        <v>6975</v>
      </c>
      <c r="Z402" s="9">
        <f t="shared" si="31"/>
        <v>13078.125</v>
      </c>
      <c r="AA402" s="5">
        <f t="shared" si="32"/>
        <v>14529.796875</v>
      </c>
      <c r="AB402" s="6">
        <f t="shared" si="33"/>
        <v>21185.254687499997</v>
      </c>
      <c r="AD402" s="10">
        <f t="shared" si="35"/>
        <v>26.525445468750004</v>
      </c>
    </row>
    <row r="403" spans="1:30" x14ac:dyDescent="0.3">
      <c r="A403" t="s">
        <v>168</v>
      </c>
      <c r="B403" s="8" t="s">
        <v>58</v>
      </c>
      <c r="C403" s="8" t="s">
        <v>32</v>
      </c>
      <c r="E403" s="8" t="s">
        <v>70</v>
      </c>
      <c r="F403" s="8" t="s">
        <v>71</v>
      </c>
      <c r="G403">
        <v>2710193900</v>
      </c>
      <c r="H403" t="s">
        <v>36</v>
      </c>
      <c r="I403" t="s">
        <v>482</v>
      </c>
      <c r="J403" t="s">
        <v>38</v>
      </c>
      <c r="K403" t="s">
        <v>39</v>
      </c>
      <c r="L403">
        <v>0</v>
      </c>
      <c r="M403">
        <v>1</v>
      </c>
      <c r="N403" t="s">
        <v>491</v>
      </c>
      <c r="O403">
        <v>0</v>
      </c>
      <c r="P403">
        <v>6387.38</v>
      </c>
      <c r="Q403">
        <v>414.79</v>
      </c>
      <c r="R403">
        <v>44.77</v>
      </c>
      <c r="S403">
        <v>6846.93</v>
      </c>
      <c r="T403" t="s">
        <v>483</v>
      </c>
      <c r="U403" t="s">
        <v>483</v>
      </c>
      <c r="V403" t="s">
        <v>38</v>
      </c>
      <c r="W403" t="s">
        <v>493</v>
      </c>
      <c r="X403">
        <v>6387.38</v>
      </c>
      <c r="Y403" s="9">
        <f t="shared" si="30"/>
        <v>6387.38</v>
      </c>
      <c r="Z403" s="9">
        <f t="shared" si="31"/>
        <v>11976.3375</v>
      </c>
      <c r="AA403" s="5">
        <f t="shared" si="32"/>
        <v>13305.710962499999</v>
      </c>
      <c r="AB403" s="6">
        <f t="shared" si="33"/>
        <v>19400.469116249998</v>
      </c>
      <c r="AD403" s="10">
        <f t="shared" si="35"/>
        <v>24.290767007625</v>
      </c>
    </row>
    <row r="404" spans="1:30" x14ac:dyDescent="0.3">
      <c r="A404" t="s">
        <v>168</v>
      </c>
      <c r="B404" s="8" t="s">
        <v>58</v>
      </c>
      <c r="C404" s="8" t="s">
        <v>32</v>
      </c>
      <c r="E404" s="8" t="s">
        <v>70</v>
      </c>
      <c r="F404" s="8" t="s">
        <v>71</v>
      </c>
      <c r="G404">
        <v>2710193900</v>
      </c>
      <c r="H404" t="s">
        <v>36</v>
      </c>
      <c r="I404" t="s">
        <v>482</v>
      </c>
      <c r="J404" t="s">
        <v>38</v>
      </c>
      <c r="K404" t="s">
        <v>39</v>
      </c>
      <c r="L404">
        <v>0</v>
      </c>
      <c r="M404">
        <v>1</v>
      </c>
      <c r="N404" t="s">
        <v>491</v>
      </c>
      <c r="O404">
        <v>0</v>
      </c>
      <c r="P404">
        <v>6387.38</v>
      </c>
      <c r="Q404">
        <v>414.79</v>
      </c>
      <c r="R404">
        <v>44.77</v>
      </c>
      <c r="S404">
        <v>6846.93</v>
      </c>
      <c r="T404" t="s">
        <v>483</v>
      </c>
      <c r="U404" t="s">
        <v>483</v>
      </c>
      <c r="V404" t="s">
        <v>38</v>
      </c>
      <c r="W404" t="s">
        <v>493</v>
      </c>
      <c r="X404">
        <v>6387.38</v>
      </c>
      <c r="Y404" s="9">
        <f t="shared" si="30"/>
        <v>6387.38</v>
      </c>
      <c r="Z404" s="9">
        <f t="shared" si="31"/>
        <v>11976.3375</v>
      </c>
      <c r="AA404" s="5">
        <f t="shared" si="32"/>
        <v>13305.710962499999</v>
      </c>
      <c r="AB404" s="6">
        <f t="shared" si="33"/>
        <v>19400.469116249998</v>
      </c>
      <c r="AD404" s="10">
        <f t="shared" si="35"/>
        <v>24.290767007625</v>
      </c>
    </row>
    <row r="405" spans="1:30" x14ac:dyDescent="0.3">
      <c r="A405" t="s">
        <v>30</v>
      </c>
      <c r="B405" s="8" t="s">
        <v>32</v>
      </c>
      <c r="C405" s="8" t="s">
        <v>32</v>
      </c>
      <c r="D405" s="8" t="s">
        <v>33</v>
      </c>
      <c r="E405" s="8" t="s">
        <v>34</v>
      </c>
      <c r="F405" s="8" t="s">
        <v>35</v>
      </c>
      <c r="G405">
        <v>9030390000</v>
      </c>
      <c r="H405" t="s">
        <v>494</v>
      </c>
      <c r="I405" t="s">
        <v>495</v>
      </c>
      <c r="J405" t="s">
        <v>38</v>
      </c>
      <c r="K405" t="s">
        <v>39</v>
      </c>
      <c r="L405">
        <v>6</v>
      </c>
      <c r="M405">
        <v>1</v>
      </c>
      <c r="N405" t="s">
        <v>64</v>
      </c>
      <c r="O405">
        <v>0</v>
      </c>
      <c r="P405">
        <v>1798.91</v>
      </c>
      <c r="Q405">
        <v>122.07</v>
      </c>
      <c r="R405">
        <v>11.69</v>
      </c>
      <c r="S405">
        <v>1932.68</v>
      </c>
      <c r="T405" t="s">
        <v>41</v>
      </c>
      <c r="U405" t="s">
        <v>41</v>
      </c>
      <c r="V405" t="s">
        <v>38</v>
      </c>
      <c r="W405" t="s">
        <v>496</v>
      </c>
      <c r="X405">
        <v>1798.91</v>
      </c>
      <c r="Y405" s="9">
        <f t="shared" si="30"/>
        <v>1798.91</v>
      </c>
      <c r="Z405" s="9">
        <f t="shared" si="31"/>
        <v>3372.9562500000002</v>
      </c>
      <c r="AA405" s="5">
        <f t="shared" si="32"/>
        <v>3747.3543937500003</v>
      </c>
      <c r="AB405" s="6">
        <f t="shared" si="33"/>
        <v>5463.8518293750003</v>
      </c>
      <c r="AD405" s="10">
        <f t="shared" si="34"/>
        <v>6841.1310549375012</v>
      </c>
    </row>
    <row r="406" spans="1:30" x14ac:dyDescent="0.3">
      <c r="A406" t="s">
        <v>30</v>
      </c>
      <c r="B406" s="8" t="s">
        <v>221</v>
      </c>
      <c r="C406" s="8" t="s">
        <v>32</v>
      </c>
      <c r="D406" s="8" t="s">
        <v>33</v>
      </c>
      <c r="E406" s="8" t="s">
        <v>34</v>
      </c>
      <c r="F406" s="8" t="s">
        <v>35</v>
      </c>
      <c r="G406">
        <v>8483309000</v>
      </c>
      <c r="H406" t="s">
        <v>177</v>
      </c>
      <c r="I406" t="s">
        <v>292</v>
      </c>
      <c r="J406" t="s">
        <v>38</v>
      </c>
      <c r="K406" t="s">
        <v>39</v>
      </c>
      <c r="L406">
        <v>7</v>
      </c>
      <c r="M406">
        <v>1</v>
      </c>
      <c r="N406" t="s">
        <v>64</v>
      </c>
      <c r="O406">
        <v>0</v>
      </c>
      <c r="P406">
        <v>17.489999999999998</v>
      </c>
      <c r="Q406">
        <v>2.76</v>
      </c>
      <c r="R406">
        <v>0.11</v>
      </c>
      <c r="S406">
        <v>20.350000000000001</v>
      </c>
      <c r="T406" t="s">
        <v>41</v>
      </c>
      <c r="U406" t="s">
        <v>41</v>
      </c>
      <c r="V406" t="s">
        <v>38</v>
      </c>
      <c r="W406" t="s">
        <v>497</v>
      </c>
      <c r="X406">
        <v>17.489999999999998</v>
      </c>
      <c r="Y406" s="9">
        <f t="shared" si="30"/>
        <v>17.489999999999998</v>
      </c>
      <c r="Z406" s="9">
        <f t="shared" si="31"/>
        <v>32.793749999999996</v>
      </c>
      <c r="AA406" s="5">
        <f t="shared" si="32"/>
        <v>36.433856249999998</v>
      </c>
      <c r="AB406" s="6">
        <f t="shared" si="33"/>
        <v>53.122595624999988</v>
      </c>
      <c r="AD406" s="10">
        <f t="shared" si="34"/>
        <v>66.513267562500005</v>
      </c>
    </row>
    <row r="407" spans="1:30" x14ac:dyDescent="0.3">
      <c r="A407" t="s">
        <v>168</v>
      </c>
      <c r="B407" s="8" t="s">
        <v>31</v>
      </c>
      <c r="C407" s="8" t="s">
        <v>32</v>
      </c>
      <c r="D407" s="8" t="s">
        <v>33</v>
      </c>
      <c r="E407" s="8" t="s">
        <v>34</v>
      </c>
      <c r="F407" s="8" t="s">
        <v>35</v>
      </c>
      <c r="G407">
        <v>8421999000</v>
      </c>
      <c r="H407" t="s">
        <v>36</v>
      </c>
      <c r="I407" t="s">
        <v>228</v>
      </c>
      <c r="J407" t="s">
        <v>38</v>
      </c>
      <c r="K407" t="s">
        <v>39</v>
      </c>
      <c r="L407">
        <v>11</v>
      </c>
      <c r="M407">
        <v>5</v>
      </c>
      <c r="N407" t="s">
        <v>64</v>
      </c>
      <c r="O407">
        <v>0</v>
      </c>
      <c r="P407">
        <v>205.93</v>
      </c>
      <c r="Q407">
        <v>19.72</v>
      </c>
      <c r="R407">
        <v>1.39</v>
      </c>
      <c r="S407">
        <v>227.04</v>
      </c>
      <c r="T407" t="s">
        <v>41</v>
      </c>
      <c r="U407" t="s">
        <v>43</v>
      </c>
      <c r="V407" t="s">
        <v>38</v>
      </c>
      <c r="W407" t="s">
        <v>498</v>
      </c>
      <c r="X407">
        <v>41.19</v>
      </c>
      <c r="Y407" s="9">
        <f t="shared" si="30"/>
        <v>41.186</v>
      </c>
      <c r="Z407" s="9">
        <f t="shared" si="31"/>
        <v>77.223749999999995</v>
      </c>
      <c r="AA407" s="5">
        <f t="shared" si="32"/>
        <v>85.795586249999999</v>
      </c>
      <c r="AB407" s="6">
        <f t="shared" si="33"/>
        <v>125.09475262499998</v>
      </c>
      <c r="AD407" s="10">
        <f t="shared" si="34"/>
        <v>156.62752646250001</v>
      </c>
    </row>
    <row r="408" spans="1:30" x14ac:dyDescent="0.3">
      <c r="A408" t="s">
        <v>30</v>
      </c>
      <c r="B408" s="8" t="s">
        <v>31</v>
      </c>
      <c r="C408" s="8" t="s">
        <v>32</v>
      </c>
      <c r="D408" s="8" t="s">
        <v>33</v>
      </c>
      <c r="E408" s="8" t="s">
        <v>34</v>
      </c>
      <c r="F408" s="8" t="s">
        <v>35</v>
      </c>
      <c r="G408">
        <v>8421999000</v>
      </c>
      <c r="H408" t="s">
        <v>36</v>
      </c>
      <c r="I408" t="s">
        <v>228</v>
      </c>
      <c r="J408" t="s">
        <v>38</v>
      </c>
      <c r="K408" t="s">
        <v>39</v>
      </c>
      <c r="L408">
        <v>8</v>
      </c>
      <c r="M408">
        <v>4</v>
      </c>
      <c r="N408" t="s">
        <v>64</v>
      </c>
      <c r="O408">
        <v>0</v>
      </c>
      <c r="P408">
        <v>163.76</v>
      </c>
      <c r="Q408">
        <v>17.48</v>
      </c>
      <c r="R408">
        <v>1.1000000000000001</v>
      </c>
      <c r="S408">
        <v>182.33</v>
      </c>
      <c r="T408" t="s">
        <v>41</v>
      </c>
      <c r="U408" t="s">
        <v>41</v>
      </c>
      <c r="V408" t="s">
        <v>38</v>
      </c>
      <c r="W408" t="s">
        <v>498</v>
      </c>
      <c r="X408">
        <v>40.94</v>
      </c>
      <c r="Y408" s="9">
        <f t="shared" si="30"/>
        <v>40.94</v>
      </c>
      <c r="Z408" s="9">
        <f t="shared" si="31"/>
        <v>76.762499999999989</v>
      </c>
      <c r="AA408" s="5">
        <f t="shared" si="32"/>
        <v>85.283137499999981</v>
      </c>
      <c r="AB408" s="6">
        <f t="shared" si="33"/>
        <v>124.34757374999997</v>
      </c>
      <c r="AD408" s="10">
        <f t="shared" si="34"/>
        <v>155.69200537499998</v>
      </c>
    </row>
    <row r="409" spans="1:30" x14ac:dyDescent="0.3">
      <c r="A409" t="s">
        <v>168</v>
      </c>
      <c r="B409" s="8" t="s">
        <v>259</v>
      </c>
      <c r="C409" s="8" t="s">
        <v>32</v>
      </c>
      <c r="D409" s="8" t="s">
        <v>33</v>
      </c>
      <c r="E409" s="8" t="s">
        <v>34</v>
      </c>
      <c r="F409" s="8" t="s">
        <v>35</v>
      </c>
      <c r="G409">
        <v>8421299090</v>
      </c>
      <c r="H409" t="s">
        <v>36</v>
      </c>
      <c r="I409" t="s">
        <v>241</v>
      </c>
      <c r="J409" t="s">
        <v>38</v>
      </c>
      <c r="K409" t="s">
        <v>39</v>
      </c>
      <c r="L409">
        <v>11</v>
      </c>
      <c r="M409">
        <v>2</v>
      </c>
      <c r="N409" t="s">
        <v>64</v>
      </c>
      <c r="O409">
        <v>0</v>
      </c>
      <c r="P409">
        <v>94.43</v>
      </c>
      <c r="Q409">
        <v>9.0500000000000007</v>
      </c>
      <c r="R409">
        <v>0.64</v>
      </c>
      <c r="S409">
        <v>104.11</v>
      </c>
      <c r="T409" t="s">
        <v>41</v>
      </c>
      <c r="U409" t="s">
        <v>43</v>
      </c>
      <c r="V409" t="s">
        <v>38</v>
      </c>
      <c r="W409" t="s">
        <v>499</v>
      </c>
      <c r="X409">
        <v>47.22</v>
      </c>
      <c r="Y409" s="9">
        <f t="shared" si="30"/>
        <v>47.215000000000003</v>
      </c>
      <c r="Z409" s="9">
        <f t="shared" si="31"/>
        <v>88.528125000000003</v>
      </c>
      <c r="AA409" s="5">
        <f t="shared" si="32"/>
        <v>98.354746875000004</v>
      </c>
      <c r="AB409" s="6">
        <f t="shared" si="33"/>
        <v>143.40670968749998</v>
      </c>
      <c r="AD409" s="10">
        <f t="shared" si="34"/>
        <v>179.55539896875001</v>
      </c>
    </row>
    <row r="410" spans="1:30" x14ac:dyDescent="0.3">
      <c r="A410" t="s">
        <v>168</v>
      </c>
      <c r="B410" s="8" t="s">
        <v>485</v>
      </c>
      <c r="C410" s="8" t="s">
        <v>32</v>
      </c>
      <c r="D410" s="8" t="s">
        <v>33</v>
      </c>
      <c r="E410" s="8" t="s">
        <v>34</v>
      </c>
      <c r="F410" s="8" t="s">
        <v>35</v>
      </c>
      <c r="G410">
        <v>8421999000</v>
      </c>
      <c r="H410" t="s">
        <v>36</v>
      </c>
      <c r="I410" t="s">
        <v>500</v>
      </c>
      <c r="J410" t="s">
        <v>38</v>
      </c>
      <c r="K410" t="s">
        <v>39</v>
      </c>
      <c r="L410">
        <v>11</v>
      </c>
      <c r="M410">
        <v>2</v>
      </c>
      <c r="N410" t="s">
        <v>64</v>
      </c>
      <c r="O410">
        <v>0</v>
      </c>
      <c r="P410">
        <v>153.97999999999999</v>
      </c>
      <c r="Q410">
        <v>14.75</v>
      </c>
      <c r="R410">
        <v>1.04</v>
      </c>
      <c r="S410">
        <v>169.77</v>
      </c>
      <c r="T410" t="s">
        <v>41</v>
      </c>
      <c r="U410" t="s">
        <v>43</v>
      </c>
      <c r="V410" t="s">
        <v>38</v>
      </c>
      <c r="W410" t="s">
        <v>501</v>
      </c>
      <c r="X410">
        <v>76.989999999999995</v>
      </c>
      <c r="Y410" s="9">
        <f t="shared" si="30"/>
        <v>76.989999999999995</v>
      </c>
      <c r="Z410" s="9">
        <f t="shared" si="31"/>
        <v>144.35624999999999</v>
      </c>
      <c r="AA410" s="5">
        <f t="shared" si="32"/>
        <v>160.37979374999998</v>
      </c>
      <c r="AB410" s="6">
        <f t="shared" si="33"/>
        <v>233.84268937499996</v>
      </c>
      <c r="AD410" s="10">
        <f t="shared" si="34"/>
        <v>292.78767693750001</v>
      </c>
    </row>
    <row r="411" spans="1:30" x14ac:dyDescent="0.3">
      <c r="A411" t="s">
        <v>30</v>
      </c>
      <c r="B411" s="8" t="s">
        <v>32</v>
      </c>
      <c r="C411" s="8" t="s">
        <v>32</v>
      </c>
      <c r="D411" s="8" t="s">
        <v>33</v>
      </c>
      <c r="E411" s="8" t="s">
        <v>34</v>
      </c>
      <c r="F411" s="8" t="s">
        <v>35</v>
      </c>
      <c r="G411">
        <v>7307990099</v>
      </c>
      <c r="H411" t="s">
        <v>36</v>
      </c>
      <c r="I411" t="s">
        <v>502</v>
      </c>
      <c r="J411" t="s">
        <v>38</v>
      </c>
      <c r="K411" t="s">
        <v>39</v>
      </c>
      <c r="L411">
        <v>3</v>
      </c>
      <c r="M411">
        <v>1</v>
      </c>
      <c r="N411" t="s">
        <v>40</v>
      </c>
      <c r="O411">
        <v>0</v>
      </c>
      <c r="P411">
        <v>306.60000000000002</v>
      </c>
      <c r="Q411">
        <v>13.12</v>
      </c>
      <c r="R411">
        <v>1.98</v>
      </c>
      <c r="S411">
        <v>321.7</v>
      </c>
      <c r="T411" t="s">
        <v>41</v>
      </c>
      <c r="U411" t="s">
        <v>43</v>
      </c>
      <c r="V411" t="s">
        <v>38</v>
      </c>
      <c r="W411" t="s">
        <v>503</v>
      </c>
      <c r="X411">
        <v>306.60000000000002</v>
      </c>
      <c r="Y411" s="9">
        <f t="shared" si="30"/>
        <v>306.60000000000002</v>
      </c>
      <c r="Z411" s="9">
        <f t="shared" si="31"/>
        <v>574.875</v>
      </c>
      <c r="AA411" s="5">
        <f t="shared" si="32"/>
        <v>638.68612499999995</v>
      </c>
      <c r="AB411" s="6">
        <f t="shared" si="33"/>
        <v>931.24001249999992</v>
      </c>
      <c r="AD411" s="10">
        <f t="shared" si="34"/>
        <v>1165.97872125</v>
      </c>
    </row>
    <row r="412" spans="1:30" x14ac:dyDescent="0.3">
      <c r="A412" t="s">
        <v>30</v>
      </c>
      <c r="B412" s="8" t="s">
        <v>31</v>
      </c>
      <c r="C412" s="8" t="s">
        <v>32</v>
      </c>
      <c r="D412" s="8" t="s">
        <v>33</v>
      </c>
      <c r="E412" s="8" t="s">
        <v>34</v>
      </c>
      <c r="F412" s="8" t="s">
        <v>35</v>
      </c>
      <c r="G412">
        <v>8421999000</v>
      </c>
      <c r="H412" t="s">
        <v>36</v>
      </c>
      <c r="I412" t="s">
        <v>228</v>
      </c>
      <c r="J412" t="s">
        <v>38</v>
      </c>
      <c r="K412" t="s">
        <v>39</v>
      </c>
      <c r="L412">
        <v>6</v>
      </c>
      <c r="M412">
        <v>1</v>
      </c>
      <c r="N412" t="s">
        <v>64</v>
      </c>
      <c r="O412">
        <v>0</v>
      </c>
      <c r="P412">
        <v>260.45999999999998</v>
      </c>
      <c r="Q412">
        <v>31.5</v>
      </c>
      <c r="R412">
        <v>1.81</v>
      </c>
      <c r="S412">
        <v>293.77</v>
      </c>
      <c r="T412" t="s">
        <v>41</v>
      </c>
      <c r="U412" t="s">
        <v>43</v>
      </c>
      <c r="V412" t="s">
        <v>38</v>
      </c>
      <c r="W412" t="s">
        <v>504</v>
      </c>
      <c r="X412">
        <v>260.45999999999998</v>
      </c>
      <c r="Y412" s="9">
        <f t="shared" si="30"/>
        <v>260.45999999999998</v>
      </c>
      <c r="Z412" s="9">
        <f t="shared" si="31"/>
        <v>488.36249999999995</v>
      </c>
      <c r="AA412" s="5">
        <f t="shared" si="32"/>
        <v>542.57073749999995</v>
      </c>
      <c r="AB412" s="6">
        <f t="shared" si="33"/>
        <v>791.09841374999985</v>
      </c>
      <c r="AD412" s="10">
        <f t="shared" si="34"/>
        <v>990.51147337500004</v>
      </c>
    </row>
    <row r="413" spans="1:30" x14ac:dyDescent="0.3">
      <c r="A413" t="s">
        <v>30</v>
      </c>
      <c r="B413" s="8" t="s">
        <v>31</v>
      </c>
      <c r="C413" s="8" t="s">
        <v>32</v>
      </c>
      <c r="D413" s="8" t="s">
        <v>33</v>
      </c>
      <c r="E413" s="8" t="s">
        <v>34</v>
      </c>
      <c r="F413" s="8" t="s">
        <v>35</v>
      </c>
      <c r="G413">
        <v>8421999000</v>
      </c>
      <c r="H413" t="s">
        <v>36</v>
      </c>
      <c r="I413" t="s">
        <v>228</v>
      </c>
      <c r="J413" t="s">
        <v>38</v>
      </c>
      <c r="K413" t="s">
        <v>39</v>
      </c>
      <c r="L413">
        <v>16</v>
      </c>
      <c r="M413">
        <v>4</v>
      </c>
      <c r="N413" t="s">
        <v>64</v>
      </c>
      <c r="O413">
        <v>0</v>
      </c>
      <c r="P413">
        <v>1067.6600000000001</v>
      </c>
      <c r="Q413">
        <v>147.36000000000001</v>
      </c>
      <c r="R413">
        <v>7.12</v>
      </c>
      <c r="S413">
        <v>1222.1400000000001</v>
      </c>
      <c r="T413" t="s">
        <v>41</v>
      </c>
      <c r="U413" t="s">
        <v>41</v>
      </c>
      <c r="V413" t="s">
        <v>38</v>
      </c>
      <c r="W413" t="s">
        <v>504</v>
      </c>
      <c r="X413">
        <v>266.92</v>
      </c>
      <c r="Y413" s="9">
        <f t="shared" si="30"/>
        <v>266.91500000000002</v>
      </c>
      <c r="Z413" s="9">
        <f t="shared" si="31"/>
        <v>500.46562500000005</v>
      </c>
      <c r="AA413" s="5">
        <f t="shared" si="32"/>
        <v>556.01730937500008</v>
      </c>
      <c r="AB413" s="6">
        <f t="shared" si="33"/>
        <v>810.70426593750005</v>
      </c>
      <c r="AD413" s="10">
        <f t="shared" si="34"/>
        <v>1015.0593945937502</v>
      </c>
    </row>
    <row r="414" spans="1:30" x14ac:dyDescent="0.3">
      <c r="A414" t="s">
        <v>168</v>
      </c>
      <c r="B414" s="8" t="s">
        <v>31</v>
      </c>
      <c r="C414" s="8" t="s">
        <v>32</v>
      </c>
      <c r="D414" s="8" t="s">
        <v>33</v>
      </c>
      <c r="E414" s="8" t="s">
        <v>34</v>
      </c>
      <c r="F414" s="8" t="s">
        <v>35</v>
      </c>
      <c r="G414">
        <v>8421999000</v>
      </c>
      <c r="H414" t="s">
        <v>36</v>
      </c>
      <c r="I414" t="s">
        <v>228</v>
      </c>
      <c r="J414" t="s">
        <v>38</v>
      </c>
      <c r="K414" t="s">
        <v>39</v>
      </c>
      <c r="L414">
        <v>11</v>
      </c>
      <c r="M414">
        <v>2</v>
      </c>
      <c r="N414" t="s">
        <v>64</v>
      </c>
      <c r="O414">
        <v>0</v>
      </c>
      <c r="P414">
        <v>535.37</v>
      </c>
      <c r="Q414">
        <v>51.28</v>
      </c>
      <c r="R414">
        <v>3.61</v>
      </c>
      <c r="S414">
        <v>590.26</v>
      </c>
      <c r="T414" t="s">
        <v>41</v>
      </c>
      <c r="U414" t="s">
        <v>43</v>
      </c>
      <c r="V414" t="s">
        <v>38</v>
      </c>
      <c r="W414" t="s">
        <v>504</v>
      </c>
      <c r="X414">
        <v>267.69</v>
      </c>
      <c r="Y414" s="9">
        <f t="shared" si="30"/>
        <v>267.685</v>
      </c>
      <c r="Z414" s="9">
        <f t="shared" si="31"/>
        <v>501.90937500000001</v>
      </c>
      <c r="AA414" s="5">
        <f t="shared" si="32"/>
        <v>557.62131562499997</v>
      </c>
      <c r="AB414" s="6">
        <f t="shared" si="33"/>
        <v>813.04299656249998</v>
      </c>
      <c r="AD414" s="10">
        <f t="shared" si="34"/>
        <v>1017.9876516562501</v>
      </c>
    </row>
    <row r="415" spans="1:30" x14ac:dyDescent="0.3">
      <c r="A415" t="s">
        <v>30</v>
      </c>
      <c r="B415" s="8" t="s">
        <v>66</v>
      </c>
      <c r="C415" s="8" t="s">
        <v>32</v>
      </c>
      <c r="D415" s="8" t="s">
        <v>33</v>
      </c>
      <c r="E415" s="8" t="s">
        <v>34</v>
      </c>
      <c r="F415" s="8" t="s">
        <v>35</v>
      </c>
      <c r="G415">
        <v>7318159000</v>
      </c>
      <c r="H415" t="s">
        <v>505</v>
      </c>
      <c r="I415" t="s">
        <v>506</v>
      </c>
      <c r="J415" t="s">
        <v>38</v>
      </c>
      <c r="K415" t="s">
        <v>39</v>
      </c>
      <c r="L415">
        <v>6</v>
      </c>
      <c r="M415">
        <v>1</v>
      </c>
      <c r="N415" t="s">
        <v>40</v>
      </c>
      <c r="O415">
        <v>2.2799999999999998</v>
      </c>
      <c r="P415">
        <v>41.22</v>
      </c>
      <c r="Q415">
        <v>4.99</v>
      </c>
      <c r="R415">
        <v>0.28999999999999998</v>
      </c>
      <c r="S415">
        <v>46.49</v>
      </c>
      <c r="T415" t="s">
        <v>41</v>
      </c>
      <c r="U415" t="s">
        <v>43</v>
      </c>
      <c r="V415" t="s">
        <v>38</v>
      </c>
      <c r="W415" t="s">
        <v>507</v>
      </c>
      <c r="X415">
        <v>41.22</v>
      </c>
      <c r="Y415" s="9">
        <f t="shared" si="30"/>
        <v>41.22</v>
      </c>
      <c r="Z415" s="9">
        <f t="shared" si="31"/>
        <v>77.287499999999994</v>
      </c>
      <c r="AA415" s="5">
        <f t="shared" si="32"/>
        <v>85.866412499999996</v>
      </c>
      <c r="AB415" s="6">
        <f t="shared" si="33"/>
        <v>125.19802124999998</v>
      </c>
      <c r="AD415" s="10">
        <f t="shared" si="34"/>
        <v>156.756826125</v>
      </c>
    </row>
    <row r="416" spans="1:30" x14ac:dyDescent="0.3">
      <c r="A416" t="s">
        <v>30</v>
      </c>
      <c r="B416" s="8" t="s">
        <v>66</v>
      </c>
      <c r="C416" s="8" t="s">
        <v>32</v>
      </c>
      <c r="D416" s="8" t="s">
        <v>33</v>
      </c>
      <c r="E416" s="8" t="s">
        <v>34</v>
      </c>
      <c r="F416" s="8" t="s">
        <v>35</v>
      </c>
      <c r="G416">
        <v>8481805900</v>
      </c>
      <c r="H416" t="s">
        <v>36</v>
      </c>
      <c r="I416" t="s">
        <v>191</v>
      </c>
      <c r="J416" t="s">
        <v>38</v>
      </c>
      <c r="K416" t="s">
        <v>39</v>
      </c>
      <c r="L416">
        <v>6</v>
      </c>
      <c r="M416">
        <v>1</v>
      </c>
      <c r="N416" t="s">
        <v>64</v>
      </c>
      <c r="O416">
        <v>0</v>
      </c>
      <c r="P416">
        <v>65.790000000000006</v>
      </c>
      <c r="Q416">
        <v>7.96</v>
      </c>
      <c r="R416">
        <v>0.46</v>
      </c>
      <c r="S416">
        <v>74.2</v>
      </c>
      <c r="T416" t="s">
        <v>41</v>
      </c>
      <c r="U416" t="s">
        <v>43</v>
      </c>
      <c r="V416" t="s">
        <v>38</v>
      </c>
      <c r="W416" t="s">
        <v>508</v>
      </c>
      <c r="X416">
        <v>65.790000000000006</v>
      </c>
      <c r="Y416" s="9">
        <f t="shared" si="30"/>
        <v>65.790000000000006</v>
      </c>
      <c r="Z416" s="9">
        <f t="shared" si="31"/>
        <v>123.35625000000002</v>
      </c>
      <c r="AA416" s="5">
        <f t="shared" si="32"/>
        <v>137.04879375000002</v>
      </c>
      <c r="AB416" s="6">
        <f t="shared" si="33"/>
        <v>199.82478937500002</v>
      </c>
      <c r="AD416" s="10">
        <f t="shared" si="34"/>
        <v>250.19484693750005</v>
      </c>
    </row>
    <row r="417" spans="1:30" x14ac:dyDescent="0.3">
      <c r="A417" t="s">
        <v>30</v>
      </c>
      <c r="B417" s="8" t="s">
        <v>66</v>
      </c>
      <c r="C417" s="8" t="s">
        <v>32</v>
      </c>
      <c r="D417" s="8" t="s">
        <v>33</v>
      </c>
      <c r="E417" s="8" t="s">
        <v>34</v>
      </c>
      <c r="F417" s="8" t="s">
        <v>35</v>
      </c>
      <c r="G417">
        <v>8481909090</v>
      </c>
      <c r="H417" t="s">
        <v>238</v>
      </c>
      <c r="I417" t="s">
        <v>509</v>
      </c>
      <c r="J417" t="s">
        <v>38</v>
      </c>
      <c r="K417" t="s">
        <v>39</v>
      </c>
      <c r="L417">
        <v>6</v>
      </c>
      <c r="M417">
        <v>1</v>
      </c>
      <c r="N417" t="s">
        <v>64</v>
      </c>
      <c r="O417">
        <v>0</v>
      </c>
      <c r="P417">
        <v>76.849999999999994</v>
      </c>
      <c r="Q417">
        <v>9.2899999999999991</v>
      </c>
      <c r="R417">
        <v>0.54</v>
      </c>
      <c r="S417">
        <v>86.68</v>
      </c>
      <c r="T417" t="s">
        <v>41</v>
      </c>
      <c r="U417" t="s">
        <v>43</v>
      </c>
      <c r="V417" t="s">
        <v>38</v>
      </c>
      <c r="W417" t="s">
        <v>510</v>
      </c>
      <c r="X417">
        <v>76.849999999999994</v>
      </c>
      <c r="Y417" s="9">
        <f t="shared" si="30"/>
        <v>76.849999999999994</v>
      </c>
      <c r="Z417" s="9">
        <f t="shared" si="31"/>
        <v>144.09375</v>
      </c>
      <c r="AA417" s="5">
        <f t="shared" si="32"/>
        <v>160.08815625</v>
      </c>
      <c r="AB417" s="6">
        <f t="shared" si="33"/>
        <v>233.41746562499998</v>
      </c>
      <c r="AD417" s="10">
        <f t="shared" si="34"/>
        <v>292.25526656250003</v>
      </c>
    </row>
    <row r="418" spans="1:30" x14ac:dyDescent="0.3">
      <c r="A418" t="s">
        <v>168</v>
      </c>
      <c r="B418" s="8" t="s">
        <v>128</v>
      </c>
      <c r="C418" s="8" t="s">
        <v>32</v>
      </c>
      <c r="D418" s="8" t="s">
        <v>33</v>
      </c>
      <c r="E418" s="8" t="s">
        <v>34</v>
      </c>
      <c r="F418" s="8" t="s">
        <v>35</v>
      </c>
      <c r="G418">
        <v>6815100000</v>
      </c>
      <c r="H418" t="s">
        <v>129</v>
      </c>
      <c r="I418" t="s">
        <v>130</v>
      </c>
      <c r="J418" t="s">
        <v>38</v>
      </c>
      <c r="K418" t="s">
        <v>39</v>
      </c>
      <c r="L418">
        <v>11</v>
      </c>
      <c r="M418">
        <v>3</v>
      </c>
      <c r="N418" t="s">
        <v>40</v>
      </c>
      <c r="O418">
        <v>0</v>
      </c>
      <c r="P418">
        <v>244.77</v>
      </c>
      <c r="Q418">
        <v>23.44</v>
      </c>
      <c r="R418">
        <v>1.65</v>
      </c>
      <c r="S418">
        <v>269.87</v>
      </c>
      <c r="T418" t="s">
        <v>41</v>
      </c>
      <c r="U418" t="s">
        <v>43</v>
      </c>
      <c r="V418" t="s">
        <v>38</v>
      </c>
      <c r="W418" t="s">
        <v>511</v>
      </c>
      <c r="X418">
        <v>81.59</v>
      </c>
      <c r="Y418" s="9">
        <f t="shared" si="30"/>
        <v>81.59</v>
      </c>
      <c r="Z418" s="9">
        <f t="shared" si="31"/>
        <v>152.98125000000002</v>
      </c>
      <c r="AA418" s="5">
        <f t="shared" si="32"/>
        <v>169.96216875000002</v>
      </c>
      <c r="AB418" s="6">
        <f t="shared" si="33"/>
        <v>247.81432687500001</v>
      </c>
      <c r="AD418" s="10">
        <f t="shared" si="34"/>
        <v>310.28116068750006</v>
      </c>
    </row>
    <row r="419" spans="1:30" x14ac:dyDescent="0.3">
      <c r="A419" t="s">
        <v>30</v>
      </c>
      <c r="B419" s="8" t="s">
        <v>31</v>
      </c>
      <c r="C419" s="8" t="s">
        <v>32</v>
      </c>
      <c r="D419" s="8" t="s">
        <v>33</v>
      </c>
      <c r="E419" s="8" t="s">
        <v>34</v>
      </c>
      <c r="F419" s="8" t="s">
        <v>35</v>
      </c>
      <c r="G419">
        <v>4016930000</v>
      </c>
      <c r="H419" t="s">
        <v>141</v>
      </c>
      <c r="I419" t="s">
        <v>512</v>
      </c>
      <c r="J419" t="s">
        <v>38</v>
      </c>
      <c r="K419" t="s">
        <v>39</v>
      </c>
      <c r="L419">
        <v>6</v>
      </c>
      <c r="M419">
        <v>1</v>
      </c>
      <c r="N419" t="s">
        <v>64</v>
      </c>
      <c r="O419">
        <v>0</v>
      </c>
      <c r="P419">
        <v>44.47</v>
      </c>
      <c r="Q419">
        <v>5.38</v>
      </c>
      <c r="R419">
        <v>0.31</v>
      </c>
      <c r="S419">
        <v>50.15</v>
      </c>
      <c r="T419" t="s">
        <v>41</v>
      </c>
      <c r="U419" t="s">
        <v>43</v>
      </c>
      <c r="V419" t="s">
        <v>38</v>
      </c>
      <c r="W419" t="s">
        <v>513</v>
      </c>
      <c r="X419">
        <v>44.47</v>
      </c>
      <c r="Y419" s="9">
        <f t="shared" si="30"/>
        <v>44.47</v>
      </c>
      <c r="Z419" s="9">
        <f t="shared" si="31"/>
        <v>83.381249999999994</v>
      </c>
      <c r="AA419" s="5">
        <f t="shared" si="32"/>
        <v>92.636568749999995</v>
      </c>
      <c r="AB419" s="6">
        <f t="shared" si="33"/>
        <v>135.06928687499999</v>
      </c>
      <c r="AD419" s="10">
        <f t="shared" si="34"/>
        <v>169.11635268750001</v>
      </c>
    </row>
    <row r="420" spans="1:30" x14ac:dyDescent="0.3">
      <c r="A420" t="s">
        <v>30</v>
      </c>
      <c r="B420" s="8" t="s">
        <v>66</v>
      </c>
      <c r="C420" s="8" t="s">
        <v>32</v>
      </c>
      <c r="D420" s="8" t="s">
        <v>33</v>
      </c>
      <c r="E420" s="8" t="s">
        <v>34</v>
      </c>
      <c r="F420" s="8" t="s">
        <v>35</v>
      </c>
      <c r="G420">
        <v>8481809990</v>
      </c>
      <c r="H420" t="s">
        <v>160</v>
      </c>
      <c r="I420" t="s">
        <v>514</v>
      </c>
      <c r="J420" t="s">
        <v>38</v>
      </c>
      <c r="K420" t="s">
        <v>39</v>
      </c>
      <c r="L420">
        <v>7</v>
      </c>
      <c r="M420">
        <v>1</v>
      </c>
      <c r="N420" t="s">
        <v>64</v>
      </c>
      <c r="O420">
        <v>0</v>
      </c>
      <c r="P420">
        <v>2083.52</v>
      </c>
      <c r="Q420">
        <v>329.17</v>
      </c>
      <c r="R420">
        <v>12.84</v>
      </c>
      <c r="S420">
        <v>2425.5300000000002</v>
      </c>
      <c r="T420" t="s">
        <v>41</v>
      </c>
      <c r="U420" t="s">
        <v>41</v>
      </c>
      <c r="V420" t="s">
        <v>38</v>
      </c>
      <c r="W420" t="s">
        <v>515</v>
      </c>
      <c r="X420">
        <v>2083.52</v>
      </c>
      <c r="Y420" s="9">
        <f t="shared" si="30"/>
        <v>2083.52</v>
      </c>
      <c r="Z420" s="9">
        <f t="shared" si="31"/>
        <v>3906.6</v>
      </c>
      <c r="AA420" s="5">
        <f t="shared" si="32"/>
        <v>4340.2326000000003</v>
      </c>
      <c r="AB420" s="6">
        <f t="shared" si="33"/>
        <v>6328.3013399999991</v>
      </c>
      <c r="AD420" s="10">
        <f t="shared" si="34"/>
        <v>7923.4833180000005</v>
      </c>
    </row>
    <row r="421" spans="1:30" x14ac:dyDescent="0.3">
      <c r="A421" t="s">
        <v>30</v>
      </c>
      <c r="B421" s="8" t="s">
        <v>66</v>
      </c>
      <c r="C421" s="8" t="s">
        <v>32</v>
      </c>
      <c r="D421" s="8" t="s">
        <v>33</v>
      </c>
      <c r="E421" s="8" t="s">
        <v>34</v>
      </c>
      <c r="F421" s="8" t="s">
        <v>35</v>
      </c>
      <c r="G421">
        <v>8481809990</v>
      </c>
      <c r="H421" t="s">
        <v>160</v>
      </c>
      <c r="I421" t="s">
        <v>360</v>
      </c>
      <c r="J421" t="s">
        <v>38</v>
      </c>
      <c r="K421" t="s">
        <v>39</v>
      </c>
      <c r="L421">
        <v>3</v>
      </c>
      <c r="M421">
        <v>1</v>
      </c>
      <c r="N421" t="s">
        <v>64</v>
      </c>
      <c r="O421">
        <v>0</v>
      </c>
      <c r="P421">
        <v>2077.77</v>
      </c>
      <c r="Q421">
        <v>88.92</v>
      </c>
      <c r="R421">
        <v>13.4</v>
      </c>
      <c r="S421">
        <v>2180.09</v>
      </c>
      <c r="T421" t="s">
        <v>41</v>
      </c>
      <c r="U421" t="s">
        <v>43</v>
      </c>
      <c r="V421" t="s">
        <v>38</v>
      </c>
      <c r="W421" t="s">
        <v>515</v>
      </c>
      <c r="X421">
        <v>2077.77</v>
      </c>
      <c r="Y421" s="9">
        <f t="shared" si="30"/>
        <v>2077.77</v>
      </c>
      <c r="Z421" s="9">
        <f t="shared" si="31"/>
        <v>3895.8187499999999</v>
      </c>
      <c r="AA421" s="5">
        <f t="shared" si="32"/>
        <v>4328.2546312499999</v>
      </c>
      <c r="AB421" s="6">
        <f t="shared" si="33"/>
        <v>6310.8367931249995</v>
      </c>
      <c r="AD421" s="10">
        <f t="shared" si="34"/>
        <v>7901.6164633125009</v>
      </c>
    </row>
    <row r="422" spans="1:30" x14ac:dyDescent="0.3">
      <c r="A422" t="s">
        <v>30</v>
      </c>
      <c r="B422" s="8" t="s">
        <v>124</v>
      </c>
      <c r="C422" s="8" t="s">
        <v>32</v>
      </c>
      <c r="D422" s="8" t="s">
        <v>33</v>
      </c>
      <c r="E422" s="8" t="s">
        <v>34</v>
      </c>
      <c r="F422" s="8" t="s">
        <v>35</v>
      </c>
      <c r="G422">
        <v>8481100000</v>
      </c>
      <c r="H422" t="s">
        <v>462</v>
      </c>
      <c r="I422" t="s">
        <v>516</v>
      </c>
      <c r="J422" t="s">
        <v>38</v>
      </c>
      <c r="K422" t="s">
        <v>39</v>
      </c>
      <c r="L422">
        <v>12</v>
      </c>
      <c r="M422">
        <v>3</v>
      </c>
      <c r="N422" t="s">
        <v>64</v>
      </c>
      <c r="O422">
        <v>0</v>
      </c>
      <c r="P422">
        <v>517</v>
      </c>
      <c r="Q422">
        <v>59.37</v>
      </c>
      <c r="R422">
        <v>3.44</v>
      </c>
      <c r="S422">
        <v>579.80999999999995</v>
      </c>
      <c r="T422" t="s">
        <v>41</v>
      </c>
      <c r="U422" t="s">
        <v>41</v>
      </c>
      <c r="V422" t="s">
        <v>38</v>
      </c>
      <c r="W422" t="s">
        <v>517</v>
      </c>
      <c r="X422">
        <v>172.33</v>
      </c>
      <c r="Y422" s="9">
        <f t="shared" si="30"/>
        <v>172.33333333333334</v>
      </c>
      <c r="Z422" s="9">
        <f t="shared" si="31"/>
        <v>323.125</v>
      </c>
      <c r="AA422" s="5">
        <f t="shared" si="32"/>
        <v>358.99187499999999</v>
      </c>
      <c r="AB422" s="6">
        <f t="shared" si="33"/>
        <v>523.43018749999999</v>
      </c>
      <c r="AD422" s="10">
        <f t="shared" si="34"/>
        <v>655.3718187500001</v>
      </c>
    </row>
    <row r="423" spans="1:30" x14ac:dyDescent="0.3">
      <c r="A423" t="s">
        <v>30</v>
      </c>
      <c r="B423" s="8" t="s">
        <v>124</v>
      </c>
      <c r="C423" s="8" t="s">
        <v>32</v>
      </c>
      <c r="D423" s="8" t="s">
        <v>33</v>
      </c>
      <c r="E423" s="8" t="s">
        <v>34</v>
      </c>
      <c r="F423" s="8" t="s">
        <v>35</v>
      </c>
      <c r="G423">
        <v>8481100000</v>
      </c>
      <c r="H423" t="s">
        <v>462</v>
      </c>
      <c r="I423" t="s">
        <v>518</v>
      </c>
      <c r="J423" t="s">
        <v>38</v>
      </c>
      <c r="K423" t="s">
        <v>39</v>
      </c>
      <c r="L423">
        <v>6</v>
      </c>
      <c r="M423">
        <v>1</v>
      </c>
      <c r="N423" t="s">
        <v>64</v>
      </c>
      <c r="O423">
        <v>0</v>
      </c>
      <c r="P423">
        <v>167.41</v>
      </c>
      <c r="Q423">
        <v>20.25</v>
      </c>
      <c r="R423">
        <v>1.17</v>
      </c>
      <c r="S423">
        <v>188.83</v>
      </c>
      <c r="T423" t="s">
        <v>41</v>
      </c>
      <c r="U423" t="s">
        <v>43</v>
      </c>
      <c r="V423" t="s">
        <v>38</v>
      </c>
      <c r="W423" t="s">
        <v>519</v>
      </c>
      <c r="X423">
        <v>167.41</v>
      </c>
      <c r="Y423" s="9">
        <f t="shared" si="30"/>
        <v>167.41</v>
      </c>
      <c r="Z423" s="9">
        <f t="shared" si="31"/>
        <v>313.89375000000001</v>
      </c>
      <c r="AA423" s="5">
        <f t="shared" si="32"/>
        <v>348.73595625000002</v>
      </c>
      <c r="AB423" s="6">
        <f t="shared" si="33"/>
        <v>508.47648562500001</v>
      </c>
      <c r="AD423" s="10">
        <f t="shared" si="34"/>
        <v>636.6487205625001</v>
      </c>
    </row>
    <row r="424" spans="1:30" x14ac:dyDescent="0.3">
      <c r="A424" t="s">
        <v>30</v>
      </c>
      <c r="B424" s="8" t="s">
        <v>221</v>
      </c>
      <c r="C424" s="8" t="s">
        <v>32</v>
      </c>
      <c r="D424" s="8" t="s">
        <v>33</v>
      </c>
      <c r="E424" s="8" t="s">
        <v>34</v>
      </c>
      <c r="F424" s="8" t="s">
        <v>35</v>
      </c>
      <c r="G424">
        <v>8419509099</v>
      </c>
      <c r="H424" t="s">
        <v>36</v>
      </c>
      <c r="I424" t="s">
        <v>520</v>
      </c>
      <c r="J424" t="s">
        <v>38</v>
      </c>
      <c r="K424" t="s">
        <v>39</v>
      </c>
      <c r="L424">
        <v>8</v>
      </c>
      <c r="M424">
        <v>1</v>
      </c>
      <c r="N424" t="s">
        <v>64</v>
      </c>
      <c r="O424">
        <v>664.29</v>
      </c>
      <c r="P424">
        <v>2638.6</v>
      </c>
      <c r="Q424">
        <v>379.72</v>
      </c>
      <c r="R424">
        <v>18.579999999999998</v>
      </c>
      <c r="S424">
        <v>3036.9</v>
      </c>
      <c r="T424" t="s">
        <v>41</v>
      </c>
      <c r="U424" t="s">
        <v>41</v>
      </c>
      <c r="V424" t="s">
        <v>38</v>
      </c>
      <c r="W424" t="s">
        <v>521</v>
      </c>
      <c r="X424">
        <v>2638.6</v>
      </c>
      <c r="Y424" s="9">
        <f t="shared" si="30"/>
        <v>2638.6</v>
      </c>
      <c r="Z424" s="9">
        <f t="shared" si="31"/>
        <v>4947.375</v>
      </c>
      <c r="AA424" s="5">
        <f t="shared" si="32"/>
        <v>5496.533625</v>
      </c>
      <c r="AB424" s="6">
        <f t="shared" si="33"/>
        <v>8014.2527624999993</v>
      </c>
      <c r="AD424" s="10">
        <f t="shared" si="34"/>
        <v>10034.41439625</v>
      </c>
    </row>
    <row r="425" spans="1:30" x14ac:dyDescent="0.3">
      <c r="A425" t="s">
        <v>30</v>
      </c>
      <c r="B425" s="8" t="s">
        <v>32</v>
      </c>
      <c r="C425" s="8" t="s">
        <v>32</v>
      </c>
      <c r="D425" s="8" t="s">
        <v>33</v>
      </c>
      <c r="E425" s="8" t="s">
        <v>34</v>
      </c>
      <c r="F425" s="8" t="s">
        <v>35</v>
      </c>
      <c r="G425">
        <v>8481909090</v>
      </c>
      <c r="H425" t="s">
        <v>238</v>
      </c>
      <c r="I425" t="s">
        <v>509</v>
      </c>
      <c r="J425" t="s">
        <v>38</v>
      </c>
      <c r="K425" t="s">
        <v>39</v>
      </c>
      <c r="L425">
        <v>6</v>
      </c>
      <c r="M425">
        <v>2</v>
      </c>
      <c r="N425" t="s">
        <v>64</v>
      </c>
      <c r="O425">
        <v>0</v>
      </c>
      <c r="P425">
        <v>150.38999999999999</v>
      </c>
      <c r="Q425">
        <v>18.190000000000001</v>
      </c>
      <c r="R425">
        <v>1.05</v>
      </c>
      <c r="S425">
        <v>169.63</v>
      </c>
      <c r="T425" t="s">
        <v>41</v>
      </c>
      <c r="U425" t="s">
        <v>43</v>
      </c>
      <c r="V425" t="s">
        <v>38</v>
      </c>
      <c r="W425" t="s">
        <v>522</v>
      </c>
      <c r="X425">
        <v>75.19</v>
      </c>
      <c r="Y425" s="9">
        <f t="shared" si="30"/>
        <v>75.194999999999993</v>
      </c>
      <c r="Z425" s="9">
        <f t="shared" si="31"/>
        <v>140.99062499999999</v>
      </c>
      <c r="AA425" s="5">
        <f t="shared" si="32"/>
        <v>156.640584375</v>
      </c>
      <c r="AB425" s="6">
        <f t="shared" si="33"/>
        <v>228.39071343749998</v>
      </c>
      <c r="AD425" s="10">
        <f t="shared" si="34"/>
        <v>285.96141534374999</v>
      </c>
    </row>
    <row r="426" spans="1:30" x14ac:dyDescent="0.3">
      <c r="A426" t="s">
        <v>30</v>
      </c>
      <c r="B426" s="8" t="s">
        <v>381</v>
      </c>
      <c r="C426" s="8" t="s">
        <v>32</v>
      </c>
      <c r="D426" s="8" t="s">
        <v>69</v>
      </c>
      <c r="E426" s="8" t="s">
        <v>70</v>
      </c>
      <c r="F426" s="8" t="s">
        <v>71</v>
      </c>
      <c r="G426">
        <v>4016999000</v>
      </c>
      <c r="H426" t="s">
        <v>53</v>
      </c>
      <c r="I426" t="s">
        <v>523</v>
      </c>
      <c r="J426" t="s">
        <v>38</v>
      </c>
      <c r="K426" t="s">
        <v>39</v>
      </c>
      <c r="L426">
        <v>13</v>
      </c>
      <c r="M426">
        <v>4</v>
      </c>
      <c r="N426" t="s">
        <v>64</v>
      </c>
      <c r="O426">
        <v>0</v>
      </c>
      <c r="P426">
        <v>57.16</v>
      </c>
      <c r="Q426">
        <v>3.05</v>
      </c>
      <c r="R426">
        <v>0.37</v>
      </c>
      <c r="S426">
        <v>60.58</v>
      </c>
      <c r="T426" t="s">
        <v>72</v>
      </c>
      <c r="U426" t="s">
        <v>72</v>
      </c>
      <c r="V426" t="s">
        <v>38</v>
      </c>
      <c r="W426" t="s">
        <v>524</v>
      </c>
      <c r="X426">
        <v>14.29</v>
      </c>
      <c r="Y426" s="9">
        <f t="shared" si="30"/>
        <v>14.29</v>
      </c>
      <c r="Z426" s="9">
        <f t="shared" si="31"/>
        <v>26.793749999999999</v>
      </c>
      <c r="AA426" s="5">
        <f t="shared" si="32"/>
        <v>29.767856249999998</v>
      </c>
      <c r="AB426" s="6">
        <f t="shared" si="33"/>
        <v>43.403195624999995</v>
      </c>
      <c r="AD426" s="10">
        <f t="shared" si="34"/>
        <v>54.343887562500001</v>
      </c>
    </row>
    <row r="427" spans="1:30" x14ac:dyDescent="0.3">
      <c r="A427" t="s">
        <v>30</v>
      </c>
      <c r="B427" s="8" t="s">
        <v>66</v>
      </c>
      <c r="C427" s="8" t="s">
        <v>32</v>
      </c>
      <c r="D427" s="8" t="s">
        <v>33</v>
      </c>
      <c r="E427" s="8" t="s">
        <v>34</v>
      </c>
      <c r="F427" s="8" t="s">
        <v>35</v>
      </c>
      <c r="G427">
        <v>8481909090</v>
      </c>
      <c r="H427" t="s">
        <v>238</v>
      </c>
      <c r="I427" t="s">
        <v>463</v>
      </c>
      <c r="J427" t="s">
        <v>38</v>
      </c>
      <c r="K427" t="s">
        <v>39</v>
      </c>
      <c r="L427">
        <v>6</v>
      </c>
      <c r="M427">
        <v>1</v>
      </c>
      <c r="N427" t="s">
        <v>64</v>
      </c>
      <c r="O427">
        <v>0</v>
      </c>
      <c r="P427">
        <v>169.63</v>
      </c>
      <c r="Q427">
        <v>20.51</v>
      </c>
      <c r="R427">
        <v>1.18</v>
      </c>
      <c r="S427">
        <v>191.33</v>
      </c>
      <c r="T427" t="s">
        <v>41</v>
      </c>
      <c r="U427" t="s">
        <v>43</v>
      </c>
      <c r="V427" t="s">
        <v>38</v>
      </c>
      <c r="W427" t="s">
        <v>525</v>
      </c>
      <c r="X427">
        <v>169.63</v>
      </c>
      <c r="Y427" s="9">
        <f t="shared" si="30"/>
        <v>169.63</v>
      </c>
      <c r="Z427" s="9">
        <f t="shared" si="31"/>
        <v>318.05624999999998</v>
      </c>
      <c r="AA427" s="5">
        <f t="shared" si="32"/>
        <v>353.36049374999999</v>
      </c>
      <c r="AB427" s="6">
        <f t="shared" si="33"/>
        <v>515.21931937499994</v>
      </c>
      <c r="AD427" s="10">
        <f t="shared" si="34"/>
        <v>645.09122793749998</v>
      </c>
    </row>
    <row r="428" spans="1:30" x14ac:dyDescent="0.3">
      <c r="A428" t="s">
        <v>30</v>
      </c>
      <c r="B428" s="8" t="s">
        <v>66</v>
      </c>
      <c r="C428" s="8" t="s">
        <v>32</v>
      </c>
      <c r="D428" s="8" t="s">
        <v>33</v>
      </c>
      <c r="E428" s="8" t="s">
        <v>34</v>
      </c>
      <c r="F428" s="8" t="s">
        <v>35</v>
      </c>
      <c r="G428">
        <v>8481100000</v>
      </c>
      <c r="H428" t="s">
        <v>462</v>
      </c>
      <c r="I428" t="s">
        <v>526</v>
      </c>
      <c r="J428" t="s">
        <v>38</v>
      </c>
      <c r="K428" t="s">
        <v>39</v>
      </c>
      <c r="L428">
        <v>7</v>
      </c>
      <c r="M428">
        <v>1</v>
      </c>
      <c r="N428" t="s">
        <v>64</v>
      </c>
      <c r="O428">
        <v>0</v>
      </c>
      <c r="P428">
        <v>1451.45</v>
      </c>
      <c r="Q428">
        <v>229.31</v>
      </c>
      <c r="R428">
        <v>8.9499999999999993</v>
      </c>
      <c r="S428">
        <v>1689.71</v>
      </c>
      <c r="T428" t="s">
        <v>41</v>
      </c>
      <c r="U428" t="s">
        <v>41</v>
      </c>
      <c r="V428" t="s">
        <v>38</v>
      </c>
      <c r="W428" t="s">
        <v>527</v>
      </c>
      <c r="X428">
        <v>1451.45</v>
      </c>
      <c r="Y428" s="9">
        <f t="shared" si="30"/>
        <v>1451.45</v>
      </c>
      <c r="Z428" s="9">
        <f t="shared" si="31"/>
        <v>2721.46875</v>
      </c>
      <c r="AA428" s="5">
        <f t="shared" si="32"/>
        <v>3023.5517812499997</v>
      </c>
      <c r="AB428" s="6">
        <f t="shared" si="33"/>
        <v>4408.5072281249995</v>
      </c>
      <c r="AD428" s="10">
        <f t="shared" si="34"/>
        <v>5519.7645628125001</v>
      </c>
    </row>
    <row r="429" spans="1:30" x14ac:dyDescent="0.3">
      <c r="A429" t="s">
        <v>30</v>
      </c>
      <c r="B429" s="8" t="s">
        <v>66</v>
      </c>
      <c r="C429" s="8" t="s">
        <v>32</v>
      </c>
      <c r="D429" s="8" t="s">
        <v>33</v>
      </c>
      <c r="E429" s="8" t="s">
        <v>34</v>
      </c>
      <c r="F429" s="8" t="s">
        <v>35</v>
      </c>
      <c r="G429">
        <v>8481809990</v>
      </c>
      <c r="H429" t="s">
        <v>160</v>
      </c>
      <c r="I429" t="s">
        <v>528</v>
      </c>
      <c r="J429" t="s">
        <v>38</v>
      </c>
      <c r="K429" t="s">
        <v>39</v>
      </c>
      <c r="L429">
        <v>6</v>
      </c>
      <c r="M429">
        <v>1</v>
      </c>
      <c r="N429" t="s">
        <v>64</v>
      </c>
      <c r="O429">
        <v>0</v>
      </c>
      <c r="P429">
        <v>1451.3</v>
      </c>
      <c r="Q429">
        <v>98.48</v>
      </c>
      <c r="R429">
        <v>9.44</v>
      </c>
      <c r="S429">
        <v>1559.22</v>
      </c>
      <c r="T429" t="s">
        <v>41</v>
      </c>
      <c r="U429" t="s">
        <v>41</v>
      </c>
      <c r="V429" t="s">
        <v>38</v>
      </c>
      <c r="W429" t="s">
        <v>527</v>
      </c>
      <c r="X429">
        <v>1451.3</v>
      </c>
      <c r="Y429" s="9">
        <f t="shared" si="30"/>
        <v>1451.3</v>
      </c>
      <c r="Z429" s="9">
        <f t="shared" si="31"/>
        <v>2721.1875</v>
      </c>
      <c r="AA429" s="5">
        <f t="shared" si="32"/>
        <v>3023.2393124999999</v>
      </c>
      <c r="AB429" s="6">
        <f t="shared" si="33"/>
        <v>4408.0516312499994</v>
      </c>
      <c r="AD429" s="10">
        <f t="shared" si="34"/>
        <v>5519.1941231250003</v>
      </c>
    </row>
    <row r="430" spans="1:30" x14ac:dyDescent="0.3">
      <c r="A430" t="s">
        <v>30</v>
      </c>
      <c r="B430" s="8" t="s">
        <v>32</v>
      </c>
      <c r="C430" s="8" t="s">
        <v>32</v>
      </c>
      <c r="D430" s="8" t="s">
        <v>33</v>
      </c>
      <c r="E430" s="8" t="s">
        <v>34</v>
      </c>
      <c r="F430" s="8" t="s">
        <v>35</v>
      </c>
      <c r="G430">
        <v>7307990099</v>
      </c>
      <c r="H430" t="s">
        <v>36</v>
      </c>
      <c r="I430" t="s">
        <v>37</v>
      </c>
      <c r="J430" t="s">
        <v>38</v>
      </c>
      <c r="K430" t="s">
        <v>39</v>
      </c>
      <c r="L430">
        <v>16</v>
      </c>
      <c r="M430">
        <v>2</v>
      </c>
      <c r="N430" t="s">
        <v>40</v>
      </c>
      <c r="O430">
        <v>0</v>
      </c>
      <c r="P430">
        <v>553.82000000000005</v>
      </c>
      <c r="Q430">
        <v>76.44</v>
      </c>
      <c r="R430">
        <v>3.69</v>
      </c>
      <c r="S430">
        <v>633.95000000000005</v>
      </c>
      <c r="T430" t="s">
        <v>41</v>
      </c>
      <c r="U430" t="s">
        <v>41</v>
      </c>
      <c r="V430" t="s">
        <v>38</v>
      </c>
      <c r="W430" t="s">
        <v>529</v>
      </c>
      <c r="X430">
        <v>276.91000000000003</v>
      </c>
      <c r="Y430" s="9">
        <f t="shared" si="30"/>
        <v>276.91000000000003</v>
      </c>
      <c r="Z430" s="9">
        <f t="shared" si="31"/>
        <v>519.20625000000007</v>
      </c>
      <c r="AA430" s="5">
        <f t="shared" si="32"/>
        <v>576.83814375000009</v>
      </c>
      <c r="AB430" s="6">
        <f t="shared" si="33"/>
        <v>841.06220437500008</v>
      </c>
      <c r="AD430" s="10">
        <f t="shared" si="34"/>
        <v>1053.0696924375002</v>
      </c>
    </row>
    <row r="431" spans="1:30" x14ac:dyDescent="0.3">
      <c r="A431" t="s">
        <v>30</v>
      </c>
      <c r="B431" s="8" t="s">
        <v>32</v>
      </c>
      <c r="C431" s="8" t="s">
        <v>32</v>
      </c>
      <c r="D431" s="8" t="s">
        <v>33</v>
      </c>
      <c r="E431" s="8" t="s">
        <v>34</v>
      </c>
      <c r="F431" s="8" t="s">
        <v>35</v>
      </c>
      <c r="G431">
        <v>7307990099</v>
      </c>
      <c r="H431" t="s">
        <v>36</v>
      </c>
      <c r="I431" t="s">
        <v>37</v>
      </c>
      <c r="J431" t="s">
        <v>38</v>
      </c>
      <c r="K431" t="s">
        <v>39</v>
      </c>
      <c r="L431">
        <v>4</v>
      </c>
      <c r="M431">
        <v>2</v>
      </c>
      <c r="N431" t="s">
        <v>40</v>
      </c>
      <c r="O431">
        <v>0</v>
      </c>
      <c r="P431">
        <v>552.13</v>
      </c>
      <c r="Q431">
        <v>28.91</v>
      </c>
      <c r="R431">
        <v>3.6</v>
      </c>
      <c r="S431">
        <v>584.64</v>
      </c>
      <c r="T431" t="s">
        <v>41</v>
      </c>
      <c r="U431" t="s">
        <v>41</v>
      </c>
      <c r="V431" t="s">
        <v>38</v>
      </c>
      <c r="W431" t="s">
        <v>529</v>
      </c>
      <c r="X431">
        <v>276.06</v>
      </c>
      <c r="Y431" s="9">
        <f t="shared" si="30"/>
        <v>276.065</v>
      </c>
      <c r="Z431" s="9">
        <f t="shared" si="31"/>
        <v>517.62187500000005</v>
      </c>
      <c r="AA431" s="5">
        <f t="shared" si="32"/>
        <v>575.07790312500003</v>
      </c>
      <c r="AB431" s="6">
        <f t="shared" si="33"/>
        <v>838.4956753125</v>
      </c>
      <c r="AD431" s="10">
        <f t="shared" si="34"/>
        <v>1049.8562155312502</v>
      </c>
    </row>
    <row r="432" spans="1:30" x14ac:dyDescent="0.3">
      <c r="A432" t="s">
        <v>30</v>
      </c>
      <c r="B432" s="8" t="s">
        <v>32</v>
      </c>
      <c r="C432" s="8" t="s">
        <v>32</v>
      </c>
      <c r="D432" s="8" t="s">
        <v>33</v>
      </c>
      <c r="E432" s="8" t="s">
        <v>34</v>
      </c>
      <c r="F432" s="8" t="s">
        <v>35</v>
      </c>
      <c r="G432">
        <v>7304390000</v>
      </c>
      <c r="H432" t="s">
        <v>36</v>
      </c>
      <c r="I432" t="s">
        <v>37</v>
      </c>
      <c r="J432" t="s">
        <v>38</v>
      </c>
      <c r="K432" t="s">
        <v>39</v>
      </c>
      <c r="L432">
        <v>16</v>
      </c>
      <c r="M432">
        <v>2</v>
      </c>
      <c r="N432" t="s">
        <v>40</v>
      </c>
      <c r="O432">
        <v>62.58</v>
      </c>
      <c r="P432">
        <v>621.66999999999996</v>
      </c>
      <c r="Q432">
        <v>85.8</v>
      </c>
      <c r="R432">
        <v>4.1500000000000004</v>
      </c>
      <c r="S432">
        <v>711.62</v>
      </c>
      <c r="T432" t="s">
        <v>41</v>
      </c>
      <c r="U432" t="s">
        <v>41</v>
      </c>
      <c r="V432" t="s">
        <v>38</v>
      </c>
      <c r="W432" t="s">
        <v>530</v>
      </c>
      <c r="X432">
        <v>310.83</v>
      </c>
      <c r="Y432" s="9">
        <f t="shared" si="30"/>
        <v>310.83499999999998</v>
      </c>
      <c r="Z432" s="9">
        <f t="shared" si="31"/>
        <v>582.81562499999995</v>
      </c>
      <c r="AA432" s="5">
        <f t="shared" si="32"/>
        <v>647.50815937499999</v>
      </c>
      <c r="AB432" s="6">
        <f t="shared" si="33"/>
        <v>944.10303093749985</v>
      </c>
      <c r="AD432" s="10">
        <f t="shared" si="34"/>
        <v>1182.0841350937501</v>
      </c>
    </row>
    <row r="433" spans="1:30" x14ac:dyDescent="0.3">
      <c r="A433" t="s">
        <v>30</v>
      </c>
      <c r="B433" s="8" t="s">
        <v>32</v>
      </c>
      <c r="C433" s="8" t="s">
        <v>32</v>
      </c>
      <c r="D433" s="8" t="s">
        <v>33</v>
      </c>
      <c r="E433" s="8" t="s">
        <v>34</v>
      </c>
      <c r="F433" s="8" t="s">
        <v>35</v>
      </c>
      <c r="G433">
        <v>7304390000</v>
      </c>
      <c r="H433" t="s">
        <v>36</v>
      </c>
      <c r="I433" t="s">
        <v>37</v>
      </c>
      <c r="J433" t="s">
        <v>38</v>
      </c>
      <c r="K433" t="s">
        <v>39</v>
      </c>
      <c r="L433">
        <v>12</v>
      </c>
      <c r="M433">
        <v>1</v>
      </c>
      <c r="N433" t="s">
        <v>40</v>
      </c>
      <c r="O433">
        <v>0</v>
      </c>
      <c r="P433">
        <v>311.86</v>
      </c>
      <c r="Q433">
        <v>35.81</v>
      </c>
      <c r="R433">
        <v>2.08</v>
      </c>
      <c r="S433">
        <v>349.74</v>
      </c>
      <c r="T433" t="s">
        <v>41</v>
      </c>
      <c r="U433" t="s">
        <v>41</v>
      </c>
      <c r="V433" t="s">
        <v>38</v>
      </c>
      <c r="W433" t="s">
        <v>530</v>
      </c>
      <c r="X433">
        <v>311.86</v>
      </c>
      <c r="Y433" s="9">
        <f t="shared" si="30"/>
        <v>311.86</v>
      </c>
      <c r="Z433" s="9">
        <f t="shared" si="31"/>
        <v>584.73750000000007</v>
      </c>
      <c r="AA433" s="5">
        <f t="shared" si="32"/>
        <v>649.64336250000008</v>
      </c>
      <c r="AB433" s="6">
        <f t="shared" si="33"/>
        <v>947.21627625000008</v>
      </c>
      <c r="AD433" s="10">
        <f t="shared" si="34"/>
        <v>1185.9821396250002</v>
      </c>
    </row>
    <row r="434" spans="1:30" x14ac:dyDescent="0.3">
      <c r="A434" t="s">
        <v>30</v>
      </c>
      <c r="B434" s="8" t="s">
        <v>32</v>
      </c>
      <c r="C434" s="8" t="s">
        <v>32</v>
      </c>
      <c r="D434" s="8" t="s">
        <v>33</v>
      </c>
      <c r="E434" s="8" t="s">
        <v>34</v>
      </c>
      <c r="F434" s="8" t="s">
        <v>35</v>
      </c>
      <c r="G434">
        <v>7307990099</v>
      </c>
      <c r="H434" t="s">
        <v>36</v>
      </c>
      <c r="I434" t="s">
        <v>37</v>
      </c>
      <c r="J434" t="s">
        <v>38</v>
      </c>
      <c r="K434" t="s">
        <v>39</v>
      </c>
      <c r="L434">
        <v>16</v>
      </c>
      <c r="M434">
        <v>2</v>
      </c>
      <c r="N434" t="s">
        <v>40</v>
      </c>
      <c r="O434">
        <v>0</v>
      </c>
      <c r="P434">
        <v>673.13</v>
      </c>
      <c r="Q434">
        <v>92.9</v>
      </c>
      <c r="R434">
        <v>4.49</v>
      </c>
      <c r="S434">
        <v>770.53</v>
      </c>
      <c r="T434" t="s">
        <v>41</v>
      </c>
      <c r="U434" t="s">
        <v>41</v>
      </c>
      <c r="V434" t="s">
        <v>38</v>
      </c>
      <c r="W434" t="s">
        <v>531</v>
      </c>
      <c r="X434">
        <v>336.56</v>
      </c>
      <c r="Y434" s="9">
        <f t="shared" si="30"/>
        <v>336.565</v>
      </c>
      <c r="Z434" s="9">
        <f t="shared" si="31"/>
        <v>631.05937500000005</v>
      </c>
      <c r="AA434" s="5">
        <f t="shared" si="32"/>
        <v>701.10696562500004</v>
      </c>
      <c r="AB434" s="6">
        <f t="shared" si="33"/>
        <v>1022.2530815625</v>
      </c>
      <c r="AD434" s="10">
        <f t="shared" si="34"/>
        <v>1279.9335561562502</v>
      </c>
    </row>
    <row r="435" spans="1:30" x14ac:dyDescent="0.3">
      <c r="A435" t="s">
        <v>30</v>
      </c>
      <c r="B435" s="8" t="s">
        <v>32</v>
      </c>
      <c r="C435" s="8" t="s">
        <v>32</v>
      </c>
      <c r="D435" s="8" t="s">
        <v>33</v>
      </c>
      <c r="E435" s="8" t="s">
        <v>34</v>
      </c>
      <c r="F435" s="8" t="s">
        <v>35</v>
      </c>
      <c r="G435">
        <v>7307990099</v>
      </c>
      <c r="H435" t="s">
        <v>36</v>
      </c>
      <c r="I435" t="s">
        <v>37</v>
      </c>
      <c r="J435" t="s">
        <v>38</v>
      </c>
      <c r="K435" t="s">
        <v>39</v>
      </c>
      <c r="L435">
        <v>12</v>
      </c>
      <c r="M435">
        <v>2</v>
      </c>
      <c r="N435" t="s">
        <v>40</v>
      </c>
      <c r="O435">
        <v>0</v>
      </c>
      <c r="P435">
        <v>675.34</v>
      </c>
      <c r="Q435">
        <v>77.55</v>
      </c>
      <c r="R435">
        <v>4.5</v>
      </c>
      <c r="S435">
        <v>757.39</v>
      </c>
      <c r="T435" t="s">
        <v>41</v>
      </c>
      <c r="U435" t="s">
        <v>41</v>
      </c>
      <c r="V435" t="s">
        <v>38</v>
      </c>
      <c r="W435" t="s">
        <v>531</v>
      </c>
      <c r="X435">
        <v>337.67</v>
      </c>
      <c r="Y435" s="9">
        <f t="shared" si="30"/>
        <v>337.67</v>
      </c>
      <c r="Z435" s="9">
        <f t="shared" si="31"/>
        <v>633.13125000000002</v>
      </c>
      <c r="AA435" s="5">
        <f t="shared" si="32"/>
        <v>703.40881875000002</v>
      </c>
      <c r="AB435" s="6">
        <f t="shared" si="33"/>
        <v>1025.609311875</v>
      </c>
      <c r="AD435" s="10">
        <f t="shared" si="34"/>
        <v>1284.1357951875002</v>
      </c>
    </row>
    <row r="436" spans="1:30" x14ac:dyDescent="0.3">
      <c r="A436" t="s">
        <v>30</v>
      </c>
      <c r="B436" s="8" t="s">
        <v>124</v>
      </c>
      <c r="C436" s="8" t="s">
        <v>32</v>
      </c>
      <c r="D436" s="8" t="s">
        <v>33</v>
      </c>
      <c r="E436" s="8" t="s">
        <v>34</v>
      </c>
      <c r="F436" s="8" t="s">
        <v>35</v>
      </c>
      <c r="G436">
        <v>8481909090</v>
      </c>
      <c r="H436" t="s">
        <v>238</v>
      </c>
      <c r="I436" t="s">
        <v>532</v>
      </c>
      <c r="J436" t="s">
        <v>38</v>
      </c>
      <c r="K436" t="s">
        <v>39</v>
      </c>
      <c r="L436">
        <v>16</v>
      </c>
      <c r="M436">
        <v>2</v>
      </c>
      <c r="N436" t="s">
        <v>64</v>
      </c>
      <c r="O436">
        <v>17.8</v>
      </c>
      <c r="P436">
        <v>88.42</v>
      </c>
      <c r="Q436">
        <v>12.2</v>
      </c>
      <c r="R436">
        <v>0.59</v>
      </c>
      <c r="S436">
        <v>101.21</v>
      </c>
      <c r="T436" t="s">
        <v>41</v>
      </c>
      <c r="U436" t="s">
        <v>41</v>
      </c>
      <c r="V436" t="s">
        <v>38</v>
      </c>
      <c r="W436" t="s">
        <v>533</v>
      </c>
      <c r="X436">
        <v>44.21</v>
      </c>
      <c r="Y436" s="9">
        <f t="shared" si="30"/>
        <v>44.21</v>
      </c>
      <c r="Z436" s="9">
        <f t="shared" si="31"/>
        <v>82.893749999999997</v>
      </c>
      <c r="AA436" s="5">
        <f t="shared" si="32"/>
        <v>92.094956249999996</v>
      </c>
      <c r="AB436" s="6">
        <f t="shared" si="33"/>
        <v>134.27958562499998</v>
      </c>
      <c r="AD436" s="10">
        <f t="shared" si="34"/>
        <v>168.12759056250002</v>
      </c>
    </row>
    <row r="437" spans="1:30" x14ac:dyDescent="0.3">
      <c r="A437" t="s">
        <v>30</v>
      </c>
      <c r="B437" s="8" t="s">
        <v>124</v>
      </c>
      <c r="C437" s="8" t="s">
        <v>32</v>
      </c>
      <c r="D437" s="8" t="s">
        <v>33</v>
      </c>
      <c r="E437" s="8" t="s">
        <v>34</v>
      </c>
      <c r="F437" s="8" t="s">
        <v>35</v>
      </c>
      <c r="G437">
        <v>8481909090</v>
      </c>
      <c r="H437" t="s">
        <v>53</v>
      </c>
      <c r="I437" t="s">
        <v>532</v>
      </c>
      <c r="J437" t="s">
        <v>38</v>
      </c>
      <c r="K437" t="s">
        <v>39</v>
      </c>
      <c r="L437">
        <v>4</v>
      </c>
      <c r="M437">
        <v>2</v>
      </c>
      <c r="N437" t="s">
        <v>64</v>
      </c>
      <c r="O437">
        <v>17.739999999999998</v>
      </c>
      <c r="P437">
        <v>88.15</v>
      </c>
      <c r="Q437">
        <v>4.6100000000000003</v>
      </c>
      <c r="R437">
        <v>0.56999999999999995</v>
      </c>
      <c r="S437">
        <v>93.34</v>
      </c>
      <c r="T437" t="s">
        <v>41</v>
      </c>
      <c r="U437" t="s">
        <v>41</v>
      </c>
      <c r="V437" t="s">
        <v>38</v>
      </c>
      <c r="W437" t="s">
        <v>533</v>
      </c>
      <c r="X437">
        <v>44.08</v>
      </c>
      <c r="Y437" s="9">
        <f t="shared" si="30"/>
        <v>44.075000000000003</v>
      </c>
      <c r="Z437" s="9">
        <f t="shared" si="31"/>
        <v>82.640625</v>
      </c>
      <c r="AA437" s="5">
        <f t="shared" si="32"/>
        <v>91.813734374999996</v>
      </c>
      <c r="AB437" s="6">
        <f t="shared" si="33"/>
        <v>133.86954843749999</v>
      </c>
      <c r="AD437" s="10">
        <f t="shared" si="34"/>
        <v>167.61419484375003</v>
      </c>
    </row>
    <row r="438" spans="1:30" x14ac:dyDescent="0.3">
      <c r="A438" t="s">
        <v>30</v>
      </c>
      <c r="B438" s="8" t="s">
        <v>32</v>
      </c>
      <c r="C438" s="8" t="s">
        <v>32</v>
      </c>
      <c r="D438" s="8" t="s">
        <v>33</v>
      </c>
      <c r="E438" s="8" t="s">
        <v>34</v>
      </c>
      <c r="F438" s="8" t="s">
        <v>35</v>
      </c>
      <c r="G438">
        <v>7304390000</v>
      </c>
      <c r="H438" t="s">
        <v>36</v>
      </c>
      <c r="I438" t="s">
        <v>37</v>
      </c>
      <c r="J438" t="s">
        <v>38</v>
      </c>
      <c r="K438" t="s">
        <v>39</v>
      </c>
      <c r="L438">
        <v>16</v>
      </c>
      <c r="M438">
        <v>2</v>
      </c>
      <c r="N438" t="s">
        <v>40</v>
      </c>
      <c r="O438">
        <v>0</v>
      </c>
      <c r="P438">
        <v>661.42</v>
      </c>
      <c r="Q438">
        <v>91.29</v>
      </c>
      <c r="R438">
        <v>4.41</v>
      </c>
      <c r="S438">
        <v>757.11</v>
      </c>
      <c r="T438" t="s">
        <v>41</v>
      </c>
      <c r="U438" t="s">
        <v>41</v>
      </c>
      <c r="V438" t="s">
        <v>38</v>
      </c>
      <c r="W438" t="s">
        <v>534</v>
      </c>
      <c r="X438">
        <v>330.71</v>
      </c>
      <c r="Y438" s="9">
        <f t="shared" si="30"/>
        <v>330.71</v>
      </c>
      <c r="Z438" s="9">
        <f t="shared" si="31"/>
        <v>620.08124999999995</v>
      </c>
      <c r="AA438" s="5">
        <f t="shared" si="32"/>
        <v>688.91026874999989</v>
      </c>
      <c r="AB438" s="6">
        <f t="shared" si="33"/>
        <v>1004.4696168749998</v>
      </c>
      <c r="AD438" s="10">
        <f t="shared" si="34"/>
        <v>1257.6673936875</v>
      </c>
    </row>
    <row r="439" spans="1:30" x14ac:dyDescent="0.3">
      <c r="A439" t="s">
        <v>30</v>
      </c>
      <c r="B439" s="8" t="s">
        <v>32</v>
      </c>
      <c r="C439" s="8" t="s">
        <v>32</v>
      </c>
      <c r="D439" s="8" t="s">
        <v>33</v>
      </c>
      <c r="E439" s="8" t="s">
        <v>34</v>
      </c>
      <c r="F439" s="8" t="s">
        <v>35</v>
      </c>
      <c r="G439">
        <v>7304390000</v>
      </c>
      <c r="H439" t="s">
        <v>36</v>
      </c>
      <c r="I439" t="s">
        <v>37</v>
      </c>
      <c r="J439" t="s">
        <v>38</v>
      </c>
      <c r="K439" t="s">
        <v>39</v>
      </c>
      <c r="L439">
        <v>4</v>
      </c>
      <c r="M439">
        <v>1</v>
      </c>
      <c r="N439" t="s">
        <v>40</v>
      </c>
      <c r="O439">
        <v>0</v>
      </c>
      <c r="P439">
        <v>329.7</v>
      </c>
      <c r="Q439">
        <v>17.260000000000002</v>
      </c>
      <c r="R439">
        <v>2.15</v>
      </c>
      <c r="S439">
        <v>349.11</v>
      </c>
      <c r="T439" t="s">
        <v>41</v>
      </c>
      <c r="U439" t="s">
        <v>41</v>
      </c>
      <c r="V439" t="s">
        <v>38</v>
      </c>
      <c r="W439" t="s">
        <v>534</v>
      </c>
      <c r="X439">
        <v>329.7</v>
      </c>
      <c r="Y439" s="9">
        <f t="shared" si="30"/>
        <v>329.7</v>
      </c>
      <c r="Z439" s="9">
        <f t="shared" si="31"/>
        <v>618.1875</v>
      </c>
      <c r="AA439" s="5">
        <f t="shared" si="32"/>
        <v>686.80631249999999</v>
      </c>
      <c r="AB439" s="6">
        <f t="shared" si="33"/>
        <v>1001.40193125</v>
      </c>
      <c r="AD439" s="10">
        <f t="shared" si="34"/>
        <v>1253.8264331250002</v>
      </c>
    </row>
    <row r="440" spans="1:30" x14ac:dyDescent="0.3">
      <c r="A440" t="s">
        <v>30</v>
      </c>
      <c r="B440" s="8" t="s">
        <v>32</v>
      </c>
      <c r="C440" s="8" t="s">
        <v>32</v>
      </c>
      <c r="D440" s="8" t="s">
        <v>33</v>
      </c>
      <c r="E440" s="8" t="s">
        <v>34</v>
      </c>
      <c r="F440" s="8" t="s">
        <v>35</v>
      </c>
      <c r="G440">
        <v>7304390000</v>
      </c>
      <c r="H440" t="s">
        <v>36</v>
      </c>
      <c r="I440" t="s">
        <v>37</v>
      </c>
      <c r="J440" t="s">
        <v>38</v>
      </c>
      <c r="K440" t="s">
        <v>39</v>
      </c>
      <c r="L440">
        <v>12</v>
      </c>
      <c r="M440">
        <v>1</v>
      </c>
      <c r="N440" t="s">
        <v>40</v>
      </c>
      <c r="O440">
        <v>0</v>
      </c>
      <c r="P440">
        <v>331.79</v>
      </c>
      <c r="Q440">
        <v>38.1</v>
      </c>
      <c r="R440">
        <v>2.21</v>
      </c>
      <c r="S440">
        <v>372.1</v>
      </c>
      <c r="T440" t="s">
        <v>41</v>
      </c>
      <c r="U440" t="s">
        <v>41</v>
      </c>
      <c r="V440" t="s">
        <v>38</v>
      </c>
      <c r="W440" t="s">
        <v>534</v>
      </c>
      <c r="X440">
        <v>331.79</v>
      </c>
      <c r="Y440" s="9">
        <f t="shared" si="30"/>
        <v>331.79</v>
      </c>
      <c r="Z440" s="9">
        <f t="shared" si="31"/>
        <v>622.10625000000005</v>
      </c>
      <c r="AA440" s="5">
        <f t="shared" si="32"/>
        <v>691.16004375</v>
      </c>
      <c r="AB440" s="6">
        <f t="shared" si="33"/>
        <v>1007.749914375</v>
      </c>
      <c r="AD440" s="10">
        <f t="shared" si="34"/>
        <v>1261.7745594375003</v>
      </c>
    </row>
    <row r="441" spans="1:30" x14ac:dyDescent="0.3">
      <c r="A441" t="s">
        <v>30</v>
      </c>
      <c r="B441" s="8" t="s">
        <v>381</v>
      </c>
      <c r="C441" s="8" t="s">
        <v>32</v>
      </c>
      <c r="D441" s="8" t="s">
        <v>33</v>
      </c>
      <c r="E441" s="8" t="s">
        <v>34</v>
      </c>
      <c r="F441" s="8" t="s">
        <v>35</v>
      </c>
      <c r="G441">
        <v>8481909090</v>
      </c>
      <c r="H441" t="s">
        <v>238</v>
      </c>
      <c r="I441" t="s">
        <v>535</v>
      </c>
      <c r="J441" t="s">
        <v>38</v>
      </c>
      <c r="K441" t="s">
        <v>39</v>
      </c>
      <c r="L441">
        <v>7</v>
      </c>
      <c r="M441">
        <v>1</v>
      </c>
      <c r="N441" t="s">
        <v>64</v>
      </c>
      <c r="O441">
        <v>20.25</v>
      </c>
      <c r="P441">
        <v>100.62</v>
      </c>
      <c r="Q441">
        <v>15.9</v>
      </c>
      <c r="R441">
        <v>0.62</v>
      </c>
      <c r="S441">
        <v>117.14</v>
      </c>
      <c r="T441" t="s">
        <v>41</v>
      </c>
      <c r="U441" t="s">
        <v>41</v>
      </c>
      <c r="V441" t="s">
        <v>38</v>
      </c>
      <c r="W441" t="s">
        <v>536</v>
      </c>
      <c r="X441">
        <v>100.62</v>
      </c>
      <c r="Y441" s="9">
        <f t="shared" si="30"/>
        <v>100.62</v>
      </c>
      <c r="Z441" s="9">
        <f t="shared" si="31"/>
        <v>188.66250000000002</v>
      </c>
      <c r="AA441" s="5">
        <f t="shared" si="32"/>
        <v>209.60403750000003</v>
      </c>
      <c r="AB441" s="6">
        <f t="shared" si="33"/>
        <v>305.61438375</v>
      </c>
      <c r="AD441" s="10">
        <f t="shared" si="34"/>
        <v>382.65094237500006</v>
      </c>
    </row>
    <row r="442" spans="1:30" x14ac:dyDescent="0.3">
      <c r="A442" t="s">
        <v>30</v>
      </c>
      <c r="B442" s="8" t="s">
        <v>31</v>
      </c>
      <c r="C442" s="8" t="s">
        <v>32</v>
      </c>
      <c r="D442" s="8" t="s">
        <v>33</v>
      </c>
      <c r="E442" s="8" t="s">
        <v>34</v>
      </c>
      <c r="F442" s="8" t="s">
        <v>35</v>
      </c>
      <c r="G442">
        <v>8487909000</v>
      </c>
      <c r="H442" t="s">
        <v>424</v>
      </c>
      <c r="I442" t="s">
        <v>310</v>
      </c>
      <c r="J442" t="s">
        <v>38</v>
      </c>
      <c r="K442" t="s">
        <v>39</v>
      </c>
      <c r="L442">
        <v>7</v>
      </c>
      <c r="M442">
        <v>4</v>
      </c>
      <c r="N442" t="s">
        <v>64</v>
      </c>
      <c r="O442">
        <v>0</v>
      </c>
      <c r="P442">
        <v>643.32000000000005</v>
      </c>
      <c r="Q442">
        <v>101.64</v>
      </c>
      <c r="R442">
        <v>3.97</v>
      </c>
      <c r="S442">
        <v>748.93</v>
      </c>
      <c r="T442" t="s">
        <v>41</v>
      </c>
      <c r="U442" t="s">
        <v>41</v>
      </c>
      <c r="V442" t="s">
        <v>38</v>
      </c>
      <c r="W442" t="s">
        <v>537</v>
      </c>
      <c r="X442">
        <v>160.83000000000001</v>
      </c>
      <c r="Y442" s="9">
        <f t="shared" si="30"/>
        <v>160.83000000000001</v>
      </c>
      <c r="Z442" s="9">
        <f t="shared" si="31"/>
        <v>301.55625000000003</v>
      </c>
      <c r="AA442" s="5">
        <f t="shared" si="32"/>
        <v>335.02899375000004</v>
      </c>
      <c r="AB442" s="6">
        <f t="shared" si="33"/>
        <v>488.49096937500002</v>
      </c>
      <c r="AD442" s="10">
        <f t="shared" si="34"/>
        <v>611.62543293750014</v>
      </c>
    </row>
    <row r="443" spans="1:30" x14ac:dyDescent="0.3">
      <c r="A443" t="s">
        <v>30</v>
      </c>
      <c r="B443" s="8" t="s">
        <v>31</v>
      </c>
      <c r="C443" s="8" t="s">
        <v>32</v>
      </c>
      <c r="D443" s="8" t="s">
        <v>33</v>
      </c>
      <c r="E443" s="8" t="s">
        <v>34</v>
      </c>
      <c r="F443" s="8" t="s">
        <v>35</v>
      </c>
      <c r="G443">
        <v>8487909000</v>
      </c>
      <c r="H443" t="s">
        <v>424</v>
      </c>
      <c r="I443" t="s">
        <v>310</v>
      </c>
      <c r="J443" t="s">
        <v>38</v>
      </c>
      <c r="K443" t="s">
        <v>39</v>
      </c>
      <c r="L443">
        <v>16</v>
      </c>
      <c r="M443">
        <v>12</v>
      </c>
      <c r="N443" t="s">
        <v>64</v>
      </c>
      <c r="O443">
        <v>0</v>
      </c>
      <c r="P443">
        <v>1935.8</v>
      </c>
      <c r="Q443">
        <v>267.17</v>
      </c>
      <c r="R443">
        <v>12.91</v>
      </c>
      <c r="S443">
        <v>2215.89</v>
      </c>
      <c r="T443" t="s">
        <v>41</v>
      </c>
      <c r="U443" t="s">
        <v>41</v>
      </c>
      <c r="V443" t="s">
        <v>38</v>
      </c>
      <c r="W443" t="s">
        <v>537</v>
      </c>
      <c r="X443">
        <v>161.32</v>
      </c>
      <c r="Y443" s="9">
        <f t="shared" si="30"/>
        <v>161.31666666666666</v>
      </c>
      <c r="Z443" s="9">
        <f t="shared" si="31"/>
        <v>302.46875</v>
      </c>
      <c r="AA443" s="5">
        <f t="shared" si="32"/>
        <v>336.04278125000002</v>
      </c>
      <c r="AB443" s="6">
        <f t="shared" si="33"/>
        <v>489.96912812499994</v>
      </c>
      <c r="AD443" s="10">
        <f t="shared" si="34"/>
        <v>613.47619281250002</v>
      </c>
    </row>
    <row r="444" spans="1:30" x14ac:dyDescent="0.3">
      <c r="A444" t="s">
        <v>30</v>
      </c>
      <c r="B444" s="8" t="s">
        <v>32</v>
      </c>
      <c r="C444" s="8" t="s">
        <v>32</v>
      </c>
      <c r="D444" s="8" t="s">
        <v>69</v>
      </c>
      <c r="E444" s="8" t="s">
        <v>70</v>
      </c>
      <c r="F444" s="8" t="s">
        <v>71</v>
      </c>
      <c r="G444">
        <v>8421999000</v>
      </c>
      <c r="H444" t="s">
        <v>36</v>
      </c>
      <c r="I444" t="s">
        <v>430</v>
      </c>
      <c r="J444" t="s">
        <v>38</v>
      </c>
      <c r="K444" t="s">
        <v>39</v>
      </c>
      <c r="L444">
        <v>13</v>
      </c>
      <c r="M444">
        <v>2</v>
      </c>
      <c r="N444" t="s">
        <v>64</v>
      </c>
      <c r="O444">
        <v>0</v>
      </c>
      <c r="P444">
        <v>633.94000000000005</v>
      </c>
      <c r="Q444">
        <v>33.85</v>
      </c>
      <c r="R444">
        <v>4.07</v>
      </c>
      <c r="S444">
        <v>671.86</v>
      </c>
      <c r="T444" t="s">
        <v>72</v>
      </c>
      <c r="U444" t="s">
        <v>72</v>
      </c>
      <c r="V444" t="s">
        <v>38</v>
      </c>
      <c r="W444" t="s">
        <v>538</v>
      </c>
      <c r="X444">
        <v>316.97000000000003</v>
      </c>
      <c r="Y444" s="9">
        <f t="shared" si="30"/>
        <v>316.97000000000003</v>
      </c>
      <c r="Z444" s="9">
        <f t="shared" si="31"/>
        <v>594.31875000000002</v>
      </c>
      <c r="AA444" s="5">
        <f t="shared" si="32"/>
        <v>660.28813124999999</v>
      </c>
      <c r="AB444" s="6">
        <f t="shared" si="33"/>
        <v>962.73694312499993</v>
      </c>
      <c r="AD444" s="10">
        <f t="shared" si="34"/>
        <v>1205.4151183125002</v>
      </c>
    </row>
    <row r="445" spans="1:30" x14ac:dyDescent="0.3">
      <c r="A445" t="s">
        <v>30</v>
      </c>
      <c r="B445" s="8" t="s">
        <v>32</v>
      </c>
      <c r="C445" s="8" t="s">
        <v>32</v>
      </c>
      <c r="D445" s="8" t="s">
        <v>33</v>
      </c>
      <c r="E445" s="8" t="s">
        <v>34</v>
      </c>
      <c r="F445" s="8" t="s">
        <v>35</v>
      </c>
      <c r="G445">
        <v>8421999000</v>
      </c>
      <c r="H445" t="s">
        <v>36</v>
      </c>
      <c r="I445" t="s">
        <v>430</v>
      </c>
      <c r="J445" t="s">
        <v>38</v>
      </c>
      <c r="K445" t="s">
        <v>39</v>
      </c>
      <c r="L445">
        <v>12</v>
      </c>
      <c r="M445">
        <v>1</v>
      </c>
      <c r="N445" t="s">
        <v>64</v>
      </c>
      <c r="O445">
        <v>0</v>
      </c>
      <c r="P445">
        <v>326.26</v>
      </c>
      <c r="Q445">
        <v>37.46</v>
      </c>
      <c r="R445">
        <v>2.17</v>
      </c>
      <c r="S445">
        <v>365.89</v>
      </c>
      <c r="T445" t="s">
        <v>41</v>
      </c>
      <c r="U445" t="s">
        <v>41</v>
      </c>
      <c r="V445" t="s">
        <v>38</v>
      </c>
      <c r="W445" t="s">
        <v>538</v>
      </c>
      <c r="X445">
        <v>326.26</v>
      </c>
      <c r="Y445" s="9">
        <f t="shared" si="30"/>
        <v>326.26</v>
      </c>
      <c r="Z445" s="9">
        <f t="shared" si="31"/>
        <v>611.73749999999995</v>
      </c>
      <c r="AA445" s="5">
        <f t="shared" si="32"/>
        <v>679.64036249999992</v>
      </c>
      <c r="AB445" s="6">
        <f t="shared" si="33"/>
        <v>990.95357624999986</v>
      </c>
      <c r="AD445" s="10">
        <f t="shared" si="34"/>
        <v>1240.744349625</v>
      </c>
    </row>
    <row r="446" spans="1:30" x14ac:dyDescent="0.3">
      <c r="A446" t="s">
        <v>30</v>
      </c>
      <c r="B446" s="8" t="s">
        <v>32</v>
      </c>
      <c r="C446" s="8" t="s">
        <v>32</v>
      </c>
      <c r="D446" s="8" t="s">
        <v>69</v>
      </c>
      <c r="E446" s="8" t="s">
        <v>70</v>
      </c>
      <c r="F446" s="8" t="s">
        <v>71</v>
      </c>
      <c r="G446">
        <v>8421999000</v>
      </c>
      <c r="H446" t="s">
        <v>36</v>
      </c>
      <c r="I446" t="s">
        <v>539</v>
      </c>
      <c r="J446" t="s">
        <v>38</v>
      </c>
      <c r="K446" t="s">
        <v>39</v>
      </c>
      <c r="L446">
        <v>13</v>
      </c>
      <c r="M446">
        <v>1</v>
      </c>
      <c r="N446" t="s">
        <v>64</v>
      </c>
      <c r="O446">
        <v>0</v>
      </c>
      <c r="P446">
        <v>88.86</v>
      </c>
      <c r="Q446">
        <v>4.74</v>
      </c>
      <c r="R446">
        <v>0.56999999999999995</v>
      </c>
      <c r="S446">
        <v>94.18</v>
      </c>
      <c r="T446" t="s">
        <v>72</v>
      </c>
      <c r="U446" t="s">
        <v>72</v>
      </c>
      <c r="V446" t="s">
        <v>38</v>
      </c>
      <c r="W446" t="s">
        <v>540</v>
      </c>
      <c r="X446">
        <v>88.86</v>
      </c>
      <c r="Y446" s="9">
        <f t="shared" si="30"/>
        <v>88.86</v>
      </c>
      <c r="Z446" s="9">
        <f t="shared" si="31"/>
        <v>166.61250000000001</v>
      </c>
      <c r="AA446" s="5">
        <f t="shared" si="32"/>
        <v>185.10648750000001</v>
      </c>
      <c r="AB446" s="6">
        <f t="shared" si="33"/>
        <v>269.89558875</v>
      </c>
      <c r="AD446" s="10">
        <f t="shared" si="34"/>
        <v>337.92847087500007</v>
      </c>
    </row>
    <row r="447" spans="1:30" x14ac:dyDescent="0.3">
      <c r="A447" t="s">
        <v>30</v>
      </c>
      <c r="B447" s="8" t="s">
        <v>32</v>
      </c>
      <c r="C447" s="8" t="s">
        <v>32</v>
      </c>
      <c r="D447" s="8" t="s">
        <v>69</v>
      </c>
      <c r="E447" s="8" t="s">
        <v>70</v>
      </c>
      <c r="F447" s="8" t="s">
        <v>71</v>
      </c>
      <c r="G447">
        <v>8421999000</v>
      </c>
      <c r="H447" t="s">
        <v>36</v>
      </c>
      <c r="I447" t="s">
        <v>539</v>
      </c>
      <c r="J447" t="s">
        <v>38</v>
      </c>
      <c r="K447" t="s">
        <v>39</v>
      </c>
      <c r="L447">
        <v>13</v>
      </c>
      <c r="M447">
        <v>1</v>
      </c>
      <c r="N447" t="s">
        <v>64</v>
      </c>
      <c r="O447">
        <v>0</v>
      </c>
      <c r="P447">
        <v>88.86</v>
      </c>
      <c r="Q447">
        <v>4.74</v>
      </c>
      <c r="R447">
        <v>0.56999999999999995</v>
      </c>
      <c r="S447">
        <v>94.18</v>
      </c>
      <c r="T447" t="s">
        <v>72</v>
      </c>
      <c r="U447" t="s">
        <v>72</v>
      </c>
      <c r="V447" t="s">
        <v>38</v>
      </c>
      <c r="W447" t="s">
        <v>540</v>
      </c>
      <c r="X447">
        <v>88.86</v>
      </c>
      <c r="Y447" s="9">
        <f t="shared" si="30"/>
        <v>88.86</v>
      </c>
      <c r="Z447" s="9">
        <f t="shared" si="31"/>
        <v>166.61250000000001</v>
      </c>
      <c r="AA447" s="5">
        <f t="shared" si="32"/>
        <v>185.10648750000001</v>
      </c>
      <c r="AB447" s="6">
        <f t="shared" si="33"/>
        <v>269.89558875</v>
      </c>
      <c r="AD447" s="10">
        <f t="shared" si="34"/>
        <v>337.92847087500007</v>
      </c>
    </row>
    <row r="448" spans="1:30" x14ac:dyDescent="0.3">
      <c r="A448" t="s">
        <v>30</v>
      </c>
      <c r="B448" s="8" t="s">
        <v>32</v>
      </c>
      <c r="C448" s="8" t="s">
        <v>32</v>
      </c>
      <c r="D448" s="8" t="s">
        <v>33</v>
      </c>
      <c r="E448" s="8" t="s">
        <v>34</v>
      </c>
      <c r="F448" s="8" t="s">
        <v>35</v>
      </c>
      <c r="G448">
        <v>8421999000</v>
      </c>
      <c r="H448" t="s">
        <v>36</v>
      </c>
      <c r="I448" t="s">
        <v>539</v>
      </c>
      <c r="J448" t="s">
        <v>38</v>
      </c>
      <c r="K448" t="s">
        <v>39</v>
      </c>
      <c r="L448">
        <v>12</v>
      </c>
      <c r="M448">
        <v>1</v>
      </c>
      <c r="N448" t="s">
        <v>64</v>
      </c>
      <c r="O448">
        <v>0</v>
      </c>
      <c r="P448">
        <v>91.46</v>
      </c>
      <c r="Q448">
        <v>10.5</v>
      </c>
      <c r="R448">
        <v>0.61</v>
      </c>
      <c r="S448">
        <v>102.57</v>
      </c>
      <c r="T448" t="s">
        <v>41</v>
      </c>
      <c r="U448" t="s">
        <v>41</v>
      </c>
      <c r="V448" t="s">
        <v>38</v>
      </c>
      <c r="W448" t="s">
        <v>540</v>
      </c>
      <c r="X448">
        <v>91.46</v>
      </c>
      <c r="Y448" s="9">
        <f t="shared" si="30"/>
        <v>91.46</v>
      </c>
      <c r="Z448" s="9">
        <f t="shared" si="31"/>
        <v>171.48749999999998</v>
      </c>
      <c r="AA448" s="5">
        <f t="shared" si="32"/>
        <v>190.52261249999998</v>
      </c>
      <c r="AB448" s="6">
        <f t="shared" si="33"/>
        <v>277.79260124999996</v>
      </c>
      <c r="AD448" s="10">
        <f t="shared" si="34"/>
        <v>347.81609212500001</v>
      </c>
    </row>
    <row r="449" spans="1:30" x14ac:dyDescent="0.3">
      <c r="A449" t="s">
        <v>30</v>
      </c>
      <c r="B449" s="8" t="s">
        <v>32</v>
      </c>
      <c r="C449" s="8" t="s">
        <v>32</v>
      </c>
      <c r="D449" s="8" t="s">
        <v>69</v>
      </c>
      <c r="E449" s="8" t="s">
        <v>70</v>
      </c>
      <c r="F449" s="8" t="s">
        <v>71</v>
      </c>
      <c r="G449">
        <v>8421299090</v>
      </c>
      <c r="H449" t="s">
        <v>243</v>
      </c>
      <c r="I449" t="s">
        <v>541</v>
      </c>
      <c r="J449" t="s">
        <v>38</v>
      </c>
      <c r="K449" t="s">
        <v>39</v>
      </c>
      <c r="L449">
        <v>13</v>
      </c>
      <c r="M449">
        <v>2</v>
      </c>
      <c r="N449" t="s">
        <v>64</v>
      </c>
      <c r="O449">
        <v>0</v>
      </c>
      <c r="P449">
        <v>93.2</v>
      </c>
      <c r="Q449">
        <v>4.9800000000000004</v>
      </c>
      <c r="R449">
        <v>0.6</v>
      </c>
      <c r="S449">
        <v>98.78</v>
      </c>
      <c r="T449" t="s">
        <v>72</v>
      </c>
      <c r="U449" t="s">
        <v>72</v>
      </c>
      <c r="V449" t="s">
        <v>38</v>
      </c>
      <c r="W449" t="s">
        <v>542</v>
      </c>
      <c r="X449">
        <v>46.6</v>
      </c>
      <c r="Y449" s="9">
        <f t="shared" si="30"/>
        <v>46.6</v>
      </c>
      <c r="Z449" s="9">
        <f t="shared" si="31"/>
        <v>87.375</v>
      </c>
      <c r="AA449" s="5">
        <f t="shared" si="32"/>
        <v>97.073624999999993</v>
      </c>
      <c r="AB449" s="6">
        <f t="shared" si="33"/>
        <v>141.53876249999999</v>
      </c>
      <c r="AD449" s="10">
        <f t="shared" si="34"/>
        <v>177.21659625000001</v>
      </c>
    </row>
    <row r="450" spans="1:30" x14ac:dyDescent="0.3">
      <c r="A450" t="s">
        <v>30</v>
      </c>
      <c r="B450" s="8" t="s">
        <v>32</v>
      </c>
      <c r="C450" s="8" t="s">
        <v>32</v>
      </c>
      <c r="D450" s="8" t="s">
        <v>33</v>
      </c>
      <c r="E450" s="8" t="s">
        <v>34</v>
      </c>
      <c r="F450" s="8" t="s">
        <v>35</v>
      </c>
      <c r="G450">
        <v>8421299090</v>
      </c>
      <c r="H450" t="s">
        <v>243</v>
      </c>
      <c r="I450" t="s">
        <v>541</v>
      </c>
      <c r="J450" t="s">
        <v>38</v>
      </c>
      <c r="K450" t="s">
        <v>39</v>
      </c>
      <c r="L450">
        <v>12</v>
      </c>
      <c r="M450">
        <v>1</v>
      </c>
      <c r="N450" t="s">
        <v>64</v>
      </c>
      <c r="O450">
        <v>0</v>
      </c>
      <c r="P450">
        <v>47.97</v>
      </c>
      <c r="Q450">
        <v>5.51</v>
      </c>
      <c r="R450">
        <v>0.32</v>
      </c>
      <c r="S450">
        <v>53.79</v>
      </c>
      <c r="T450" t="s">
        <v>41</v>
      </c>
      <c r="U450" t="s">
        <v>41</v>
      </c>
      <c r="V450" t="s">
        <v>38</v>
      </c>
      <c r="W450" t="s">
        <v>542</v>
      </c>
      <c r="X450">
        <v>47.97</v>
      </c>
      <c r="Y450" s="9">
        <f t="shared" si="30"/>
        <v>47.97</v>
      </c>
      <c r="Z450" s="9">
        <f t="shared" si="31"/>
        <v>89.943749999999994</v>
      </c>
      <c r="AA450" s="5">
        <f t="shared" si="32"/>
        <v>99.927506249999993</v>
      </c>
      <c r="AB450" s="6">
        <f t="shared" si="33"/>
        <v>145.69988062499999</v>
      </c>
      <c r="AD450" s="10">
        <f t="shared" si="34"/>
        <v>182.4266120625</v>
      </c>
    </row>
    <row r="451" spans="1:30" x14ac:dyDescent="0.3">
      <c r="A451" t="s">
        <v>30</v>
      </c>
      <c r="B451" s="8" t="s">
        <v>32</v>
      </c>
      <c r="C451" s="8" t="s">
        <v>32</v>
      </c>
      <c r="D451" s="8" t="s">
        <v>69</v>
      </c>
      <c r="E451" s="8" t="s">
        <v>70</v>
      </c>
      <c r="F451" s="8" t="s">
        <v>71</v>
      </c>
      <c r="G451">
        <v>8421299090</v>
      </c>
      <c r="H451" t="s">
        <v>243</v>
      </c>
      <c r="I451" t="s">
        <v>541</v>
      </c>
      <c r="J451" t="s">
        <v>38</v>
      </c>
      <c r="K451" t="s">
        <v>39</v>
      </c>
      <c r="L451">
        <v>13</v>
      </c>
      <c r="M451">
        <v>2</v>
      </c>
      <c r="N451" t="s">
        <v>64</v>
      </c>
      <c r="O451">
        <v>0</v>
      </c>
      <c r="P451">
        <v>93.2</v>
      </c>
      <c r="Q451">
        <v>4.9800000000000004</v>
      </c>
      <c r="R451">
        <v>0.6</v>
      </c>
      <c r="S451">
        <v>98.78</v>
      </c>
      <c r="T451" t="s">
        <v>72</v>
      </c>
      <c r="U451" t="s">
        <v>72</v>
      </c>
      <c r="V451" t="s">
        <v>38</v>
      </c>
      <c r="W451" t="s">
        <v>543</v>
      </c>
      <c r="X451">
        <v>46.6</v>
      </c>
      <c r="Y451" s="9">
        <f t="shared" ref="Y451:Y514" si="36">SUM(P451)/M451</f>
        <v>46.6</v>
      </c>
      <c r="Z451" s="9">
        <f t="shared" ref="Z451:Z514" si="37">SUM(Y451)*1.875</f>
        <v>87.375</v>
      </c>
      <c r="AA451" s="5">
        <f t="shared" ref="AA451:AA514" si="38">SUM(Z451)*1.111</f>
        <v>97.073624999999993</v>
      </c>
      <c r="AB451" s="6">
        <f t="shared" ref="AB451:AB514" si="39">SUM(Z451)*1.6199</f>
        <v>141.53876249999999</v>
      </c>
      <c r="AD451" s="10">
        <f t="shared" ref="AD451:AD514" si="40">SUM(Z451)*2.02823</f>
        <v>177.21659625000001</v>
      </c>
    </row>
    <row r="452" spans="1:30" x14ac:dyDescent="0.3">
      <c r="A452" t="s">
        <v>30</v>
      </c>
      <c r="B452" s="8" t="s">
        <v>32</v>
      </c>
      <c r="C452" s="8" t="s">
        <v>32</v>
      </c>
      <c r="D452" s="8" t="s">
        <v>33</v>
      </c>
      <c r="E452" s="8" t="s">
        <v>34</v>
      </c>
      <c r="F452" s="8" t="s">
        <v>35</v>
      </c>
      <c r="G452">
        <v>8517699000</v>
      </c>
      <c r="H452" t="s">
        <v>544</v>
      </c>
      <c r="I452" t="s">
        <v>545</v>
      </c>
      <c r="J452" t="s">
        <v>38</v>
      </c>
      <c r="K452" t="s">
        <v>39</v>
      </c>
      <c r="L452">
        <v>4</v>
      </c>
      <c r="M452">
        <v>1</v>
      </c>
      <c r="N452" t="s">
        <v>64</v>
      </c>
      <c r="O452">
        <v>8.77</v>
      </c>
      <c r="P452">
        <v>174.36</v>
      </c>
      <c r="Q452">
        <v>9.1300000000000008</v>
      </c>
      <c r="R452">
        <v>1.1399999999999999</v>
      </c>
      <c r="S452">
        <v>184.63</v>
      </c>
      <c r="T452" t="s">
        <v>41</v>
      </c>
      <c r="U452" t="s">
        <v>41</v>
      </c>
      <c r="V452" t="s">
        <v>38</v>
      </c>
      <c r="W452" t="s">
        <v>546</v>
      </c>
      <c r="X452">
        <v>174.36</v>
      </c>
      <c r="Y452" s="9">
        <f t="shared" si="36"/>
        <v>174.36</v>
      </c>
      <c r="Z452" s="9">
        <f t="shared" si="37"/>
        <v>326.92500000000001</v>
      </c>
      <c r="AA452" s="5">
        <f t="shared" si="38"/>
        <v>363.21367500000002</v>
      </c>
      <c r="AB452" s="6">
        <f t="shared" si="39"/>
        <v>529.58580749999999</v>
      </c>
      <c r="AD452" s="10">
        <f t="shared" si="40"/>
        <v>663.07909275000009</v>
      </c>
    </row>
    <row r="453" spans="1:30" x14ac:dyDescent="0.3">
      <c r="A453" t="s">
        <v>30</v>
      </c>
      <c r="B453" s="8" t="s">
        <v>31</v>
      </c>
      <c r="C453" s="8" t="s">
        <v>32</v>
      </c>
      <c r="D453" s="8" t="s">
        <v>69</v>
      </c>
      <c r="E453" s="8" t="s">
        <v>70</v>
      </c>
      <c r="F453" s="8" t="s">
        <v>71</v>
      </c>
      <c r="G453">
        <v>8421999000</v>
      </c>
      <c r="H453" t="s">
        <v>36</v>
      </c>
      <c r="I453" t="s">
        <v>228</v>
      </c>
      <c r="J453" t="s">
        <v>38</v>
      </c>
      <c r="K453" t="s">
        <v>39</v>
      </c>
      <c r="L453">
        <v>8</v>
      </c>
      <c r="M453">
        <v>2</v>
      </c>
      <c r="N453" t="s">
        <v>64</v>
      </c>
      <c r="O453">
        <v>0</v>
      </c>
      <c r="P453">
        <v>104.82</v>
      </c>
      <c r="Q453">
        <v>6.86</v>
      </c>
      <c r="R453">
        <v>0.68</v>
      </c>
      <c r="S453">
        <v>112.36</v>
      </c>
      <c r="T453" t="s">
        <v>41</v>
      </c>
      <c r="U453" t="s">
        <v>41</v>
      </c>
      <c r="V453" t="s">
        <v>38</v>
      </c>
      <c r="W453" t="s">
        <v>547</v>
      </c>
      <c r="X453">
        <v>52.41</v>
      </c>
      <c r="Y453" s="9">
        <f t="shared" si="36"/>
        <v>52.41</v>
      </c>
      <c r="Z453" s="9">
        <f t="shared" si="37"/>
        <v>98.268749999999997</v>
      </c>
      <c r="AA453" s="5">
        <f t="shared" si="38"/>
        <v>109.17658125</v>
      </c>
      <c r="AB453" s="6">
        <f t="shared" si="39"/>
        <v>159.185548125</v>
      </c>
      <c r="AD453" s="10">
        <f t="shared" si="40"/>
        <v>199.31162681250001</v>
      </c>
    </row>
    <row r="454" spans="1:30" x14ac:dyDescent="0.3">
      <c r="A454" t="s">
        <v>30</v>
      </c>
      <c r="B454" s="8" t="s">
        <v>31</v>
      </c>
      <c r="C454" s="8" t="s">
        <v>32</v>
      </c>
      <c r="D454" s="8" t="s">
        <v>33</v>
      </c>
      <c r="E454" s="8" t="s">
        <v>34</v>
      </c>
      <c r="F454" s="8" t="s">
        <v>35</v>
      </c>
      <c r="G454">
        <v>8421999000</v>
      </c>
      <c r="H454" t="s">
        <v>36</v>
      </c>
      <c r="I454" t="s">
        <v>228</v>
      </c>
      <c r="J454" t="s">
        <v>38</v>
      </c>
      <c r="K454" t="s">
        <v>39</v>
      </c>
      <c r="L454">
        <v>8</v>
      </c>
      <c r="M454">
        <v>2</v>
      </c>
      <c r="N454" t="s">
        <v>64</v>
      </c>
      <c r="O454">
        <v>0</v>
      </c>
      <c r="P454">
        <v>91.96</v>
      </c>
      <c r="Q454">
        <v>11.52</v>
      </c>
      <c r="R454">
        <v>0.63</v>
      </c>
      <c r="S454">
        <v>104.11</v>
      </c>
      <c r="T454" t="s">
        <v>41</v>
      </c>
      <c r="U454" t="s">
        <v>41</v>
      </c>
      <c r="V454" t="s">
        <v>38</v>
      </c>
      <c r="W454" t="s">
        <v>547</v>
      </c>
      <c r="X454">
        <v>45.98</v>
      </c>
      <c r="Y454" s="9">
        <f t="shared" si="36"/>
        <v>45.98</v>
      </c>
      <c r="Z454" s="9">
        <f t="shared" si="37"/>
        <v>86.212499999999991</v>
      </c>
      <c r="AA454" s="5">
        <f t="shared" si="38"/>
        <v>95.782087499999989</v>
      </c>
      <c r="AB454" s="6">
        <f t="shared" si="39"/>
        <v>139.65562874999998</v>
      </c>
      <c r="AD454" s="10">
        <f t="shared" si="40"/>
        <v>174.85877887500001</v>
      </c>
    </row>
    <row r="455" spans="1:30" x14ac:dyDescent="0.3">
      <c r="A455" t="s">
        <v>168</v>
      </c>
      <c r="B455" s="8" t="s">
        <v>32</v>
      </c>
      <c r="C455" s="8" t="s">
        <v>32</v>
      </c>
      <c r="D455" s="8" t="s">
        <v>33</v>
      </c>
      <c r="E455" s="8" t="s">
        <v>34</v>
      </c>
      <c r="F455" s="8" t="s">
        <v>35</v>
      </c>
      <c r="G455">
        <v>8421999000</v>
      </c>
      <c r="H455" t="s">
        <v>36</v>
      </c>
      <c r="I455" t="s">
        <v>548</v>
      </c>
      <c r="J455" t="s">
        <v>38</v>
      </c>
      <c r="K455" t="s">
        <v>39</v>
      </c>
      <c r="L455">
        <v>11</v>
      </c>
      <c r="M455">
        <v>2</v>
      </c>
      <c r="N455" t="s">
        <v>64</v>
      </c>
      <c r="O455">
        <v>0</v>
      </c>
      <c r="P455">
        <v>340.21</v>
      </c>
      <c r="Q455">
        <v>32.590000000000003</v>
      </c>
      <c r="R455">
        <v>2.2999999999999998</v>
      </c>
      <c r="S455">
        <v>375.09</v>
      </c>
      <c r="T455" t="s">
        <v>41</v>
      </c>
      <c r="U455" t="s">
        <v>43</v>
      </c>
      <c r="V455" t="s">
        <v>38</v>
      </c>
      <c r="W455" t="s">
        <v>549</v>
      </c>
      <c r="X455">
        <v>170.1</v>
      </c>
      <c r="Y455" s="9">
        <f t="shared" si="36"/>
        <v>170.10499999999999</v>
      </c>
      <c r="Z455" s="9">
        <f t="shared" si="37"/>
        <v>318.94687499999998</v>
      </c>
      <c r="AA455" s="5">
        <f t="shared" si="38"/>
        <v>354.34997812499995</v>
      </c>
      <c r="AB455" s="6">
        <f t="shared" si="39"/>
        <v>516.66204281249998</v>
      </c>
      <c r="AD455" s="10">
        <f t="shared" si="40"/>
        <v>646.89762028125006</v>
      </c>
    </row>
    <row r="456" spans="1:30" x14ac:dyDescent="0.3">
      <c r="A456" t="s">
        <v>30</v>
      </c>
      <c r="B456" s="8" t="s">
        <v>32</v>
      </c>
      <c r="C456" s="8" t="s">
        <v>32</v>
      </c>
      <c r="D456" s="8" t="s">
        <v>33</v>
      </c>
      <c r="E456" s="8" t="s">
        <v>34</v>
      </c>
      <c r="F456" s="8" t="s">
        <v>35</v>
      </c>
      <c r="G456">
        <v>8421999000</v>
      </c>
      <c r="H456" t="s">
        <v>36</v>
      </c>
      <c r="I456" t="s">
        <v>550</v>
      </c>
      <c r="J456" t="s">
        <v>38</v>
      </c>
      <c r="K456" t="s">
        <v>39</v>
      </c>
      <c r="L456">
        <v>8</v>
      </c>
      <c r="M456">
        <v>3</v>
      </c>
      <c r="N456" t="s">
        <v>64</v>
      </c>
      <c r="O456">
        <v>0</v>
      </c>
      <c r="P456">
        <v>504.28</v>
      </c>
      <c r="Q456">
        <v>28.55</v>
      </c>
      <c r="R456">
        <v>3.22</v>
      </c>
      <c r="S456">
        <v>536.04999999999995</v>
      </c>
      <c r="T456" t="s">
        <v>41</v>
      </c>
      <c r="U456" t="s">
        <v>41</v>
      </c>
      <c r="V456" t="s">
        <v>38</v>
      </c>
      <c r="W456" t="s">
        <v>549</v>
      </c>
      <c r="X456">
        <v>168.09</v>
      </c>
      <c r="Y456" s="9">
        <f t="shared" si="36"/>
        <v>168.09333333333333</v>
      </c>
      <c r="Z456" s="9">
        <f t="shared" si="37"/>
        <v>315.17500000000001</v>
      </c>
      <c r="AA456" s="5">
        <f t="shared" si="38"/>
        <v>350.159425</v>
      </c>
      <c r="AB456" s="6">
        <f t="shared" si="39"/>
        <v>510.55198250000001</v>
      </c>
      <c r="AD456" s="10">
        <f t="shared" si="40"/>
        <v>639.24739025000008</v>
      </c>
    </row>
    <row r="457" spans="1:30" x14ac:dyDescent="0.3">
      <c r="A457" t="s">
        <v>168</v>
      </c>
      <c r="B457" s="8" t="s">
        <v>32</v>
      </c>
      <c r="C457" s="8" t="s">
        <v>32</v>
      </c>
      <c r="D457" s="8" t="s">
        <v>33</v>
      </c>
      <c r="E457" s="8" t="s">
        <v>34</v>
      </c>
      <c r="F457" s="8" t="s">
        <v>35</v>
      </c>
      <c r="G457">
        <v>8421999000</v>
      </c>
      <c r="H457" t="s">
        <v>36</v>
      </c>
      <c r="I457" t="s">
        <v>548</v>
      </c>
      <c r="J457" t="s">
        <v>38</v>
      </c>
      <c r="K457" t="s">
        <v>39</v>
      </c>
      <c r="L457">
        <v>11</v>
      </c>
      <c r="M457">
        <v>2</v>
      </c>
      <c r="N457" t="s">
        <v>64</v>
      </c>
      <c r="O457">
        <v>0</v>
      </c>
      <c r="P457">
        <v>81.67</v>
      </c>
      <c r="Q457">
        <v>7.82</v>
      </c>
      <c r="R457">
        <v>0.55000000000000004</v>
      </c>
      <c r="S457">
        <v>90.05</v>
      </c>
      <c r="T457" t="s">
        <v>41</v>
      </c>
      <c r="U457" t="s">
        <v>43</v>
      </c>
      <c r="V457" t="s">
        <v>38</v>
      </c>
      <c r="W457" t="s">
        <v>551</v>
      </c>
      <c r="X457">
        <v>40.840000000000003</v>
      </c>
      <c r="Y457" s="9">
        <f t="shared" si="36"/>
        <v>40.835000000000001</v>
      </c>
      <c r="Z457" s="9">
        <f t="shared" si="37"/>
        <v>76.565624999999997</v>
      </c>
      <c r="AA457" s="5">
        <f t="shared" si="38"/>
        <v>85.064409374999997</v>
      </c>
      <c r="AB457" s="6">
        <f t="shared" si="39"/>
        <v>124.02865593749999</v>
      </c>
      <c r="AD457" s="10">
        <f t="shared" si="40"/>
        <v>155.29269759375001</v>
      </c>
    </row>
    <row r="458" spans="1:30" x14ac:dyDescent="0.3">
      <c r="A458" t="s">
        <v>30</v>
      </c>
      <c r="B458" s="8" t="s">
        <v>31</v>
      </c>
      <c r="C458" s="8" t="s">
        <v>32</v>
      </c>
      <c r="D458" s="8" t="s">
        <v>33</v>
      </c>
      <c r="E458" s="8" t="s">
        <v>34</v>
      </c>
      <c r="F458" s="8" t="s">
        <v>35</v>
      </c>
      <c r="G458">
        <v>8421299090</v>
      </c>
      <c r="H458" t="s">
        <v>36</v>
      </c>
      <c r="I458" t="s">
        <v>318</v>
      </c>
      <c r="J458" t="s">
        <v>38</v>
      </c>
      <c r="K458" t="s">
        <v>39</v>
      </c>
      <c r="L458">
        <v>6</v>
      </c>
      <c r="M458">
        <v>1</v>
      </c>
      <c r="N458" t="s">
        <v>64</v>
      </c>
      <c r="O458">
        <v>0</v>
      </c>
      <c r="P458">
        <v>49.54</v>
      </c>
      <c r="Q458">
        <v>5.99</v>
      </c>
      <c r="R458">
        <v>0.34</v>
      </c>
      <c r="S458">
        <v>55.87</v>
      </c>
      <c r="T458" t="s">
        <v>41</v>
      </c>
      <c r="U458" t="s">
        <v>43</v>
      </c>
      <c r="V458" t="s">
        <v>38</v>
      </c>
      <c r="W458" t="s">
        <v>552</v>
      </c>
      <c r="X458">
        <v>49.54</v>
      </c>
      <c r="Y458" s="9">
        <f t="shared" si="36"/>
        <v>49.54</v>
      </c>
      <c r="Z458" s="9">
        <f t="shared" si="37"/>
        <v>92.887500000000003</v>
      </c>
      <c r="AA458" s="5">
        <f t="shared" si="38"/>
        <v>103.1980125</v>
      </c>
      <c r="AB458" s="6">
        <f t="shared" si="39"/>
        <v>150.46846124999999</v>
      </c>
      <c r="AD458" s="10">
        <f t="shared" si="40"/>
        <v>188.39721412500003</v>
      </c>
    </row>
    <row r="459" spans="1:30" x14ac:dyDescent="0.3">
      <c r="A459" t="s">
        <v>30</v>
      </c>
      <c r="B459" s="8" t="s">
        <v>32</v>
      </c>
      <c r="C459" s="8" t="s">
        <v>32</v>
      </c>
      <c r="D459" s="8" t="s">
        <v>69</v>
      </c>
      <c r="E459" s="8" t="s">
        <v>70</v>
      </c>
      <c r="F459" s="8" t="s">
        <v>71</v>
      </c>
      <c r="G459">
        <v>8421299090</v>
      </c>
      <c r="H459" t="s">
        <v>243</v>
      </c>
      <c r="I459" t="s">
        <v>541</v>
      </c>
      <c r="J459" t="s">
        <v>38</v>
      </c>
      <c r="K459" t="s">
        <v>39</v>
      </c>
      <c r="L459">
        <v>8</v>
      </c>
      <c r="M459">
        <v>2</v>
      </c>
      <c r="N459" t="s">
        <v>64</v>
      </c>
      <c r="O459">
        <v>0</v>
      </c>
      <c r="P459">
        <v>150.5</v>
      </c>
      <c r="Q459">
        <v>9.85</v>
      </c>
      <c r="R459">
        <v>0.98</v>
      </c>
      <c r="S459">
        <v>161.33000000000001</v>
      </c>
      <c r="T459" t="s">
        <v>41</v>
      </c>
      <c r="U459" t="s">
        <v>41</v>
      </c>
      <c r="V459" t="s">
        <v>38</v>
      </c>
      <c r="W459" t="s">
        <v>553</v>
      </c>
      <c r="X459">
        <v>75.25</v>
      </c>
      <c r="Y459" s="9">
        <f t="shared" si="36"/>
        <v>75.25</v>
      </c>
      <c r="Z459" s="9">
        <f t="shared" si="37"/>
        <v>141.09375</v>
      </c>
      <c r="AA459" s="5">
        <f t="shared" si="38"/>
        <v>156.75515625</v>
      </c>
      <c r="AB459" s="6">
        <f t="shared" si="39"/>
        <v>228.55776562499997</v>
      </c>
      <c r="AD459" s="10">
        <f t="shared" si="40"/>
        <v>286.1705765625</v>
      </c>
    </row>
    <row r="460" spans="1:30" x14ac:dyDescent="0.3">
      <c r="A460" t="s">
        <v>30</v>
      </c>
      <c r="B460" s="8" t="s">
        <v>32</v>
      </c>
      <c r="C460" s="8" t="s">
        <v>32</v>
      </c>
      <c r="D460" s="8" t="s">
        <v>33</v>
      </c>
      <c r="E460" s="8" t="s">
        <v>34</v>
      </c>
      <c r="F460" s="8" t="s">
        <v>35</v>
      </c>
      <c r="G460">
        <v>8421299090</v>
      </c>
      <c r="H460" t="s">
        <v>243</v>
      </c>
      <c r="I460" t="s">
        <v>541</v>
      </c>
      <c r="J460" t="s">
        <v>38</v>
      </c>
      <c r="K460" t="s">
        <v>39</v>
      </c>
      <c r="L460">
        <v>12</v>
      </c>
      <c r="M460">
        <v>1</v>
      </c>
      <c r="N460" t="s">
        <v>64</v>
      </c>
      <c r="O460">
        <v>0</v>
      </c>
      <c r="P460">
        <v>53.94</v>
      </c>
      <c r="Q460">
        <v>6.19</v>
      </c>
      <c r="R460">
        <v>0.36</v>
      </c>
      <c r="S460">
        <v>60.5</v>
      </c>
      <c r="T460" t="s">
        <v>41</v>
      </c>
      <c r="U460" t="s">
        <v>41</v>
      </c>
      <c r="V460" t="s">
        <v>38</v>
      </c>
      <c r="W460" t="s">
        <v>553</v>
      </c>
      <c r="X460">
        <v>53.94</v>
      </c>
      <c r="Y460" s="9">
        <f t="shared" si="36"/>
        <v>53.94</v>
      </c>
      <c r="Z460" s="9">
        <f t="shared" si="37"/>
        <v>101.13749999999999</v>
      </c>
      <c r="AA460" s="5">
        <f t="shared" si="38"/>
        <v>112.36376249999999</v>
      </c>
      <c r="AB460" s="6">
        <f t="shared" si="39"/>
        <v>163.83263624999998</v>
      </c>
      <c r="AD460" s="10">
        <f t="shared" si="40"/>
        <v>205.13011162499998</v>
      </c>
    </row>
    <row r="461" spans="1:30" x14ac:dyDescent="0.3">
      <c r="A461" t="s">
        <v>30</v>
      </c>
      <c r="B461" s="8" t="s">
        <v>32</v>
      </c>
      <c r="C461" s="8" t="s">
        <v>32</v>
      </c>
      <c r="D461" s="8" t="s">
        <v>33</v>
      </c>
      <c r="E461" s="8" t="s">
        <v>34</v>
      </c>
      <c r="F461" s="8" t="s">
        <v>35</v>
      </c>
      <c r="G461">
        <v>8421299090</v>
      </c>
      <c r="H461" t="s">
        <v>243</v>
      </c>
      <c r="I461" t="s">
        <v>541</v>
      </c>
      <c r="J461" t="s">
        <v>38</v>
      </c>
      <c r="K461" t="s">
        <v>39</v>
      </c>
      <c r="L461">
        <v>12</v>
      </c>
      <c r="M461">
        <v>1</v>
      </c>
      <c r="N461" t="s">
        <v>64</v>
      </c>
      <c r="O461">
        <v>0</v>
      </c>
      <c r="P461">
        <v>77.45</v>
      </c>
      <c r="Q461">
        <v>8.89</v>
      </c>
      <c r="R461">
        <v>0.52</v>
      </c>
      <c r="S461">
        <v>86.86</v>
      </c>
      <c r="T461" t="s">
        <v>41</v>
      </c>
      <c r="U461" t="s">
        <v>41</v>
      </c>
      <c r="V461" t="s">
        <v>38</v>
      </c>
      <c r="W461" t="s">
        <v>553</v>
      </c>
      <c r="X461">
        <v>77.45</v>
      </c>
      <c r="Y461" s="9">
        <f t="shared" si="36"/>
        <v>77.45</v>
      </c>
      <c r="Z461" s="9">
        <f t="shared" si="37"/>
        <v>145.21875</v>
      </c>
      <c r="AA461" s="5">
        <f t="shared" si="38"/>
        <v>161.33803125</v>
      </c>
      <c r="AB461" s="6">
        <f t="shared" si="39"/>
        <v>235.239853125</v>
      </c>
      <c r="AD461" s="10">
        <f t="shared" si="40"/>
        <v>294.53702531250002</v>
      </c>
    </row>
    <row r="462" spans="1:30" x14ac:dyDescent="0.3">
      <c r="A462" t="s">
        <v>30</v>
      </c>
      <c r="B462" s="8" t="s">
        <v>32</v>
      </c>
      <c r="C462" s="8" t="s">
        <v>32</v>
      </c>
      <c r="D462" s="8" t="s">
        <v>69</v>
      </c>
      <c r="E462" s="8" t="s">
        <v>70</v>
      </c>
      <c r="F462" s="8" t="s">
        <v>71</v>
      </c>
      <c r="G462">
        <v>8421999000</v>
      </c>
      <c r="H462" t="s">
        <v>36</v>
      </c>
      <c r="I462" t="s">
        <v>554</v>
      </c>
      <c r="J462" t="s">
        <v>38</v>
      </c>
      <c r="K462" t="s">
        <v>39</v>
      </c>
      <c r="L462">
        <v>8</v>
      </c>
      <c r="M462">
        <v>2</v>
      </c>
      <c r="N462" t="s">
        <v>64</v>
      </c>
      <c r="O462">
        <v>0</v>
      </c>
      <c r="P462">
        <v>524.46</v>
      </c>
      <c r="Q462">
        <v>34.33</v>
      </c>
      <c r="R462">
        <v>3.4</v>
      </c>
      <c r="S462">
        <v>562.19000000000005</v>
      </c>
      <c r="T462" t="s">
        <v>41</v>
      </c>
      <c r="U462" t="s">
        <v>41</v>
      </c>
      <c r="V462" t="s">
        <v>38</v>
      </c>
      <c r="W462" t="s">
        <v>555</v>
      </c>
      <c r="X462">
        <v>262.23</v>
      </c>
      <c r="Y462" s="9">
        <f t="shared" si="36"/>
        <v>262.23</v>
      </c>
      <c r="Z462" s="9">
        <f t="shared" si="37"/>
        <v>491.68125000000003</v>
      </c>
      <c r="AA462" s="5">
        <f t="shared" si="38"/>
        <v>546.25786875000006</v>
      </c>
      <c r="AB462" s="6">
        <f t="shared" si="39"/>
        <v>796.47445687499999</v>
      </c>
      <c r="AD462" s="10">
        <f t="shared" si="40"/>
        <v>997.24266168750012</v>
      </c>
    </row>
    <row r="463" spans="1:30" x14ac:dyDescent="0.3">
      <c r="A463" t="s">
        <v>30</v>
      </c>
      <c r="B463" s="8" t="s">
        <v>32</v>
      </c>
      <c r="C463" s="8" t="s">
        <v>32</v>
      </c>
      <c r="D463" s="8" t="s">
        <v>33</v>
      </c>
      <c r="E463" s="8" t="s">
        <v>34</v>
      </c>
      <c r="F463" s="8" t="s">
        <v>35</v>
      </c>
      <c r="G463">
        <v>8421999000</v>
      </c>
      <c r="H463" t="s">
        <v>36</v>
      </c>
      <c r="I463" t="s">
        <v>554</v>
      </c>
      <c r="J463" t="s">
        <v>38</v>
      </c>
      <c r="K463" t="s">
        <v>39</v>
      </c>
      <c r="L463">
        <v>12</v>
      </c>
      <c r="M463">
        <v>1</v>
      </c>
      <c r="N463" t="s">
        <v>64</v>
      </c>
      <c r="O463">
        <v>0</v>
      </c>
      <c r="P463">
        <v>269.91000000000003</v>
      </c>
      <c r="Q463">
        <v>30.99</v>
      </c>
      <c r="R463">
        <v>1.8</v>
      </c>
      <c r="S463">
        <v>302.7</v>
      </c>
      <c r="T463" t="s">
        <v>41</v>
      </c>
      <c r="U463" t="s">
        <v>41</v>
      </c>
      <c r="V463" t="s">
        <v>38</v>
      </c>
      <c r="W463" t="s">
        <v>555</v>
      </c>
      <c r="X463">
        <v>269.91000000000003</v>
      </c>
      <c r="Y463" s="9">
        <f t="shared" si="36"/>
        <v>269.91000000000003</v>
      </c>
      <c r="Z463" s="9">
        <f t="shared" si="37"/>
        <v>506.08125000000007</v>
      </c>
      <c r="AA463" s="5">
        <f t="shared" si="38"/>
        <v>562.25626875000012</v>
      </c>
      <c r="AB463" s="6">
        <f t="shared" si="39"/>
        <v>819.80101687500007</v>
      </c>
      <c r="AD463" s="10">
        <f t="shared" si="40"/>
        <v>1026.4491736875002</v>
      </c>
    </row>
    <row r="464" spans="1:30" x14ac:dyDescent="0.3">
      <c r="A464" t="s">
        <v>30</v>
      </c>
      <c r="B464" s="8" t="s">
        <v>556</v>
      </c>
      <c r="C464" s="8" t="s">
        <v>32</v>
      </c>
      <c r="D464" s="8" t="s">
        <v>33</v>
      </c>
      <c r="E464" s="8" t="s">
        <v>34</v>
      </c>
      <c r="F464" s="8" t="s">
        <v>35</v>
      </c>
      <c r="G464">
        <v>8536901000</v>
      </c>
      <c r="H464" t="s">
        <v>195</v>
      </c>
      <c r="I464" t="s">
        <v>557</v>
      </c>
      <c r="J464" t="s">
        <v>38</v>
      </c>
      <c r="K464" t="s">
        <v>39</v>
      </c>
      <c r="L464">
        <v>8</v>
      </c>
      <c r="M464">
        <v>3</v>
      </c>
      <c r="N464" t="s">
        <v>64</v>
      </c>
      <c r="O464">
        <v>0</v>
      </c>
      <c r="P464">
        <v>1184.83</v>
      </c>
      <c r="Q464">
        <v>170.51</v>
      </c>
      <c r="R464">
        <v>8.34</v>
      </c>
      <c r="S464">
        <v>1363.68</v>
      </c>
      <c r="T464" t="s">
        <v>41</v>
      </c>
      <c r="U464" t="s">
        <v>41</v>
      </c>
      <c r="V464" t="s">
        <v>38</v>
      </c>
      <c r="W464" t="s">
        <v>558</v>
      </c>
      <c r="X464">
        <v>394.94</v>
      </c>
      <c r="Y464" s="9">
        <f t="shared" si="36"/>
        <v>394.94333333333333</v>
      </c>
      <c r="Z464" s="9">
        <f t="shared" si="37"/>
        <v>740.51874999999995</v>
      </c>
      <c r="AA464" s="5">
        <f t="shared" si="38"/>
        <v>822.71633124999994</v>
      </c>
      <c r="AB464" s="6">
        <f t="shared" si="39"/>
        <v>1199.5663231249998</v>
      </c>
      <c r="AD464" s="10">
        <f t="shared" si="40"/>
        <v>1501.9423443125002</v>
      </c>
    </row>
    <row r="465" spans="1:30" x14ac:dyDescent="0.3">
      <c r="A465" t="s">
        <v>30</v>
      </c>
      <c r="B465" s="8" t="s">
        <v>32</v>
      </c>
      <c r="C465" s="8" t="s">
        <v>32</v>
      </c>
      <c r="D465" s="8" t="s">
        <v>33</v>
      </c>
      <c r="E465" s="8" t="s">
        <v>34</v>
      </c>
      <c r="F465" s="8" t="s">
        <v>35</v>
      </c>
      <c r="G465">
        <v>8421999000</v>
      </c>
      <c r="H465" t="s">
        <v>36</v>
      </c>
      <c r="I465" t="s">
        <v>539</v>
      </c>
      <c r="J465" t="s">
        <v>38</v>
      </c>
      <c r="K465" t="s">
        <v>39</v>
      </c>
      <c r="L465">
        <v>8</v>
      </c>
      <c r="M465">
        <v>1</v>
      </c>
      <c r="N465" t="s">
        <v>64</v>
      </c>
      <c r="O465">
        <v>0</v>
      </c>
      <c r="P465">
        <v>280.61</v>
      </c>
      <c r="Q465">
        <v>15.89</v>
      </c>
      <c r="R465">
        <v>1.79</v>
      </c>
      <c r="S465">
        <v>298.29000000000002</v>
      </c>
      <c r="T465" t="s">
        <v>41</v>
      </c>
      <c r="U465" t="s">
        <v>41</v>
      </c>
      <c r="V465" t="s">
        <v>38</v>
      </c>
      <c r="W465" t="s">
        <v>559</v>
      </c>
      <c r="X465">
        <v>280.61</v>
      </c>
      <c r="Y465" s="9">
        <f t="shared" si="36"/>
        <v>280.61</v>
      </c>
      <c r="Z465" s="9">
        <f t="shared" si="37"/>
        <v>526.14375000000007</v>
      </c>
      <c r="AA465" s="5">
        <f t="shared" si="38"/>
        <v>584.54570625000008</v>
      </c>
      <c r="AB465" s="6">
        <f t="shared" si="39"/>
        <v>852.30026062500008</v>
      </c>
      <c r="AD465" s="10">
        <f t="shared" si="40"/>
        <v>1067.1405380625004</v>
      </c>
    </row>
    <row r="466" spans="1:30" x14ac:dyDescent="0.3">
      <c r="A466" t="s">
        <v>168</v>
      </c>
      <c r="B466" s="8" t="s">
        <v>32</v>
      </c>
      <c r="C466" s="8" t="s">
        <v>32</v>
      </c>
      <c r="E466" s="8" t="s">
        <v>70</v>
      </c>
      <c r="F466" s="8" t="s">
        <v>71</v>
      </c>
      <c r="G466">
        <v>8421999000</v>
      </c>
      <c r="H466" t="s">
        <v>36</v>
      </c>
      <c r="I466" t="s">
        <v>539</v>
      </c>
      <c r="J466" t="s">
        <v>38</v>
      </c>
      <c r="K466" t="s">
        <v>39</v>
      </c>
      <c r="L466">
        <v>0</v>
      </c>
      <c r="M466">
        <v>4</v>
      </c>
      <c r="N466" t="s">
        <v>64</v>
      </c>
      <c r="O466">
        <v>0</v>
      </c>
      <c r="P466">
        <v>956.11</v>
      </c>
      <c r="Q466">
        <v>73.400000000000006</v>
      </c>
      <c r="R466">
        <v>6.89</v>
      </c>
      <c r="S466">
        <v>1036.3900000000001</v>
      </c>
      <c r="T466" t="s">
        <v>41</v>
      </c>
      <c r="U466" t="s">
        <v>41</v>
      </c>
      <c r="V466" t="s">
        <v>38</v>
      </c>
      <c r="W466" t="s">
        <v>559</v>
      </c>
      <c r="X466">
        <v>239.03</v>
      </c>
      <c r="Y466" s="9">
        <f t="shared" si="36"/>
        <v>239.0275</v>
      </c>
      <c r="Z466" s="9">
        <f t="shared" si="37"/>
        <v>448.17656249999999</v>
      </c>
      <c r="AA466" s="5">
        <f t="shared" si="38"/>
        <v>497.92416093750001</v>
      </c>
      <c r="AB466" s="6">
        <f t="shared" si="39"/>
        <v>726.00121359374998</v>
      </c>
      <c r="AD466" s="10">
        <f t="shared" si="40"/>
        <v>909.00514935937508</v>
      </c>
    </row>
    <row r="467" spans="1:30" x14ac:dyDescent="0.3">
      <c r="A467" t="s">
        <v>168</v>
      </c>
      <c r="B467" s="8" t="s">
        <v>32</v>
      </c>
      <c r="C467" s="8" t="s">
        <v>32</v>
      </c>
      <c r="E467" s="8" t="s">
        <v>70</v>
      </c>
      <c r="F467" s="8" t="s">
        <v>71</v>
      </c>
      <c r="G467">
        <v>8421999000</v>
      </c>
      <c r="H467" t="s">
        <v>36</v>
      </c>
      <c r="I467" t="s">
        <v>560</v>
      </c>
      <c r="J467" t="s">
        <v>38</v>
      </c>
      <c r="K467" t="s">
        <v>39</v>
      </c>
      <c r="L467">
        <v>0</v>
      </c>
      <c r="M467">
        <v>1</v>
      </c>
      <c r="N467" t="s">
        <v>64</v>
      </c>
      <c r="O467">
        <v>0</v>
      </c>
      <c r="P467">
        <v>306.14</v>
      </c>
      <c r="Q467">
        <v>23.5</v>
      </c>
      <c r="R467">
        <v>2.2000000000000002</v>
      </c>
      <c r="S467">
        <v>331.85</v>
      </c>
      <c r="T467" t="s">
        <v>41</v>
      </c>
      <c r="U467" t="s">
        <v>41</v>
      </c>
      <c r="V467" t="s">
        <v>38</v>
      </c>
      <c r="W467" t="s">
        <v>561</v>
      </c>
      <c r="X467">
        <v>306.14</v>
      </c>
      <c r="Y467" s="9">
        <f t="shared" si="36"/>
        <v>306.14</v>
      </c>
      <c r="Z467" s="9">
        <f t="shared" si="37"/>
        <v>574.01249999999993</v>
      </c>
      <c r="AA467" s="5">
        <f t="shared" si="38"/>
        <v>637.72788749999995</v>
      </c>
      <c r="AB467" s="6">
        <f t="shared" si="39"/>
        <v>929.8428487499998</v>
      </c>
      <c r="AD467" s="10">
        <f t="shared" si="40"/>
        <v>1164.2293728750001</v>
      </c>
    </row>
    <row r="468" spans="1:30" x14ac:dyDescent="0.3">
      <c r="A468" t="s">
        <v>30</v>
      </c>
      <c r="B468" s="8" t="s">
        <v>32</v>
      </c>
      <c r="C468" s="8" t="s">
        <v>32</v>
      </c>
      <c r="D468" s="8" t="s">
        <v>33</v>
      </c>
      <c r="E468" s="8" t="s">
        <v>34</v>
      </c>
      <c r="F468" s="8" t="s">
        <v>35</v>
      </c>
      <c r="G468">
        <v>8537109090</v>
      </c>
      <c r="H468" t="s">
        <v>36</v>
      </c>
      <c r="I468" t="s">
        <v>562</v>
      </c>
      <c r="J468" t="s">
        <v>38</v>
      </c>
      <c r="K468" t="s">
        <v>39</v>
      </c>
      <c r="L468">
        <v>8</v>
      </c>
      <c r="M468">
        <v>1</v>
      </c>
      <c r="N468" t="s">
        <v>64</v>
      </c>
      <c r="O468">
        <v>0</v>
      </c>
      <c r="P468">
        <v>992.82</v>
      </c>
      <c r="Q468">
        <v>124.37</v>
      </c>
      <c r="R468">
        <v>6.78</v>
      </c>
      <c r="S468">
        <v>1123.97</v>
      </c>
      <c r="T468" t="s">
        <v>41</v>
      </c>
      <c r="U468" t="s">
        <v>41</v>
      </c>
      <c r="V468" t="s">
        <v>38</v>
      </c>
      <c r="W468" t="s">
        <v>563</v>
      </c>
      <c r="X468">
        <v>992.82</v>
      </c>
      <c r="Y468" s="9">
        <f t="shared" si="36"/>
        <v>992.82</v>
      </c>
      <c r="Z468" s="9">
        <f t="shared" si="37"/>
        <v>1861.5375000000001</v>
      </c>
      <c r="AA468" s="5">
        <f t="shared" si="38"/>
        <v>2068.1681625000001</v>
      </c>
      <c r="AB468" s="6">
        <f t="shared" si="39"/>
        <v>3015.5045962499998</v>
      </c>
      <c r="AD468" s="10">
        <f t="shared" si="40"/>
        <v>3775.6262036250005</v>
      </c>
    </row>
    <row r="469" spans="1:30" x14ac:dyDescent="0.3">
      <c r="A469" t="s">
        <v>30</v>
      </c>
      <c r="B469" s="8" t="s">
        <v>32</v>
      </c>
      <c r="C469" s="8" t="s">
        <v>32</v>
      </c>
      <c r="D469" s="8" t="s">
        <v>33</v>
      </c>
      <c r="E469" s="8" t="s">
        <v>34</v>
      </c>
      <c r="F469" s="8" t="s">
        <v>35</v>
      </c>
      <c r="G469">
        <v>8517699000</v>
      </c>
      <c r="H469" t="s">
        <v>36</v>
      </c>
      <c r="I469" t="s">
        <v>564</v>
      </c>
      <c r="J469" t="s">
        <v>38</v>
      </c>
      <c r="K469" t="s">
        <v>39</v>
      </c>
      <c r="L469">
        <v>10</v>
      </c>
      <c r="M469">
        <v>3</v>
      </c>
      <c r="N469" t="s">
        <v>64</v>
      </c>
      <c r="O469">
        <v>0</v>
      </c>
      <c r="P469">
        <v>2087.86</v>
      </c>
      <c r="Q469">
        <v>173.77</v>
      </c>
      <c r="R469">
        <v>13.68</v>
      </c>
      <c r="S469">
        <v>2275.31</v>
      </c>
      <c r="T469" t="s">
        <v>41</v>
      </c>
      <c r="U469" t="s">
        <v>43</v>
      </c>
      <c r="V469" t="s">
        <v>38</v>
      </c>
      <c r="W469" t="s">
        <v>565</v>
      </c>
      <c r="X469">
        <v>695.95</v>
      </c>
      <c r="Y469" s="9">
        <f t="shared" si="36"/>
        <v>695.95333333333338</v>
      </c>
      <c r="Z469" s="9">
        <f t="shared" si="37"/>
        <v>1304.9125000000001</v>
      </c>
      <c r="AA469" s="5">
        <f t="shared" si="38"/>
        <v>1449.7577875000002</v>
      </c>
      <c r="AB469" s="6">
        <f t="shared" si="39"/>
        <v>2113.8277587500002</v>
      </c>
      <c r="AD469" s="10">
        <f t="shared" si="40"/>
        <v>2646.6626798750003</v>
      </c>
    </row>
    <row r="470" spans="1:30" x14ac:dyDescent="0.3">
      <c r="A470" t="s">
        <v>30</v>
      </c>
      <c r="B470" s="8" t="s">
        <v>32</v>
      </c>
      <c r="C470" s="8" t="s">
        <v>32</v>
      </c>
      <c r="D470" s="8" t="s">
        <v>33</v>
      </c>
      <c r="E470" s="8" t="s">
        <v>34</v>
      </c>
      <c r="F470" s="8" t="s">
        <v>35</v>
      </c>
      <c r="G470">
        <v>8537109090</v>
      </c>
      <c r="H470" t="s">
        <v>36</v>
      </c>
      <c r="I470" t="s">
        <v>562</v>
      </c>
      <c r="J470" t="s">
        <v>38</v>
      </c>
      <c r="K470" t="s">
        <v>39</v>
      </c>
      <c r="L470">
        <v>8</v>
      </c>
      <c r="M470">
        <v>1</v>
      </c>
      <c r="N470" t="s">
        <v>64</v>
      </c>
      <c r="O470">
        <v>0</v>
      </c>
      <c r="P470">
        <v>696.98</v>
      </c>
      <c r="Q470">
        <v>87.31</v>
      </c>
      <c r="R470">
        <v>4.76</v>
      </c>
      <c r="S470">
        <v>789.05</v>
      </c>
      <c r="T470" t="s">
        <v>41</v>
      </c>
      <c r="U470" t="s">
        <v>41</v>
      </c>
      <c r="V470" t="s">
        <v>38</v>
      </c>
      <c r="W470" t="s">
        <v>565</v>
      </c>
      <c r="X470">
        <v>696.98</v>
      </c>
      <c r="Y470" s="9">
        <f t="shared" si="36"/>
        <v>696.98</v>
      </c>
      <c r="Z470" s="9">
        <f t="shared" si="37"/>
        <v>1306.8375000000001</v>
      </c>
      <c r="AA470" s="5">
        <f t="shared" si="38"/>
        <v>1451.8964625000001</v>
      </c>
      <c r="AB470" s="6">
        <f t="shared" si="39"/>
        <v>2116.9460662500001</v>
      </c>
      <c r="AD470" s="10">
        <f t="shared" si="40"/>
        <v>2650.5670226250004</v>
      </c>
    </row>
    <row r="471" spans="1:30" x14ac:dyDescent="0.3">
      <c r="A471" t="s">
        <v>30</v>
      </c>
      <c r="B471" s="8" t="s">
        <v>337</v>
      </c>
      <c r="C471" s="8" t="s">
        <v>32</v>
      </c>
      <c r="D471" s="8" t="s">
        <v>69</v>
      </c>
      <c r="E471" s="8" t="s">
        <v>70</v>
      </c>
      <c r="F471" s="8" t="s">
        <v>71</v>
      </c>
      <c r="G471">
        <v>8537109090</v>
      </c>
      <c r="H471" t="s">
        <v>36</v>
      </c>
      <c r="I471" t="s">
        <v>421</v>
      </c>
      <c r="J471" t="s">
        <v>38</v>
      </c>
      <c r="K471" t="s">
        <v>39</v>
      </c>
      <c r="L471">
        <v>13</v>
      </c>
      <c r="M471">
        <v>1</v>
      </c>
      <c r="N471" t="s">
        <v>64</v>
      </c>
      <c r="O471">
        <v>0</v>
      </c>
      <c r="P471">
        <v>614.07000000000005</v>
      </c>
      <c r="Q471">
        <v>43.6</v>
      </c>
      <c r="R471">
        <v>4.01</v>
      </c>
      <c r="S471">
        <v>661.68</v>
      </c>
      <c r="T471" t="s">
        <v>41</v>
      </c>
      <c r="U471" t="s">
        <v>41</v>
      </c>
      <c r="V471" t="s">
        <v>38</v>
      </c>
      <c r="W471" t="s">
        <v>566</v>
      </c>
      <c r="X471">
        <v>614.07000000000005</v>
      </c>
      <c r="Y471" s="9">
        <f t="shared" si="36"/>
        <v>614.07000000000005</v>
      </c>
      <c r="Z471" s="9">
        <f t="shared" si="37"/>
        <v>1151.3812500000001</v>
      </c>
      <c r="AA471" s="5">
        <f t="shared" si="38"/>
        <v>1279.1845687500002</v>
      </c>
      <c r="AB471" s="6">
        <f t="shared" si="39"/>
        <v>1865.122486875</v>
      </c>
      <c r="AD471" s="10">
        <f t="shared" si="40"/>
        <v>2335.2659926875003</v>
      </c>
    </row>
    <row r="472" spans="1:30" x14ac:dyDescent="0.3">
      <c r="A472" t="s">
        <v>30</v>
      </c>
      <c r="B472" s="8" t="s">
        <v>337</v>
      </c>
      <c r="C472" s="8" t="s">
        <v>32</v>
      </c>
      <c r="D472" s="8" t="s">
        <v>69</v>
      </c>
      <c r="E472" s="8" t="s">
        <v>70</v>
      </c>
      <c r="F472" s="8" t="s">
        <v>71</v>
      </c>
      <c r="G472">
        <v>8537109090</v>
      </c>
      <c r="H472" t="s">
        <v>36</v>
      </c>
      <c r="I472" t="s">
        <v>421</v>
      </c>
      <c r="J472" t="s">
        <v>38</v>
      </c>
      <c r="K472" t="s">
        <v>39</v>
      </c>
      <c r="L472">
        <v>9</v>
      </c>
      <c r="M472">
        <v>2</v>
      </c>
      <c r="N472" t="s">
        <v>64</v>
      </c>
      <c r="O472">
        <v>0</v>
      </c>
      <c r="P472">
        <v>1294.2</v>
      </c>
      <c r="Q472">
        <v>65.22</v>
      </c>
      <c r="R472">
        <v>8.2200000000000006</v>
      </c>
      <c r="S472">
        <v>1367.64</v>
      </c>
      <c r="T472" t="s">
        <v>41</v>
      </c>
      <c r="U472" t="s">
        <v>43</v>
      </c>
      <c r="V472" t="s">
        <v>38</v>
      </c>
      <c r="W472" t="s">
        <v>567</v>
      </c>
      <c r="X472">
        <v>647.1</v>
      </c>
      <c r="Y472" s="9">
        <f t="shared" si="36"/>
        <v>647.1</v>
      </c>
      <c r="Z472" s="9">
        <f t="shared" si="37"/>
        <v>1213.3125</v>
      </c>
      <c r="AA472" s="5">
        <f t="shared" si="38"/>
        <v>1347.9901875</v>
      </c>
      <c r="AB472" s="6">
        <f t="shared" si="39"/>
        <v>1965.4449187499999</v>
      </c>
      <c r="AD472" s="10">
        <f t="shared" si="40"/>
        <v>2460.8768118750004</v>
      </c>
    </row>
    <row r="473" spans="1:30" x14ac:dyDescent="0.3">
      <c r="A473" t="s">
        <v>30</v>
      </c>
      <c r="B473" s="8" t="s">
        <v>31</v>
      </c>
      <c r="C473" s="8" t="s">
        <v>32</v>
      </c>
      <c r="D473" s="8" t="s">
        <v>69</v>
      </c>
      <c r="E473" s="8" t="s">
        <v>70</v>
      </c>
      <c r="F473" s="8" t="s">
        <v>71</v>
      </c>
      <c r="G473">
        <v>9032899000</v>
      </c>
      <c r="H473" t="s">
        <v>36</v>
      </c>
      <c r="I473" t="s">
        <v>568</v>
      </c>
      <c r="J473" t="s">
        <v>38</v>
      </c>
      <c r="K473" t="s">
        <v>39</v>
      </c>
      <c r="L473">
        <v>8</v>
      </c>
      <c r="M473">
        <v>2</v>
      </c>
      <c r="N473" t="s">
        <v>64</v>
      </c>
      <c r="O473">
        <v>0</v>
      </c>
      <c r="P473">
        <v>49.82</v>
      </c>
      <c r="Q473">
        <v>3.26</v>
      </c>
      <c r="R473">
        <v>0.32</v>
      </c>
      <c r="S473">
        <v>53.4</v>
      </c>
      <c r="T473" t="s">
        <v>41</v>
      </c>
      <c r="U473" t="s">
        <v>41</v>
      </c>
      <c r="V473" t="s">
        <v>38</v>
      </c>
      <c r="W473" t="s">
        <v>569</v>
      </c>
      <c r="X473">
        <v>24.91</v>
      </c>
      <c r="Y473" s="9">
        <f t="shared" si="36"/>
        <v>24.91</v>
      </c>
      <c r="Z473" s="9">
        <f t="shared" si="37"/>
        <v>46.706249999999997</v>
      </c>
      <c r="AA473" s="5">
        <f t="shared" si="38"/>
        <v>51.890643749999995</v>
      </c>
      <c r="AB473" s="6">
        <f t="shared" si="39"/>
        <v>75.659454374999996</v>
      </c>
      <c r="AD473" s="10">
        <f t="shared" si="40"/>
        <v>94.7310174375</v>
      </c>
    </row>
    <row r="474" spans="1:30" x14ac:dyDescent="0.3">
      <c r="A474" t="s">
        <v>30</v>
      </c>
      <c r="B474" s="8" t="s">
        <v>31</v>
      </c>
      <c r="C474" s="8" t="s">
        <v>32</v>
      </c>
      <c r="D474" s="8" t="s">
        <v>33</v>
      </c>
      <c r="E474" s="8" t="s">
        <v>34</v>
      </c>
      <c r="F474" s="8" t="s">
        <v>35</v>
      </c>
      <c r="G474">
        <v>9032899000</v>
      </c>
      <c r="H474" t="s">
        <v>36</v>
      </c>
      <c r="I474" t="s">
        <v>183</v>
      </c>
      <c r="J474" t="s">
        <v>38</v>
      </c>
      <c r="K474" t="s">
        <v>39</v>
      </c>
      <c r="L474">
        <v>12</v>
      </c>
      <c r="M474">
        <v>1</v>
      </c>
      <c r="N474" t="s">
        <v>64</v>
      </c>
      <c r="O474">
        <v>0</v>
      </c>
      <c r="P474">
        <v>25.64</v>
      </c>
      <c r="Q474">
        <v>2.94</v>
      </c>
      <c r="R474">
        <v>0.17</v>
      </c>
      <c r="S474">
        <v>28.75</v>
      </c>
      <c r="T474" t="s">
        <v>41</v>
      </c>
      <c r="U474" t="s">
        <v>41</v>
      </c>
      <c r="V474" t="s">
        <v>38</v>
      </c>
      <c r="W474" t="s">
        <v>569</v>
      </c>
      <c r="X474">
        <v>25.64</v>
      </c>
      <c r="Y474" s="9">
        <f t="shared" si="36"/>
        <v>25.64</v>
      </c>
      <c r="Z474" s="9">
        <f t="shared" si="37"/>
        <v>48.075000000000003</v>
      </c>
      <c r="AA474" s="5">
        <f t="shared" si="38"/>
        <v>53.411325000000005</v>
      </c>
      <c r="AB474" s="6">
        <f t="shared" si="39"/>
        <v>77.876692500000004</v>
      </c>
      <c r="AD474" s="10">
        <f t="shared" si="40"/>
        <v>97.50715725000002</v>
      </c>
    </row>
    <row r="475" spans="1:30" x14ac:dyDescent="0.3">
      <c r="A475" t="s">
        <v>30</v>
      </c>
      <c r="B475" s="8" t="s">
        <v>66</v>
      </c>
      <c r="C475" s="8" t="s">
        <v>32</v>
      </c>
      <c r="D475" s="8" t="s">
        <v>69</v>
      </c>
      <c r="E475" s="8" t="s">
        <v>70</v>
      </c>
      <c r="F475" s="8" t="s">
        <v>71</v>
      </c>
      <c r="G475">
        <v>8414590000</v>
      </c>
      <c r="H475" t="s">
        <v>36</v>
      </c>
      <c r="I475" t="s">
        <v>466</v>
      </c>
      <c r="J475" t="s">
        <v>38</v>
      </c>
      <c r="K475" t="s">
        <v>39</v>
      </c>
      <c r="L475">
        <v>9</v>
      </c>
      <c r="M475">
        <v>1</v>
      </c>
      <c r="N475" t="s">
        <v>64</v>
      </c>
      <c r="O475">
        <v>0</v>
      </c>
      <c r="P475">
        <v>132.05000000000001</v>
      </c>
      <c r="Q475">
        <v>6.66</v>
      </c>
      <c r="R475">
        <v>0.84</v>
      </c>
      <c r="S475">
        <v>139.54</v>
      </c>
      <c r="T475" t="s">
        <v>41</v>
      </c>
      <c r="U475" t="s">
        <v>43</v>
      </c>
      <c r="V475" t="s">
        <v>38</v>
      </c>
      <c r="W475" t="s">
        <v>570</v>
      </c>
      <c r="X475">
        <v>132.05000000000001</v>
      </c>
      <c r="Y475" s="9">
        <f t="shared" si="36"/>
        <v>132.05000000000001</v>
      </c>
      <c r="Z475" s="9">
        <f t="shared" si="37"/>
        <v>247.59375000000003</v>
      </c>
      <c r="AA475" s="5">
        <f t="shared" si="38"/>
        <v>275.07665625000004</v>
      </c>
      <c r="AB475" s="6">
        <f t="shared" si="39"/>
        <v>401.07711562500003</v>
      </c>
      <c r="AD475" s="10">
        <f t="shared" si="40"/>
        <v>502.17707156250009</v>
      </c>
    </row>
    <row r="476" spans="1:30" x14ac:dyDescent="0.3">
      <c r="A476" t="s">
        <v>30</v>
      </c>
      <c r="B476" s="8" t="s">
        <v>66</v>
      </c>
      <c r="C476" s="8" t="s">
        <v>32</v>
      </c>
      <c r="D476" s="8" t="s">
        <v>33</v>
      </c>
      <c r="E476" s="8" t="s">
        <v>34</v>
      </c>
      <c r="F476" s="8" t="s">
        <v>35</v>
      </c>
      <c r="G476">
        <v>7320209090</v>
      </c>
      <c r="H476" t="s">
        <v>36</v>
      </c>
      <c r="I476" t="s">
        <v>571</v>
      </c>
      <c r="J476" t="s">
        <v>38</v>
      </c>
      <c r="K476" t="s">
        <v>39</v>
      </c>
      <c r="L476">
        <v>7</v>
      </c>
      <c r="M476">
        <v>2</v>
      </c>
      <c r="N476" t="s">
        <v>40</v>
      </c>
      <c r="O476">
        <v>0</v>
      </c>
      <c r="P476">
        <v>123.35</v>
      </c>
      <c r="Q476">
        <v>19.489999999999998</v>
      </c>
      <c r="R476">
        <v>0.76</v>
      </c>
      <c r="S476">
        <v>143.6</v>
      </c>
      <c r="T476" t="s">
        <v>41</v>
      </c>
      <c r="U476" t="s">
        <v>41</v>
      </c>
      <c r="V476" t="s">
        <v>38</v>
      </c>
      <c r="W476" t="s">
        <v>572</v>
      </c>
      <c r="X476">
        <v>61.67</v>
      </c>
      <c r="Y476" s="9">
        <f t="shared" si="36"/>
        <v>61.674999999999997</v>
      </c>
      <c r="Z476" s="9">
        <f t="shared" si="37"/>
        <v>115.640625</v>
      </c>
      <c r="AA476" s="5">
        <f t="shared" si="38"/>
        <v>128.47673437500001</v>
      </c>
      <c r="AB476" s="6">
        <f t="shared" si="39"/>
        <v>187.3262484375</v>
      </c>
      <c r="AD476" s="10">
        <f t="shared" si="40"/>
        <v>234.54578484375003</v>
      </c>
    </row>
    <row r="477" spans="1:30" x14ac:dyDescent="0.3">
      <c r="A477" t="s">
        <v>168</v>
      </c>
      <c r="B477" s="8" t="s">
        <v>66</v>
      </c>
      <c r="C477" s="8" t="s">
        <v>32</v>
      </c>
      <c r="D477" s="8" t="s">
        <v>33</v>
      </c>
      <c r="E477" s="8" t="s">
        <v>34</v>
      </c>
      <c r="F477" s="8" t="s">
        <v>35</v>
      </c>
      <c r="G477">
        <v>7320209090</v>
      </c>
      <c r="H477" t="s">
        <v>36</v>
      </c>
      <c r="I477" t="s">
        <v>573</v>
      </c>
      <c r="J477" t="s">
        <v>38</v>
      </c>
      <c r="K477" t="s">
        <v>39</v>
      </c>
      <c r="L477">
        <v>11</v>
      </c>
      <c r="M477">
        <v>6</v>
      </c>
      <c r="N477" t="s">
        <v>40</v>
      </c>
      <c r="O477">
        <v>0</v>
      </c>
      <c r="P477">
        <v>372.06</v>
      </c>
      <c r="Q477">
        <v>35.64</v>
      </c>
      <c r="R477">
        <v>2.5099999999999998</v>
      </c>
      <c r="S477">
        <v>410.21</v>
      </c>
      <c r="T477" t="s">
        <v>41</v>
      </c>
      <c r="U477" t="s">
        <v>43</v>
      </c>
      <c r="V477" t="s">
        <v>38</v>
      </c>
      <c r="W477" t="s">
        <v>572</v>
      </c>
      <c r="X477">
        <v>62.01</v>
      </c>
      <c r="Y477" s="9">
        <f t="shared" si="36"/>
        <v>62.01</v>
      </c>
      <c r="Z477" s="9">
        <f t="shared" si="37"/>
        <v>116.26875</v>
      </c>
      <c r="AA477" s="5">
        <f t="shared" si="38"/>
        <v>129.17458124999999</v>
      </c>
      <c r="AB477" s="6">
        <f t="shared" si="39"/>
        <v>188.34374812499999</v>
      </c>
      <c r="AD477" s="10">
        <f t="shared" si="40"/>
        <v>235.81976681250001</v>
      </c>
    </row>
    <row r="478" spans="1:30" x14ac:dyDescent="0.3">
      <c r="A478" t="s">
        <v>30</v>
      </c>
      <c r="B478" s="8" t="s">
        <v>66</v>
      </c>
      <c r="C478" s="8" t="s">
        <v>32</v>
      </c>
      <c r="D478" s="8" t="s">
        <v>33</v>
      </c>
      <c r="E478" s="8" t="s">
        <v>34</v>
      </c>
      <c r="F478" s="8" t="s">
        <v>35</v>
      </c>
      <c r="G478">
        <v>7320209090</v>
      </c>
      <c r="H478" t="s">
        <v>36</v>
      </c>
      <c r="I478" t="s">
        <v>574</v>
      </c>
      <c r="J478" t="s">
        <v>38</v>
      </c>
      <c r="K478" t="s">
        <v>39</v>
      </c>
      <c r="L478">
        <v>8</v>
      </c>
      <c r="M478">
        <v>5</v>
      </c>
      <c r="N478" t="s">
        <v>40</v>
      </c>
      <c r="O478">
        <v>0</v>
      </c>
      <c r="P478">
        <v>307.91000000000003</v>
      </c>
      <c r="Q478">
        <v>38.57</v>
      </c>
      <c r="R478">
        <v>2.1</v>
      </c>
      <c r="S478">
        <v>348.58</v>
      </c>
      <c r="T478" t="s">
        <v>41</v>
      </c>
      <c r="U478" t="s">
        <v>41</v>
      </c>
      <c r="V478" t="s">
        <v>38</v>
      </c>
      <c r="W478" t="s">
        <v>572</v>
      </c>
      <c r="X478">
        <v>61.58</v>
      </c>
      <c r="Y478" s="9">
        <f t="shared" si="36"/>
        <v>61.582000000000008</v>
      </c>
      <c r="Z478" s="9">
        <f t="shared" si="37"/>
        <v>115.46625000000002</v>
      </c>
      <c r="AA478" s="5">
        <f t="shared" si="38"/>
        <v>128.28300375000001</v>
      </c>
      <c r="AB478" s="6">
        <f t="shared" si="39"/>
        <v>187.04377837500002</v>
      </c>
      <c r="AD478" s="10">
        <f t="shared" si="40"/>
        <v>234.19211223750006</v>
      </c>
    </row>
    <row r="479" spans="1:30" x14ac:dyDescent="0.3">
      <c r="A479" t="s">
        <v>30</v>
      </c>
      <c r="B479" s="8" t="s">
        <v>66</v>
      </c>
      <c r="C479" s="8" t="s">
        <v>32</v>
      </c>
      <c r="D479" s="8" t="s">
        <v>33</v>
      </c>
      <c r="E479" s="8" t="s">
        <v>34</v>
      </c>
      <c r="F479" s="8" t="s">
        <v>35</v>
      </c>
      <c r="G479">
        <v>8481909090</v>
      </c>
      <c r="H479" t="s">
        <v>238</v>
      </c>
      <c r="I479" t="s">
        <v>575</v>
      </c>
      <c r="J479" t="s">
        <v>38</v>
      </c>
      <c r="K479" t="s">
        <v>39</v>
      </c>
      <c r="L479">
        <v>3</v>
      </c>
      <c r="M479">
        <v>15</v>
      </c>
      <c r="N479" t="s">
        <v>64</v>
      </c>
      <c r="O479">
        <v>0</v>
      </c>
      <c r="P479">
        <v>416.98</v>
      </c>
      <c r="Q479">
        <v>17.84</v>
      </c>
      <c r="R479">
        <v>2.69</v>
      </c>
      <c r="S479">
        <v>437.52</v>
      </c>
      <c r="T479" t="s">
        <v>41</v>
      </c>
      <c r="U479" t="s">
        <v>43</v>
      </c>
      <c r="V479" t="s">
        <v>38</v>
      </c>
      <c r="W479" t="s">
        <v>576</v>
      </c>
      <c r="X479">
        <v>27.8</v>
      </c>
      <c r="Y479" s="9">
        <f t="shared" si="36"/>
        <v>27.798666666666669</v>
      </c>
      <c r="Z479" s="9">
        <f t="shared" si="37"/>
        <v>52.122500000000002</v>
      </c>
      <c r="AA479" s="5">
        <f t="shared" si="38"/>
        <v>57.908097500000004</v>
      </c>
      <c r="AB479" s="6">
        <f t="shared" si="39"/>
        <v>84.433237750000004</v>
      </c>
      <c r="AD479" s="10">
        <f t="shared" si="40"/>
        <v>105.71641817500002</v>
      </c>
    </row>
    <row r="480" spans="1:30" x14ac:dyDescent="0.3">
      <c r="A480" t="s">
        <v>30</v>
      </c>
      <c r="B480" s="8" t="s">
        <v>66</v>
      </c>
      <c r="C480" s="8" t="s">
        <v>32</v>
      </c>
      <c r="D480" s="8" t="s">
        <v>33</v>
      </c>
      <c r="E480" s="8" t="s">
        <v>34</v>
      </c>
      <c r="F480" s="8" t="s">
        <v>35</v>
      </c>
      <c r="G480">
        <v>8481909090</v>
      </c>
      <c r="H480" t="s">
        <v>238</v>
      </c>
      <c r="I480" t="s">
        <v>577</v>
      </c>
      <c r="J480" t="s">
        <v>38</v>
      </c>
      <c r="K480" t="s">
        <v>39</v>
      </c>
      <c r="L480">
        <v>6</v>
      </c>
      <c r="M480">
        <v>20</v>
      </c>
      <c r="N480" t="s">
        <v>64</v>
      </c>
      <c r="O480">
        <v>112.22</v>
      </c>
      <c r="P480">
        <v>557.46</v>
      </c>
      <c r="Q480">
        <v>37.83</v>
      </c>
      <c r="R480">
        <v>3.62</v>
      </c>
      <c r="S480">
        <v>598.91</v>
      </c>
      <c r="T480" t="s">
        <v>41</v>
      </c>
      <c r="U480" t="s">
        <v>41</v>
      </c>
      <c r="V480" t="s">
        <v>38</v>
      </c>
      <c r="W480" t="s">
        <v>576</v>
      </c>
      <c r="X480">
        <v>27.87</v>
      </c>
      <c r="Y480" s="9">
        <f t="shared" si="36"/>
        <v>27.873000000000001</v>
      </c>
      <c r="Z480" s="9">
        <f t="shared" si="37"/>
        <v>52.261875000000003</v>
      </c>
      <c r="AA480" s="5">
        <f t="shared" si="38"/>
        <v>58.062943125000004</v>
      </c>
      <c r="AB480" s="6">
        <f t="shared" si="39"/>
        <v>84.659011312499999</v>
      </c>
      <c r="AD480" s="10">
        <f t="shared" si="40"/>
        <v>105.99910273125002</v>
      </c>
    </row>
    <row r="481" spans="1:30" x14ac:dyDescent="0.3">
      <c r="A481" t="s">
        <v>30</v>
      </c>
      <c r="B481" s="8" t="s">
        <v>66</v>
      </c>
      <c r="C481" s="8" t="s">
        <v>32</v>
      </c>
      <c r="D481" s="8" t="s">
        <v>33</v>
      </c>
      <c r="E481" s="8" t="s">
        <v>34</v>
      </c>
      <c r="F481" s="8" t="s">
        <v>35</v>
      </c>
      <c r="G481">
        <v>8481909090</v>
      </c>
      <c r="H481" t="s">
        <v>238</v>
      </c>
      <c r="I481" t="s">
        <v>575</v>
      </c>
      <c r="J481" t="s">
        <v>38</v>
      </c>
      <c r="K481" t="s">
        <v>39</v>
      </c>
      <c r="L481">
        <v>16</v>
      </c>
      <c r="M481">
        <v>15</v>
      </c>
      <c r="N481" t="s">
        <v>64</v>
      </c>
      <c r="O481">
        <v>84.49</v>
      </c>
      <c r="P481">
        <v>419.66</v>
      </c>
      <c r="Q481">
        <v>57.92</v>
      </c>
      <c r="R481">
        <v>2.8</v>
      </c>
      <c r="S481">
        <v>480.38</v>
      </c>
      <c r="T481" t="s">
        <v>41</v>
      </c>
      <c r="U481" t="s">
        <v>41</v>
      </c>
      <c r="V481" t="s">
        <v>38</v>
      </c>
      <c r="W481" t="s">
        <v>576</v>
      </c>
      <c r="X481">
        <v>27.98</v>
      </c>
      <c r="Y481" s="9">
        <f t="shared" si="36"/>
        <v>27.977333333333334</v>
      </c>
      <c r="Z481" s="9">
        <f t="shared" si="37"/>
        <v>52.457500000000003</v>
      </c>
      <c r="AA481" s="5">
        <f t="shared" si="38"/>
        <v>58.280282500000006</v>
      </c>
      <c r="AB481" s="6">
        <f t="shared" si="39"/>
        <v>84.975904249999999</v>
      </c>
      <c r="AD481" s="10">
        <f t="shared" si="40"/>
        <v>106.39587522500001</v>
      </c>
    </row>
    <row r="482" spans="1:30" x14ac:dyDescent="0.3">
      <c r="A482" t="s">
        <v>30</v>
      </c>
      <c r="B482" s="8" t="s">
        <v>66</v>
      </c>
      <c r="C482" s="8" t="s">
        <v>32</v>
      </c>
      <c r="D482" s="8" t="s">
        <v>33</v>
      </c>
      <c r="E482" s="8" t="s">
        <v>34</v>
      </c>
      <c r="F482" s="8" t="s">
        <v>35</v>
      </c>
      <c r="G482">
        <v>8481909090</v>
      </c>
      <c r="H482" t="s">
        <v>53</v>
      </c>
      <c r="I482" t="s">
        <v>575</v>
      </c>
      <c r="J482" t="s">
        <v>38</v>
      </c>
      <c r="K482" t="s">
        <v>39</v>
      </c>
      <c r="L482">
        <v>4</v>
      </c>
      <c r="M482">
        <v>8</v>
      </c>
      <c r="N482" t="s">
        <v>64</v>
      </c>
      <c r="O482">
        <v>44.92</v>
      </c>
      <c r="P482">
        <v>223.14</v>
      </c>
      <c r="Q482">
        <v>11.68</v>
      </c>
      <c r="R482">
        <v>1.46</v>
      </c>
      <c r="S482">
        <v>236.27</v>
      </c>
      <c r="T482" t="s">
        <v>41</v>
      </c>
      <c r="U482" t="s">
        <v>41</v>
      </c>
      <c r="V482" t="s">
        <v>38</v>
      </c>
      <c r="W482" t="s">
        <v>576</v>
      </c>
      <c r="X482">
        <v>27.89</v>
      </c>
      <c r="Y482" s="9">
        <f t="shared" si="36"/>
        <v>27.892499999999998</v>
      </c>
      <c r="Z482" s="9">
        <f t="shared" si="37"/>
        <v>52.298437499999999</v>
      </c>
      <c r="AA482" s="5">
        <f t="shared" si="38"/>
        <v>58.103564062499998</v>
      </c>
      <c r="AB482" s="6">
        <f t="shared" si="39"/>
        <v>84.718238906249994</v>
      </c>
      <c r="AD482" s="10">
        <f t="shared" si="40"/>
        <v>106.07325989062501</v>
      </c>
    </row>
    <row r="483" spans="1:30" x14ac:dyDescent="0.3">
      <c r="A483" t="s">
        <v>30</v>
      </c>
      <c r="B483" s="8" t="s">
        <v>66</v>
      </c>
      <c r="C483" s="8" t="s">
        <v>32</v>
      </c>
      <c r="D483" s="8" t="s">
        <v>69</v>
      </c>
      <c r="E483" s="8" t="s">
        <v>70</v>
      </c>
      <c r="F483" s="8" t="s">
        <v>71</v>
      </c>
      <c r="G483">
        <v>8481909090</v>
      </c>
      <c r="H483" t="s">
        <v>53</v>
      </c>
      <c r="I483" t="s">
        <v>575</v>
      </c>
      <c r="J483" t="s">
        <v>38</v>
      </c>
      <c r="K483" t="s">
        <v>39</v>
      </c>
      <c r="L483">
        <v>8</v>
      </c>
      <c r="M483">
        <v>20</v>
      </c>
      <c r="N483" t="s">
        <v>64</v>
      </c>
      <c r="O483">
        <v>109.79</v>
      </c>
      <c r="P483">
        <v>545.4</v>
      </c>
      <c r="Q483">
        <v>35.700000000000003</v>
      </c>
      <c r="R483">
        <v>3.54</v>
      </c>
      <c r="S483">
        <v>584.64</v>
      </c>
      <c r="T483" t="s">
        <v>41</v>
      </c>
      <c r="U483" t="s">
        <v>41</v>
      </c>
      <c r="V483" t="s">
        <v>38</v>
      </c>
      <c r="W483" t="s">
        <v>576</v>
      </c>
      <c r="X483">
        <v>27.27</v>
      </c>
      <c r="Y483" s="9">
        <f t="shared" si="36"/>
        <v>27.27</v>
      </c>
      <c r="Z483" s="9">
        <f t="shared" si="37"/>
        <v>51.131250000000001</v>
      </c>
      <c r="AA483" s="5">
        <f t="shared" si="38"/>
        <v>56.806818749999998</v>
      </c>
      <c r="AB483" s="6">
        <f t="shared" si="39"/>
        <v>82.827511874999999</v>
      </c>
      <c r="AD483" s="10">
        <f t="shared" si="40"/>
        <v>103.70593518750002</v>
      </c>
    </row>
    <row r="484" spans="1:30" x14ac:dyDescent="0.3">
      <c r="A484" t="s">
        <v>30</v>
      </c>
      <c r="B484" s="8" t="s">
        <v>66</v>
      </c>
      <c r="C484" s="8" t="s">
        <v>32</v>
      </c>
      <c r="D484" s="8" t="s">
        <v>33</v>
      </c>
      <c r="E484" s="8" t="s">
        <v>34</v>
      </c>
      <c r="F484" s="8" t="s">
        <v>35</v>
      </c>
      <c r="G484">
        <v>7307990099</v>
      </c>
      <c r="H484" t="s">
        <v>36</v>
      </c>
      <c r="I484" t="s">
        <v>37</v>
      </c>
      <c r="J484" t="s">
        <v>38</v>
      </c>
      <c r="K484" t="s">
        <v>39</v>
      </c>
      <c r="L484">
        <v>8</v>
      </c>
      <c r="M484">
        <v>1</v>
      </c>
      <c r="N484" t="s">
        <v>40</v>
      </c>
      <c r="O484">
        <v>0</v>
      </c>
      <c r="P484">
        <v>8.9499999999999993</v>
      </c>
      <c r="Q484">
        <v>0.95</v>
      </c>
      <c r="R484">
        <v>0.06</v>
      </c>
      <c r="S484">
        <v>9.9600000000000009</v>
      </c>
      <c r="T484" t="s">
        <v>41</v>
      </c>
      <c r="U484" t="s">
        <v>41</v>
      </c>
      <c r="V484" t="s">
        <v>38</v>
      </c>
      <c r="W484" t="s">
        <v>578</v>
      </c>
      <c r="X484">
        <v>8.9499999999999993</v>
      </c>
      <c r="Y484" s="9">
        <f t="shared" si="36"/>
        <v>8.9499999999999993</v>
      </c>
      <c r="Z484" s="9">
        <f t="shared" si="37"/>
        <v>16.78125</v>
      </c>
      <c r="AA484" s="5">
        <f t="shared" si="38"/>
        <v>18.643968749999999</v>
      </c>
      <c r="AB484" s="6">
        <f t="shared" si="39"/>
        <v>27.183946874999997</v>
      </c>
      <c r="AD484" s="10">
        <f t="shared" si="40"/>
        <v>34.036234687500006</v>
      </c>
    </row>
    <row r="485" spans="1:30" x14ac:dyDescent="0.3">
      <c r="A485" t="s">
        <v>30</v>
      </c>
      <c r="B485" s="8" t="s">
        <v>66</v>
      </c>
      <c r="C485" s="8" t="s">
        <v>32</v>
      </c>
      <c r="D485" s="8" t="s">
        <v>69</v>
      </c>
      <c r="E485" s="8" t="s">
        <v>70</v>
      </c>
      <c r="F485" s="8" t="s">
        <v>71</v>
      </c>
      <c r="G485">
        <v>7307990099</v>
      </c>
      <c r="H485" t="s">
        <v>36</v>
      </c>
      <c r="I485" t="s">
        <v>579</v>
      </c>
      <c r="J485" t="s">
        <v>38</v>
      </c>
      <c r="K485" t="s">
        <v>39</v>
      </c>
      <c r="L485">
        <v>13</v>
      </c>
      <c r="M485">
        <v>1</v>
      </c>
      <c r="N485" t="s">
        <v>40</v>
      </c>
      <c r="O485">
        <v>0</v>
      </c>
      <c r="P485">
        <v>8.75</v>
      </c>
      <c r="Q485">
        <v>0.47</v>
      </c>
      <c r="R485">
        <v>0.06</v>
      </c>
      <c r="S485">
        <v>9.27</v>
      </c>
      <c r="T485" t="s">
        <v>72</v>
      </c>
      <c r="U485" t="s">
        <v>72</v>
      </c>
      <c r="V485" t="s">
        <v>38</v>
      </c>
      <c r="W485" t="s">
        <v>578</v>
      </c>
      <c r="X485">
        <v>8.75</v>
      </c>
      <c r="Y485" s="9">
        <f t="shared" si="36"/>
        <v>8.75</v>
      </c>
      <c r="Z485" s="9">
        <f t="shared" si="37"/>
        <v>16.40625</v>
      </c>
      <c r="AA485" s="5">
        <f t="shared" si="38"/>
        <v>18.227343749999999</v>
      </c>
      <c r="AB485" s="6">
        <f t="shared" si="39"/>
        <v>26.576484375</v>
      </c>
      <c r="AD485" s="10">
        <f t="shared" si="40"/>
        <v>33.275648437500003</v>
      </c>
    </row>
    <row r="486" spans="1:30" x14ac:dyDescent="0.3">
      <c r="A486" t="s">
        <v>30</v>
      </c>
      <c r="B486" s="8" t="s">
        <v>66</v>
      </c>
      <c r="C486" s="8" t="s">
        <v>32</v>
      </c>
      <c r="D486" s="8" t="s">
        <v>33</v>
      </c>
      <c r="E486" s="8" t="s">
        <v>34</v>
      </c>
      <c r="F486" s="8" t="s">
        <v>35</v>
      </c>
      <c r="G486">
        <v>4009220000</v>
      </c>
      <c r="H486" t="s">
        <v>88</v>
      </c>
      <c r="I486" t="s">
        <v>46</v>
      </c>
      <c r="J486" t="s">
        <v>38</v>
      </c>
      <c r="K486" t="s">
        <v>39</v>
      </c>
      <c r="L486">
        <v>16</v>
      </c>
      <c r="M486">
        <v>1</v>
      </c>
      <c r="N486" t="s">
        <v>40</v>
      </c>
      <c r="O486">
        <v>0</v>
      </c>
      <c r="P486">
        <v>168.9</v>
      </c>
      <c r="Q486">
        <v>23.31</v>
      </c>
      <c r="R486">
        <v>1.1299999999999999</v>
      </c>
      <c r="S486">
        <v>193.34</v>
      </c>
      <c r="T486" t="s">
        <v>41</v>
      </c>
      <c r="U486" t="s">
        <v>41</v>
      </c>
      <c r="V486" t="s">
        <v>38</v>
      </c>
      <c r="W486" t="s">
        <v>580</v>
      </c>
      <c r="X486">
        <v>168.9</v>
      </c>
      <c r="Y486" s="9">
        <f t="shared" si="36"/>
        <v>168.9</v>
      </c>
      <c r="Z486" s="9">
        <f t="shared" si="37"/>
        <v>316.6875</v>
      </c>
      <c r="AA486" s="5">
        <f t="shared" si="38"/>
        <v>351.83981249999999</v>
      </c>
      <c r="AB486" s="6">
        <f t="shared" si="39"/>
        <v>513.00208124999995</v>
      </c>
      <c r="AD486" s="10">
        <f t="shared" si="40"/>
        <v>642.3150881250001</v>
      </c>
    </row>
    <row r="487" spans="1:30" x14ac:dyDescent="0.3">
      <c r="A487" t="s">
        <v>30</v>
      </c>
      <c r="B487" s="8" t="s">
        <v>66</v>
      </c>
      <c r="C487" s="8" t="s">
        <v>32</v>
      </c>
      <c r="D487" s="8" t="s">
        <v>33</v>
      </c>
      <c r="E487" s="8" t="s">
        <v>34</v>
      </c>
      <c r="F487" s="8" t="s">
        <v>35</v>
      </c>
      <c r="G487">
        <v>4009220000</v>
      </c>
      <c r="H487" t="s">
        <v>88</v>
      </c>
      <c r="I487" t="s">
        <v>46</v>
      </c>
      <c r="J487" t="s">
        <v>38</v>
      </c>
      <c r="K487" t="s">
        <v>39</v>
      </c>
      <c r="L487">
        <v>16</v>
      </c>
      <c r="M487">
        <v>1</v>
      </c>
      <c r="N487" t="s">
        <v>40</v>
      </c>
      <c r="O487">
        <v>0</v>
      </c>
      <c r="P487">
        <v>70</v>
      </c>
      <c r="Q487">
        <v>9.66</v>
      </c>
      <c r="R487">
        <v>0.47</v>
      </c>
      <c r="S487">
        <v>80.13</v>
      </c>
      <c r="T487" t="s">
        <v>41</v>
      </c>
      <c r="U487" t="s">
        <v>41</v>
      </c>
      <c r="V487" t="s">
        <v>38</v>
      </c>
      <c r="W487" t="s">
        <v>581</v>
      </c>
      <c r="X487">
        <v>70</v>
      </c>
      <c r="Y487" s="9">
        <f t="shared" si="36"/>
        <v>70</v>
      </c>
      <c r="Z487" s="9">
        <f t="shared" si="37"/>
        <v>131.25</v>
      </c>
      <c r="AA487" s="5">
        <f t="shared" si="38"/>
        <v>145.81874999999999</v>
      </c>
      <c r="AB487" s="6">
        <f t="shared" si="39"/>
        <v>212.611875</v>
      </c>
      <c r="AD487" s="10">
        <f t="shared" si="40"/>
        <v>266.20518750000002</v>
      </c>
    </row>
    <row r="488" spans="1:30" x14ac:dyDescent="0.3">
      <c r="A488" t="s">
        <v>30</v>
      </c>
      <c r="B488" s="8" t="s">
        <v>66</v>
      </c>
      <c r="C488" s="8" t="s">
        <v>32</v>
      </c>
      <c r="D488" s="8" t="s">
        <v>33</v>
      </c>
      <c r="E488" s="8" t="s">
        <v>34</v>
      </c>
      <c r="F488" s="8" t="s">
        <v>35</v>
      </c>
      <c r="G488">
        <v>4009220000</v>
      </c>
      <c r="H488" t="s">
        <v>88</v>
      </c>
      <c r="I488" t="s">
        <v>46</v>
      </c>
      <c r="J488" t="s">
        <v>38</v>
      </c>
      <c r="K488" t="s">
        <v>39</v>
      </c>
      <c r="L488">
        <v>16</v>
      </c>
      <c r="M488">
        <v>1</v>
      </c>
      <c r="N488" t="s">
        <v>40</v>
      </c>
      <c r="O488">
        <v>0</v>
      </c>
      <c r="P488">
        <v>145.54</v>
      </c>
      <c r="Q488">
        <v>20.09</v>
      </c>
      <c r="R488">
        <v>0.97</v>
      </c>
      <c r="S488">
        <v>166.6</v>
      </c>
      <c r="T488" t="s">
        <v>41</v>
      </c>
      <c r="U488" t="s">
        <v>41</v>
      </c>
      <c r="V488" t="s">
        <v>38</v>
      </c>
      <c r="W488" t="s">
        <v>582</v>
      </c>
      <c r="X488">
        <v>145.54</v>
      </c>
      <c r="Y488" s="9">
        <f t="shared" si="36"/>
        <v>145.54</v>
      </c>
      <c r="Z488" s="9">
        <f t="shared" si="37"/>
        <v>272.88749999999999</v>
      </c>
      <c r="AA488" s="5">
        <f t="shared" si="38"/>
        <v>303.17801249999997</v>
      </c>
      <c r="AB488" s="6">
        <f t="shared" si="39"/>
        <v>442.05046124999996</v>
      </c>
      <c r="AD488" s="10">
        <f t="shared" si="40"/>
        <v>553.47861412500004</v>
      </c>
    </row>
    <row r="489" spans="1:30" x14ac:dyDescent="0.3">
      <c r="A489" t="s">
        <v>30</v>
      </c>
      <c r="B489" s="8" t="s">
        <v>66</v>
      </c>
      <c r="C489" s="8" t="s">
        <v>32</v>
      </c>
      <c r="D489" s="8" t="s">
        <v>33</v>
      </c>
      <c r="E489" s="8" t="s">
        <v>34</v>
      </c>
      <c r="F489" s="8" t="s">
        <v>35</v>
      </c>
      <c r="G489">
        <v>4009220000</v>
      </c>
      <c r="H489" t="s">
        <v>88</v>
      </c>
      <c r="I489" t="s">
        <v>46</v>
      </c>
      <c r="J489" t="s">
        <v>38</v>
      </c>
      <c r="K489" t="s">
        <v>39</v>
      </c>
      <c r="L489">
        <v>16</v>
      </c>
      <c r="M489">
        <v>1</v>
      </c>
      <c r="N489" t="s">
        <v>40</v>
      </c>
      <c r="O489">
        <v>0</v>
      </c>
      <c r="P489">
        <v>82.97</v>
      </c>
      <c r="Q489">
        <v>11.45</v>
      </c>
      <c r="R489">
        <v>0.55000000000000004</v>
      </c>
      <c r="S489">
        <v>94.97</v>
      </c>
      <c r="T489" t="s">
        <v>41</v>
      </c>
      <c r="U489" t="s">
        <v>41</v>
      </c>
      <c r="V489" t="s">
        <v>38</v>
      </c>
      <c r="W489" t="s">
        <v>583</v>
      </c>
      <c r="X489">
        <v>82.97</v>
      </c>
      <c r="Y489" s="9">
        <f t="shared" si="36"/>
        <v>82.97</v>
      </c>
      <c r="Z489" s="9">
        <f t="shared" si="37"/>
        <v>155.56874999999999</v>
      </c>
      <c r="AA489" s="5">
        <f t="shared" si="38"/>
        <v>172.83688125</v>
      </c>
      <c r="AB489" s="6">
        <f t="shared" si="39"/>
        <v>252.00581812499996</v>
      </c>
      <c r="AD489" s="10">
        <f t="shared" si="40"/>
        <v>315.52920581250004</v>
      </c>
    </row>
    <row r="490" spans="1:30" x14ac:dyDescent="0.3">
      <c r="A490" t="s">
        <v>30</v>
      </c>
      <c r="B490" s="8" t="s">
        <v>66</v>
      </c>
      <c r="C490" s="8" t="s">
        <v>32</v>
      </c>
      <c r="D490" s="8" t="s">
        <v>33</v>
      </c>
      <c r="E490" s="8" t="s">
        <v>34</v>
      </c>
      <c r="F490" s="8" t="s">
        <v>35</v>
      </c>
      <c r="G490">
        <v>8481805900</v>
      </c>
      <c r="H490" t="s">
        <v>53</v>
      </c>
      <c r="I490" t="s">
        <v>191</v>
      </c>
      <c r="J490" t="s">
        <v>38</v>
      </c>
      <c r="K490" t="s">
        <v>39</v>
      </c>
      <c r="L490">
        <v>10</v>
      </c>
      <c r="M490">
        <v>2</v>
      </c>
      <c r="N490" t="s">
        <v>64</v>
      </c>
      <c r="O490">
        <v>0</v>
      </c>
      <c r="P490">
        <v>172.89</v>
      </c>
      <c r="Q490">
        <v>14.39</v>
      </c>
      <c r="R490">
        <v>1.1299999999999999</v>
      </c>
      <c r="S490">
        <v>188.42</v>
      </c>
      <c r="T490" t="s">
        <v>41</v>
      </c>
      <c r="U490" t="s">
        <v>43</v>
      </c>
      <c r="V490" t="s">
        <v>38</v>
      </c>
      <c r="W490" t="s">
        <v>584</v>
      </c>
      <c r="X490">
        <v>86.45</v>
      </c>
      <c r="Y490" s="9">
        <f t="shared" si="36"/>
        <v>86.444999999999993</v>
      </c>
      <c r="Z490" s="9">
        <f t="shared" si="37"/>
        <v>162.08437499999999</v>
      </c>
      <c r="AA490" s="5">
        <f t="shared" si="38"/>
        <v>180.07574062499998</v>
      </c>
      <c r="AB490" s="6">
        <f t="shared" si="39"/>
        <v>262.56047906249995</v>
      </c>
      <c r="AD490" s="10">
        <f t="shared" si="40"/>
        <v>328.74439190625003</v>
      </c>
    </row>
    <row r="491" spans="1:30" x14ac:dyDescent="0.3">
      <c r="A491" t="s">
        <v>30</v>
      </c>
      <c r="B491" s="8" t="s">
        <v>66</v>
      </c>
      <c r="C491" s="8" t="s">
        <v>32</v>
      </c>
      <c r="D491" s="8" t="s">
        <v>33</v>
      </c>
      <c r="E491" s="8" t="s">
        <v>34</v>
      </c>
      <c r="F491" s="8" t="s">
        <v>35</v>
      </c>
      <c r="G491">
        <v>8481805900</v>
      </c>
      <c r="H491" t="s">
        <v>53</v>
      </c>
      <c r="I491" t="s">
        <v>191</v>
      </c>
      <c r="J491" t="s">
        <v>38</v>
      </c>
      <c r="K491" t="s">
        <v>39</v>
      </c>
      <c r="L491">
        <v>8</v>
      </c>
      <c r="M491">
        <v>8</v>
      </c>
      <c r="N491" t="s">
        <v>64</v>
      </c>
      <c r="O491">
        <v>0</v>
      </c>
      <c r="P491">
        <v>689.17</v>
      </c>
      <c r="Q491">
        <v>39.020000000000003</v>
      </c>
      <c r="R491">
        <v>4.4000000000000004</v>
      </c>
      <c r="S491">
        <v>732.59</v>
      </c>
      <c r="T491" t="s">
        <v>41</v>
      </c>
      <c r="U491" t="s">
        <v>41</v>
      </c>
      <c r="V491" t="s">
        <v>38</v>
      </c>
      <c r="W491" t="s">
        <v>584</v>
      </c>
      <c r="X491">
        <v>86.15</v>
      </c>
      <c r="Y491" s="9">
        <f t="shared" si="36"/>
        <v>86.146249999999995</v>
      </c>
      <c r="Z491" s="9">
        <f t="shared" si="37"/>
        <v>161.52421874999999</v>
      </c>
      <c r="AA491" s="5">
        <f t="shared" si="38"/>
        <v>179.45340703124998</v>
      </c>
      <c r="AB491" s="6">
        <f t="shared" si="39"/>
        <v>261.65308195312497</v>
      </c>
      <c r="AD491" s="10">
        <f t="shared" si="40"/>
        <v>327.60826619531252</v>
      </c>
    </row>
    <row r="492" spans="1:30" x14ac:dyDescent="0.3">
      <c r="A492" t="s">
        <v>30</v>
      </c>
      <c r="B492" s="8" t="s">
        <v>66</v>
      </c>
      <c r="C492" s="8" t="s">
        <v>32</v>
      </c>
      <c r="D492" s="8" t="s">
        <v>69</v>
      </c>
      <c r="E492" s="8" t="s">
        <v>70</v>
      </c>
      <c r="F492" s="8" t="s">
        <v>71</v>
      </c>
      <c r="G492">
        <v>8481805900</v>
      </c>
      <c r="H492" t="s">
        <v>36</v>
      </c>
      <c r="I492" t="s">
        <v>585</v>
      </c>
      <c r="J492" t="s">
        <v>38</v>
      </c>
      <c r="K492" t="s">
        <v>39</v>
      </c>
      <c r="L492">
        <v>13</v>
      </c>
      <c r="M492">
        <v>2</v>
      </c>
      <c r="N492" t="s">
        <v>64</v>
      </c>
      <c r="O492">
        <v>0</v>
      </c>
      <c r="P492">
        <v>363.18</v>
      </c>
      <c r="Q492">
        <v>25.79</v>
      </c>
      <c r="R492">
        <v>2.37</v>
      </c>
      <c r="S492">
        <v>391.34</v>
      </c>
      <c r="T492" t="s">
        <v>41</v>
      </c>
      <c r="U492" t="s">
        <v>41</v>
      </c>
      <c r="V492" t="s">
        <v>38</v>
      </c>
      <c r="W492" t="s">
        <v>586</v>
      </c>
      <c r="X492">
        <v>181.59</v>
      </c>
      <c r="Y492" s="9">
        <f t="shared" si="36"/>
        <v>181.59</v>
      </c>
      <c r="Z492" s="9">
        <f t="shared" si="37"/>
        <v>340.48124999999999</v>
      </c>
      <c r="AA492" s="5">
        <f t="shared" si="38"/>
        <v>378.27466874999999</v>
      </c>
      <c r="AB492" s="6">
        <f t="shared" si="39"/>
        <v>551.54557687499994</v>
      </c>
      <c r="AD492" s="10">
        <f t="shared" si="40"/>
        <v>690.57428568750004</v>
      </c>
    </row>
    <row r="493" spans="1:30" x14ac:dyDescent="0.3">
      <c r="A493" t="s">
        <v>30</v>
      </c>
      <c r="B493" s="8" t="s">
        <v>66</v>
      </c>
      <c r="C493" s="8" t="s">
        <v>32</v>
      </c>
      <c r="D493" s="8" t="s">
        <v>33</v>
      </c>
      <c r="E493" s="8" t="s">
        <v>34</v>
      </c>
      <c r="F493" s="8" t="s">
        <v>35</v>
      </c>
      <c r="G493">
        <v>8481805900</v>
      </c>
      <c r="H493" t="s">
        <v>53</v>
      </c>
      <c r="I493" t="s">
        <v>587</v>
      </c>
      <c r="J493" t="s">
        <v>38</v>
      </c>
      <c r="K493" t="s">
        <v>39</v>
      </c>
      <c r="L493">
        <v>8</v>
      </c>
      <c r="M493">
        <v>1</v>
      </c>
      <c r="N493" t="s">
        <v>64</v>
      </c>
      <c r="O493">
        <v>0</v>
      </c>
      <c r="P493">
        <v>296.37</v>
      </c>
      <c r="Q493">
        <v>31.64</v>
      </c>
      <c r="R493">
        <v>1.99</v>
      </c>
      <c r="S493">
        <v>329.99</v>
      </c>
      <c r="T493" t="s">
        <v>41</v>
      </c>
      <c r="U493" t="s">
        <v>41</v>
      </c>
      <c r="V493" t="s">
        <v>38</v>
      </c>
      <c r="W493" t="s">
        <v>588</v>
      </c>
      <c r="X493">
        <v>296.37</v>
      </c>
      <c r="Y493" s="9">
        <f t="shared" si="36"/>
        <v>296.37</v>
      </c>
      <c r="Z493" s="9">
        <f t="shared" si="37"/>
        <v>555.69375000000002</v>
      </c>
      <c r="AA493" s="5">
        <f t="shared" si="38"/>
        <v>617.37575624999999</v>
      </c>
      <c r="AB493" s="6">
        <f t="shared" si="39"/>
        <v>900.16830562500002</v>
      </c>
      <c r="AD493" s="10">
        <f t="shared" si="40"/>
        <v>1127.0747345625002</v>
      </c>
    </row>
    <row r="494" spans="1:30" x14ac:dyDescent="0.3">
      <c r="A494" t="s">
        <v>30</v>
      </c>
      <c r="B494" s="8" t="s">
        <v>66</v>
      </c>
      <c r="C494" s="8" t="s">
        <v>32</v>
      </c>
      <c r="D494" s="8" t="s">
        <v>33</v>
      </c>
      <c r="E494" s="8" t="s">
        <v>34</v>
      </c>
      <c r="F494" s="8" t="s">
        <v>35</v>
      </c>
      <c r="G494">
        <v>8481805900</v>
      </c>
      <c r="H494" t="s">
        <v>36</v>
      </c>
      <c r="I494" t="s">
        <v>468</v>
      </c>
      <c r="J494" t="s">
        <v>38</v>
      </c>
      <c r="K494" t="s">
        <v>39</v>
      </c>
      <c r="L494">
        <v>6</v>
      </c>
      <c r="M494">
        <v>3</v>
      </c>
      <c r="N494" t="s">
        <v>64</v>
      </c>
      <c r="O494">
        <v>0</v>
      </c>
      <c r="P494">
        <v>1094.56</v>
      </c>
      <c r="Q494">
        <v>132.37</v>
      </c>
      <c r="R494">
        <v>7.63</v>
      </c>
      <c r="S494">
        <v>1234.55</v>
      </c>
      <c r="T494" t="s">
        <v>41</v>
      </c>
      <c r="U494" t="s">
        <v>43</v>
      </c>
      <c r="V494" t="s">
        <v>38</v>
      </c>
      <c r="W494" t="s">
        <v>589</v>
      </c>
      <c r="X494">
        <v>364.85</v>
      </c>
      <c r="Y494" s="9">
        <f t="shared" si="36"/>
        <v>364.8533333333333</v>
      </c>
      <c r="Z494" s="9">
        <f t="shared" si="37"/>
        <v>684.09999999999991</v>
      </c>
      <c r="AA494" s="5">
        <f t="shared" si="38"/>
        <v>760.03509999999994</v>
      </c>
      <c r="AB494" s="6">
        <f t="shared" si="39"/>
        <v>1108.1735899999999</v>
      </c>
      <c r="AD494" s="10">
        <f t="shared" si="40"/>
        <v>1387.5121429999999</v>
      </c>
    </row>
    <row r="495" spans="1:30" x14ac:dyDescent="0.3">
      <c r="A495" t="s">
        <v>30</v>
      </c>
      <c r="B495" s="8" t="s">
        <v>66</v>
      </c>
      <c r="C495" s="8" t="s">
        <v>32</v>
      </c>
      <c r="D495" s="8" t="s">
        <v>69</v>
      </c>
      <c r="E495" s="8" t="s">
        <v>70</v>
      </c>
      <c r="F495" s="8" t="s">
        <v>71</v>
      </c>
      <c r="G495">
        <v>8481805900</v>
      </c>
      <c r="H495" t="s">
        <v>36</v>
      </c>
      <c r="I495" t="s">
        <v>420</v>
      </c>
      <c r="J495" t="s">
        <v>38</v>
      </c>
      <c r="K495" t="s">
        <v>39</v>
      </c>
      <c r="L495">
        <v>13</v>
      </c>
      <c r="M495">
        <v>2</v>
      </c>
      <c r="N495" t="s">
        <v>64</v>
      </c>
      <c r="O495">
        <v>0</v>
      </c>
      <c r="P495">
        <v>692.96</v>
      </c>
      <c r="Q495">
        <v>49.2</v>
      </c>
      <c r="R495">
        <v>4.53</v>
      </c>
      <c r="S495">
        <v>746.69</v>
      </c>
      <c r="T495" t="s">
        <v>41</v>
      </c>
      <c r="U495" t="s">
        <v>41</v>
      </c>
      <c r="V495" t="s">
        <v>38</v>
      </c>
      <c r="W495" t="s">
        <v>589</v>
      </c>
      <c r="X495">
        <v>346.48</v>
      </c>
      <c r="Y495" s="9">
        <f t="shared" si="36"/>
        <v>346.48</v>
      </c>
      <c r="Z495" s="9">
        <f t="shared" si="37"/>
        <v>649.65000000000009</v>
      </c>
      <c r="AA495" s="5">
        <f t="shared" si="38"/>
        <v>721.76115000000004</v>
      </c>
      <c r="AB495" s="6">
        <f t="shared" si="39"/>
        <v>1052.3680350000002</v>
      </c>
      <c r="AD495" s="10">
        <f t="shared" si="40"/>
        <v>1317.6396195000002</v>
      </c>
    </row>
    <row r="496" spans="1:30" x14ac:dyDescent="0.3">
      <c r="A496" t="s">
        <v>30</v>
      </c>
      <c r="B496" s="8" t="s">
        <v>66</v>
      </c>
      <c r="C496" s="8" t="s">
        <v>32</v>
      </c>
      <c r="D496" s="8" t="s">
        <v>33</v>
      </c>
      <c r="E496" s="8" t="s">
        <v>34</v>
      </c>
      <c r="F496" s="8" t="s">
        <v>35</v>
      </c>
      <c r="G496">
        <v>8481805900</v>
      </c>
      <c r="H496" t="s">
        <v>53</v>
      </c>
      <c r="I496" t="s">
        <v>590</v>
      </c>
      <c r="J496" t="s">
        <v>38</v>
      </c>
      <c r="K496" t="s">
        <v>39</v>
      </c>
      <c r="L496">
        <v>12</v>
      </c>
      <c r="M496">
        <v>2</v>
      </c>
      <c r="N496" t="s">
        <v>64</v>
      </c>
      <c r="O496">
        <v>0</v>
      </c>
      <c r="P496">
        <v>751.14</v>
      </c>
      <c r="Q496">
        <v>86.25</v>
      </c>
      <c r="R496">
        <v>5</v>
      </c>
      <c r="S496">
        <v>842.39</v>
      </c>
      <c r="T496" t="s">
        <v>41</v>
      </c>
      <c r="U496" t="s">
        <v>41</v>
      </c>
      <c r="V496" t="s">
        <v>38</v>
      </c>
      <c r="W496" t="s">
        <v>589</v>
      </c>
      <c r="X496">
        <v>375.57</v>
      </c>
      <c r="Y496" s="9">
        <f t="shared" si="36"/>
        <v>375.57</v>
      </c>
      <c r="Z496" s="9">
        <f t="shared" si="37"/>
        <v>704.19375000000002</v>
      </c>
      <c r="AA496" s="5">
        <f t="shared" si="38"/>
        <v>782.35925625000004</v>
      </c>
      <c r="AB496" s="6">
        <f t="shared" si="39"/>
        <v>1140.723455625</v>
      </c>
      <c r="AD496" s="10">
        <f t="shared" si="40"/>
        <v>1428.2668895625002</v>
      </c>
    </row>
    <row r="497" spans="1:30" x14ac:dyDescent="0.3">
      <c r="A497" t="s">
        <v>30</v>
      </c>
      <c r="B497" s="8" t="s">
        <v>66</v>
      </c>
      <c r="C497" s="8" t="s">
        <v>32</v>
      </c>
      <c r="D497" s="8" t="s">
        <v>33</v>
      </c>
      <c r="E497" s="8" t="s">
        <v>34</v>
      </c>
      <c r="F497" s="8" t="s">
        <v>35</v>
      </c>
      <c r="G497">
        <v>8481805900</v>
      </c>
      <c r="H497" t="s">
        <v>53</v>
      </c>
      <c r="I497" t="s">
        <v>420</v>
      </c>
      <c r="J497" t="s">
        <v>38</v>
      </c>
      <c r="K497" t="s">
        <v>39</v>
      </c>
      <c r="L497">
        <v>8</v>
      </c>
      <c r="M497">
        <v>3</v>
      </c>
      <c r="N497" t="s">
        <v>64</v>
      </c>
      <c r="O497">
        <v>0</v>
      </c>
      <c r="P497">
        <v>1118.46</v>
      </c>
      <c r="Q497">
        <v>140.11000000000001</v>
      </c>
      <c r="R497">
        <v>7.64</v>
      </c>
      <c r="S497">
        <v>1266.22</v>
      </c>
      <c r="T497" t="s">
        <v>41</v>
      </c>
      <c r="U497" t="s">
        <v>41</v>
      </c>
      <c r="V497" t="s">
        <v>38</v>
      </c>
      <c r="W497" t="s">
        <v>589</v>
      </c>
      <c r="X497">
        <v>372.82</v>
      </c>
      <c r="Y497" s="9">
        <f t="shared" si="36"/>
        <v>372.82</v>
      </c>
      <c r="Z497" s="9">
        <f t="shared" si="37"/>
        <v>699.03750000000002</v>
      </c>
      <c r="AA497" s="5">
        <f t="shared" si="38"/>
        <v>776.63066249999997</v>
      </c>
      <c r="AB497" s="6">
        <f t="shared" si="39"/>
        <v>1132.3708462499999</v>
      </c>
      <c r="AD497" s="10">
        <f t="shared" si="40"/>
        <v>1417.8088286250002</v>
      </c>
    </row>
    <row r="498" spans="1:30" x14ac:dyDescent="0.3">
      <c r="A498" t="s">
        <v>30</v>
      </c>
      <c r="B498" s="8" t="s">
        <v>66</v>
      </c>
      <c r="C498" s="8" t="s">
        <v>32</v>
      </c>
      <c r="D498" s="8" t="s">
        <v>33</v>
      </c>
      <c r="E498" s="8" t="s">
        <v>34</v>
      </c>
      <c r="F498" s="8" t="s">
        <v>35</v>
      </c>
      <c r="G498">
        <v>8481400090</v>
      </c>
      <c r="H498" t="s">
        <v>53</v>
      </c>
      <c r="I498" t="s">
        <v>591</v>
      </c>
      <c r="J498" t="s">
        <v>38</v>
      </c>
      <c r="K498" t="s">
        <v>39</v>
      </c>
      <c r="L498">
        <v>12</v>
      </c>
      <c r="M498">
        <v>1</v>
      </c>
      <c r="N498" t="s">
        <v>64</v>
      </c>
      <c r="O498">
        <v>0</v>
      </c>
      <c r="P498">
        <v>29.15</v>
      </c>
      <c r="Q498">
        <v>3.35</v>
      </c>
      <c r="R498">
        <v>0.19</v>
      </c>
      <c r="S498">
        <v>32.69</v>
      </c>
      <c r="T498" t="s">
        <v>41</v>
      </c>
      <c r="U498" t="s">
        <v>41</v>
      </c>
      <c r="V498" t="s">
        <v>38</v>
      </c>
      <c r="W498" t="s">
        <v>592</v>
      </c>
      <c r="X498">
        <v>29.15</v>
      </c>
      <c r="Y498" s="9">
        <f t="shared" si="36"/>
        <v>29.15</v>
      </c>
      <c r="Z498" s="9">
        <f t="shared" si="37"/>
        <v>54.65625</v>
      </c>
      <c r="AA498" s="5">
        <f t="shared" si="38"/>
        <v>60.723093749999997</v>
      </c>
      <c r="AB498" s="6">
        <f t="shared" si="39"/>
        <v>88.53765937499999</v>
      </c>
      <c r="AD498" s="10">
        <f t="shared" si="40"/>
        <v>110.85544593750001</v>
      </c>
    </row>
    <row r="499" spans="1:30" x14ac:dyDescent="0.3">
      <c r="A499" t="s">
        <v>30</v>
      </c>
      <c r="B499" s="8" t="s">
        <v>66</v>
      </c>
      <c r="C499" s="8" t="s">
        <v>32</v>
      </c>
      <c r="D499" s="8" t="s">
        <v>33</v>
      </c>
      <c r="E499" s="8" t="s">
        <v>34</v>
      </c>
      <c r="F499" s="8" t="s">
        <v>35</v>
      </c>
      <c r="G499">
        <v>8481400090</v>
      </c>
      <c r="H499" t="s">
        <v>53</v>
      </c>
      <c r="I499" t="s">
        <v>591</v>
      </c>
      <c r="J499" t="s">
        <v>38</v>
      </c>
      <c r="K499" t="s">
        <v>39</v>
      </c>
      <c r="L499">
        <v>12</v>
      </c>
      <c r="M499">
        <v>1</v>
      </c>
      <c r="N499" t="s">
        <v>64</v>
      </c>
      <c r="O499">
        <v>0</v>
      </c>
      <c r="P499">
        <v>29.15</v>
      </c>
      <c r="Q499">
        <v>3.35</v>
      </c>
      <c r="R499">
        <v>0.19</v>
      </c>
      <c r="S499">
        <v>32.69</v>
      </c>
      <c r="T499" t="s">
        <v>41</v>
      </c>
      <c r="U499" t="s">
        <v>41</v>
      </c>
      <c r="V499" t="s">
        <v>38</v>
      </c>
      <c r="W499" t="s">
        <v>593</v>
      </c>
      <c r="X499">
        <v>29.15</v>
      </c>
      <c r="Y499" s="9">
        <f t="shared" si="36"/>
        <v>29.15</v>
      </c>
      <c r="Z499" s="9">
        <f t="shared" si="37"/>
        <v>54.65625</v>
      </c>
      <c r="AA499" s="5">
        <f t="shared" si="38"/>
        <v>60.723093749999997</v>
      </c>
      <c r="AB499" s="6">
        <f t="shared" si="39"/>
        <v>88.53765937499999</v>
      </c>
      <c r="AD499" s="10">
        <f t="shared" si="40"/>
        <v>110.85544593750001</v>
      </c>
    </row>
    <row r="500" spans="1:30" x14ac:dyDescent="0.3">
      <c r="A500" t="s">
        <v>30</v>
      </c>
      <c r="B500" s="8" t="s">
        <v>66</v>
      </c>
      <c r="C500" s="8" t="s">
        <v>32</v>
      </c>
      <c r="D500" s="8" t="s">
        <v>33</v>
      </c>
      <c r="E500" s="8" t="s">
        <v>34</v>
      </c>
      <c r="F500" s="8" t="s">
        <v>35</v>
      </c>
      <c r="G500">
        <v>8481400090</v>
      </c>
      <c r="H500" t="s">
        <v>53</v>
      </c>
      <c r="I500" t="s">
        <v>591</v>
      </c>
      <c r="J500" t="s">
        <v>38</v>
      </c>
      <c r="K500" t="s">
        <v>39</v>
      </c>
      <c r="L500">
        <v>8</v>
      </c>
      <c r="M500">
        <v>2</v>
      </c>
      <c r="N500" t="s">
        <v>64</v>
      </c>
      <c r="O500">
        <v>0</v>
      </c>
      <c r="P500">
        <v>57.59</v>
      </c>
      <c r="Q500">
        <v>3.26</v>
      </c>
      <c r="R500">
        <v>0.37</v>
      </c>
      <c r="S500">
        <v>61.22</v>
      </c>
      <c r="T500" t="s">
        <v>41</v>
      </c>
      <c r="U500" t="s">
        <v>41</v>
      </c>
      <c r="V500" t="s">
        <v>38</v>
      </c>
      <c r="W500" t="s">
        <v>594</v>
      </c>
      <c r="X500">
        <v>28.79</v>
      </c>
      <c r="Y500" s="9">
        <f t="shared" si="36"/>
        <v>28.795000000000002</v>
      </c>
      <c r="Z500" s="9">
        <f t="shared" si="37"/>
        <v>53.990625000000001</v>
      </c>
      <c r="AA500" s="5">
        <f t="shared" si="38"/>
        <v>59.983584375</v>
      </c>
      <c r="AB500" s="6">
        <f t="shared" si="39"/>
        <v>87.45941343749999</v>
      </c>
      <c r="AD500" s="10">
        <f t="shared" si="40"/>
        <v>109.50540534375001</v>
      </c>
    </row>
    <row r="501" spans="1:30" x14ac:dyDescent="0.3">
      <c r="A501" t="s">
        <v>30</v>
      </c>
      <c r="B501" s="8" t="s">
        <v>66</v>
      </c>
      <c r="C501" s="8" t="s">
        <v>32</v>
      </c>
      <c r="D501" s="8" t="s">
        <v>33</v>
      </c>
      <c r="E501" s="8" t="s">
        <v>34</v>
      </c>
      <c r="F501" s="8" t="s">
        <v>35</v>
      </c>
      <c r="G501">
        <v>7304310000</v>
      </c>
      <c r="H501" t="s">
        <v>285</v>
      </c>
      <c r="I501" t="s">
        <v>37</v>
      </c>
      <c r="J501" t="s">
        <v>38</v>
      </c>
      <c r="K501" t="s">
        <v>39</v>
      </c>
      <c r="L501">
        <v>10</v>
      </c>
      <c r="M501">
        <v>2</v>
      </c>
      <c r="N501" t="s">
        <v>40</v>
      </c>
      <c r="O501">
        <v>0</v>
      </c>
      <c r="P501">
        <v>200.6</v>
      </c>
      <c r="Q501">
        <v>16.7</v>
      </c>
      <c r="R501">
        <v>1.31</v>
      </c>
      <c r="S501">
        <v>218.62</v>
      </c>
      <c r="T501" t="s">
        <v>41</v>
      </c>
      <c r="U501" t="s">
        <v>43</v>
      </c>
      <c r="V501" t="s">
        <v>38</v>
      </c>
      <c r="W501" t="s">
        <v>595</v>
      </c>
      <c r="X501">
        <v>100.3</v>
      </c>
      <c r="Y501" s="9">
        <f t="shared" si="36"/>
        <v>100.3</v>
      </c>
      <c r="Z501" s="9">
        <f t="shared" si="37"/>
        <v>188.0625</v>
      </c>
      <c r="AA501" s="5">
        <f t="shared" si="38"/>
        <v>208.93743749999999</v>
      </c>
      <c r="AB501" s="6">
        <f t="shared" si="39"/>
        <v>304.64244374999998</v>
      </c>
      <c r="AD501" s="10">
        <f t="shared" si="40"/>
        <v>381.43400437500003</v>
      </c>
    </row>
    <row r="502" spans="1:30" x14ac:dyDescent="0.3">
      <c r="A502" t="s">
        <v>30</v>
      </c>
      <c r="B502" s="8" t="s">
        <v>221</v>
      </c>
      <c r="C502" s="8" t="s">
        <v>32</v>
      </c>
      <c r="D502" s="8" t="s">
        <v>33</v>
      </c>
      <c r="E502" s="8" t="s">
        <v>34</v>
      </c>
      <c r="F502" s="8" t="s">
        <v>35</v>
      </c>
      <c r="G502">
        <v>8483500020</v>
      </c>
      <c r="H502" t="s">
        <v>596</v>
      </c>
      <c r="I502" t="s">
        <v>597</v>
      </c>
      <c r="J502" t="s">
        <v>38</v>
      </c>
      <c r="K502" t="s">
        <v>39</v>
      </c>
      <c r="L502">
        <v>12</v>
      </c>
      <c r="M502">
        <v>1</v>
      </c>
      <c r="N502" t="s">
        <v>64</v>
      </c>
      <c r="O502">
        <v>0</v>
      </c>
      <c r="P502">
        <v>172.53</v>
      </c>
      <c r="Q502">
        <v>19.809999999999999</v>
      </c>
      <c r="R502">
        <v>1.1499999999999999</v>
      </c>
      <c r="S502">
        <v>193.49</v>
      </c>
      <c r="T502" t="s">
        <v>41</v>
      </c>
      <c r="U502" t="s">
        <v>41</v>
      </c>
      <c r="V502" t="s">
        <v>38</v>
      </c>
      <c r="W502" t="s">
        <v>598</v>
      </c>
      <c r="X502">
        <v>172.53</v>
      </c>
      <c r="Y502" s="9">
        <f t="shared" si="36"/>
        <v>172.53</v>
      </c>
      <c r="Z502" s="9">
        <f t="shared" si="37"/>
        <v>323.49374999999998</v>
      </c>
      <c r="AA502" s="5">
        <f t="shared" si="38"/>
        <v>359.40155625</v>
      </c>
      <c r="AB502" s="6">
        <f t="shared" si="39"/>
        <v>524.02752562499995</v>
      </c>
      <c r="AD502" s="10">
        <f t="shared" si="40"/>
        <v>656.11972856249997</v>
      </c>
    </row>
    <row r="503" spans="1:30" x14ac:dyDescent="0.3">
      <c r="A503" t="s">
        <v>30</v>
      </c>
      <c r="B503" s="8" t="s">
        <v>32</v>
      </c>
      <c r="C503" s="8" t="s">
        <v>32</v>
      </c>
      <c r="D503" s="8" t="s">
        <v>33</v>
      </c>
      <c r="E503" s="8" t="s">
        <v>34</v>
      </c>
      <c r="F503" s="8" t="s">
        <v>35</v>
      </c>
      <c r="G503">
        <v>4010320000</v>
      </c>
      <c r="H503" t="s">
        <v>59</v>
      </c>
      <c r="I503" t="s">
        <v>60</v>
      </c>
      <c r="J503" t="s">
        <v>38</v>
      </c>
      <c r="K503" t="s">
        <v>39</v>
      </c>
      <c r="L503">
        <v>7</v>
      </c>
      <c r="M503">
        <v>6</v>
      </c>
      <c r="N503" t="s">
        <v>40</v>
      </c>
      <c r="O503">
        <v>0</v>
      </c>
      <c r="P503">
        <v>147.97</v>
      </c>
      <c r="Q503">
        <v>23.38</v>
      </c>
      <c r="R503">
        <v>0.91</v>
      </c>
      <c r="S503">
        <v>172.26</v>
      </c>
      <c r="T503" t="s">
        <v>41</v>
      </c>
      <c r="U503" t="s">
        <v>41</v>
      </c>
      <c r="V503" t="s">
        <v>38</v>
      </c>
      <c r="W503" t="s">
        <v>599</v>
      </c>
      <c r="X503">
        <v>24.66</v>
      </c>
      <c r="Y503" s="9">
        <f t="shared" si="36"/>
        <v>24.661666666666665</v>
      </c>
      <c r="Z503" s="9">
        <f t="shared" si="37"/>
        <v>46.240624999999994</v>
      </c>
      <c r="AA503" s="5">
        <f t="shared" si="38"/>
        <v>51.373334374999992</v>
      </c>
      <c r="AB503" s="6">
        <f t="shared" si="39"/>
        <v>74.905188437499987</v>
      </c>
      <c r="AD503" s="10">
        <f t="shared" si="40"/>
        <v>93.786622843749996</v>
      </c>
    </row>
    <row r="504" spans="1:30" x14ac:dyDescent="0.3">
      <c r="A504" t="s">
        <v>30</v>
      </c>
      <c r="B504" s="8" t="s">
        <v>31</v>
      </c>
      <c r="C504" s="8" t="s">
        <v>32</v>
      </c>
      <c r="D504" s="8" t="s">
        <v>33</v>
      </c>
      <c r="E504" s="8" t="s">
        <v>34</v>
      </c>
      <c r="F504" s="8" t="s">
        <v>35</v>
      </c>
      <c r="G504">
        <v>8421392000</v>
      </c>
      <c r="H504" t="s">
        <v>429</v>
      </c>
      <c r="I504" t="s">
        <v>600</v>
      </c>
      <c r="J504" t="s">
        <v>38</v>
      </c>
      <c r="K504" t="s">
        <v>39</v>
      </c>
      <c r="L504">
        <v>3</v>
      </c>
      <c r="M504">
        <v>6</v>
      </c>
      <c r="N504" t="s">
        <v>64</v>
      </c>
      <c r="O504">
        <v>32.26</v>
      </c>
      <c r="P504">
        <v>640.99</v>
      </c>
      <c r="Q504">
        <v>27.43</v>
      </c>
      <c r="R504">
        <v>4.13</v>
      </c>
      <c r="S504">
        <v>672.56</v>
      </c>
      <c r="T504" t="s">
        <v>41</v>
      </c>
      <c r="U504" t="s">
        <v>43</v>
      </c>
      <c r="V504" t="s">
        <v>38</v>
      </c>
      <c r="W504" t="s">
        <v>601</v>
      </c>
      <c r="X504">
        <v>106.83</v>
      </c>
      <c r="Y504" s="9">
        <f t="shared" si="36"/>
        <v>106.83166666666666</v>
      </c>
      <c r="Z504" s="9">
        <f t="shared" si="37"/>
        <v>200.30937499999999</v>
      </c>
      <c r="AA504" s="5">
        <f t="shared" si="38"/>
        <v>222.54371562499998</v>
      </c>
      <c r="AB504" s="6">
        <f t="shared" si="39"/>
        <v>324.48115656249996</v>
      </c>
      <c r="AD504" s="10">
        <f t="shared" si="40"/>
        <v>406.27348365624999</v>
      </c>
    </row>
    <row r="505" spans="1:30" x14ac:dyDescent="0.3">
      <c r="A505" t="s">
        <v>30</v>
      </c>
      <c r="B505" s="8" t="s">
        <v>31</v>
      </c>
      <c r="C505" s="8" t="s">
        <v>32</v>
      </c>
      <c r="D505" s="8" t="s">
        <v>69</v>
      </c>
      <c r="E505" s="8" t="s">
        <v>70</v>
      </c>
      <c r="F505" s="8" t="s">
        <v>71</v>
      </c>
      <c r="G505">
        <v>8421392000</v>
      </c>
      <c r="H505" t="s">
        <v>429</v>
      </c>
      <c r="I505" t="s">
        <v>602</v>
      </c>
      <c r="J505" t="s">
        <v>38</v>
      </c>
      <c r="K505" t="s">
        <v>39</v>
      </c>
      <c r="L505">
        <v>9</v>
      </c>
      <c r="M505">
        <v>10</v>
      </c>
      <c r="N505" t="s">
        <v>64</v>
      </c>
      <c r="O505">
        <v>50.77</v>
      </c>
      <c r="P505">
        <v>1009</v>
      </c>
      <c r="Q505">
        <v>50.85</v>
      </c>
      <c r="R505">
        <v>6.41</v>
      </c>
      <c r="S505">
        <v>1066.26</v>
      </c>
      <c r="T505" t="s">
        <v>41</v>
      </c>
      <c r="U505" t="s">
        <v>43</v>
      </c>
      <c r="V505" t="s">
        <v>38</v>
      </c>
      <c r="W505" t="s">
        <v>601</v>
      </c>
      <c r="X505">
        <v>100.9</v>
      </c>
      <c r="Y505" s="9">
        <f t="shared" si="36"/>
        <v>100.9</v>
      </c>
      <c r="Z505" s="9">
        <f t="shared" si="37"/>
        <v>189.1875</v>
      </c>
      <c r="AA505" s="5">
        <f t="shared" si="38"/>
        <v>210.18731249999999</v>
      </c>
      <c r="AB505" s="6">
        <f t="shared" si="39"/>
        <v>306.46483124999997</v>
      </c>
      <c r="AD505" s="10">
        <f t="shared" si="40"/>
        <v>383.71576312500002</v>
      </c>
    </row>
    <row r="506" spans="1:30" x14ac:dyDescent="0.3">
      <c r="A506" t="s">
        <v>30</v>
      </c>
      <c r="B506" s="8" t="s">
        <v>31</v>
      </c>
      <c r="C506" s="8" t="s">
        <v>32</v>
      </c>
      <c r="D506" s="8" t="s">
        <v>33</v>
      </c>
      <c r="E506" s="8" t="s">
        <v>34</v>
      </c>
      <c r="F506" s="8" t="s">
        <v>35</v>
      </c>
      <c r="G506">
        <v>8421392000</v>
      </c>
      <c r="H506" t="s">
        <v>429</v>
      </c>
      <c r="I506" t="s">
        <v>430</v>
      </c>
      <c r="J506" t="s">
        <v>38</v>
      </c>
      <c r="K506" t="s">
        <v>39</v>
      </c>
      <c r="L506">
        <v>8</v>
      </c>
      <c r="M506">
        <v>5</v>
      </c>
      <c r="N506" t="s">
        <v>64</v>
      </c>
      <c r="O506">
        <v>26.97</v>
      </c>
      <c r="P506">
        <v>535.9</v>
      </c>
      <c r="Q506">
        <v>57.21</v>
      </c>
      <c r="R506">
        <v>3.59</v>
      </c>
      <c r="S506">
        <v>596.69000000000005</v>
      </c>
      <c r="T506" t="s">
        <v>41</v>
      </c>
      <c r="U506" t="s">
        <v>41</v>
      </c>
      <c r="V506" t="s">
        <v>38</v>
      </c>
      <c r="W506" t="s">
        <v>601</v>
      </c>
      <c r="X506">
        <v>107.18</v>
      </c>
      <c r="Y506" s="9">
        <f t="shared" si="36"/>
        <v>107.17999999999999</v>
      </c>
      <c r="Z506" s="9">
        <f t="shared" si="37"/>
        <v>200.96249999999998</v>
      </c>
      <c r="AA506" s="5">
        <f t="shared" si="38"/>
        <v>223.26933749999998</v>
      </c>
      <c r="AB506" s="6">
        <f t="shared" si="39"/>
        <v>325.53915374999997</v>
      </c>
      <c r="AD506" s="10">
        <f t="shared" si="40"/>
        <v>407.59817137499999</v>
      </c>
    </row>
    <row r="507" spans="1:30" x14ac:dyDescent="0.3">
      <c r="A507" t="s">
        <v>30</v>
      </c>
      <c r="B507" s="8" t="s">
        <v>31</v>
      </c>
      <c r="C507" s="8" t="s">
        <v>32</v>
      </c>
      <c r="D507" s="8" t="s">
        <v>69</v>
      </c>
      <c r="E507" s="8" t="s">
        <v>70</v>
      </c>
      <c r="F507" s="8" t="s">
        <v>71</v>
      </c>
      <c r="G507">
        <v>8421392000</v>
      </c>
      <c r="H507" t="s">
        <v>429</v>
      </c>
      <c r="I507" t="s">
        <v>430</v>
      </c>
      <c r="J507" t="s">
        <v>38</v>
      </c>
      <c r="K507" t="s">
        <v>39</v>
      </c>
      <c r="L507">
        <v>8</v>
      </c>
      <c r="M507">
        <v>5</v>
      </c>
      <c r="N507" t="s">
        <v>64</v>
      </c>
      <c r="O507">
        <v>26.37</v>
      </c>
      <c r="P507">
        <v>524</v>
      </c>
      <c r="Q507">
        <v>34.299999999999997</v>
      </c>
      <c r="R507">
        <v>3.4</v>
      </c>
      <c r="S507">
        <v>561.70000000000005</v>
      </c>
      <c r="T507" t="s">
        <v>41</v>
      </c>
      <c r="U507" t="s">
        <v>41</v>
      </c>
      <c r="V507" t="s">
        <v>38</v>
      </c>
      <c r="W507" t="s">
        <v>601</v>
      </c>
      <c r="X507">
        <v>104.8</v>
      </c>
      <c r="Y507" s="9">
        <f t="shared" si="36"/>
        <v>104.8</v>
      </c>
      <c r="Z507" s="9">
        <f t="shared" si="37"/>
        <v>196.5</v>
      </c>
      <c r="AA507" s="5">
        <f t="shared" si="38"/>
        <v>218.3115</v>
      </c>
      <c r="AB507" s="6">
        <f t="shared" si="39"/>
        <v>318.31034999999997</v>
      </c>
      <c r="AD507" s="10">
        <f t="shared" si="40"/>
        <v>398.54719500000004</v>
      </c>
    </row>
    <row r="508" spans="1:30" x14ac:dyDescent="0.3">
      <c r="A508" t="s">
        <v>30</v>
      </c>
      <c r="B508" s="8" t="s">
        <v>31</v>
      </c>
      <c r="C508" s="8" t="s">
        <v>32</v>
      </c>
      <c r="D508" s="8" t="s">
        <v>33</v>
      </c>
      <c r="E508" s="8" t="s">
        <v>34</v>
      </c>
      <c r="F508" s="8" t="s">
        <v>35</v>
      </c>
      <c r="G508">
        <v>8421299090</v>
      </c>
      <c r="H508" t="s">
        <v>243</v>
      </c>
      <c r="I508" t="s">
        <v>241</v>
      </c>
      <c r="J508" t="s">
        <v>38</v>
      </c>
      <c r="K508" t="s">
        <v>39</v>
      </c>
      <c r="L508">
        <v>8</v>
      </c>
      <c r="M508">
        <v>6</v>
      </c>
      <c r="N508" t="s">
        <v>64</v>
      </c>
      <c r="O508">
        <v>0</v>
      </c>
      <c r="P508">
        <v>130.88</v>
      </c>
      <c r="Q508">
        <v>13.97</v>
      </c>
      <c r="R508">
        <v>0.88</v>
      </c>
      <c r="S508">
        <v>145.72999999999999</v>
      </c>
      <c r="T508" t="s">
        <v>41</v>
      </c>
      <c r="U508" t="s">
        <v>41</v>
      </c>
      <c r="V508" t="s">
        <v>38</v>
      </c>
      <c r="W508" t="s">
        <v>603</v>
      </c>
      <c r="X508">
        <v>21.81</v>
      </c>
      <c r="Y508" s="9">
        <f t="shared" si="36"/>
        <v>21.813333333333333</v>
      </c>
      <c r="Z508" s="9">
        <f t="shared" si="37"/>
        <v>40.9</v>
      </c>
      <c r="AA508" s="5">
        <f t="shared" si="38"/>
        <v>45.439899999999994</v>
      </c>
      <c r="AB508" s="6">
        <f t="shared" si="39"/>
        <v>66.253909999999991</v>
      </c>
      <c r="AD508" s="10">
        <f t="shared" si="40"/>
        <v>82.95460700000001</v>
      </c>
    </row>
    <row r="509" spans="1:30" x14ac:dyDescent="0.3">
      <c r="A509" t="s">
        <v>30</v>
      </c>
      <c r="B509" s="8" t="s">
        <v>31</v>
      </c>
      <c r="C509" s="8" t="s">
        <v>32</v>
      </c>
      <c r="D509" s="8" t="s">
        <v>33</v>
      </c>
      <c r="E509" s="8" t="s">
        <v>34</v>
      </c>
      <c r="F509" s="8" t="s">
        <v>35</v>
      </c>
      <c r="G509">
        <v>8421299090</v>
      </c>
      <c r="H509" t="s">
        <v>36</v>
      </c>
      <c r="I509" t="s">
        <v>318</v>
      </c>
      <c r="J509" t="s">
        <v>38</v>
      </c>
      <c r="K509" t="s">
        <v>39</v>
      </c>
      <c r="L509">
        <v>3</v>
      </c>
      <c r="M509">
        <v>5</v>
      </c>
      <c r="N509" t="s">
        <v>64</v>
      </c>
      <c r="O509">
        <v>0</v>
      </c>
      <c r="P509">
        <v>182.47</v>
      </c>
      <c r="Q509">
        <v>7.81</v>
      </c>
      <c r="R509">
        <v>1.18</v>
      </c>
      <c r="S509">
        <v>191.46</v>
      </c>
      <c r="T509" t="s">
        <v>41</v>
      </c>
      <c r="U509" t="s">
        <v>43</v>
      </c>
      <c r="V509" t="s">
        <v>38</v>
      </c>
      <c r="W509" t="s">
        <v>604</v>
      </c>
      <c r="X509">
        <v>36.49</v>
      </c>
      <c r="Y509" s="9">
        <f t="shared" si="36"/>
        <v>36.494</v>
      </c>
      <c r="Z509" s="9">
        <f t="shared" si="37"/>
        <v>68.426249999999996</v>
      </c>
      <c r="AA509" s="5">
        <f t="shared" si="38"/>
        <v>76.021563749999999</v>
      </c>
      <c r="AB509" s="6">
        <f t="shared" si="39"/>
        <v>110.84368237499999</v>
      </c>
      <c r="AD509" s="10">
        <f t="shared" si="40"/>
        <v>138.78417303750001</v>
      </c>
    </row>
    <row r="510" spans="1:30" x14ac:dyDescent="0.3">
      <c r="A510" t="s">
        <v>30</v>
      </c>
      <c r="B510" s="8" t="s">
        <v>31</v>
      </c>
      <c r="C510" s="8" t="s">
        <v>32</v>
      </c>
      <c r="D510" s="8" t="s">
        <v>69</v>
      </c>
      <c r="E510" s="8" t="s">
        <v>70</v>
      </c>
      <c r="F510" s="8" t="s">
        <v>71</v>
      </c>
      <c r="G510">
        <v>8421299090</v>
      </c>
      <c r="H510" t="s">
        <v>36</v>
      </c>
      <c r="I510" t="s">
        <v>241</v>
      </c>
      <c r="J510" t="s">
        <v>38</v>
      </c>
      <c r="K510" t="s">
        <v>39</v>
      </c>
      <c r="L510">
        <v>9</v>
      </c>
      <c r="M510">
        <v>8</v>
      </c>
      <c r="N510" t="s">
        <v>64</v>
      </c>
      <c r="O510">
        <v>0</v>
      </c>
      <c r="P510">
        <v>286.39999999999998</v>
      </c>
      <c r="Q510">
        <v>14.43</v>
      </c>
      <c r="R510">
        <v>1.82</v>
      </c>
      <c r="S510">
        <v>302.64999999999998</v>
      </c>
      <c r="T510" t="s">
        <v>41</v>
      </c>
      <c r="U510" t="s">
        <v>43</v>
      </c>
      <c r="V510" t="s">
        <v>38</v>
      </c>
      <c r="W510" t="s">
        <v>604</v>
      </c>
      <c r="X510">
        <v>35.799999999999997</v>
      </c>
      <c r="Y510" s="9">
        <f t="shared" si="36"/>
        <v>35.799999999999997</v>
      </c>
      <c r="Z510" s="9">
        <f t="shared" si="37"/>
        <v>67.125</v>
      </c>
      <c r="AA510" s="5">
        <f t="shared" si="38"/>
        <v>74.575874999999996</v>
      </c>
      <c r="AB510" s="6">
        <f t="shared" si="39"/>
        <v>108.73578749999999</v>
      </c>
      <c r="AD510" s="10">
        <f t="shared" si="40"/>
        <v>136.14493875000002</v>
      </c>
    </row>
    <row r="511" spans="1:30" x14ac:dyDescent="0.3">
      <c r="A511" t="s">
        <v>30</v>
      </c>
      <c r="B511" s="8" t="s">
        <v>31</v>
      </c>
      <c r="C511" s="8" t="s">
        <v>32</v>
      </c>
      <c r="D511" s="8" t="s">
        <v>33</v>
      </c>
      <c r="E511" s="8" t="s">
        <v>34</v>
      </c>
      <c r="F511" s="8" t="s">
        <v>35</v>
      </c>
      <c r="G511">
        <v>8421299090</v>
      </c>
      <c r="H511" t="s">
        <v>243</v>
      </c>
      <c r="I511" t="s">
        <v>241</v>
      </c>
      <c r="J511" t="s">
        <v>38</v>
      </c>
      <c r="K511" t="s">
        <v>39</v>
      </c>
      <c r="L511">
        <v>8</v>
      </c>
      <c r="M511">
        <v>5</v>
      </c>
      <c r="N511" t="s">
        <v>64</v>
      </c>
      <c r="O511">
        <v>0</v>
      </c>
      <c r="P511">
        <v>183.06</v>
      </c>
      <c r="Q511">
        <v>19.54</v>
      </c>
      <c r="R511">
        <v>1.23</v>
      </c>
      <c r="S511">
        <v>203.83</v>
      </c>
      <c r="T511" t="s">
        <v>41</v>
      </c>
      <c r="U511" t="s">
        <v>41</v>
      </c>
      <c r="V511" t="s">
        <v>38</v>
      </c>
      <c r="W511" t="s">
        <v>604</v>
      </c>
      <c r="X511">
        <v>36.61</v>
      </c>
      <c r="Y511" s="9">
        <f t="shared" si="36"/>
        <v>36.612000000000002</v>
      </c>
      <c r="Z511" s="9">
        <f t="shared" si="37"/>
        <v>68.647500000000008</v>
      </c>
      <c r="AA511" s="5">
        <f t="shared" si="38"/>
        <v>76.267372500000008</v>
      </c>
      <c r="AB511" s="6">
        <f t="shared" si="39"/>
        <v>111.20208525000001</v>
      </c>
      <c r="AD511" s="10">
        <f t="shared" si="40"/>
        <v>139.23291892500004</v>
      </c>
    </row>
    <row r="512" spans="1:30" x14ac:dyDescent="0.3">
      <c r="A512" t="s">
        <v>30</v>
      </c>
      <c r="B512" s="8" t="s">
        <v>31</v>
      </c>
      <c r="C512" s="8" t="s">
        <v>32</v>
      </c>
      <c r="D512" s="8" t="s">
        <v>69</v>
      </c>
      <c r="E512" s="8" t="s">
        <v>70</v>
      </c>
      <c r="F512" s="8" t="s">
        <v>71</v>
      </c>
      <c r="G512">
        <v>8421299090</v>
      </c>
      <c r="H512" t="s">
        <v>243</v>
      </c>
      <c r="I512" t="s">
        <v>241</v>
      </c>
      <c r="J512" t="s">
        <v>38</v>
      </c>
      <c r="K512" t="s">
        <v>39</v>
      </c>
      <c r="L512">
        <v>8</v>
      </c>
      <c r="M512">
        <v>6</v>
      </c>
      <c r="N512" t="s">
        <v>64</v>
      </c>
      <c r="O512">
        <v>0</v>
      </c>
      <c r="P512">
        <v>214.8</v>
      </c>
      <c r="Q512">
        <v>14.06</v>
      </c>
      <c r="R512">
        <v>1.39</v>
      </c>
      <c r="S512">
        <v>230.25</v>
      </c>
      <c r="T512" t="s">
        <v>41</v>
      </c>
      <c r="U512" t="s">
        <v>41</v>
      </c>
      <c r="V512" t="s">
        <v>38</v>
      </c>
      <c r="W512" t="s">
        <v>604</v>
      </c>
      <c r="X512">
        <v>35.799999999999997</v>
      </c>
      <c r="Y512" s="9">
        <f t="shared" si="36"/>
        <v>35.800000000000004</v>
      </c>
      <c r="Z512" s="9">
        <f t="shared" si="37"/>
        <v>67.125000000000014</v>
      </c>
      <c r="AA512" s="5">
        <f t="shared" si="38"/>
        <v>74.575875000000011</v>
      </c>
      <c r="AB512" s="6">
        <f t="shared" si="39"/>
        <v>108.73578750000001</v>
      </c>
      <c r="AD512" s="10">
        <f t="shared" si="40"/>
        <v>136.14493875000005</v>
      </c>
    </row>
    <row r="513" spans="1:30" x14ac:dyDescent="0.3">
      <c r="A513" t="s">
        <v>30</v>
      </c>
      <c r="B513" s="8" t="s">
        <v>66</v>
      </c>
      <c r="C513" s="8" t="s">
        <v>32</v>
      </c>
      <c r="D513" s="8" t="s">
        <v>33</v>
      </c>
      <c r="E513" s="8" t="s">
        <v>34</v>
      </c>
      <c r="F513" s="8" t="s">
        <v>35</v>
      </c>
      <c r="G513">
        <v>7304390000</v>
      </c>
      <c r="H513" t="s">
        <v>36</v>
      </c>
      <c r="I513" t="s">
        <v>449</v>
      </c>
      <c r="J513" t="s">
        <v>38</v>
      </c>
      <c r="K513" t="s">
        <v>39</v>
      </c>
      <c r="L513">
        <v>16</v>
      </c>
      <c r="M513">
        <v>1</v>
      </c>
      <c r="N513" t="s">
        <v>40</v>
      </c>
      <c r="O513">
        <v>2.91</v>
      </c>
      <c r="P513">
        <v>28.93</v>
      </c>
      <c r="Q513">
        <v>3.99</v>
      </c>
      <c r="R513">
        <v>0.19</v>
      </c>
      <c r="S513">
        <v>33.119999999999997</v>
      </c>
      <c r="T513" t="s">
        <v>41</v>
      </c>
      <c r="U513" t="s">
        <v>41</v>
      </c>
      <c r="V513" t="s">
        <v>38</v>
      </c>
      <c r="W513" t="s">
        <v>605</v>
      </c>
      <c r="X513">
        <v>28.93</v>
      </c>
      <c r="Y513" s="9">
        <f t="shared" si="36"/>
        <v>28.93</v>
      </c>
      <c r="Z513" s="9">
        <f t="shared" si="37"/>
        <v>54.243749999999999</v>
      </c>
      <c r="AA513" s="5">
        <f t="shared" si="38"/>
        <v>60.264806249999999</v>
      </c>
      <c r="AB513" s="6">
        <f t="shared" si="39"/>
        <v>87.869450624999999</v>
      </c>
      <c r="AD513" s="10">
        <f t="shared" si="40"/>
        <v>110.0188010625</v>
      </c>
    </row>
    <row r="514" spans="1:30" x14ac:dyDescent="0.3">
      <c r="A514" t="s">
        <v>30</v>
      </c>
      <c r="B514" s="8" t="s">
        <v>66</v>
      </c>
      <c r="C514" s="8" t="s">
        <v>32</v>
      </c>
      <c r="D514" s="8" t="s">
        <v>33</v>
      </c>
      <c r="E514" s="8" t="s">
        <v>34</v>
      </c>
      <c r="F514" s="8" t="s">
        <v>35</v>
      </c>
      <c r="G514">
        <v>4009320000</v>
      </c>
      <c r="H514" t="s">
        <v>88</v>
      </c>
      <c r="I514" t="s">
        <v>606</v>
      </c>
      <c r="J514" t="s">
        <v>38</v>
      </c>
      <c r="K514" t="s">
        <v>39</v>
      </c>
      <c r="L514">
        <v>8</v>
      </c>
      <c r="M514">
        <v>6</v>
      </c>
      <c r="N514" t="s">
        <v>40</v>
      </c>
      <c r="O514">
        <v>0</v>
      </c>
      <c r="P514">
        <v>349.52</v>
      </c>
      <c r="Q514">
        <v>50.3</v>
      </c>
      <c r="R514">
        <v>2.46</v>
      </c>
      <c r="S514">
        <v>402.28</v>
      </c>
      <c r="T514" t="s">
        <v>41</v>
      </c>
      <c r="U514" t="s">
        <v>41</v>
      </c>
      <c r="V514" t="s">
        <v>38</v>
      </c>
      <c r="W514" t="s">
        <v>607</v>
      </c>
      <c r="X514">
        <v>58.25</v>
      </c>
      <c r="Y514" s="9">
        <f t="shared" si="36"/>
        <v>58.25333333333333</v>
      </c>
      <c r="Z514" s="9">
        <f t="shared" si="37"/>
        <v>109.22499999999999</v>
      </c>
      <c r="AA514" s="5">
        <f t="shared" si="38"/>
        <v>121.348975</v>
      </c>
      <c r="AB514" s="6">
        <f t="shared" si="39"/>
        <v>176.93357749999998</v>
      </c>
      <c r="AD514" s="10">
        <f t="shared" si="40"/>
        <v>221.53342175</v>
      </c>
    </row>
    <row r="515" spans="1:30" x14ac:dyDescent="0.3">
      <c r="A515" t="s">
        <v>168</v>
      </c>
      <c r="B515" s="8" t="s">
        <v>66</v>
      </c>
      <c r="C515" s="8" t="s">
        <v>32</v>
      </c>
      <c r="D515" s="8" t="s">
        <v>33</v>
      </c>
      <c r="E515" s="8" t="s">
        <v>34</v>
      </c>
      <c r="F515" s="8" t="s">
        <v>35</v>
      </c>
      <c r="G515">
        <v>8481805900</v>
      </c>
      <c r="H515" t="s">
        <v>36</v>
      </c>
      <c r="I515" t="s">
        <v>608</v>
      </c>
      <c r="J515" t="s">
        <v>38</v>
      </c>
      <c r="K515" t="s">
        <v>39</v>
      </c>
      <c r="L515">
        <v>11</v>
      </c>
      <c r="M515">
        <v>1</v>
      </c>
      <c r="N515" t="s">
        <v>64</v>
      </c>
      <c r="O515">
        <v>0</v>
      </c>
      <c r="P515">
        <v>267.92</v>
      </c>
      <c r="Q515">
        <v>25.66</v>
      </c>
      <c r="R515">
        <v>1.81</v>
      </c>
      <c r="S515">
        <v>295.39</v>
      </c>
      <c r="T515" t="s">
        <v>41</v>
      </c>
      <c r="U515" t="s">
        <v>43</v>
      </c>
      <c r="V515" t="s">
        <v>38</v>
      </c>
      <c r="W515" t="s">
        <v>609</v>
      </c>
      <c r="X515">
        <v>267.92</v>
      </c>
      <c r="Y515" s="9">
        <f t="shared" ref="Y515:Y578" si="41">SUM(P515)/M515</f>
        <v>267.92</v>
      </c>
      <c r="Z515" s="9">
        <f t="shared" ref="Z515:Z578" si="42">SUM(Y515)*1.875</f>
        <v>502.35</v>
      </c>
      <c r="AA515" s="5">
        <f t="shared" ref="AA515:AA578" si="43">SUM(Z515)*1.111</f>
        <v>558.11085000000003</v>
      </c>
      <c r="AB515" s="6">
        <f t="shared" ref="AB515:AB578" si="44">SUM(Z515)*1.6199</f>
        <v>813.75676499999997</v>
      </c>
      <c r="AD515" s="10">
        <f t="shared" ref="AD515:AD578" si="45">SUM(Z515)*2.02823</f>
        <v>1018.8813405000002</v>
      </c>
    </row>
    <row r="516" spans="1:30" x14ac:dyDescent="0.3">
      <c r="A516" t="s">
        <v>30</v>
      </c>
      <c r="B516" s="8" t="s">
        <v>66</v>
      </c>
      <c r="C516" s="8" t="s">
        <v>32</v>
      </c>
      <c r="D516" s="8" t="s">
        <v>69</v>
      </c>
      <c r="E516" s="8" t="s">
        <v>70</v>
      </c>
      <c r="F516" s="8" t="s">
        <v>71</v>
      </c>
      <c r="G516">
        <v>8481809990</v>
      </c>
      <c r="H516" t="s">
        <v>53</v>
      </c>
      <c r="I516" t="s">
        <v>610</v>
      </c>
      <c r="J516" t="s">
        <v>38</v>
      </c>
      <c r="K516" t="s">
        <v>39</v>
      </c>
      <c r="L516">
        <v>13</v>
      </c>
      <c r="M516">
        <v>2</v>
      </c>
      <c r="N516" t="s">
        <v>64</v>
      </c>
      <c r="O516">
        <v>0</v>
      </c>
      <c r="P516">
        <v>569.55999999999995</v>
      </c>
      <c r="Q516">
        <v>30.41</v>
      </c>
      <c r="R516">
        <v>3.66</v>
      </c>
      <c r="S516">
        <v>603.63</v>
      </c>
      <c r="T516" t="s">
        <v>72</v>
      </c>
      <c r="U516" t="s">
        <v>72</v>
      </c>
      <c r="V516" t="s">
        <v>38</v>
      </c>
      <c r="W516" t="s">
        <v>611</v>
      </c>
      <c r="X516">
        <v>284.77999999999997</v>
      </c>
      <c r="Y516" s="9">
        <f t="shared" si="41"/>
        <v>284.77999999999997</v>
      </c>
      <c r="Z516" s="9">
        <f t="shared" si="42"/>
        <v>533.96249999999998</v>
      </c>
      <c r="AA516" s="5">
        <f t="shared" si="43"/>
        <v>593.23233749999997</v>
      </c>
      <c r="AB516" s="6">
        <f t="shared" si="44"/>
        <v>864.96585374999995</v>
      </c>
      <c r="AD516" s="10">
        <f t="shared" si="45"/>
        <v>1082.998761375</v>
      </c>
    </row>
    <row r="517" spans="1:30" x14ac:dyDescent="0.3">
      <c r="A517" t="s">
        <v>30</v>
      </c>
      <c r="B517" s="8" t="s">
        <v>66</v>
      </c>
      <c r="C517" s="8" t="s">
        <v>32</v>
      </c>
      <c r="D517" s="8" t="s">
        <v>33</v>
      </c>
      <c r="E517" s="8" t="s">
        <v>34</v>
      </c>
      <c r="F517" s="8" t="s">
        <v>35</v>
      </c>
      <c r="G517">
        <v>8481805900</v>
      </c>
      <c r="H517" t="s">
        <v>36</v>
      </c>
      <c r="I517" t="s">
        <v>191</v>
      </c>
      <c r="J517" t="s">
        <v>38</v>
      </c>
      <c r="K517" t="s">
        <v>39</v>
      </c>
      <c r="L517">
        <v>6</v>
      </c>
      <c r="M517">
        <v>3</v>
      </c>
      <c r="N517" t="s">
        <v>64</v>
      </c>
      <c r="O517">
        <v>0</v>
      </c>
      <c r="P517">
        <v>232.83</v>
      </c>
      <c r="Q517">
        <v>15.8</v>
      </c>
      <c r="R517">
        <v>1.51</v>
      </c>
      <c r="S517">
        <v>250.14</v>
      </c>
      <c r="T517" t="s">
        <v>41</v>
      </c>
      <c r="U517" t="s">
        <v>41</v>
      </c>
      <c r="V517" t="s">
        <v>38</v>
      </c>
      <c r="W517" t="s">
        <v>612</v>
      </c>
      <c r="X517">
        <v>77.61</v>
      </c>
      <c r="Y517" s="9">
        <f t="shared" si="41"/>
        <v>77.61</v>
      </c>
      <c r="Z517" s="9">
        <f t="shared" si="42"/>
        <v>145.51875000000001</v>
      </c>
      <c r="AA517" s="5">
        <f t="shared" si="43"/>
        <v>161.67133125000001</v>
      </c>
      <c r="AB517" s="6">
        <f t="shared" si="44"/>
        <v>235.72582312500001</v>
      </c>
      <c r="AD517" s="10">
        <f t="shared" si="45"/>
        <v>295.14549431250003</v>
      </c>
    </row>
    <row r="518" spans="1:30" x14ac:dyDescent="0.3">
      <c r="A518" t="s">
        <v>30</v>
      </c>
      <c r="B518" s="8" t="s">
        <v>66</v>
      </c>
      <c r="C518" s="8" t="s">
        <v>32</v>
      </c>
      <c r="D518" s="8" t="s">
        <v>69</v>
      </c>
      <c r="E518" s="8" t="s">
        <v>70</v>
      </c>
      <c r="F518" s="8" t="s">
        <v>71</v>
      </c>
      <c r="G518">
        <v>8481805900</v>
      </c>
      <c r="H518" t="s">
        <v>53</v>
      </c>
      <c r="I518" t="s">
        <v>191</v>
      </c>
      <c r="J518" t="s">
        <v>38</v>
      </c>
      <c r="K518" t="s">
        <v>39</v>
      </c>
      <c r="L518">
        <v>8</v>
      </c>
      <c r="M518">
        <v>2</v>
      </c>
      <c r="N518" t="s">
        <v>64</v>
      </c>
      <c r="O518">
        <v>0</v>
      </c>
      <c r="P518">
        <v>151.86000000000001</v>
      </c>
      <c r="Q518">
        <v>9.94</v>
      </c>
      <c r="R518">
        <v>0.99</v>
      </c>
      <c r="S518">
        <v>162.79</v>
      </c>
      <c r="T518" t="s">
        <v>41</v>
      </c>
      <c r="U518" t="s">
        <v>41</v>
      </c>
      <c r="V518" t="s">
        <v>38</v>
      </c>
      <c r="W518" t="s">
        <v>612</v>
      </c>
      <c r="X518">
        <v>75.930000000000007</v>
      </c>
      <c r="Y518" s="9">
        <f t="shared" si="41"/>
        <v>75.930000000000007</v>
      </c>
      <c r="Z518" s="9">
        <f t="shared" si="42"/>
        <v>142.36875000000001</v>
      </c>
      <c r="AA518" s="5">
        <f t="shared" si="43"/>
        <v>158.17168125000001</v>
      </c>
      <c r="AB518" s="6">
        <f t="shared" si="44"/>
        <v>230.623138125</v>
      </c>
      <c r="AD518" s="10">
        <f t="shared" si="45"/>
        <v>288.75656981250006</v>
      </c>
    </row>
    <row r="519" spans="1:30" x14ac:dyDescent="0.3">
      <c r="A519" t="s">
        <v>30</v>
      </c>
      <c r="B519" s="8" t="s">
        <v>66</v>
      </c>
      <c r="C519" s="8" t="s">
        <v>32</v>
      </c>
      <c r="D519" s="8" t="s">
        <v>33</v>
      </c>
      <c r="E519" s="8" t="s">
        <v>34</v>
      </c>
      <c r="F519" s="8" t="s">
        <v>35</v>
      </c>
      <c r="G519">
        <v>8481805900</v>
      </c>
      <c r="H519" t="s">
        <v>53</v>
      </c>
      <c r="I519" t="s">
        <v>191</v>
      </c>
      <c r="J519" t="s">
        <v>38</v>
      </c>
      <c r="K519" t="s">
        <v>39</v>
      </c>
      <c r="L519">
        <v>8</v>
      </c>
      <c r="M519">
        <v>5</v>
      </c>
      <c r="N519" t="s">
        <v>64</v>
      </c>
      <c r="O519">
        <v>0</v>
      </c>
      <c r="P519">
        <v>387.91</v>
      </c>
      <c r="Q519">
        <v>48.59</v>
      </c>
      <c r="R519">
        <v>2.65</v>
      </c>
      <c r="S519">
        <v>439.16</v>
      </c>
      <c r="T519" t="s">
        <v>41</v>
      </c>
      <c r="U519" t="s">
        <v>41</v>
      </c>
      <c r="V519" t="s">
        <v>38</v>
      </c>
      <c r="W519" t="s">
        <v>612</v>
      </c>
      <c r="X519">
        <v>77.58</v>
      </c>
      <c r="Y519" s="9">
        <f t="shared" si="41"/>
        <v>77.582000000000008</v>
      </c>
      <c r="Z519" s="9">
        <f t="shared" si="42"/>
        <v>145.46625</v>
      </c>
      <c r="AA519" s="5">
        <f t="shared" si="43"/>
        <v>161.61300374999999</v>
      </c>
      <c r="AB519" s="6">
        <f t="shared" si="44"/>
        <v>235.640778375</v>
      </c>
      <c r="AD519" s="10">
        <f t="shared" si="45"/>
        <v>295.03901223750006</v>
      </c>
    </row>
    <row r="520" spans="1:30" x14ac:dyDescent="0.3">
      <c r="A520" t="s">
        <v>30</v>
      </c>
      <c r="B520" s="8" t="s">
        <v>66</v>
      </c>
      <c r="C520" s="8" t="s">
        <v>32</v>
      </c>
      <c r="D520" s="8" t="s">
        <v>33</v>
      </c>
      <c r="E520" s="8" t="s">
        <v>34</v>
      </c>
      <c r="F520" s="8" t="s">
        <v>35</v>
      </c>
      <c r="G520">
        <v>8481805900</v>
      </c>
      <c r="H520" t="s">
        <v>53</v>
      </c>
      <c r="I520" t="s">
        <v>191</v>
      </c>
      <c r="J520" t="s">
        <v>38</v>
      </c>
      <c r="K520" t="s">
        <v>39</v>
      </c>
      <c r="L520">
        <v>8</v>
      </c>
      <c r="M520">
        <v>6</v>
      </c>
      <c r="N520" t="s">
        <v>64</v>
      </c>
      <c r="O520">
        <v>0</v>
      </c>
      <c r="P520">
        <v>463.2</v>
      </c>
      <c r="Q520">
        <v>26.22</v>
      </c>
      <c r="R520">
        <v>2.96</v>
      </c>
      <c r="S520">
        <v>492.38</v>
      </c>
      <c r="T520" t="s">
        <v>41</v>
      </c>
      <c r="U520" t="s">
        <v>41</v>
      </c>
      <c r="V520" t="s">
        <v>38</v>
      </c>
      <c r="W520" t="s">
        <v>612</v>
      </c>
      <c r="X520">
        <v>77.2</v>
      </c>
      <c r="Y520" s="9">
        <f t="shared" si="41"/>
        <v>77.2</v>
      </c>
      <c r="Z520" s="9">
        <f t="shared" si="42"/>
        <v>144.75</v>
      </c>
      <c r="AA520" s="5">
        <f t="shared" si="43"/>
        <v>160.81725</v>
      </c>
      <c r="AB520" s="6">
        <f t="shared" si="44"/>
        <v>234.48052499999997</v>
      </c>
      <c r="AD520" s="10">
        <f t="shared" si="45"/>
        <v>293.58629250000001</v>
      </c>
    </row>
    <row r="521" spans="1:30" x14ac:dyDescent="0.3">
      <c r="A521" t="s">
        <v>30</v>
      </c>
      <c r="B521" s="8" t="s">
        <v>613</v>
      </c>
      <c r="C521" s="8" t="s">
        <v>32</v>
      </c>
      <c r="D521" s="8" t="s">
        <v>33</v>
      </c>
      <c r="E521" s="8" t="s">
        <v>34</v>
      </c>
      <c r="F521" s="8" t="s">
        <v>35</v>
      </c>
      <c r="G521">
        <v>8414590000</v>
      </c>
      <c r="H521" t="s">
        <v>36</v>
      </c>
      <c r="I521" t="s">
        <v>614</v>
      </c>
      <c r="J521" t="s">
        <v>74</v>
      </c>
      <c r="K521" t="s">
        <v>39</v>
      </c>
      <c r="L521">
        <v>7</v>
      </c>
      <c r="M521">
        <v>1</v>
      </c>
      <c r="N521" t="s">
        <v>64</v>
      </c>
      <c r="O521">
        <v>0</v>
      </c>
      <c r="P521">
        <v>214.45</v>
      </c>
      <c r="Q521">
        <v>12.11</v>
      </c>
      <c r="R521">
        <v>1.37</v>
      </c>
      <c r="S521">
        <v>227.93</v>
      </c>
      <c r="T521" t="s">
        <v>75</v>
      </c>
      <c r="U521" t="s">
        <v>615</v>
      </c>
      <c r="V521" t="s">
        <v>74</v>
      </c>
      <c r="W521" t="s">
        <v>616</v>
      </c>
      <c r="X521">
        <v>214.45</v>
      </c>
      <c r="Y521" s="9">
        <f t="shared" si="41"/>
        <v>214.45</v>
      </c>
      <c r="Z521" s="9">
        <f t="shared" si="42"/>
        <v>402.09375</v>
      </c>
      <c r="AA521" s="5">
        <f t="shared" si="43"/>
        <v>446.72615624999997</v>
      </c>
      <c r="AB521" s="6">
        <f t="shared" si="44"/>
        <v>651.35166562500001</v>
      </c>
      <c r="AD521" s="10">
        <f t="shared" si="45"/>
        <v>815.53860656250004</v>
      </c>
    </row>
    <row r="522" spans="1:30" x14ac:dyDescent="0.3">
      <c r="A522" t="s">
        <v>30</v>
      </c>
      <c r="B522" s="8" t="s">
        <v>613</v>
      </c>
      <c r="C522" s="8" t="s">
        <v>32</v>
      </c>
      <c r="D522" s="8" t="s">
        <v>33</v>
      </c>
      <c r="E522" s="8" t="s">
        <v>34</v>
      </c>
      <c r="F522" s="8" t="s">
        <v>35</v>
      </c>
      <c r="G522">
        <v>8414590000</v>
      </c>
      <c r="H522" t="s">
        <v>36</v>
      </c>
      <c r="I522" t="s">
        <v>466</v>
      </c>
      <c r="J522" t="s">
        <v>38</v>
      </c>
      <c r="K522" t="s">
        <v>39</v>
      </c>
      <c r="L522">
        <v>10</v>
      </c>
      <c r="M522">
        <v>1</v>
      </c>
      <c r="N522" t="s">
        <v>64</v>
      </c>
      <c r="O522">
        <v>0</v>
      </c>
      <c r="P522">
        <v>214.51</v>
      </c>
      <c r="Q522">
        <v>17.850000000000001</v>
      </c>
      <c r="R522">
        <v>1.4</v>
      </c>
      <c r="S522">
        <v>233.77</v>
      </c>
      <c r="T522" t="s">
        <v>41</v>
      </c>
      <c r="U522" t="s">
        <v>43</v>
      </c>
      <c r="V522" t="s">
        <v>38</v>
      </c>
      <c r="W522" t="s">
        <v>616</v>
      </c>
      <c r="X522">
        <v>214.51</v>
      </c>
      <c r="Y522" s="9">
        <f t="shared" si="41"/>
        <v>214.51</v>
      </c>
      <c r="Z522" s="9">
        <f t="shared" si="42"/>
        <v>402.20624999999995</v>
      </c>
      <c r="AA522" s="5">
        <f t="shared" si="43"/>
        <v>446.85114374999995</v>
      </c>
      <c r="AB522" s="6">
        <f t="shared" si="44"/>
        <v>651.53390437499991</v>
      </c>
      <c r="AD522" s="10">
        <f t="shared" si="45"/>
        <v>815.76678243749996</v>
      </c>
    </row>
    <row r="523" spans="1:30" x14ac:dyDescent="0.3">
      <c r="A523" t="s">
        <v>30</v>
      </c>
      <c r="B523" s="8" t="s">
        <v>613</v>
      </c>
      <c r="C523" s="8" t="s">
        <v>32</v>
      </c>
      <c r="D523" s="8" t="s">
        <v>33</v>
      </c>
      <c r="E523" s="8" t="s">
        <v>34</v>
      </c>
      <c r="F523" s="8" t="s">
        <v>35</v>
      </c>
      <c r="G523">
        <v>8414590000</v>
      </c>
      <c r="H523" t="s">
        <v>36</v>
      </c>
      <c r="I523" t="s">
        <v>466</v>
      </c>
      <c r="J523" t="s">
        <v>38</v>
      </c>
      <c r="K523" t="s">
        <v>39</v>
      </c>
      <c r="L523">
        <v>10</v>
      </c>
      <c r="M523">
        <v>1</v>
      </c>
      <c r="N523" t="s">
        <v>64</v>
      </c>
      <c r="O523">
        <v>0</v>
      </c>
      <c r="P523">
        <v>214.51</v>
      </c>
      <c r="Q523">
        <v>17.850000000000001</v>
      </c>
      <c r="R523">
        <v>1.4</v>
      </c>
      <c r="S523">
        <v>233.77</v>
      </c>
      <c r="T523" t="s">
        <v>41</v>
      </c>
      <c r="U523" t="s">
        <v>43</v>
      </c>
      <c r="V523" t="s">
        <v>38</v>
      </c>
      <c r="W523" t="s">
        <v>616</v>
      </c>
      <c r="X523">
        <v>214.51</v>
      </c>
      <c r="Y523" s="9">
        <f t="shared" si="41"/>
        <v>214.51</v>
      </c>
      <c r="Z523" s="9">
        <f t="shared" si="42"/>
        <v>402.20624999999995</v>
      </c>
      <c r="AA523" s="5">
        <f t="shared" si="43"/>
        <v>446.85114374999995</v>
      </c>
      <c r="AB523" s="6">
        <f t="shared" si="44"/>
        <v>651.53390437499991</v>
      </c>
      <c r="AD523" s="10">
        <f t="shared" si="45"/>
        <v>815.76678243749996</v>
      </c>
    </row>
    <row r="524" spans="1:30" x14ac:dyDescent="0.3">
      <c r="A524" t="s">
        <v>30</v>
      </c>
      <c r="B524" s="8" t="s">
        <v>58</v>
      </c>
      <c r="C524" s="8" t="s">
        <v>32</v>
      </c>
      <c r="D524" s="8" t="s">
        <v>33</v>
      </c>
      <c r="E524" s="8" t="s">
        <v>34</v>
      </c>
      <c r="F524" s="8" t="s">
        <v>35</v>
      </c>
      <c r="G524">
        <v>4010320000</v>
      </c>
      <c r="H524" t="s">
        <v>59</v>
      </c>
      <c r="I524" t="s">
        <v>60</v>
      </c>
      <c r="J524" t="s">
        <v>38</v>
      </c>
      <c r="K524" t="s">
        <v>39</v>
      </c>
      <c r="L524">
        <v>8</v>
      </c>
      <c r="M524">
        <v>3</v>
      </c>
      <c r="N524" t="s">
        <v>40</v>
      </c>
      <c r="O524">
        <v>0</v>
      </c>
      <c r="P524">
        <v>31.57</v>
      </c>
      <c r="Q524">
        <v>1.79</v>
      </c>
      <c r="R524">
        <v>0.2</v>
      </c>
      <c r="S524">
        <v>33.56</v>
      </c>
      <c r="T524" t="s">
        <v>41</v>
      </c>
      <c r="U524" t="s">
        <v>41</v>
      </c>
      <c r="V524" t="s">
        <v>38</v>
      </c>
      <c r="W524" t="s">
        <v>617</v>
      </c>
      <c r="X524">
        <v>10.52</v>
      </c>
      <c r="Y524" s="9">
        <f t="shared" si="41"/>
        <v>10.523333333333333</v>
      </c>
      <c r="Z524" s="9">
        <f t="shared" si="42"/>
        <v>19.731249999999999</v>
      </c>
      <c r="AA524" s="5">
        <f t="shared" si="43"/>
        <v>21.921418749999997</v>
      </c>
      <c r="AB524" s="6">
        <f t="shared" si="44"/>
        <v>31.962651874999995</v>
      </c>
      <c r="AD524" s="10">
        <f t="shared" si="45"/>
        <v>40.019513187500003</v>
      </c>
    </row>
    <row r="525" spans="1:30" x14ac:dyDescent="0.3">
      <c r="A525" t="s">
        <v>30</v>
      </c>
      <c r="B525" s="8" t="s">
        <v>221</v>
      </c>
      <c r="C525" s="8" t="s">
        <v>32</v>
      </c>
      <c r="D525" s="8" t="s">
        <v>69</v>
      </c>
      <c r="E525" s="8" t="s">
        <v>70</v>
      </c>
      <c r="F525" s="8" t="s">
        <v>71</v>
      </c>
      <c r="G525">
        <v>8419509099</v>
      </c>
      <c r="H525" t="s">
        <v>36</v>
      </c>
      <c r="I525" t="s">
        <v>328</v>
      </c>
      <c r="J525" t="s">
        <v>38</v>
      </c>
      <c r="K525" t="s">
        <v>39</v>
      </c>
      <c r="L525">
        <v>13</v>
      </c>
      <c r="M525">
        <v>1</v>
      </c>
      <c r="N525" t="s">
        <v>64</v>
      </c>
      <c r="O525">
        <v>273.77999999999997</v>
      </c>
      <c r="P525">
        <v>1088</v>
      </c>
      <c r="Q525">
        <v>77.25</v>
      </c>
      <c r="R525">
        <v>7.11</v>
      </c>
      <c r="S525">
        <v>1172.3599999999999</v>
      </c>
      <c r="T525" t="s">
        <v>41</v>
      </c>
      <c r="U525" t="s">
        <v>41</v>
      </c>
      <c r="V525" t="s">
        <v>38</v>
      </c>
      <c r="W525" t="s">
        <v>618</v>
      </c>
      <c r="X525">
        <v>1088</v>
      </c>
      <c r="Y525" s="9">
        <f t="shared" si="41"/>
        <v>1088</v>
      </c>
      <c r="Z525" s="9">
        <f t="shared" si="42"/>
        <v>2040</v>
      </c>
      <c r="AA525" s="5">
        <f t="shared" si="43"/>
        <v>2266.44</v>
      </c>
      <c r="AB525" s="6">
        <f t="shared" si="44"/>
        <v>3304.596</v>
      </c>
      <c r="AD525" s="10">
        <f t="shared" si="45"/>
        <v>4137.5892000000003</v>
      </c>
    </row>
    <row r="526" spans="1:30" x14ac:dyDescent="0.3">
      <c r="A526" t="s">
        <v>30</v>
      </c>
      <c r="B526" s="8" t="s">
        <v>66</v>
      </c>
      <c r="C526" s="8" t="s">
        <v>32</v>
      </c>
      <c r="D526" s="8" t="s">
        <v>33</v>
      </c>
      <c r="E526" s="8" t="s">
        <v>34</v>
      </c>
      <c r="F526" s="8" t="s">
        <v>35</v>
      </c>
      <c r="G526">
        <v>7304310000</v>
      </c>
      <c r="H526" t="s">
        <v>285</v>
      </c>
      <c r="I526" t="s">
        <v>37</v>
      </c>
      <c r="J526" t="s">
        <v>38</v>
      </c>
      <c r="K526" t="s">
        <v>39</v>
      </c>
      <c r="L526">
        <v>8</v>
      </c>
      <c r="M526">
        <v>2</v>
      </c>
      <c r="N526" t="s">
        <v>40</v>
      </c>
      <c r="O526">
        <v>0</v>
      </c>
      <c r="P526">
        <v>128.52000000000001</v>
      </c>
      <c r="Q526">
        <v>18.5</v>
      </c>
      <c r="R526">
        <v>0.9</v>
      </c>
      <c r="S526">
        <v>147.91999999999999</v>
      </c>
      <c r="T526" t="s">
        <v>41</v>
      </c>
      <c r="U526" t="s">
        <v>41</v>
      </c>
      <c r="V526" t="s">
        <v>38</v>
      </c>
      <c r="W526" t="s">
        <v>619</v>
      </c>
      <c r="X526">
        <v>64.260000000000005</v>
      </c>
      <c r="Y526" s="9">
        <f t="shared" si="41"/>
        <v>64.260000000000005</v>
      </c>
      <c r="Z526" s="9">
        <f t="shared" si="42"/>
        <v>120.48750000000001</v>
      </c>
      <c r="AA526" s="5">
        <f t="shared" si="43"/>
        <v>133.86161250000001</v>
      </c>
      <c r="AB526" s="6">
        <f t="shared" si="44"/>
        <v>195.17770125000001</v>
      </c>
      <c r="AD526" s="10">
        <f t="shared" si="45"/>
        <v>244.37636212500004</v>
      </c>
    </row>
    <row r="527" spans="1:30" x14ac:dyDescent="0.3">
      <c r="A527" t="s">
        <v>30</v>
      </c>
      <c r="B527" s="8" t="s">
        <v>66</v>
      </c>
      <c r="C527" s="8" t="s">
        <v>32</v>
      </c>
      <c r="D527" s="8" t="s">
        <v>33</v>
      </c>
      <c r="E527" s="8" t="s">
        <v>34</v>
      </c>
      <c r="F527" s="8" t="s">
        <v>35</v>
      </c>
      <c r="G527">
        <v>4009220000</v>
      </c>
      <c r="H527" t="s">
        <v>88</v>
      </c>
      <c r="I527" t="s">
        <v>620</v>
      </c>
      <c r="J527" t="s">
        <v>38</v>
      </c>
      <c r="K527" t="s">
        <v>39</v>
      </c>
      <c r="L527">
        <v>8</v>
      </c>
      <c r="M527">
        <v>2</v>
      </c>
      <c r="N527" t="s">
        <v>40</v>
      </c>
      <c r="O527">
        <v>0</v>
      </c>
      <c r="P527">
        <v>605.80999999999995</v>
      </c>
      <c r="Q527">
        <v>87.18</v>
      </c>
      <c r="R527">
        <v>4.26</v>
      </c>
      <c r="S527">
        <v>697.26</v>
      </c>
      <c r="T527" t="s">
        <v>41</v>
      </c>
      <c r="U527" t="s">
        <v>41</v>
      </c>
      <c r="V527" t="s">
        <v>38</v>
      </c>
      <c r="W527" t="s">
        <v>621</v>
      </c>
      <c r="X527">
        <v>302.89999999999998</v>
      </c>
      <c r="Y527" s="9">
        <f t="shared" si="41"/>
        <v>302.90499999999997</v>
      </c>
      <c r="Z527" s="9">
        <f t="shared" si="42"/>
        <v>567.94687499999998</v>
      </c>
      <c r="AA527" s="5">
        <f t="shared" si="43"/>
        <v>630.98897812500002</v>
      </c>
      <c r="AB527" s="6">
        <f t="shared" si="44"/>
        <v>920.01714281249986</v>
      </c>
      <c r="AD527" s="10">
        <f t="shared" si="45"/>
        <v>1151.9268902812501</v>
      </c>
    </row>
    <row r="528" spans="1:30" x14ac:dyDescent="0.3">
      <c r="A528" t="s">
        <v>30</v>
      </c>
      <c r="B528" s="8" t="s">
        <v>66</v>
      </c>
      <c r="C528" s="8" t="s">
        <v>32</v>
      </c>
      <c r="D528" s="8" t="s">
        <v>33</v>
      </c>
      <c r="E528" s="8" t="s">
        <v>34</v>
      </c>
      <c r="F528" s="8" t="s">
        <v>35</v>
      </c>
      <c r="G528">
        <v>4009220000</v>
      </c>
      <c r="H528" t="s">
        <v>88</v>
      </c>
      <c r="I528" t="s">
        <v>46</v>
      </c>
      <c r="J528" t="s">
        <v>38</v>
      </c>
      <c r="K528" t="s">
        <v>39</v>
      </c>
      <c r="L528">
        <v>4</v>
      </c>
      <c r="M528">
        <v>1</v>
      </c>
      <c r="N528" t="s">
        <v>40</v>
      </c>
      <c r="O528">
        <v>0</v>
      </c>
      <c r="P528">
        <v>313.5</v>
      </c>
      <c r="Q528">
        <v>16.41</v>
      </c>
      <c r="R528">
        <v>2.04</v>
      </c>
      <c r="S528">
        <v>331.96</v>
      </c>
      <c r="T528" t="s">
        <v>41</v>
      </c>
      <c r="U528" t="s">
        <v>41</v>
      </c>
      <c r="V528" t="s">
        <v>38</v>
      </c>
      <c r="W528" t="s">
        <v>621</v>
      </c>
      <c r="X528">
        <v>313.5</v>
      </c>
      <c r="Y528" s="9">
        <f t="shared" si="41"/>
        <v>313.5</v>
      </c>
      <c r="Z528" s="9">
        <f t="shared" si="42"/>
        <v>587.8125</v>
      </c>
      <c r="AA528" s="5">
        <f t="shared" si="43"/>
        <v>653.0596875</v>
      </c>
      <c r="AB528" s="6">
        <f t="shared" si="44"/>
        <v>952.19746874999998</v>
      </c>
      <c r="AD528" s="10">
        <f t="shared" si="45"/>
        <v>1192.218946875</v>
      </c>
    </row>
    <row r="529" spans="1:30" x14ac:dyDescent="0.3">
      <c r="A529" t="s">
        <v>30</v>
      </c>
      <c r="B529" s="8" t="s">
        <v>66</v>
      </c>
      <c r="C529" s="8" t="s">
        <v>32</v>
      </c>
      <c r="D529" s="8" t="s">
        <v>69</v>
      </c>
      <c r="E529" s="8" t="s">
        <v>70</v>
      </c>
      <c r="F529" s="8" t="s">
        <v>71</v>
      </c>
      <c r="G529">
        <v>4009220000</v>
      </c>
      <c r="H529" t="s">
        <v>88</v>
      </c>
      <c r="I529" t="s">
        <v>46</v>
      </c>
      <c r="J529" t="s">
        <v>38</v>
      </c>
      <c r="K529" t="s">
        <v>39</v>
      </c>
      <c r="L529">
        <v>13</v>
      </c>
      <c r="M529">
        <v>1</v>
      </c>
      <c r="N529" t="s">
        <v>40</v>
      </c>
      <c r="O529">
        <v>0</v>
      </c>
      <c r="P529">
        <v>306.51</v>
      </c>
      <c r="Q529">
        <v>16.36</v>
      </c>
      <c r="R529">
        <v>1.97</v>
      </c>
      <c r="S529">
        <v>324.83999999999997</v>
      </c>
      <c r="T529" t="s">
        <v>72</v>
      </c>
      <c r="U529" t="s">
        <v>72</v>
      </c>
      <c r="V529" t="s">
        <v>38</v>
      </c>
      <c r="W529" t="s">
        <v>621</v>
      </c>
      <c r="X529">
        <v>306.51</v>
      </c>
      <c r="Y529" s="9">
        <f t="shared" si="41"/>
        <v>306.51</v>
      </c>
      <c r="Z529" s="9">
        <f t="shared" si="42"/>
        <v>574.70624999999995</v>
      </c>
      <c r="AA529" s="5">
        <f t="shared" si="43"/>
        <v>638.49864374999993</v>
      </c>
      <c r="AB529" s="6">
        <f t="shared" si="44"/>
        <v>930.96665437499985</v>
      </c>
      <c r="AD529" s="10">
        <f t="shared" si="45"/>
        <v>1165.6364574375</v>
      </c>
    </row>
    <row r="530" spans="1:30" x14ac:dyDescent="0.3">
      <c r="A530" t="s">
        <v>30</v>
      </c>
      <c r="B530" s="8" t="s">
        <v>66</v>
      </c>
      <c r="C530" s="8" t="s">
        <v>32</v>
      </c>
      <c r="D530" s="8" t="s">
        <v>33</v>
      </c>
      <c r="E530" s="8" t="s">
        <v>34</v>
      </c>
      <c r="F530" s="8" t="s">
        <v>35</v>
      </c>
      <c r="G530">
        <v>9032899000</v>
      </c>
      <c r="H530" t="s">
        <v>177</v>
      </c>
      <c r="I530" t="s">
        <v>181</v>
      </c>
      <c r="J530" t="s">
        <v>38</v>
      </c>
      <c r="K530" t="s">
        <v>39</v>
      </c>
      <c r="L530">
        <v>7</v>
      </c>
      <c r="M530">
        <v>2</v>
      </c>
      <c r="N530" t="s">
        <v>64</v>
      </c>
      <c r="O530">
        <v>0</v>
      </c>
      <c r="P530">
        <v>31.62</v>
      </c>
      <c r="Q530">
        <v>4.99</v>
      </c>
      <c r="R530">
        <v>0.19</v>
      </c>
      <c r="S530">
        <v>36.81</v>
      </c>
      <c r="T530" t="s">
        <v>41</v>
      </c>
      <c r="U530" t="s">
        <v>41</v>
      </c>
      <c r="V530" t="s">
        <v>38</v>
      </c>
      <c r="W530" t="s">
        <v>622</v>
      </c>
      <c r="X530">
        <v>15.81</v>
      </c>
      <c r="Y530" s="9">
        <f t="shared" si="41"/>
        <v>15.81</v>
      </c>
      <c r="Z530" s="9">
        <f t="shared" si="42"/>
        <v>29.643750000000001</v>
      </c>
      <c r="AA530" s="5">
        <f t="shared" si="43"/>
        <v>32.934206250000003</v>
      </c>
      <c r="AB530" s="6">
        <f t="shared" si="44"/>
        <v>48.019910625000001</v>
      </c>
      <c r="AD530" s="10">
        <f t="shared" si="45"/>
        <v>60.12434306250001</v>
      </c>
    </row>
    <row r="531" spans="1:30" x14ac:dyDescent="0.3">
      <c r="A531" t="s">
        <v>30</v>
      </c>
      <c r="B531" s="8" t="s">
        <v>66</v>
      </c>
      <c r="C531" s="8" t="s">
        <v>32</v>
      </c>
      <c r="D531" s="8" t="s">
        <v>69</v>
      </c>
      <c r="E531" s="8" t="s">
        <v>70</v>
      </c>
      <c r="F531" s="8" t="s">
        <v>71</v>
      </c>
      <c r="G531">
        <v>9032899000</v>
      </c>
      <c r="H531" t="s">
        <v>177</v>
      </c>
      <c r="I531" t="s">
        <v>181</v>
      </c>
      <c r="J531" t="s">
        <v>38</v>
      </c>
      <c r="K531" t="s">
        <v>39</v>
      </c>
      <c r="L531">
        <v>9</v>
      </c>
      <c r="M531">
        <v>2</v>
      </c>
      <c r="N531" t="s">
        <v>64</v>
      </c>
      <c r="O531">
        <v>0</v>
      </c>
      <c r="P531">
        <v>30</v>
      </c>
      <c r="Q531">
        <v>1.51</v>
      </c>
      <c r="R531">
        <v>0.19</v>
      </c>
      <c r="S531">
        <v>31.7</v>
      </c>
      <c r="T531" t="s">
        <v>41</v>
      </c>
      <c r="U531" t="s">
        <v>43</v>
      </c>
      <c r="V531" t="s">
        <v>38</v>
      </c>
      <c r="W531" t="s">
        <v>622</v>
      </c>
      <c r="X531">
        <v>15</v>
      </c>
      <c r="Y531" s="9">
        <f t="shared" si="41"/>
        <v>15</v>
      </c>
      <c r="Z531" s="9">
        <f t="shared" si="42"/>
        <v>28.125</v>
      </c>
      <c r="AA531" s="5">
        <f t="shared" si="43"/>
        <v>31.246874999999999</v>
      </c>
      <c r="AB531" s="6">
        <f t="shared" si="44"/>
        <v>45.559687499999995</v>
      </c>
      <c r="AD531" s="10">
        <f t="shared" si="45"/>
        <v>57.043968750000005</v>
      </c>
    </row>
    <row r="532" spans="1:30" x14ac:dyDescent="0.3">
      <c r="A532" t="s">
        <v>30</v>
      </c>
      <c r="B532" s="8" t="s">
        <v>66</v>
      </c>
      <c r="C532" s="8" t="s">
        <v>32</v>
      </c>
      <c r="D532" s="8" t="s">
        <v>33</v>
      </c>
      <c r="E532" s="8" t="s">
        <v>34</v>
      </c>
      <c r="F532" s="8" t="s">
        <v>35</v>
      </c>
      <c r="G532">
        <v>3926904000</v>
      </c>
      <c r="H532" t="s">
        <v>141</v>
      </c>
      <c r="I532" t="s">
        <v>142</v>
      </c>
      <c r="J532" t="s">
        <v>38</v>
      </c>
      <c r="K532" t="s">
        <v>39</v>
      </c>
      <c r="L532">
        <v>16</v>
      </c>
      <c r="M532">
        <v>1</v>
      </c>
      <c r="N532" t="s">
        <v>64</v>
      </c>
      <c r="O532">
        <v>0.15</v>
      </c>
      <c r="P532">
        <v>1.97</v>
      </c>
      <c r="Q532">
        <v>0.27</v>
      </c>
      <c r="R532">
        <v>0.01</v>
      </c>
      <c r="S532">
        <v>2.2599999999999998</v>
      </c>
      <c r="T532" t="s">
        <v>41</v>
      </c>
      <c r="U532" t="s">
        <v>41</v>
      </c>
      <c r="V532" t="s">
        <v>38</v>
      </c>
      <c r="W532" t="s">
        <v>623</v>
      </c>
      <c r="X532">
        <v>1.97</v>
      </c>
      <c r="Y532" s="9">
        <f t="shared" si="41"/>
        <v>1.97</v>
      </c>
      <c r="Z532" s="9">
        <f t="shared" si="42"/>
        <v>3.6937500000000001</v>
      </c>
      <c r="AA532" s="5">
        <f t="shared" si="43"/>
        <v>4.10375625</v>
      </c>
      <c r="AB532" s="6">
        <f t="shared" si="44"/>
        <v>5.9835056249999994</v>
      </c>
      <c r="AD532" s="10">
        <f t="shared" si="45"/>
        <v>7.4917745625000007</v>
      </c>
    </row>
    <row r="533" spans="1:30" x14ac:dyDescent="0.3">
      <c r="A533" t="s">
        <v>30</v>
      </c>
      <c r="B533" s="8" t="s">
        <v>66</v>
      </c>
      <c r="C533" s="8" t="s">
        <v>32</v>
      </c>
      <c r="D533" s="8" t="s">
        <v>33</v>
      </c>
      <c r="E533" s="8" t="s">
        <v>34</v>
      </c>
      <c r="F533" s="8" t="s">
        <v>35</v>
      </c>
      <c r="G533">
        <v>3926904000</v>
      </c>
      <c r="H533" t="s">
        <v>141</v>
      </c>
      <c r="I533" t="s">
        <v>142</v>
      </c>
      <c r="J533" t="s">
        <v>38</v>
      </c>
      <c r="K533" t="s">
        <v>39</v>
      </c>
      <c r="L533">
        <v>16</v>
      </c>
      <c r="M533">
        <v>1</v>
      </c>
      <c r="N533" t="s">
        <v>64</v>
      </c>
      <c r="O533">
        <v>0.17</v>
      </c>
      <c r="P533">
        <v>2.2200000000000002</v>
      </c>
      <c r="Q533">
        <v>0.31</v>
      </c>
      <c r="R533">
        <v>0.01</v>
      </c>
      <c r="S533">
        <v>2.54</v>
      </c>
      <c r="T533" t="s">
        <v>41</v>
      </c>
      <c r="U533" t="s">
        <v>41</v>
      </c>
      <c r="V533" t="s">
        <v>38</v>
      </c>
      <c r="W533" t="s">
        <v>624</v>
      </c>
      <c r="X533">
        <v>2.2200000000000002</v>
      </c>
      <c r="Y533" s="9">
        <f t="shared" si="41"/>
        <v>2.2200000000000002</v>
      </c>
      <c r="Z533" s="9">
        <f t="shared" si="42"/>
        <v>4.1625000000000005</v>
      </c>
      <c r="AA533" s="5">
        <f t="shared" si="43"/>
        <v>4.6245375000000006</v>
      </c>
      <c r="AB533" s="6">
        <f t="shared" si="44"/>
        <v>6.7428337500000008</v>
      </c>
      <c r="AD533" s="10">
        <f t="shared" si="45"/>
        <v>8.4425073750000017</v>
      </c>
    </row>
    <row r="534" spans="1:30" x14ac:dyDescent="0.3">
      <c r="A534" t="s">
        <v>168</v>
      </c>
      <c r="B534" s="8" t="s">
        <v>66</v>
      </c>
      <c r="C534" s="8" t="s">
        <v>32</v>
      </c>
      <c r="D534" s="8" t="s">
        <v>33</v>
      </c>
      <c r="E534" s="8" t="s">
        <v>34</v>
      </c>
      <c r="F534" s="8" t="s">
        <v>35</v>
      </c>
      <c r="G534">
        <v>8481300000</v>
      </c>
      <c r="H534" t="s">
        <v>488</v>
      </c>
      <c r="I534" t="s">
        <v>489</v>
      </c>
      <c r="J534" t="s">
        <v>38</v>
      </c>
      <c r="K534" t="s">
        <v>39</v>
      </c>
      <c r="L534">
        <v>11</v>
      </c>
      <c r="M534">
        <v>2</v>
      </c>
      <c r="N534" t="s">
        <v>64</v>
      </c>
      <c r="O534">
        <v>0</v>
      </c>
      <c r="P534">
        <v>76.819999999999993</v>
      </c>
      <c r="Q534">
        <v>7.36</v>
      </c>
      <c r="R534">
        <v>0.52</v>
      </c>
      <c r="S534">
        <v>84.69</v>
      </c>
      <c r="T534" t="s">
        <v>41</v>
      </c>
      <c r="U534" t="s">
        <v>43</v>
      </c>
      <c r="V534" t="s">
        <v>38</v>
      </c>
      <c r="W534" t="s">
        <v>625</v>
      </c>
      <c r="X534">
        <v>38.409999999999997</v>
      </c>
      <c r="Y534" s="9">
        <f t="shared" si="41"/>
        <v>38.409999999999997</v>
      </c>
      <c r="Z534" s="9">
        <f t="shared" si="42"/>
        <v>72.018749999999997</v>
      </c>
      <c r="AA534" s="5">
        <f t="shared" si="43"/>
        <v>80.012831249999991</v>
      </c>
      <c r="AB534" s="6">
        <f t="shared" si="44"/>
        <v>116.66317312499999</v>
      </c>
      <c r="AD534" s="10">
        <f t="shared" si="45"/>
        <v>146.0705893125</v>
      </c>
    </row>
    <row r="535" spans="1:30" x14ac:dyDescent="0.3">
      <c r="A535" t="s">
        <v>30</v>
      </c>
      <c r="B535" s="8" t="s">
        <v>58</v>
      </c>
      <c r="C535" s="8" t="s">
        <v>32</v>
      </c>
      <c r="D535" s="8" t="s">
        <v>33</v>
      </c>
      <c r="E535" s="8" t="s">
        <v>34</v>
      </c>
      <c r="F535" s="8" t="s">
        <v>35</v>
      </c>
      <c r="G535">
        <v>4010320000</v>
      </c>
      <c r="H535" t="s">
        <v>59</v>
      </c>
      <c r="I535" t="s">
        <v>60</v>
      </c>
      <c r="J535" t="s">
        <v>38</v>
      </c>
      <c r="K535" t="s">
        <v>39</v>
      </c>
      <c r="L535">
        <v>10</v>
      </c>
      <c r="M535">
        <v>4</v>
      </c>
      <c r="N535" t="s">
        <v>40</v>
      </c>
      <c r="O535">
        <v>0</v>
      </c>
      <c r="P535">
        <v>96.56</v>
      </c>
      <c r="Q535">
        <v>8.0399999999999991</v>
      </c>
      <c r="R535">
        <v>0.63</v>
      </c>
      <c r="S535">
        <v>105.23</v>
      </c>
      <c r="T535" t="s">
        <v>41</v>
      </c>
      <c r="U535" t="s">
        <v>43</v>
      </c>
      <c r="V535" t="s">
        <v>38</v>
      </c>
      <c r="W535" t="s">
        <v>626</v>
      </c>
      <c r="X535">
        <v>24.14</v>
      </c>
      <c r="Y535" s="9">
        <f t="shared" si="41"/>
        <v>24.14</v>
      </c>
      <c r="Z535" s="9">
        <f t="shared" si="42"/>
        <v>45.262500000000003</v>
      </c>
      <c r="AA535" s="5">
        <f t="shared" si="43"/>
        <v>50.286637500000005</v>
      </c>
      <c r="AB535" s="6">
        <f t="shared" si="44"/>
        <v>73.320723749999999</v>
      </c>
      <c r="AD535" s="10">
        <f t="shared" si="45"/>
        <v>91.80276037500002</v>
      </c>
    </row>
    <row r="536" spans="1:30" x14ac:dyDescent="0.3">
      <c r="A536" t="s">
        <v>30</v>
      </c>
      <c r="B536" s="8" t="s">
        <v>58</v>
      </c>
      <c r="C536" s="8" t="s">
        <v>32</v>
      </c>
      <c r="D536" s="8" t="s">
        <v>33</v>
      </c>
      <c r="E536" s="8" t="s">
        <v>34</v>
      </c>
      <c r="F536" s="8" t="s">
        <v>35</v>
      </c>
      <c r="G536">
        <v>4010320000</v>
      </c>
      <c r="H536" t="s">
        <v>59</v>
      </c>
      <c r="I536" t="s">
        <v>60</v>
      </c>
      <c r="J536" t="s">
        <v>38</v>
      </c>
      <c r="K536" t="s">
        <v>39</v>
      </c>
      <c r="L536">
        <v>8</v>
      </c>
      <c r="M536">
        <v>5</v>
      </c>
      <c r="N536" t="s">
        <v>40</v>
      </c>
      <c r="O536">
        <v>0</v>
      </c>
      <c r="P536">
        <v>120.28</v>
      </c>
      <c r="Q536">
        <v>6.81</v>
      </c>
      <c r="R536">
        <v>0.77</v>
      </c>
      <c r="S536">
        <v>127.86</v>
      </c>
      <c r="T536" t="s">
        <v>41</v>
      </c>
      <c r="U536" t="s">
        <v>41</v>
      </c>
      <c r="V536" t="s">
        <v>38</v>
      </c>
      <c r="W536" t="s">
        <v>626</v>
      </c>
      <c r="X536">
        <v>24.06</v>
      </c>
      <c r="Y536" s="9">
        <f t="shared" si="41"/>
        <v>24.056000000000001</v>
      </c>
      <c r="Z536" s="9">
        <f t="shared" si="42"/>
        <v>45.105000000000004</v>
      </c>
      <c r="AA536" s="5">
        <f t="shared" si="43"/>
        <v>50.111655000000006</v>
      </c>
      <c r="AB536" s="6">
        <f t="shared" si="44"/>
        <v>73.065589500000002</v>
      </c>
      <c r="AD536" s="10">
        <f t="shared" si="45"/>
        <v>91.483314150000012</v>
      </c>
    </row>
    <row r="537" spans="1:30" x14ac:dyDescent="0.3">
      <c r="A537" t="s">
        <v>30</v>
      </c>
      <c r="B537" s="8" t="s">
        <v>58</v>
      </c>
      <c r="C537" s="8" t="s">
        <v>32</v>
      </c>
      <c r="D537" s="8" t="s">
        <v>33</v>
      </c>
      <c r="E537" s="8" t="s">
        <v>34</v>
      </c>
      <c r="F537" s="8" t="s">
        <v>35</v>
      </c>
      <c r="G537">
        <v>4010320000</v>
      </c>
      <c r="H537" t="s">
        <v>59</v>
      </c>
      <c r="I537" t="s">
        <v>60</v>
      </c>
      <c r="J537" t="s">
        <v>38</v>
      </c>
      <c r="K537" t="s">
        <v>39</v>
      </c>
      <c r="L537">
        <v>7</v>
      </c>
      <c r="M537">
        <v>2</v>
      </c>
      <c r="N537" t="s">
        <v>40</v>
      </c>
      <c r="O537">
        <v>0</v>
      </c>
      <c r="P537">
        <v>122.7</v>
      </c>
      <c r="Q537">
        <v>19.39</v>
      </c>
      <c r="R537">
        <v>0.76</v>
      </c>
      <c r="S537">
        <v>142.84</v>
      </c>
      <c r="T537" t="s">
        <v>41</v>
      </c>
      <c r="U537" t="s">
        <v>41</v>
      </c>
      <c r="V537" t="s">
        <v>38</v>
      </c>
      <c r="W537" t="s">
        <v>627</v>
      </c>
      <c r="X537">
        <v>61.35</v>
      </c>
      <c r="Y537" s="9">
        <f t="shared" si="41"/>
        <v>61.35</v>
      </c>
      <c r="Z537" s="9">
        <f t="shared" si="42"/>
        <v>115.03125</v>
      </c>
      <c r="AA537" s="5">
        <f t="shared" si="43"/>
        <v>127.79971875</v>
      </c>
      <c r="AB537" s="6">
        <f t="shared" si="44"/>
        <v>186.33912187499999</v>
      </c>
      <c r="AD537" s="10">
        <f t="shared" si="45"/>
        <v>233.30983218750004</v>
      </c>
    </row>
    <row r="538" spans="1:30" x14ac:dyDescent="0.3">
      <c r="A538" t="s">
        <v>30</v>
      </c>
      <c r="B538" s="8" t="s">
        <v>32</v>
      </c>
      <c r="C538" s="8" t="s">
        <v>32</v>
      </c>
      <c r="D538" s="8" t="s">
        <v>33</v>
      </c>
      <c r="E538" s="8" t="s">
        <v>34</v>
      </c>
      <c r="F538" s="8" t="s">
        <v>35</v>
      </c>
      <c r="G538">
        <v>7304390000</v>
      </c>
      <c r="H538" t="s">
        <v>36</v>
      </c>
      <c r="I538" t="s">
        <v>628</v>
      </c>
      <c r="J538" t="s">
        <v>38</v>
      </c>
      <c r="K538" t="s">
        <v>39</v>
      </c>
      <c r="L538">
        <v>8</v>
      </c>
      <c r="M538">
        <v>2</v>
      </c>
      <c r="N538" t="s">
        <v>40</v>
      </c>
      <c r="O538">
        <v>0</v>
      </c>
      <c r="P538">
        <v>98.44</v>
      </c>
      <c r="Q538">
        <v>14.17</v>
      </c>
      <c r="R538">
        <v>0.69</v>
      </c>
      <c r="S538">
        <v>113.3</v>
      </c>
      <c r="T538" t="s">
        <v>41</v>
      </c>
      <c r="U538" t="s">
        <v>41</v>
      </c>
      <c r="V538" t="s">
        <v>38</v>
      </c>
      <c r="W538" t="s">
        <v>629</v>
      </c>
      <c r="X538">
        <v>49.22</v>
      </c>
      <c r="Y538" s="9">
        <f t="shared" si="41"/>
        <v>49.22</v>
      </c>
      <c r="Z538" s="9">
        <f t="shared" si="42"/>
        <v>92.287499999999994</v>
      </c>
      <c r="AA538" s="5">
        <f t="shared" si="43"/>
        <v>102.53141249999999</v>
      </c>
      <c r="AB538" s="6">
        <f t="shared" si="44"/>
        <v>149.49652124999997</v>
      </c>
      <c r="AD538" s="10">
        <f t="shared" si="45"/>
        <v>187.18027612500001</v>
      </c>
    </row>
    <row r="539" spans="1:30" x14ac:dyDescent="0.3">
      <c r="A539" t="s">
        <v>30</v>
      </c>
      <c r="B539" s="8" t="s">
        <v>66</v>
      </c>
      <c r="C539" s="8" t="s">
        <v>32</v>
      </c>
      <c r="D539" s="8" t="s">
        <v>33</v>
      </c>
      <c r="E539" s="8" t="s">
        <v>34</v>
      </c>
      <c r="F539" s="8" t="s">
        <v>35</v>
      </c>
      <c r="G539">
        <v>8481805900</v>
      </c>
      <c r="H539" t="s">
        <v>36</v>
      </c>
      <c r="I539" t="s">
        <v>630</v>
      </c>
      <c r="J539" t="s">
        <v>38</v>
      </c>
      <c r="K539" t="s">
        <v>39</v>
      </c>
      <c r="L539">
        <v>7</v>
      </c>
      <c r="M539">
        <v>6</v>
      </c>
      <c r="N539" t="s">
        <v>64</v>
      </c>
      <c r="O539">
        <v>0</v>
      </c>
      <c r="P539">
        <v>814.55</v>
      </c>
      <c r="Q539">
        <v>128.69</v>
      </c>
      <c r="R539">
        <v>5.0199999999999996</v>
      </c>
      <c r="S539">
        <v>948.26</v>
      </c>
      <c r="T539" t="s">
        <v>41</v>
      </c>
      <c r="U539" t="s">
        <v>41</v>
      </c>
      <c r="V539" t="s">
        <v>38</v>
      </c>
      <c r="W539" t="s">
        <v>631</v>
      </c>
      <c r="X539">
        <v>135.76</v>
      </c>
      <c r="Y539" s="9">
        <f t="shared" si="41"/>
        <v>135.75833333333333</v>
      </c>
      <c r="Z539" s="9">
        <f t="shared" si="42"/>
        <v>254.546875</v>
      </c>
      <c r="AA539" s="5">
        <f t="shared" si="43"/>
        <v>282.80157812499999</v>
      </c>
      <c r="AB539" s="6">
        <f t="shared" si="44"/>
        <v>412.3404828125</v>
      </c>
      <c r="AD539" s="10">
        <f t="shared" si="45"/>
        <v>516.27960828125003</v>
      </c>
    </row>
    <row r="540" spans="1:30" x14ac:dyDescent="0.3">
      <c r="A540" t="s">
        <v>30</v>
      </c>
      <c r="B540" s="8" t="s">
        <v>66</v>
      </c>
      <c r="C540" s="8" t="s">
        <v>32</v>
      </c>
      <c r="D540" s="8" t="s">
        <v>33</v>
      </c>
      <c r="E540" s="8" t="s">
        <v>34</v>
      </c>
      <c r="F540" s="8" t="s">
        <v>35</v>
      </c>
      <c r="G540">
        <v>8481805900</v>
      </c>
      <c r="H540" t="s">
        <v>53</v>
      </c>
      <c r="I540" t="s">
        <v>632</v>
      </c>
      <c r="J540" t="s">
        <v>38</v>
      </c>
      <c r="K540" t="s">
        <v>39</v>
      </c>
      <c r="L540">
        <v>12</v>
      </c>
      <c r="M540">
        <v>3</v>
      </c>
      <c r="N540" t="s">
        <v>64</v>
      </c>
      <c r="O540">
        <v>0</v>
      </c>
      <c r="P540">
        <v>410.1</v>
      </c>
      <c r="Q540">
        <v>47.09</v>
      </c>
      <c r="R540">
        <v>2.73</v>
      </c>
      <c r="S540">
        <v>459.92</v>
      </c>
      <c r="T540" t="s">
        <v>41</v>
      </c>
      <c r="U540" t="s">
        <v>41</v>
      </c>
      <c r="V540" t="s">
        <v>38</v>
      </c>
      <c r="W540" t="s">
        <v>631</v>
      </c>
      <c r="X540">
        <v>136.69999999999999</v>
      </c>
      <c r="Y540" s="9">
        <f t="shared" si="41"/>
        <v>136.70000000000002</v>
      </c>
      <c r="Z540" s="9">
        <f t="shared" si="42"/>
        <v>256.31250000000006</v>
      </c>
      <c r="AA540" s="5">
        <f t="shared" si="43"/>
        <v>284.76318750000007</v>
      </c>
      <c r="AB540" s="6">
        <f t="shared" si="44"/>
        <v>415.20061875000005</v>
      </c>
      <c r="AD540" s="10">
        <f t="shared" si="45"/>
        <v>519.86070187500013</v>
      </c>
    </row>
    <row r="541" spans="1:30" x14ac:dyDescent="0.3">
      <c r="A541" t="s">
        <v>30</v>
      </c>
      <c r="B541" s="8" t="s">
        <v>66</v>
      </c>
      <c r="C541" s="8" t="s">
        <v>32</v>
      </c>
      <c r="D541" s="8" t="s">
        <v>33</v>
      </c>
      <c r="E541" s="8" t="s">
        <v>34</v>
      </c>
      <c r="F541" s="8" t="s">
        <v>35</v>
      </c>
      <c r="G541">
        <v>8481805900</v>
      </c>
      <c r="H541" t="s">
        <v>53</v>
      </c>
      <c r="I541" t="s">
        <v>633</v>
      </c>
      <c r="J541" t="s">
        <v>38</v>
      </c>
      <c r="K541" t="s">
        <v>39</v>
      </c>
      <c r="L541">
        <v>8</v>
      </c>
      <c r="M541">
        <v>3</v>
      </c>
      <c r="N541" t="s">
        <v>64</v>
      </c>
      <c r="O541">
        <v>0</v>
      </c>
      <c r="P541">
        <v>405.09</v>
      </c>
      <c r="Q541">
        <v>22.93</v>
      </c>
      <c r="R541">
        <v>2.59</v>
      </c>
      <c r="S541">
        <v>430.61</v>
      </c>
      <c r="T541" t="s">
        <v>41</v>
      </c>
      <c r="U541" t="s">
        <v>41</v>
      </c>
      <c r="V541" t="s">
        <v>38</v>
      </c>
      <c r="W541" t="s">
        <v>631</v>
      </c>
      <c r="X541">
        <v>135.03</v>
      </c>
      <c r="Y541" s="9">
        <f t="shared" si="41"/>
        <v>135.03</v>
      </c>
      <c r="Z541" s="9">
        <f t="shared" si="42"/>
        <v>253.18125000000001</v>
      </c>
      <c r="AA541" s="5">
        <f t="shared" si="43"/>
        <v>281.28436875</v>
      </c>
      <c r="AB541" s="6">
        <f t="shared" si="44"/>
        <v>410.12830687499996</v>
      </c>
      <c r="AD541" s="10">
        <f t="shared" si="45"/>
        <v>513.50980668750003</v>
      </c>
    </row>
    <row r="542" spans="1:30" x14ac:dyDescent="0.3">
      <c r="A542" t="s">
        <v>168</v>
      </c>
      <c r="B542" s="8" t="s">
        <v>66</v>
      </c>
      <c r="C542" s="8" t="s">
        <v>32</v>
      </c>
      <c r="D542" s="8" t="s">
        <v>33</v>
      </c>
      <c r="E542" s="8" t="s">
        <v>34</v>
      </c>
      <c r="F542" s="8" t="s">
        <v>35</v>
      </c>
      <c r="G542">
        <v>8481809990</v>
      </c>
      <c r="H542" t="s">
        <v>53</v>
      </c>
      <c r="I542" t="s">
        <v>634</v>
      </c>
      <c r="J542" t="s">
        <v>38</v>
      </c>
      <c r="K542" t="s">
        <v>39</v>
      </c>
      <c r="L542">
        <v>11</v>
      </c>
      <c r="M542">
        <v>1</v>
      </c>
      <c r="N542" t="s">
        <v>64</v>
      </c>
      <c r="O542">
        <v>0</v>
      </c>
      <c r="P542">
        <v>209.22</v>
      </c>
      <c r="Q542">
        <v>20.04</v>
      </c>
      <c r="R542">
        <v>1.41</v>
      </c>
      <c r="S542">
        <v>230.68</v>
      </c>
      <c r="T542" t="s">
        <v>41</v>
      </c>
      <c r="U542" t="s">
        <v>43</v>
      </c>
      <c r="V542" t="s">
        <v>38</v>
      </c>
      <c r="W542" t="s">
        <v>635</v>
      </c>
      <c r="X542">
        <v>209.22</v>
      </c>
      <c r="Y542" s="9">
        <f t="shared" si="41"/>
        <v>209.22</v>
      </c>
      <c r="Z542" s="9">
        <f t="shared" si="42"/>
        <v>392.28750000000002</v>
      </c>
      <c r="AA542" s="5">
        <f t="shared" si="43"/>
        <v>435.8314125</v>
      </c>
      <c r="AB542" s="6">
        <f t="shared" si="44"/>
        <v>635.46652125000003</v>
      </c>
      <c r="AD542" s="10">
        <f t="shared" si="45"/>
        <v>795.64927612500014</v>
      </c>
    </row>
    <row r="543" spans="1:30" x14ac:dyDescent="0.3">
      <c r="A543" t="s">
        <v>30</v>
      </c>
      <c r="B543" s="8" t="s">
        <v>32</v>
      </c>
      <c r="C543" s="8" t="s">
        <v>32</v>
      </c>
      <c r="D543" s="8" t="s">
        <v>33</v>
      </c>
      <c r="E543" s="8" t="s">
        <v>34</v>
      </c>
      <c r="F543" s="8" t="s">
        <v>35</v>
      </c>
      <c r="G543">
        <v>9032899000</v>
      </c>
      <c r="H543" t="s">
        <v>177</v>
      </c>
      <c r="I543" t="s">
        <v>636</v>
      </c>
      <c r="J543" t="s">
        <v>38</v>
      </c>
      <c r="K543" t="s">
        <v>39</v>
      </c>
      <c r="L543">
        <v>7</v>
      </c>
      <c r="M543">
        <v>3</v>
      </c>
      <c r="N543" t="s">
        <v>64</v>
      </c>
      <c r="O543">
        <v>0</v>
      </c>
      <c r="P543">
        <v>565.97</v>
      </c>
      <c r="Q543">
        <v>89.41</v>
      </c>
      <c r="R543">
        <v>3.49</v>
      </c>
      <c r="S543">
        <v>658.87</v>
      </c>
      <c r="T543" t="s">
        <v>41</v>
      </c>
      <c r="U543" t="s">
        <v>41</v>
      </c>
      <c r="V543" t="s">
        <v>38</v>
      </c>
      <c r="W543" t="s">
        <v>637</v>
      </c>
      <c r="X543">
        <v>188.66</v>
      </c>
      <c r="Y543" s="9">
        <f t="shared" si="41"/>
        <v>188.65666666666667</v>
      </c>
      <c r="Z543" s="9">
        <f t="shared" si="42"/>
        <v>353.73124999999999</v>
      </c>
      <c r="AA543" s="5">
        <f t="shared" si="43"/>
        <v>392.99541875</v>
      </c>
      <c r="AB543" s="6">
        <f t="shared" si="44"/>
        <v>573.0092518749999</v>
      </c>
      <c r="AD543" s="10">
        <f t="shared" si="45"/>
        <v>717.4483331875</v>
      </c>
    </row>
    <row r="544" spans="1:30" x14ac:dyDescent="0.3">
      <c r="A544" t="s">
        <v>30</v>
      </c>
      <c r="B544" s="8" t="s">
        <v>32</v>
      </c>
      <c r="C544" s="8" t="s">
        <v>32</v>
      </c>
      <c r="D544" s="8" t="s">
        <v>33</v>
      </c>
      <c r="E544" s="8" t="s">
        <v>34</v>
      </c>
      <c r="F544" s="8" t="s">
        <v>35</v>
      </c>
      <c r="G544">
        <v>9026809000</v>
      </c>
      <c r="H544" t="s">
        <v>177</v>
      </c>
      <c r="I544" t="s">
        <v>638</v>
      </c>
      <c r="J544" t="s">
        <v>38</v>
      </c>
      <c r="K544" t="s">
        <v>39</v>
      </c>
      <c r="L544">
        <v>3</v>
      </c>
      <c r="M544">
        <v>3</v>
      </c>
      <c r="N544" t="s">
        <v>64</v>
      </c>
      <c r="O544">
        <v>0</v>
      </c>
      <c r="P544">
        <v>537.96</v>
      </c>
      <c r="Q544">
        <v>23.02</v>
      </c>
      <c r="R544">
        <v>3.47</v>
      </c>
      <c r="S544">
        <v>564.46</v>
      </c>
      <c r="T544" t="s">
        <v>41</v>
      </c>
      <c r="U544" t="s">
        <v>43</v>
      </c>
      <c r="V544" t="s">
        <v>38</v>
      </c>
      <c r="W544" t="s">
        <v>637</v>
      </c>
      <c r="X544">
        <v>179.32</v>
      </c>
      <c r="Y544" s="9">
        <f t="shared" si="41"/>
        <v>179.32000000000002</v>
      </c>
      <c r="Z544" s="9">
        <f t="shared" si="42"/>
        <v>336.22500000000002</v>
      </c>
      <c r="AA544" s="5">
        <f t="shared" si="43"/>
        <v>373.545975</v>
      </c>
      <c r="AB544" s="6">
        <f t="shared" si="44"/>
        <v>544.65087749999998</v>
      </c>
      <c r="AD544" s="10">
        <f t="shared" si="45"/>
        <v>681.94163175000017</v>
      </c>
    </row>
    <row r="545" spans="1:30" x14ac:dyDescent="0.3">
      <c r="A545" t="s">
        <v>30</v>
      </c>
      <c r="B545" s="8" t="s">
        <v>32</v>
      </c>
      <c r="C545" s="8" t="s">
        <v>32</v>
      </c>
      <c r="D545" s="8" t="s">
        <v>33</v>
      </c>
      <c r="E545" s="8" t="s">
        <v>34</v>
      </c>
      <c r="F545" s="8" t="s">
        <v>35</v>
      </c>
      <c r="G545">
        <v>9026200000</v>
      </c>
      <c r="H545" t="s">
        <v>217</v>
      </c>
      <c r="I545" t="s">
        <v>218</v>
      </c>
      <c r="J545" t="s">
        <v>38</v>
      </c>
      <c r="K545" t="s">
        <v>39</v>
      </c>
      <c r="L545">
        <v>16</v>
      </c>
      <c r="M545">
        <v>1</v>
      </c>
      <c r="N545" t="s">
        <v>64</v>
      </c>
      <c r="O545">
        <v>0</v>
      </c>
      <c r="P545">
        <v>180.47</v>
      </c>
      <c r="Q545">
        <v>24.91</v>
      </c>
      <c r="R545">
        <v>1.2</v>
      </c>
      <c r="S545">
        <v>206.58</v>
      </c>
      <c r="T545" t="s">
        <v>41</v>
      </c>
      <c r="U545" t="s">
        <v>41</v>
      </c>
      <c r="V545" t="s">
        <v>38</v>
      </c>
      <c r="W545" t="s">
        <v>637</v>
      </c>
      <c r="X545">
        <v>180.47</v>
      </c>
      <c r="Y545" s="9">
        <f t="shared" si="41"/>
        <v>180.47</v>
      </c>
      <c r="Z545" s="9">
        <f t="shared" si="42"/>
        <v>338.38125000000002</v>
      </c>
      <c r="AA545" s="5">
        <f t="shared" si="43"/>
        <v>375.94156875000004</v>
      </c>
      <c r="AB545" s="6">
        <f t="shared" si="44"/>
        <v>548.14378687500005</v>
      </c>
      <c r="AD545" s="10">
        <f t="shared" si="45"/>
        <v>686.31500268750017</v>
      </c>
    </row>
    <row r="546" spans="1:30" x14ac:dyDescent="0.3">
      <c r="A546" t="s">
        <v>30</v>
      </c>
      <c r="B546" s="8" t="s">
        <v>32</v>
      </c>
      <c r="C546" s="8" t="s">
        <v>32</v>
      </c>
      <c r="D546" s="8" t="s">
        <v>33</v>
      </c>
      <c r="E546" s="8" t="s">
        <v>34</v>
      </c>
      <c r="F546" s="8" t="s">
        <v>35</v>
      </c>
      <c r="G546">
        <v>9026200000</v>
      </c>
      <c r="H546" t="s">
        <v>639</v>
      </c>
      <c r="I546" t="s">
        <v>640</v>
      </c>
      <c r="J546" t="s">
        <v>74</v>
      </c>
      <c r="K546" t="s">
        <v>39</v>
      </c>
      <c r="L546">
        <v>7</v>
      </c>
      <c r="M546">
        <v>4</v>
      </c>
      <c r="N546" t="s">
        <v>64</v>
      </c>
      <c r="O546">
        <v>0</v>
      </c>
      <c r="P546">
        <v>717.7</v>
      </c>
      <c r="Q546">
        <v>40.53</v>
      </c>
      <c r="R546">
        <v>4.57</v>
      </c>
      <c r="S546">
        <v>762.81</v>
      </c>
      <c r="T546" t="s">
        <v>75</v>
      </c>
      <c r="U546" t="s">
        <v>640</v>
      </c>
      <c r="V546" t="s">
        <v>74</v>
      </c>
      <c r="W546" t="s">
        <v>637</v>
      </c>
      <c r="X546">
        <v>179.43</v>
      </c>
      <c r="Y546" s="9">
        <f t="shared" si="41"/>
        <v>179.42500000000001</v>
      </c>
      <c r="Z546" s="9">
        <f t="shared" si="42"/>
        <v>336.421875</v>
      </c>
      <c r="AA546" s="5">
        <f t="shared" si="43"/>
        <v>373.76470312499998</v>
      </c>
      <c r="AB546" s="6">
        <f t="shared" si="44"/>
        <v>544.96979531249997</v>
      </c>
      <c r="AD546" s="10">
        <f t="shared" si="45"/>
        <v>682.34093953125011</v>
      </c>
    </row>
    <row r="547" spans="1:30" x14ac:dyDescent="0.3">
      <c r="A547" t="s">
        <v>30</v>
      </c>
      <c r="B547" s="8" t="s">
        <v>32</v>
      </c>
      <c r="C547" s="8" t="s">
        <v>32</v>
      </c>
      <c r="D547" s="8" t="s">
        <v>69</v>
      </c>
      <c r="E547" s="8" t="s">
        <v>70</v>
      </c>
      <c r="F547" s="8" t="s">
        <v>71</v>
      </c>
      <c r="G547">
        <v>9026200000</v>
      </c>
      <c r="H547" t="s">
        <v>163</v>
      </c>
      <c r="I547" t="s">
        <v>218</v>
      </c>
      <c r="J547" t="s">
        <v>38</v>
      </c>
      <c r="K547" t="s">
        <v>39</v>
      </c>
      <c r="L547">
        <v>13</v>
      </c>
      <c r="M547">
        <v>2</v>
      </c>
      <c r="N547" t="s">
        <v>64</v>
      </c>
      <c r="O547">
        <v>0</v>
      </c>
      <c r="P547">
        <v>351.82</v>
      </c>
      <c r="Q547">
        <v>18.78</v>
      </c>
      <c r="R547">
        <v>2.2599999999999998</v>
      </c>
      <c r="S547">
        <v>372.86</v>
      </c>
      <c r="T547" t="s">
        <v>72</v>
      </c>
      <c r="U547" t="s">
        <v>72</v>
      </c>
      <c r="V547" t="s">
        <v>38</v>
      </c>
      <c r="W547" t="s">
        <v>637</v>
      </c>
      <c r="X547">
        <v>175.91</v>
      </c>
      <c r="Y547" s="9">
        <f t="shared" si="41"/>
        <v>175.91</v>
      </c>
      <c r="Z547" s="9">
        <f t="shared" si="42"/>
        <v>329.83125000000001</v>
      </c>
      <c r="AA547" s="5">
        <f t="shared" si="43"/>
        <v>366.44251875000003</v>
      </c>
      <c r="AB547" s="6">
        <f t="shared" si="44"/>
        <v>534.29364187499993</v>
      </c>
      <c r="AD547" s="10">
        <f t="shared" si="45"/>
        <v>668.97363618750012</v>
      </c>
    </row>
    <row r="548" spans="1:30" x14ac:dyDescent="0.3">
      <c r="A548" t="s">
        <v>30</v>
      </c>
      <c r="B548" s="8" t="s">
        <v>32</v>
      </c>
      <c r="C548" s="8" t="s">
        <v>32</v>
      </c>
      <c r="D548" s="8" t="s">
        <v>33</v>
      </c>
      <c r="E548" s="8" t="s">
        <v>34</v>
      </c>
      <c r="F548" s="8" t="s">
        <v>35</v>
      </c>
      <c r="G548">
        <v>9026200000</v>
      </c>
      <c r="H548" t="s">
        <v>163</v>
      </c>
      <c r="I548" t="s">
        <v>641</v>
      </c>
      <c r="J548" t="s">
        <v>38</v>
      </c>
      <c r="K548" t="s">
        <v>39</v>
      </c>
      <c r="L548">
        <v>8</v>
      </c>
      <c r="M548">
        <v>2</v>
      </c>
      <c r="N548" t="s">
        <v>64</v>
      </c>
      <c r="O548">
        <v>0</v>
      </c>
      <c r="P548">
        <v>357.7</v>
      </c>
      <c r="Q548">
        <v>20.25</v>
      </c>
      <c r="R548">
        <v>2.2799999999999998</v>
      </c>
      <c r="S548">
        <v>380.24</v>
      </c>
      <c r="T548" t="s">
        <v>41</v>
      </c>
      <c r="U548" t="s">
        <v>41</v>
      </c>
      <c r="V548" t="s">
        <v>38</v>
      </c>
      <c r="W548" t="s">
        <v>637</v>
      </c>
      <c r="X548">
        <v>178.85</v>
      </c>
      <c r="Y548" s="9">
        <f t="shared" si="41"/>
        <v>178.85</v>
      </c>
      <c r="Z548" s="9">
        <f t="shared" si="42"/>
        <v>335.34375</v>
      </c>
      <c r="AA548" s="5">
        <f t="shared" si="43"/>
        <v>372.56690624999999</v>
      </c>
      <c r="AB548" s="6">
        <f t="shared" si="44"/>
        <v>543.22334062499999</v>
      </c>
      <c r="AD548" s="10">
        <f t="shared" si="45"/>
        <v>680.15425406250006</v>
      </c>
    </row>
    <row r="549" spans="1:30" x14ac:dyDescent="0.3">
      <c r="A549" t="s">
        <v>30</v>
      </c>
      <c r="B549" s="8" t="s">
        <v>32</v>
      </c>
      <c r="C549" s="8" t="s">
        <v>32</v>
      </c>
      <c r="D549" s="8" t="s">
        <v>33</v>
      </c>
      <c r="E549" s="8" t="s">
        <v>34</v>
      </c>
      <c r="F549" s="8" t="s">
        <v>35</v>
      </c>
      <c r="G549">
        <v>8487909000</v>
      </c>
      <c r="H549" t="s">
        <v>424</v>
      </c>
      <c r="I549" t="s">
        <v>642</v>
      </c>
      <c r="J549" t="s">
        <v>38</v>
      </c>
      <c r="K549" t="s">
        <v>39</v>
      </c>
      <c r="L549">
        <v>16</v>
      </c>
      <c r="M549">
        <v>1</v>
      </c>
      <c r="N549" t="s">
        <v>64</v>
      </c>
      <c r="O549">
        <v>0</v>
      </c>
      <c r="P549">
        <v>701.63</v>
      </c>
      <c r="Q549">
        <v>96.84</v>
      </c>
      <c r="R549">
        <v>4.68</v>
      </c>
      <c r="S549">
        <v>803.15</v>
      </c>
      <c r="T549" t="s">
        <v>41</v>
      </c>
      <c r="U549" t="s">
        <v>41</v>
      </c>
      <c r="V549" t="s">
        <v>38</v>
      </c>
      <c r="W549" t="s">
        <v>643</v>
      </c>
      <c r="X549">
        <v>701.63</v>
      </c>
      <c r="Y549" s="9">
        <f t="shared" si="41"/>
        <v>701.63</v>
      </c>
      <c r="Z549" s="9">
        <f t="shared" si="42"/>
        <v>1315.5562500000001</v>
      </c>
      <c r="AA549" s="5">
        <f t="shared" si="43"/>
        <v>1461.58299375</v>
      </c>
      <c r="AB549" s="6">
        <f t="shared" si="44"/>
        <v>2131.0695693749999</v>
      </c>
      <c r="AD549" s="10">
        <f t="shared" si="45"/>
        <v>2668.2506529375005</v>
      </c>
    </row>
    <row r="550" spans="1:30" x14ac:dyDescent="0.3">
      <c r="A550" t="s">
        <v>30</v>
      </c>
      <c r="B550" s="8" t="s">
        <v>32</v>
      </c>
      <c r="C550" s="8" t="s">
        <v>32</v>
      </c>
      <c r="D550" s="8" t="s">
        <v>33</v>
      </c>
      <c r="E550" s="8" t="s">
        <v>34</v>
      </c>
      <c r="F550" s="8" t="s">
        <v>35</v>
      </c>
      <c r="G550">
        <v>8487909000</v>
      </c>
      <c r="H550" t="s">
        <v>424</v>
      </c>
      <c r="I550" t="s">
        <v>644</v>
      </c>
      <c r="J550" t="s">
        <v>38</v>
      </c>
      <c r="K550" t="s">
        <v>39</v>
      </c>
      <c r="L550">
        <v>7</v>
      </c>
      <c r="M550">
        <v>1</v>
      </c>
      <c r="N550" t="s">
        <v>64</v>
      </c>
      <c r="O550">
        <v>0</v>
      </c>
      <c r="P550">
        <v>753.44</v>
      </c>
      <c r="Q550">
        <v>119.03</v>
      </c>
      <c r="R550">
        <v>4.6399999999999997</v>
      </c>
      <c r="S550">
        <v>877.12</v>
      </c>
      <c r="T550" t="s">
        <v>41</v>
      </c>
      <c r="U550" t="s">
        <v>41</v>
      </c>
      <c r="V550" t="s">
        <v>38</v>
      </c>
      <c r="W550" t="s">
        <v>645</v>
      </c>
      <c r="X550">
        <v>753.44</v>
      </c>
      <c r="Y550" s="9">
        <f t="shared" si="41"/>
        <v>753.44</v>
      </c>
      <c r="Z550" s="9">
        <f t="shared" si="42"/>
        <v>1412.7</v>
      </c>
      <c r="AA550" s="5">
        <f t="shared" si="43"/>
        <v>1569.5097000000001</v>
      </c>
      <c r="AB550" s="6">
        <f t="shared" si="44"/>
        <v>2288.43273</v>
      </c>
      <c r="AD550" s="10">
        <f t="shared" si="45"/>
        <v>2865.2805210000006</v>
      </c>
    </row>
    <row r="551" spans="1:30" x14ac:dyDescent="0.3">
      <c r="A551" t="s">
        <v>30</v>
      </c>
      <c r="B551" s="8" t="s">
        <v>32</v>
      </c>
      <c r="C551" s="8" t="s">
        <v>32</v>
      </c>
      <c r="D551" s="8" t="s">
        <v>33</v>
      </c>
      <c r="E551" s="8" t="s">
        <v>34</v>
      </c>
      <c r="F551" s="8" t="s">
        <v>35</v>
      </c>
      <c r="G551">
        <v>8487909000</v>
      </c>
      <c r="H551" t="s">
        <v>424</v>
      </c>
      <c r="I551" t="s">
        <v>642</v>
      </c>
      <c r="J551" t="s">
        <v>38</v>
      </c>
      <c r="K551" t="s">
        <v>39</v>
      </c>
      <c r="L551">
        <v>16</v>
      </c>
      <c r="M551">
        <v>1</v>
      </c>
      <c r="N551" t="s">
        <v>64</v>
      </c>
      <c r="O551">
        <v>0</v>
      </c>
      <c r="P551">
        <v>753.59</v>
      </c>
      <c r="Q551">
        <v>104.01</v>
      </c>
      <c r="R551">
        <v>5.03</v>
      </c>
      <c r="S551">
        <v>862.62</v>
      </c>
      <c r="T551" t="s">
        <v>41</v>
      </c>
      <c r="U551" t="s">
        <v>41</v>
      </c>
      <c r="V551" t="s">
        <v>38</v>
      </c>
      <c r="W551" t="s">
        <v>645</v>
      </c>
      <c r="X551">
        <v>753.59</v>
      </c>
      <c r="Y551" s="9">
        <f t="shared" si="41"/>
        <v>753.59</v>
      </c>
      <c r="Z551" s="9">
        <f t="shared" si="42"/>
        <v>1412.98125</v>
      </c>
      <c r="AA551" s="5">
        <f t="shared" si="43"/>
        <v>1569.8221687499999</v>
      </c>
      <c r="AB551" s="6">
        <f t="shared" si="44"/>
        <v>2288.8883268750001</v>
      </c>
      <c r="AD551" s="10">
        <f t="shared" si="45"/>
        <v>2865.8509606875004</v>
      </c>
    </row>
    <row r="552" spans="1:30" x14ac:dyDescent="0.3">
      <c r="A552" t="s">
        <v>30</v>
      </c>
      <c r="B552" s="8" t="s">
        <v>32</v>
      </c>
      <c r="C552" s="8" t="s">
        <v>32</v>
      </c>
      <c r="D552" s="8" t="s">
        <v>33</v>
      </c>
      <c r="E552" s="8" t="s">
        <v>34</v>
      </c>
      <c r="F552" s="8" t="s">
        <v>35</v>
      </c>
      <c r="G552">
        <v>8482800000</v>
      </c>
      <c r="H552" t="s">
        <v>646</v>
      </c>
      <c r="I552" t="s">
        <v>81</v>
      </c>
      <c r="J552" t="s">
        <v>38</v>
      </c>
      <c r="K552" t="s">
        <v>39</v>
      </c>
      <c r="L552">
        <v>6</v>
      </c>
      <c r="M552">
        <v>1</v>
      </c>
      <c r="N552" t="s">
        <v>64</v>
      </c>
      <c r="O552">
        <v>0</v>
      </c>
      <c r="P552">
        <v>4181.4799999999996</v>
      </c>
      <c r="Q552">
        <v>283.75</v>
      </c>
      <c r="R552">
        <v>27.19</v>
      </c>
      <c r="S552">
        <v>4492.42</v>
      </c>
      <c r="T552" t="s">
        <v>41</v>
      </c>
      <c r="U552" t="s">
        <v>41</v>
      </c>
      <c r="V552" t="s">
        <v>38</v>
      </c>
      <c r="W552" t="s">
        <v>647</v>
      </c>
      <c r="X552">
        <v>4181.4799999999996</v>
      </c>
      <c r="Y552" s="9">
        <f t="shared" si="41"/>
        <v>4181.4799999999996</v>
      </c>
      <c r="Z552" s="9">
        <f t="shared" si="42"/>
        <v>7840.2749999999996</v>
      </c>
      <c r="AA552" s="5">
        <f t="shared" si="43"/>
        <v>8710.5455249999995</v>
      </c>
      <c r="AB552" s="6">
        <f t="shared" si="44"/>
        <v>12700.461472499999</v>
      </c>
      <c r="AD552" s="10">
        <f t="shared" si="45"/>
        <v>15901.880963250002</v>
      </c>
    </row>
    <row r="553" spans="1:30" x14ac:dyDescent="0.3">
      <c r="A553" t="s">
        <v>30</v>
      </c>
      <c r="B553" s="8" t="s">
        <v>32</v>
      </c>
      <c r="C553" s="8" t="s">
        <v>32</v>
      </c>
      <c r="D553" s="8" t="s">
        <v>69</v>
      </c>
      <c r="E553" s="8" t="s">
        <v>70</v>
      </c>
      <c r="F553" s="8" t="s">
        <v>71</v>
      </c>
      <c r="G553">
        <v>8537109090</v>
      </c>
      <c r="H553" t="s">
        <v>36</v>
      </c>
      <c r="I553" t="s">
        <v>421</v>
      </c>
      <c r="J553" t="s">
        <v>38</v>
      </c>
      <c r="K553" t="s">
        <v>39</v>
      </c>
      <c r="L553">
        <v>9</v>
      </c>
      <c r="M553">
        <v>1</v>
      </c>
      <c r="N553" t="s">
        <v>64</v>
      </c>
      <c r="O553">
        <v>0</v>
      </c>
      <c r="P553">
        <v>971.67</v>
      </c>
      <c r="Q553">
        <v>48.97</v>
      </c>
      <c r="R553">
        <v>6.17</v>
      </c>
      <c r="S553">
        <v>1026.81</v>
      </c>
      <c r="T553" t="s">
        <v>41</v>
      </c>
      <c r="U553" t="s">
        <v>43</v>
      </c>
      <c r="V553" t="s">
        <v>38</v>
      </c>
      <c r="W553" t="s">
        <v>648</v>
      </c>
      <c r="X553">
        <v>971.67</v>
      </c>
      <c r="Y553" s="9">
        <f t="shared" si="41"/>
        <v>971.67</v>
      </c>
      <c r="Z553" s="9">
        <f t="shared" si="42"/>
        <v>1821.8812499999999</v>
      </c>
      <c r="AA553" s="5">
        <f t="shared" si="43"/>
        <v>2024.11006875</v>
      </c>
      <c r="AB553" s="6">
        <f t="shared" si="44"/>
        <v>2951.2654368749995</v>
      </c>
      <c r="AD553" s="10">
        <f t="shared" si="45"/>
        <v>3695.1942076875002</v>
      </c>
    </row>
    <row r="554" spans="1:30" x14ac:dyDescent="0.3">
      <c r="A554" t="s">
        <v>30</v>
      </c>
      <c r="B554" s="8" t="s">
        <v>32</v>
      </c>
      <c r="C554" s="8" t="s">
        <v>32</v>
      </c>
      <c r="D554" s="8" t="s">
        <v>69</v>
      </c>
      <c r="E554" s="8" t="s">
        <v>70</v>
      </c>
      <c r="F554" s="8" t="s">
        <v>71</v>
      </c>
      <c r="G554">
        <v>8537109090</v>
      </c>
      <c r="H554" t="s">
        <v>36</v>
      </c>
      <c r="I554" t="s">
        <v>421</v>
      </c>
      <c r="J554" t="s">
        <v>38</v>
      </c>
      <c r="K554" t="s">
        <v>39</v>
      </c>
      <c r="L554">
        <v>9</v>
      </c>
      <c r="M554">
        <v>1</v>
      </c>
      <c r="N554" t="s">
        <v>64</v>
      </c>
      <c r="O554">
        <v>0</v>
      </c>
      <c r="P554">
        <v>682.13</v>
      </c>
      <c r="Q554">
        <v>34.380000000000003</v>
      </c>
      <c r="R554">
        <v>4.33</v>
      </c>
      <c r="S554">
        <v>720.84</v>
      </c>
      <c r="T554" t="s">
        <v>41</v>
      </c>
      <c r="U554" t="s">
        <v>43</v>
      </c>
      <c r="V554" t="s">
        <v>38</v>
      </c>
      <c r="W554" t="s">
        <v>649</v>
      </c>
      <c r="X554">
        <v>682.13</v>
      </c>
      <c r="Y554" s="9">
        <f t="shared" si="41"/>
        <v>682.13</v>
      </c>
      <c r="Z554" s="9">
        <f t="shared" si="42"/>
        <v>1278.9937500000001</v>
      </c>
      <c r="AA554" s="5">
        <f t="shared" si="43"/>
        <v>1420.9620562500002</v>
      </c>
      <c r="AB554" s="6">
        <f t="shared" si="44"/>
        <v>2071.841975625</v>
      </c>
      <c r="AD554" s="10">
        <f t="shared" si="45"/>
        <v>2594.0934935625005</v>
      </c>
    </row>
    <row r="555" spans="1:30" x14ac:dyDescent="0.3">
      <c r="A555" t="s">
        <v>168</v>
      </c>
      <c r="B555" s="8" t="s">
        <v>66</v>
      </c>
      <c r="C555" s="8" t="s">
        <v>32</v>
      </c>
      <c r="D555" s="8" t="s">
        <v>33</v>
      </c>
      <c r="E555" s="8" t="s">
        <v>34</v>
      </c>
      <c r="F555" s="8" t="s">
        <v>35</v>
      </c>
      <c r="G555">
        <v>4016999000</v>
      </c>
      <c r="H555" t="s">
        <v>53</v>
      </c>
      <c r="I555" t="s">
        <v>310</v>
      </c>
      <c r="J555" t="s">
        <v>38</v>
      </c>
      <c r="K555" t="s">
        <v>39</v>
      </c>
      <c r="L555">
        <v>11</v>
      </c>
      <c r="M555">
        <v>20</v>
      </c>
      <c r="N555" t="s">
        <v>64</v>
      </c>
      <c r="O555">
        <v>0</v>
      </c>
      <c r="P555">
        <v>128.61000000000001</v>
      </c>
      <c r="Q555">
        <v>12.32</v>
      </c>
      <c r="R555">
        <v>0.87</v>
      </c>
      <c r="S555">
        <v>141.80000000000001</v>
      </c>
      <c r="T555" t="s">
        <v>41</v>
      </c>
      <c r="U555" t="s">
        <v>43</v>
      </c>
      <c r="V555" t="s">
        <v>38</v>
      </c>
      <c r="W555" t="s">
        <v>650</v>
      </c>
      <c r="X555">
        <v>6.43</v>
      </c>
      <c r="Y555" s="9">
        <f t="shared" si="41"/>
        <v>6.4305000000000003</v>
      </c>
      <c r="Z555" s="9">
        <f t="shared" si="42"/>
        <v>12.057187500000001</v>
      </c>
      <c r="AA555" s="5">
        <f t="shared" si="43"/>
        <v>13.395535312500002</v>
      </c>
      <c r="AB555" s="6">
        <f t="shared" si="44"/>
        <v>19.531438031250001</v>
      </c>
      <c r="AD555" s="10">
        <f t="shared" si="45"/>
        <v>24.454749403125003</v>
      </c>
    </row>
    <row r="556" spans="1:30" x14ac:dyDescent="0.3">
      <c r="A556" t="s">
        <v>30</v>
      </c>
      <c r="B556" s="8" t="s">
        <v>66</v>
      </c>
      <c r="C556" s="8" t="s">
        <v>32</v>
      </c>
      <c r="D556" s="8" t="s">
        <v>33</v>
      </c>
      <c r="E556" s="8" t="s">
        <v>34</v>
      </c>
      <c r="F556" s="8" t="s">
        <v>35</v>
      </c>
      <c r="G556">
        <v>4016999000</v>
      </c>
      <c r="H556" t="s">
        <v>53</v>
      </c>
      <c r="I556" t="s">
        <v>310</v>
      </c>
      <c r="J556" t="s">
        <v>38</v>
      </c>
      <c r="K556" t="s">
        <v>39</v>
      </c>
      <c r="L556">
        <v>4</v>
      </c>
      <c r="M556">
        <v>3</v>
      </c>
      <c r="N556" t="s">
        <v>64</v>
      </c>
      <c r="O556">
        <v>0</v>
      </c>
      <c r="P556">
        <v>19.18</v>
      </c>
      <c r="Q556">
        <v>1</v>
      </c>
      <c r="R556">
        <v>0.13</v>
      </c>
      <c r="S556">
        <v>20.309999999999999</v>
      </c>
      <c r="T556" t="s">
        <v>41</v>
      </c>
      <c r="U556" t="s">
        <v>41</v>
      </c>
      <c r="V556" t="s">
        <v>38</v>
      </c>
      <c r="W556" t="s">
        <v>650</v>
      </c>
      <c r="X556">
        <v>6.39</v>
      </c>
      <c r="Y556" s="9">
        <f t="shared" si="41"/>
        <v>6.3933333333333335</v>
      </c>
      <c r="Z556" s="9">
        <f t="shared" si="42"/>
        <v>11.987500000000001</v>
      </c>
      <c r="AA556" s="5">
        <f t="shared" si="43"/>
        <v>13.3181125</v>
      </c>
      <c r="AB556" s="6">
        <f t="shared" si="44"/>
        <v>19.41855125</v>
      </c>
      <c r="AD556" s="10">
        <f t="shared" si="45"/>
        <v>24.313407125000005</v>
      </c>
    </row>
    <row r="557" spans="1:30" x14ac:dyDescent="0.3">
      <c r="A557" t="s">
        <v>30</v>
      </c>
      <c r="B557" s="8" t="s">
        <v>66</v>
      </c>
      <c r="C557" s="8" t="s">
        <v>32</v>
      </c>
      <c r="D557" s="8" t="s">
        <v>33</v>
      </c>
      <c r="E557" s="8" t="s">
        <v>34</v>
      </c>
      <c r="F557" s="8" t="s">
        <v>35</v>
      </c>
      <c r="G557">
        <v>4016999000</v>
      </c>
      <c r="H557" t="s">
        <v>53</v>
      </c>
      <c r="I557" t="s">
        <v>651</v>
      </c>
      <c r="J557" t="s">
        <v>74</v>
      </c>
      <c r="K557" t="s">
        <v>39</v>
      </c>
      <c r="L557">
        <v>7</v>
      </c>
      <c r="M557">
        <v>30</v>
      </c>
      <c r="N557" t="s">
        <v>64</v>
      </c>
      <c r="O557">
        <v>0</v>
      </c>
      <c r="P557">
        <v>191.25</v>
      </c>
      <c r="Q557">
        <v>10.8</v>
      </c>
      <c r="R557">
        <v>1.22</v>
      </c>
      <c r="S557">
        <v>203.27</v>
      </c>
      <c r="T557" t="s">
        <v>75</v>
      </c>
      <c r="U557" t="s">
        <v>651</v>
      </c>
      <c r="V557" t="s">
        <v>74</v>
      </c>
      <c r="W557" t="s">
        <v>650</v>
      </c>
      <c r="X557">
        <v>6.38</v>
      </c>
      <c r="Y557" s="9">
        <f t="shared" si="41"/>
        <v>6.375</v>
      </c>
      <c r="Z557" s="9">
        <f t="shared" si="42"/>
        <v>11.953125</v>
      </c>
      <c r="AA557" s="5">
        <f t="shared" si="43"/>
        <v>13.279921874999999</v>
      </c>
      <c r="AB557" s="6">
        <f t="shared" si="44"/>
        <v>19.362867187499997</v>
      </c>
      <c r="AD557" s="10">
        <f t="shared" si="45"/>
        <v>24.243686718750002</v>
      </c>
    </row>
    <row r="558" spans="1:30" x14ac:dyDescent="0.3">
      <c r="A558" t="s">
        <v>30</v>
      </c>
      <c r="B558" s="8" t="s">
        <v>66</v>
      </c>
      <c r="C558" s="8" t="s">
        <v>32</v>
      </c>
      <c r="D558" s="8" t="s">
        <v>69</v>
      </c>
      <c r="E558" s="8" t="s">
        <v>70</v>
      </c>
      <c r="F558" s="8" t="s">
        <v>71</v>
      </c>
      <c r="G558">
        <v>4016999000</v>
      </c>
      <c r="H558" t="s">
        <v>53</v>
      </c>
      <c r="I558" t="s">
        <v>651</v>
      </c>
      <c r="J558" t="s">
        <v>38</v>
      </c>
      <c r="K558" t="s">
        <v>39</v>
      </c>
      <c r="L558">
        <v>13</v>
      </c>
      <c r="M558">
        <v>24</v>
      </c>
      <c r="N558" t="s">
        <v>64</v>
      </c>
      <c r="O558">
        <v>0</v>
      </c>
      <c r="P558">
        <v>150</v>
      </c>
      <c r="Q558">
        <v>8.01</v>
      </c>
      <c r="R558">
        <v>0.96</v>
      </c>
      <c r="S558">
        <v>158.97</v>
      </c>
      <c r="T558" t="s">
        <v>72</v>
      </c>
      <c r="U558" t="s">
        <v>72</v>
      </c>
      <c r="V558" t="s">
        <v>38</v>
      </c>
      <c r="W558" t="s">
        <v>650</v>
      </c>
      <c r="X558">
        <v>6.25</v>
      </c>
      <c r="Y558" s="9">
        <f t="shared" si="41"/>
        <v>6.25</v>
      </c>
      <c r="Z558" s="9">
        <f t="shared" si="42"/>
        <v>11.71875</v>
      </c>
      <c r="AA558" s="5">
        <f t="shared" si="43"/>
        <v>13.01953125</v>
      </c>
      <c r="AB558" s="6">
        <f t="shared" si="44"/>
        <v>18.983203124999999</v>
      </c>
      <c r="AD558" s="10">
        <f t="shared" si="45"/>
        <v>23.768320312500002</v>
      </c>
    </row>
    <row r="559" spans="1:30" x14ac:dyDescent="0.3">
      <c r="A559" t="s">
        <v>30</v>
      </c>
      <c r="B559" s="8" t="s">
        <v>66</v>
      </c>
      <c r="C559" s="8" t="s">
        <v>32</v>
      </c>
      <c r="D559" s="8" t="s">
        <v>33</v>
      </c>
      <c r="E559" s="8" t="s">
        <v>34</v>
      </c>
      <c r="F559" s="8" t="s">
        <v>35</v>
      </c>
      <c r="G559">
        <v>4016999000</v>
      </c>
      <c r="H559" t="s">
        <v>53</v>
      </c>
      <c r="I559" t="s">
        <v>651</v>
      </c>
      <c r="J559" t="s">
        <v>38</v>
      </c>
      <c r="K559" t="s">
        <v>39</v>
      </c>
      <c r="L559">
        <v>10</v>
      </c>
      <c r="M559">
        <v>12</v>
      </c>
      <c r="N559" t="s">
        <v>64</v>
      </c>
      <c r="O559">
        <v>0</v>
      </c>
      <c r="P559">
        <v>76.52</v>
      </c>
      <c r="Q559">
        <v>6.37</v>
      </c>
      <c r="R559">
        <v>0.5</v>
      </c>
      <c r="S559">
        <v>83.39</v>
      </c>
      <c r="T559" t="s">
        <v>41</v>
      </c>
      <c r="U559" t="s">
        <v>43</v>
      </c>
      <c r="V559" t="s">
        <v>38</v>
      </c>
      <c r="W559" t="s">
        <v>650</v>
      </c>
      <c r="X559">
        <v>6.38</v>
      </c>
      <c r="Y559" s="9">
        <f t="shared" si="41"/>
        <v>6.376666666666666</v>
      </c>
      <c r="Z559" s="9">
        <f t="shared" si="42"/>
        <v>11.956249999999999</v>
      </c>
      <c r="AA559" s="5">
        <f t="shared" si="43"/>
        <v>13.283393749999998</v>
      </c>
      <c r="AB559" s="6">
        <f t="shared" si="44"/>
        <v>19.367929374999996</v>
      </c>
      <c r="AD559" s="10">
        <f t="shared" si="45"/>
        <v>24.250024937500001</v>
      </c>
    </row>
    <row r="560" spans="1:30" x14ac:dyDescent="0.3">
      <c r="A560" t="s">
        <v>30</v>
      </c>
      <c r="B560" s="8" t="s">
        <v>66</v>
      </c>
      <c r="C560" s="8" t="s">
        <v>32</v>
      </c>
      <c r="D560" s="8" t="s">
        <v>69</v>
      </c>
      <c r="E560" s="8" t="s">
        <v>70</v>
      </c>
      <c r="F560" s="8" t="s">
        <v>71</v>
      </c>
      <c r="G560">
        <v>4016999000</v>
      </c>
      <c r="H560" t="s">
        <v>53</v>
      </c>
      <c r="I560" t="s">
        <v>651</v>
      </c>
      <c r="J560" t="s">
        <v>38</v>
      </c>
      <c r="K560" t="s">
        <v>39</v>
      </c>
      <c r="L560">
        <v>8</v>
      </c>
      <c r="M560">
        <v>20</v>
      </c>
      <c r="N560" t="s">
        <v>64</v>
      </c>
      <c r="O560">
        <v>0</v>
      </c>
      <c r="P560">
        <v>125</v>
      </c>
      <c r="Q560">
        <v>8.18</v>
      </c>
      <c r="R560">
        <v>0.81</v>
      </c>
      <c r="S560">
        <v>133.99</v>
      </c>
      <c r="T560" t="s">
        <v>41</v>
      </c>
      <c r="U560" t="s">
        <v>41</v>
      </c>
      <c r="V560" t="s">
        <v>38</v>
      </c>
      <c r="W560" t="s">
        <v>650</v>
      </c>
      <c r="X560">
        <v>6.25</v>
      </c>
      <c r="Y560" s="9">
        <f t="shared" si="41"/>
        <v>6.25</v>
      </c>
      <c r="Z560" s="9">
        <f t="shared" si="42"/>
        <v>11.71875</v>
      </c>
      <c r="AA560" s="5">
        <f t="shared" si="43"/>
        <v>13.01953125</v>
      </c>
      <c r="AB560" s="6">
        <f t="shared" si="44"/>
        <v>18.983203124999999</v>
      </c>
      <c r="AD560" s="10">
        <f t="shared" si="45"/>
        <v>23.768320312500002</v>
      </c>
    </row>
    <row r="561" spans="1:30" x14ac:dyDescent="0.3">
      <c r="A561" t="s">
        <v>30</v>
      </c>
      <c r="B561" s="8" t="s">
        <v>58</v>
      </c>
      <c r="C561" s="8" t="s">
        <v>32</v>
      </c>
      <c r="D561" s="8" t="s">
        <v>33</v>
      </c>
      <c r="E561" s="8" t="s">
        <v>34</v>
      </c>
      <c r="F561" s="8" t="s">
        <v>35</v>
      </c>
      <c r="G561">
        <v>7307990092</v>
      </c>
      <c r="H561" t="s">
        <v>652</v>
      </c>
      <c r="I561" t="s">
        <v>449</v>
      </c>
      <c r="J561" t="s">
        <v>38</v>
      </c>
      <c r="K561" t="s">
        <v>39</v>
      </c>
      <c r="L561">
        <v>3</v>
      </c>
      <c r="M561">
        <v>1</v>
      </c>
      <c r="N561" t="s">
        <v>40</v>
      </c>
      <c r="O561">
        <v>0</v>
      </c>
      <c r="P561">
        <v>54.17</v>
      </c>
      <c r="Q561">
        <v>2.3199999999999998</v>
      </c>
      <c r="R561">
        <v>0.35</v>
      </c>
      <c r="S561">
        <v>56.84</v>
      </c>
      <c r="T561" t="s">
        <v>41</v>
      </c>
      <c r="U561" t="s">
        <v>43</v>
      </c>
      <c r="V561" t="s">
        <v>38</v>
      </c>
      <c r="W561" t="s">
        <v>653</v>
      </c>
      <c r="X561">
        <v>54.17</v>
      </c>
      <c r="Y561" s="9">
        <f t="shared" si="41"/>
        <v>54.17</v>
      </c>
      <c r="Z561" s="9">
        <f t="shared" si="42"/>
        <v>101.56875000000001</v>
      </c>
      <c r="AA561" s="5">
        <f t="shared" si="43"/>
        <v>112.84288125</v>
      </c>
      <c r="AB561" s="6">
        <f t="shared" si="44"/>
        <v>164.53121812500001</v>
      </c>
      <c r="AD561" s="10">
        <f t="shared" si="45"/>
        <v>206.00478581250005</v>
      </c>
    </row>
    <row r="562" spans="1:30" x14ac:dyDescent="0.3">
      <c r="A562" t="s">
        <v>168</v>
      </c>
      <c r="B562" s="8" t="s">
        <v>66</v>
      </c>
      <c r="C562" s="8" t="s">
        <v>32</v>
      </c>
      <c r="D562" s="8" t="s">
        <v>33</v>
      </c>
      <c r="E562" s="8" t="s">
        <v>34</v>
      </c>
      <c r="F562" s="8" t="s">
        <v>35</v>
      </c>
      <c r="G562">
        <v>8481300000</v>
      </c>
      <c r="H562" t="s">
        <v>488</v>
      </c>
      <c r="I562" t="s">
        <v>489</v>
      </c>
      <c r="J562" t="s">
        <v>38</v>
      </c>
      <c r="K562" t="s">
        <v>39</v>
      </c>
      <c r="L562">
        <v>11</v>
      </c>
      <c r="M562">
        <v>2</v>
      </c>
      <c r="N562" t="s">
        <v>64</v>
      </c>
      <c r="O562">
        <v>0</v>
      </c>
      <c r="P562">
        <v>137.6</v>
      </c>
      <c r="Q562">
        <v>13.18</v>
      </c>
      <c r="R562">
        <v>0.93</v>
      </c>
      <c r="S562">
        <v>151.71</v>
      </c>
      <c r="T562" t="s">
        <v>41</v>
      </c>
      <c r="U562" t="s">
        <v>43</v>
      </c>
      <c r="V562" t="s">
        <v>38</v>
      </c>
      <c r="W562" t="s">
        <v>654</v>
      </c>
      <c r="X562">
        <v>68.8</v>
      </c>
      <c r="Y562" s="9">
        <f t="shared" si="41"/>
        <v>68.8</v>
      </c>
      <c r="Z562" s="9">
        <f t="shared" si="42"/>
        <v>129</v>
      </c>
      <c r="AA562" s="5">
        <f t="shared" si="43"/>
        <v>143.31899999999999</v>
      </c>
      <c r="AB562" s="6">
        <f t="shared" si="44"/>
        <v>208.96709999999999</v>
      </c>
      <c r="AD562" s="10">
        <f t="shared" si="45"/>
        <v>261.64167000000003</v>
      </c>
    </row>
    <row r="563" spans="1:30" x14ac:dyDescent="0.3">
      <c r="A563" t="s">
        <v>30</v>
      </c>
      <c r="B563" s="8" t="s">
        <v>66</v>
      </c>
      <c r="C563" s="8" t="s">
        <v>32</v>
      </c>
      <c r="D563" s="8" t="s">
        <v>69</v>
      </c>
      <c r="E563" s="8" t="s">
        <v>70</v>
      </c>
      <c r="F563" s="8" t="s">
        <v>71</v>
      </c>
      <c r="G563">
        <v>8481300000</v>
      </c>
      <c r="H563" t="s">
        <v>488</v>
      </c>
      <c r="I563" t="s">
        <v>489</v>
      </c>
      <c r="J563" t="s">
        <v>38</v>
      </c>
      <c r="K563" t="s">
        <v>39</v>
      </c>
      <c r="L563">
        <v>8</v>
      </c>
      <c r="M563">
        <v>2</v>
      </c>
      <c r="N563" t="s">
        <v>64</v>
      </c>
      <c r="O563">
        <v>0</v>
      </c>
      <c r="P563">
        <v>133.74</v>
      </c>
      <c r="Q563">
        <v>8.76</v>
      </c>
      <c r="R563">
        <v>0.87</v>
      </c>
      <c r="S563">
        <v>143.36000000000001</v>
      </c>
      <c r="T563" t="s">
        <v>41</v>
      </c>
      <c r="U563" t="s">
        <v>41</v>
      </c>
      <c r="V563" t="s">
        <v>38</v>
      </c>
      <c r="W563" t="s">
        <v>654</v>
      </c>
      <c r="X563">
        <v>66.87</v>
      </c>
      <c r="Y563" s="9">
        <f t="shared" si="41"/>
        <v>66.87</v>
      </c>
      <c r="Z563" s="9">
        <f t="shared" si="42"/>
        <v>125.38125000000001</v>
      </c>
      <c r="AA563" s="5">
        <f t="shared" si="43"/>
        <v>139.29856875000002</v>
      </c>
      <c r="AB563" s="6">
        <f t="shared" si="44"/>
        <v>203.10508687500001</v>
      </c>
      <c r="AD563" s="10">
        <f t="shared" si="45"/>
        <v>254.30201268750005</v>
      </c>
    </row>
    <row r="564" spans="1:30" x14ac:dyDescent="0.3">
      <c r="A564" t="s">
        <v>168</v>
      </c>
      <c r="B564" s="8" t="s">
        <v>655</v>
      </c>
      <c r="C564" s="8" t="s">
        <v>32</v>
      </c>
      <c r="D564" s="8" t="s">
        <v>33</v>
      </c>
      <c r="E564" s="8" t="s">
        <v>34</v>
      </c>
      <c r="F564" s="8" t="s">
        <v>35</v>
      </c>
      <c r="G564">
        <v>3403990000</v>
      </c>
      <c r="H564" t="s">
        <v>481</v>
      </c>
      <c r="I564" t="s">
        <v>656</v>
      </c>
      <c r="J564" t="s">
        <v>38</v>
      </c>
      <c r="K564" t="s">
        <v>39</v>
      </c>
      <c r="L564">
        <v>11</v>
      </c>
      <c r="M564">
        <v>1</v>
      </c>
      <c r="N564" t="s">
        <v>40</v>
      </c>
      <c r="O564">
        <v>0</v>
      </c>
      <c r="P564">
        <v>196.85</v>
      </c>
      <c r="Q564">
        <v>18.850000000000001</v>
      </c>
      <c r="R564">
        <v>1.33</v>
      </c>
      <c r="S564">
        <v>217.03</v>
      </c>
      <c r="T564" t="s">
        <v>41</v>
      </c>
      <c r="U564" t="s">
        <v>43</v>
      </c>
      <c r="V564" t="s">
        <v>38</v>
      </c>
      <c r="W564" t="s">
        <v>657</v>
      </c>
      <c r="X564">
        <v>196.85</v>
      </c>
      <c r="Y564" s="9">
        <f t="shared" si="41"/>
        <v>196.85</v>
      </c>
      <c r="Z564" s="9">
        <f t="shared" si="42"/>
        <v>369.09375</v>
      </c>
      <c r="AA564" s="5">
        <f t="shared" si="43"/>
        <v>410.06315625000002</v>
      </c>
      <c r="AB564" s="6">
        <f t="shared" si="44"/>
        <v>597.89496562499994</v>
      </c>
      <c r="AD564" s="10">
        <f t="shared" si="45"/>
        <v>748.60701656250012</v>
      </c>
    </row>
    <row r="565" spans="1:30" x14ac:dyDescent="0.3">
      <c r="A565" t="s">
        <v>30</v>
      </c>
      <c r="B565" s="8" t="s">
        <v>31</v>
      </c>
      <c r="C565" s="8" t="s">
        <v>32</v>
      </c>
      <c r="D565" s="8" t="s">
        <v>69</v>
      </c>
      <c r="E565" s="8" t="s">
        <v>70</v>
      </c>
      <c r="F565" s="8" t="s">
        <v>71</v>
      </c>
      <c r="G565">
        <v>8421999000</v>
      </c>
      <c r="H565" t="s">
        <v>36</v>
      </c>
      <c r="I565" t="s">
        <v>215</v>
      </c>
      <c r="J565" t="s">
        <v>38</v>
      </c>
      <c r="K565" t="s">
        <v>39</v>
      </c>
      <c r="L565">
        <v>13</v>
      </c>
      <c r="M565">
        <v>6</v>
      </c>
      <c r="N565" t="s">
        <v>64</v>
      </c>
      <c r="O565">
        <v>0</v>
      </c>
      <c r="P565">
        <v>271.56</v>
      </c>
      <c r="Q565">
        <v>19.28</v>
      </c>
      <c r="R565">
        <v>1.77</v>
      </c>
      <c r="S565">
        <v>292.62</v>
      </c>
      <c r="T565" t="s">
        <v>41</v>
      </c>
      <c r="U565" t="s">
        <v>41</v>
      </c>
      <c r="V565" t="s">
        <v>38</v>
      </c>
      <c r="W565" t="s">
        <v>658</v>
      </c>
      <c r="X565">
        <v>45.26</v>
      </c>
      <c r="Y565" s="9">
        <f t="shared" si="41"/>
        <v>45.26</v>
      </c>
      <c r="Z565" s="9">
        <f t="shared" si="42"/>
        <v>84.862499999999997</v>
      </c>
      <c r="AA565" s="5">
        <f t="shared" si="43"/>
        <v>94.282237499999994</v>
      </c>
      <c r="AB565" s="6">
        <f t="shared" si="44"/>
        <v>137.46876374999999</v>
      </c>
      <c r="AD565" s="10">
        <f t="shared" si="45"/>
        <v>172.12066837500001</v>
      </c>
    </row>
    <row r="566" spans="1:30" x14ac:dyDescent="0.3">
      <c r="A566" t="s">
        <v>30</v>
      </c>
      <c r="B566" s="8" t="s">
        <v>31</v>
      </c>
      <c r="C566" s="8" t="s">
        <v>32</v>
      </c>
      <c r="D566" s="8" t="s">
        <v>33</v>
      </c>
      <c r="E566" s="8" t="s">
        <v>34</v>
      </c>
      <c r="F566" s="8" t="s">
        <v>35</v>
      </c>
      <c r="G566">
        <v>8421999000</v>
      </c>
      <c r="H566" t="s">
        <v>36</v>
      </c>
      <c r="I566" t="s">
        <v>215</v>
      </c>
      <c r="J566" t="s">
        <v>38</v>
      </c>
      <c r="K566" t="s">
        <v>39</v>
      </c>
      <c r="L566">
        <v>8</v>
      </c>
      <c r="M566">
        <v>6</v>
      </c>
      <c r="N566" t="s">
        <v>64</v>
      </c>
      <c r="O566">
        <v>0</v>
      </c>
      <c r="P566">
        <v>348.41</v>
      </c>
      <c r="Q566">
        <v>37.19</v>
      </c>
      <c r="R566">
        <v>2.34</v>
      </c>
      <c r="S566">
        <v>387.94</v>
      </c>
      <c r="T566" t="s">
        <v>41</v>
      </c>
      <c r="U566" t="s">
        <v>41</v>
      </c>
      <c r="V566" t="s">
        <v>38</v>
      </c>
      <c r="W566" t="s">
        <v>658</v>
      </c>
      <c r="X566">
        <v>58.07</v>
      </c>
      <c r="Y566" s="9">
        <f t="shared" si="41"/>
        <v>58.068333333333335</v>
      </c>
      <c r="Z566" s="9">
        <f t="shared" si="42"/>
        <v>108.878125</v>
      </c>
      <c r="AA566" s="5">
        <f t="shared" si="43"/>
        <v>120.96359687499999</v>
      </c>
      <c r="AB566" s="6">
        <f t="shared" si="44"/>
        <v>176.37167468749999</v>
      </c>
      <c r="AD566" s="10">
        <f t="shared" si="45"/>
        <v>220.82987946875002</v>
      </c>
    </row>
    <row r="567" spans="1:30" x14ac:dyDescent="0.3">
      <c r="A567" t="s">
        <v>30</v>
      </c>
      <c r="B567" s="8" t="s">
        <v>31</v>
      </c>
      <c r="C567" s="8" t="s">
        <v>32</v>
      </c>
      <c r="D567" s="8" t="s">
        <v>33</v>
      </c>
      <c r="E567" s="8" t="s">
        <v>34</v>
      </c>
      <c r="F567" s="8" t="s">
        <v>35</v>
      </c>
      <c r="G567">
        <v>8421999000</v>
      </c>
      <c r="H567" t="s">
        <v>36</v>
      </c>
      <c r="I567" t="s">
        <v>215</v>
      </c>
      <c r="J567" t="s">
        <v>38</v>
      </c>
      <c r="K567" t="s">
        <v>39</v>
      </c>
      <c r="L567">
        <v>8</v>
      </c>
      <c r="M567">
        <v>5</v>
      </c>
      <c r="N567" t="s">
        <v>64</v>
      </c>
      <c r="O567">
        <v>0</v>
      </c>
      <c r="P567">
        <v>290.08</v>
      </c>
      <c r="Q567">
        <v>36.340000000000003</v>
      </c>
      <c r="R567">
        <v>1.98</v>
      </c>
      <c r="S567">
        <v>328.4</v>
      </c>
      <c r="T567" t="s">
        <v>41</v>
      </c>
      <c r="U567" t="s">
        <v>41</v>
      </c>
      <c r="V567" t="s">
        <v>38</v>
      </c>
      <c r="W567" t="s">
        <v>658</v>
      </c>
      <c r="X567">
        <v>58.02</v>
      </c>
      <c r="Y567" s="9">
        <f t="shared" si="41"/>
        <v>58.015999999999998</v>
      </c>
      <c r="Z567" s="9">
        <f t="shared" si="42"/>
        <v>108.78</v>
      </c>
      <c r="AA567" s="5">
        <f t="shared" si="43"/>
        <v>120.85458</v>
      </c>
      <c r="AB567" s="6">
        <f t="shared" si="44"/>
        <v>176.21272199999999</v>
      </c>
      <c r="AD567" s="10">
        <f t="shared" si="45"/>
        <v>220.63085940000002</v>
      </c>
    </row>
    <row r="568" spans="1:30" x14ac:dyDescent="0.3">
      <c r="A568" t="s">
        <v>30</v>
      </c>
      <c r="B568" s="8" t="s">
        <v>32</v>
      </c>
      <c r="C568" s="8" t="s">
        <v>32</v>
      </c>
      <c r="D568" s="8" t="s">
        <v>33</v>
      </c>
      <c r="E568" s="8" t="s">
        <v>34</v>
      </c>
      <c r="F568" s="8" t="s">
        <v>35</v>
      </c>
      <c r="G568">
        <v>8481909090</v>
      </c>
      <c r="H568" t="s">
        <v>53</v>
      </c>
      <c r="I568" t="s">
        <v>659</v>
      </c>
      <c r="J568" t="s">
        <v>38</v>
      </c>
      <c r="K568" t="s">
        <v>39</v>
      </c>
      <c r="L568">
        <v>8</v>
      </c>
      <c r="M568">
        <v>4</v>
      </c>
      <c r="N568" t="s">
        <v>64</v>
      </c>
      <c r="O568">
        <v>0</v>
      </c>
      <c r="P568">
        <v>440.81</v>
      </c>
      <c r="Q568">
        <v>24.96</v>
      </c>
      <c r="R568">
        <v>2.81</v>
      </c>
      <c r="S568">
        <v>468.58</v>
      </c>
      <c r="T568" t="s">
        <v>41</v>
      </c>
      <c r="U568" t="s">
        <v>41</v>
      </c>
      <c r="V568" t="s">
        <v>38</v>
      </c>
      <c r="W568" t="s">
        <v>660</v>
      </c>
      <c r="X568">
        <v>110.2</v>
      </c>
      <c r="Y568" s="9">
        <f t="shared" si="41"/>
        <v>110.2025</v>
      </c>
      <c r="Z568" s="9">
        <f t="shared" si="42"/>
        <v>206.62968749999999</v>
      </c>
      <c r="AA568" s="5">
        <f t="shared" si="43"/>
        <v>229.5655828125</v>
      </c>
      <c r="AB568" s="6">
        <f t="shared" si="44"/>
        <v>334.71943078124997</v>
      </c>
      <c r="AD568" s="10">
        <f t="shared" si="45"/>
        <v>419.09253107812503</v>
      </c>
    </row>
    <row r="569" spans="1:30" x14ac:dyDescent="0.3">
      <c r="A569" t="s">
        <v>30</v>
      </c>
      <c r="B569" s="8" t="s">
        <v>31</v>
      </c>
      <c r="C569" s="8" t="s">
        <v>32</v>
      </c>
      <c r="D569" s="8" t="s">
        <v>69</v>
      </c>
      <c r="E569" s="8" t="s">
        <v>70</v>
      </c>
      <c r="F569" s="8" t="s">
        <v>71</v>
      </c>
      <c r="G569">
        <v>8421999000</v>
      </c>
      <c r="H569" t="s">
        <v>36</v>
      </c>
      <c r="I569" t="s">
        <v>661</v>
      </c>
      <c r="J569" t="s">
        <v>38</v>
      </c>
      <c r="K569" t="s">
        <v>39</v>
      </c>
      <c r="L569">
        <v>13</v>
      </c>
      <c r="M569">
        <v>4</v>
      </c>
      <c r="N569" t="s">
        <v>64</v>
      </c>
      <c r="O569">
        <v>0</v>
      </c>
      <c r="P569">
        <v>833.56</v>
      </c>
      <c r="Q569">
        <v>59.18</v>
      </c>
      <c r="R569">
        <v>5.45</v>
      </c>
      <c r="S569">
        <v>898.19</v>
      </c>
      <c r="T569" t="s">
        <v>41</v>
      </c>
      <c r="U569" t="s">
        <v>41</v>
      </c>
      <c r="V569" t="s">
        <v>38</v>
      </c>
      <c r="W569" t="s">
        <v>662</v>
      </c>
      <c r="X569">
        <v>208.39</v>
      </c>
      <c r="Y569" s="9">
        <f t="shared" si="41"/>
        <v>208.39</v>
      </c>
      <c r="Z569" s="9">
        <f t="shared" si="42"/>
        <v>390.73124999999999</v>
      </c>
      <c r="AA569" s="5">
        <f t="shared" si="43"/>
        <v>434.10241874999997</v>
      </c>
      <c r="AB569" s="6">
        <f t="shared" si="44"/>
        <v>632.94555187499998</v>
      </c>
      <c r="AD569" s="10">
        <f t="shared" si="45"/>
        <v>792.49284318750006</v>
      </c>
    </row>
    <row r="570" spans="1:30" x14ac:dyDescent="0.3">
      <c r="A570" t="s">
        <v>30</v>
      </c>
      <c r="B570" s="8" t="s">
        <v>31</v>
      </c>
      <c r="C570" s="8" t="s">
        <v>32</v>
      </c>
      <c r="D570" s="8" t="s">
        <v>33</v>
      </c>
      <c r="E570" s="8" t="s">
        <v>34</v>
      </c>
      <c r="F570" s="8" t="s">
        <v>35</v>
      </c>
      <c r="G570">
        <v>8421999000</v>
      </c>
      <c r="H570" t="s">
        <v>36</v>
      </c>
      <c r="I570" t="s">
        <v>663</v>
      </c>
      <c r="J570" t="s">
        <v>38</v>
      </c>
      <c r="K570" t="s">
        <v>39</v>
      </c>
      <c r="L570">
        <v>8</v>
      </c>
      <c r="M570">
        <v>4</v>
      </c>
      <c r="N570" t="s">
        <v>64</v>
      </c>
      <c r="O570">
        <v>0</v>
      </c>
      <c r="P570">
        <v>817.45</v>
      </c>
      <c r="Q570">
        <v>102.4</v>
      </c>
      <c r="R570">
        <v>5.58</v>
      </c>
      <c r="S570">
        <v>925.44</v>
      </c>
      <c r="T570" t="s">
        <v>41</v>
      </c>
      <c r="U570" t="s">
        <v>41</v>
      </c>
      <c r="V570" t="s">
        <v>38</v>
      </c>
      <c r="W570" t="s">
        <v>662</v>
      </c>
      <c r="X570">
        <v>204.36</v>
      </c>
      <c r="Y570" s="9">
        <f t="shared" si="41"/>
        <v>204.36250000000001</v>
      </c>
      <c r="Z570" s="9">
        <f t="shared" si="42"/>
        <v>383.1796875</v>
      </c>
      <c r="AA570" s="5">
        <f t="shared" si="43"/>
        <v>425.71263281249998</v>
      </c>
      <c r="AB570" s="6">
        <f t="shared" si="44"/>
        <v>620.71277578125</v>
      </c>
      <c r="AD570" s="10">
        <f t="shared" si="45"/>
        <v>777.17653757812502</v>
      </c>
    </row>
    <row r="571" spans="1:30" x14ac:dyDescent="0.3">
      <c r="A571" t="s">
        <v>168</v>
      </c>
      <c r="B571" s="8" t="s">
        <v>31</v>
      </c>
      <c r="C571" s="8" t="s">
        <v>32</v>
      </c>
      <c r="E571" s="8" t="s">
        <v>70</v>
      </c>
      <c r="F571" s="8" t="s">
        <v>71</v>
      </c>
      <c r="G571">
        <v>8421999000</v>
      </c>
      <c r="H571" t="s">
        <v>36</v>
      </c>
      <c r="I571" t="s">
        <v>430</v>
      </c>
      <c r="J571" t="s">
        <v>38</v>
      </c>
      <c r="K571" t="s">
        <v>39</v>
      </c>
      <c r="L571">
        <v>0</v>
      </c>
      <c r="M571">
        <v>5</v>
      </c>
      <c r="N571" t="s">
        <v>64</v>
      </c>
      <c r="O571">
        <v>0</v>
      </c>
      <c r="P571">
        <v>931.27</v>
      </c>
      <c r="Q571">
        <v>71.489999999999995</v>
      </c>
      <c r="R571">
        <v>6.71</v>
      </c>
      <c r="S571">
        <v>1009.47</v>
      </c>
      <c r="T571" t="s">
        <v>41</v>
      </c>
      <c r="U571" t="s">
        <v>41</v>
      </c>
      <c r="V571" t="s">
        <v>38</v>
      </c>
      <c r="W571" t="s">
        <v>662</v>
      </c>
      <c r="X571">
        <v>186.25</v>
      </c>
      <c r="Y571" s="9">
        <f t="shared" si="41"/>
        <v>186.25399999999999</v>
      </c>
      <c r="Z571" s="9">
        <f t="shared" si="42"/>
        <v>349.22624999999999</v>
      </c>
      <c r="AA571" s="5">
        <f t="shared" si="43"/>
        <v>387.99036374999997</v>
      </c>
      <c r="AB571" s="6">
        <f t="shared" si="44"/>
        <v>565.71160237499998</v>
      </c>
      <c r="AD571" s="10">
        <f t="shared" si="45"/>
        <v>708.31115703750004</v>
      </c>
    </row>
    <row r="572" spans="1:30" x14ac:dyDescent="0.3">
      <c r="A572" t="s">
        <v>30</v>
      </c>
      <c r="B572" s="8" t="s">
        <v>32</v>
      </c>
      <c r="C572" s="8" t="s">
        <v>32</v>
      </c>
      <c r="D572" s="8" t="s">
        <v>69</v>
      </c>
      <c r="E572" s="8" t="s">
        <v>70</v>
      </c>
      <c r="F572" s="8" t="s">
        <v>71</v>
      </c>
      <c r="G572">
        <v>8481809990</v>
      </c>
      <c r="H572" t="s">
        <v>53</v>
      </c>
      <c r="I572" t="s">
        <v>664</v>
      </c>
      <c r="J572" t="s">
        <v>38</v>
      </c>
      <c r="K572" t="s">
        <v>39</v>
      </c>
      <c r="L572">
        <v>8</v>
      </c>
      <c r="M572">
        <v>2</v>
      </c>
      <c r="N572" t="s">
        <v>64</v>
      </c>
      <c r="O572">
        <v>0</v>
      </c>
      <c r="P572">
        <v>158.58000000000001</v>
      </c>
      <c r="Q572">
        <v>10.38</v>
      </c>
      <c r="R572">
        <v>1.03</v>
      </c>
      <c r="S572">
        <v>169.99</v>
      </c>
      <c r="T572" t="s">
        <v>41</v>
      </c>
      <c r="U572" t="s">
        <v>41</v>
      </c>
      <c r="V572" t="s">
        <v>38</v>
      </c>
      <c r="W572" t="s">
        <v>665</v>
      </c>
      <c r="X572">
        <v>79.290000000000006</v>
      </c>
      <c r="Y572" s="9">
        <f t="shared" si="41"/>
        <v>79.290000000000006</v>
      </c>
      <c r="Z572" s="9">
        <f t="shared" si="42"/>
        <v>148.66875000000002</v>
      </c>
      <c r="AA572" s="5">
        <f t="shared" si="43"/>
        <v>165.17098125000001</v>
      </c>
      <c r="AB572" s="6">
        <f t="shared" si="44"/>
        <v>240.82850812500001</v>
      </c>
      <c r="AD572" s="10">
        <f t="shared" si="45"/>
        <v>301.53441881250006</v>
      </c>
    </row>
    <row r="573" spans="1:30" x14ac:dyDescent="0.3">
      <c r="A573" t="s">
        <v>30</v>
      </c>
      <c r="B573" s="8" t="s">
        <v>32</v>
      </c>
      <c r="C573" s="8" t="s">
        <v>32</v>
      </c>
      <c r="D573" s="8" t="s">
        <v>69</v>
      </c>
      <c r="E573" s="8" t="s">
        <v>70</v>
      </c>
      <c r="F573" s="8" t="s">
        <v>71</v>
      </c>
      <c r="G573">
        <v>7320209090</v>
      </c>
      <c r="H573" t="s">
        <v>36</v>
      </c>
      <c r="I573" t="s">
        <v>666</v>
      </c>
      <c r="J573" t="s">
        <v>38</v>
      </c>
      <c r="K573" t="s">
        <v>39</v>
      </c>
      <c r="L573">
        <v>13</v>
      </c>
      <c r="M573">
        <v>3</v>
      </c>
      <c r="N573" t="s">
        <v>40</v>
      </c>
      <c r="O573">
        <v>0</v>
      </c>
      <c r="P573">
        <v>27.12</v>
      </c>
      <c r="Q573">
        <v>1.45</v>
      </c>
      <c r="R573">
        <v>0.17</v>
      </c>
      <c r="S573">
        <v>28.74</v>
      </c>
      <c r="T573" t="s">
        <v>72</v>
      </c>
      <c r="U573" t="s">
        <v>72</v>
      </c>
      <c r="V573" t="s">
        <v>38</v>
      </c>
      <c r="W573" t="s">
        <v>667</v>
      </c>
      <c r="X573">
        <v>9.0399999999999991</v>
      </c>
      <c r="Y573" s="9">
        <f t="shared" si="41"/>
        <v>9.0400000000000009</v>
      </c>
      <c r="Z573" s="9">
        <f t="shared" si="42"/>
        <v>16.950000000000003</v>
      </c>
      <c r="AA573" s="5">
        <f t="shared" si="43"/>
        <v>18.831450000000004</v>
      </c>
      <c r="AB573" s="6">
        <f t="shared" si="44"/>
        <v>27.457305000000002</v>
      </c>
      <c r="AD573" s="10">
        <f t="shared" si="45"/>
        <v>34.378498500000006</v>
      </c>
    </row>
    <row r="574" spans="1:30" x14ac:dyDescent="0.3">
      <c r="A574" t="s">
        <v>30</v>
      </c>
      <c r="B574" s="8" t="s">
        <v>66</v>
      </c>
      <c r="C574" s="8" t="s">
        <v>32</v>
      </c>
      <c r="D574" s="8" t="s">
        <v>33</v>
      </c>
      <c r="E574" s="8" t="s">
        <v>34</v>
      </c>
      <c r="F574" s="8" t="s">
        <v>35</v>
      </c>
      <c r="G574">
        <v>8481300000</v>
      </c>
      <c r="H574" t="s">
        <v>488</v>
      </c>
      <c r="I574" t="s">
        <v>668</v>
      </c>
      <c r="J574" t="s">
        <v>38</v>
      </c>
      <c r="K574" t="s">
        <v>39</v>
      </c>
      <c r="L574">
        <v>3</v>
      </c>
      <c r="M574">
        <v>4</v>
      </c>
      <c r="N574" t="s">
        <v>64</v>
      </c>
      <c r="O574">
        <v>0</v>
      </c>
      <c r="P574">
        <v>190.91</v>
      </c>
      <c r="Q574">
        <v>8.17</v>
      </c>
      <c r="R574">
        <v>1.23</v>
      </c>
      <c r="S574">
        <v>200.31</v>
      </c>
      <c r="T574" t="s">
        <v>41</v>
      </c>
      <c r="U574" t="s">
        <v>43</v>
      </c>
      <c r="V574" t="s">
        <v>38</v>
      </c>
      <c r="W574" t="s">
        <v>669</v>
      </c>
      <c r="X574">
        <v>47.73</v>
      </c>
      <c r="Y574" s="9">
        <f t="shared" si="41"/>
        <v>47.727499999999999</v>
      </c>
      <c r="Z574" s="9">
        <f t="shared" si="42"/>
        <v>89.489062500000003</v>
      </c>
      <c r="AA574" s="5">
        <f t="shared" si="43"/>
        <v>99.422348437500006</v>
      </c>
      <c r="AB574" s="6">
        <f t="shared" si="44"/>
        <v>144.96333234374998</v>
      </c>
      <c r="AD574" s="10">
        <f t="shared" si="45"/>
        <v>181.50440123437502</v>
      </c>
    </row>
    <row r="575" spans="1:30" x14ac:dyDescent="0.3">
      <c r="A575" t="s">
        <v>30</v>
      </c>
      <c r="B575" s="8" t="s">
        <v>31</v>
      </c>
      <c r="C575" s="8" t="s">
        <v>32</v>
      </c>
      <c r="D575" s="8" t="s">
        <v>69</v>
      </c>
      <c r="E575" s="8" t="s">
        <v>70</v>
      </c>
      <c r="F575" s="8" t="s">
        <v>71</v>
      </c>
      <c r="G575">
        <v>8421999000</v>
      </c>
      <c r="H575" t="s">
        <v>36</v>
      </c>
      <c r="I575" t="s">
        <v>670</v>
      </c>
      <c r="J575" t="s">
        <v>38</v>
      </c>
      <c r="K575" t="s">
        <v>39</v>
      </c>
      <c r="L575">
        <v>13</v>
      </c>
      <c r="M575">
        <v>2</v>
      </c>
      <c r="N575" t="s">
        <v>64</v>
      </c>
      <c r="O575">
        <v>0</v>
      </c>
      <c r="P575">
        <v>773.32</v>
      </c>
      <c r="Q575">
        <v>41.29</v>
      </c>
      <c r="R575">
        <v>4.97</v>
      </c>
      <c r="S575">
        <v>819.58</v>
      </c>
      <c r="T575" t="s">
        <v>72</v>
      </c>
      <c r="U575" t="s">
        <v>72</v>
      </c>
      <c r="V575" t="s">
        <v>38</v>
      </c>
      <c r="W575" t="s">
        <v>671</v>
      </c>
      <c r="X575">
        <v>386.66</v>
      </c>
      <c r="Y575" s="9">
        <f t="shared" si="41"/>
        <v>386.66</v>
      </c>
      <c r="Z575" s="9">
        <f t="shared" si="42"/>
        <v>724.98750000000007</v>
      </c>
      <c r="AA575" s="5">
        <f t="shared" si="43"/>
        <v>805.46111250000001</v>
      </c>
      <c r="AB575" s="6">
        <f t="shared" si="44"/>
        <v>1174.4072512499999</v>
      </c>
      <c r="AD575" s="10">
        <f t="shared" si="45"/>
        <v>1470.4413971250003</v>
      </c>
    </row>
    <row r="576" spans="1:30" x14ac:dyDescent="0.3">
      <c r="A576" t="s">
        <v>30</v>
      </c>
      <c r="B576" s="8" t="s">
        <v>32</v>
      </c>
      <c r="C576" s="8" t="s">
        <v>32</v>
      </c>
      <c r="D576" s="8" t="s">
        <v>33</v>
      </c>
      <c r="E576" s="8" t="s">
        <v>34</v>
      </c>
      <c r="F576" s="8" t="s">
        <v>35</v>
      </c>
      <c r="G576">
        <v>8481909090</v>
      </c>
      <c r="H576" t="s">
        <v>53</v>
      </c>
      <c r="I576" t="s">
        <v>672</v>
      </c>
      <c r="J576" t="s">
        <v>38</v>
      </c>
      <c r="K576" t="s">
        <v>39</v>
      </c>
      <c r="L576">
        <v>8</v>
      </c>
      <c r="M576">
        <v>3</v>
      </c>
      <c r="N576" t="s">
        <v>64</v>
      </c>
      <c r="O576">
        <v>0</v>
      </c>
      <c r="P576">
        <v>296.41000000000003</v>
      </c>
      <c r="Q576">
        <v>16.78</v>
      </c>
      <c r="R576">
        <v>1.89</v>
      </c>
      <c r="S576">
        <v>315.08999999999997</v>
      </c>
      <c r="T576" t="s">
        <v>41</v>
      </c>
      <c r="U576" t="s">
        <v>41</v>
      </c>
      <c r="V576" t="s">
        <v>38</v>
      </c>
      <c r="W576" t="s">
        <v>673</v>
      </c>
      <c r="X576">
        <v>98.8</v>
      </c>
      <c r="Y576" s="9">
        <f t="shared" si="41"/>
        <v>98.803333333333342</v>
      </c>
      <c r="Z576" s="9">
        <f t="shared" si="42"/>
        <v>185.25625000000002</v>
      </c>
      <c r="AA576" s="5">
        <f t="shared" si="43"/>
        <v>205.81969375000003</v>
      </c>
      <c r="AB576" s="6">
        <f t="shared" si="44"/>
        <v>300.09659937500004</v>
      </c>
      <c r="AD576" s="10">
        <f t="shared" si="45"/>
        <v>375.74228393750008</v>
      </c>
    </row>
    <row r="577" spans="1:30" x14ac:dyDescent="0.3">
      <c r="A577" t="s">
        <v>30</v>
      </c>
      <c r="B577" s="8" t="s">
        <v>32</v>
      </c>
      <c r="C577" s="8" t="s">
        <v>32</v>
      </c>
      <c r="D577" s="8" t="s">
        <v>69</v>
      </c>
      <c r="E577" s="8" t="s">
        <v>70</v>
      </c>
      <c r="F577" s="8" t="s">
        <v>71</v>
      </c>
      <c r="G577">
        <v>8482800000</v>
      </c>
      <c r="H577" t="s">
        <v>674</v>
      </c>
      <c r="I577" t="s">
        <v>675</v>
      </c>
      <c r="J577" t="s">
        <v>38</v>
      </c>
      <c r="K577" t="s">
        <v>39</v>
      </c>
      <c r="L577">
        <v>13</v>
      </c>
      <c r="M577">
        <v>1</v>
      </c>
      <c r="N577" t="s">
        <v>64</v>
      </c>
      <c r="O577">
        <v>0</v>
      </c>
      <c r="P577">
        <v>1707.89</v>
      </c>
      <c r="Q577">
        <v>91.18</v>
      </c>
      <c r="R577">
        <v>10.97</v>
      </c>
      <c r="S577">
        <v>1810.05</v>
      </c>
      <c r="T577" t="s">
        <v>72</v>
      </c>
      <c r="U577" t="s">
        <v>72</v>
      </c>
      <c r="V577" t="s">
        <v>38</v>
      </c>
      <c r="W577" t="s">
        <v>676</v>
      </c>
      <c r="X577">
        <v>1707.89</v>
      </c>
      <c r="Y577" s="9">
        <f t="shared" si="41"/>
        <v>1707.89</v>
      </c>
      <c r="Z577" s="9">
        <f t="shared" si="42"/>
        <v>3202.2937500000003</v>
      </c>
      <c r="AA577" s="5">
        <f t="shared" si="43"/>
        <v>3557.7483562500001</v>
      </c>
      <c r="AB577" s="6">
        <f t="shared" si="44"/>
        <v>5187.3956456249998</v>
      </c>
      <c r="AD577" s="10">
        <f t="shared" si="45"/>
        <v>6494.9882525625007</v>
      </c>
    </row>
    <row r="578" spans="1:30" x14ac:dyDescent="0.3">
      <c r="A578" t="s">
        <v>30</v>
      </c>
      <c r="B578" s="8" t="s">
        <v>32</v>
      </c>
      <c r="C578" s="8" t="s">
        <v>32</v>
      </c>
      <c r="D578" s="8" t="s">
        <v>33</v>
      </c>
      <c r="E578" s="8" t="s">
        <v>34</v>
      </c>
      <c r="F578" s="8" t="s">
        <v>35</v>
      </c>
      <c r="G578">
        <v>8481909090</v>
      </c>
      <c r="H578" t="s">
        <v>53</v>
      </c>
      <c r="I578" t="s">
        <v>668</v>
      </c>
      <c r="J578" t="s">
        <v>38</v>
      </c>
      <c r="K578" t="s">
        <v>39</v>
      </c>
      <c r="L578">
        <v>4</v>
      </c>
      <c r="M578">
        <v>3</v>
      </c>
      <c r="N578" t="s">
        <v>64</v>
      </c>
      <c r="O578">
        <v>0</v>
      </c>
      <c r="P578">
        <v>378.28</v>
      </c>
      <c r="Q578">
        <v>19.809999999999999</v>
      </c>
      <c r="R578">
        <v>2.4700000000000002</v>
      </c>
      <c r="S578">
        <v>400.55</v>
      </c>
      <c r="T578" t="s">
        <v>41</v>
      </c>
      <c r="U578" t="s">
        <v>41</v>
      </c>
      <c r="V578" t="s">
        <v>38</v>
      </c>
      <c r="W578" t="s">
        <v>677</v>
      </c>
      <c r="X578">
        <v>126.09</v>
      </c>
      <c r="Y578" s="9">
        <f t="shared" si="41"/>
        <v>126.09333333333332</v>
      </c>
      <c r="Z578" s="9">
        <f t="shared" si="42"/>
        <v>236.42499999999998</v>
      </c>
      <c r="AA578" s="5">
        <f t="shared" si="43"/>
        <v>262.66817499999996</v>
      </c>
      <c r="AB578" s="6">
        <f t="shared" si="44"/>
        <v>382.98485749999998</v>
      </c>
      <c r="AD578" s="10">
        <f t="shared" si="45"/>
        <v>479.52427775000001</v>
      </c>
    </row>
    <row r="579" spans="1:30" x14ac:dyDescent="0.3">
      <c r="A579" t="s">
        <v>30</v>
      </c>
      <c r="B579" s="8" t="s">
        <v>32</v>
      </c>
      <c r="C579" s="8" t="s">
        <v>32</v>
      </c>
      <c r="D579" s="8" t="s">
        <v>33</v>
      </c>
      <c r="E579" s="8" t="s">
        <v>34</v>
      </c>
      <c r="F579" s="8" t="s">
        <v>35</v>
      </c>
      <c r="G579">
        <v>8481909090</v>
      </c>
      <c r="H579" t="s">
        <v>53</v>
      </c>
      <c r="I579" t="s">
        <v>668</v>
      </c>
      <c r="J579" t="s">
        <v>38</v>
      </c>
      <c r="K579" t="s">
        <v>39</v>
      </c>
      <c r="L579">
        <v>12</v>
      </c>
      <c r="M579">
        <v>4</v>
      </c>
      <c r="N579" t="s">
        <v>64</v>
      </c>
      <c r="O579">
        <v>0</v>
      </c>
      <c r="P579">
        <v>507.57</v>
      </c>
      <c r="Q579">
        <v>58.28</v>
      </c>
      <c r="R579">
        <v>3.38</v>
      </c>
      <c r="S579">
        <v>569.23</v>
      </c>
      <c r="T579" t="s">
        <v>41</v>
      </c>
      <c r="U579" t="s">
        <v>41</v>
      </c>
      <c r="V579" t="s">
        <v>38</v>
      </c>
      <c r="W579" t="s">
        <v>677</v>
      </c>
      <c r="X579">
        <v>126.89</v>
      </c>
      <c r="Y579" s="9">
        <f t="shared" ref="Y579:Y642" si="46">SUM(P579)/M579</f>
        <v>126.8925</v>
      </c>
      <c r="Z579" s="9">
        <f t="shared" ref="Z579:Z642" si="47">SUM(Y579)*1.875</f>
        <v>237.92343750000001</v>
      </c>
      <c r="AA579" s="5">
        <f t="shared" ref="AA579:AA642" si="48">SUM(Z579)*1.111</f>
        <v>264.33293906250003</v>
      </c>
      <c r="AB579" s="6">
        <f t="shared" ref="AB579:AB642" si="49">SUM(Z579)*1.6199</f>
        <v>385.41217640625001</v>
      </c>
      <c r="AD579" s="10">
        <f t="shared" ref="AD579:AD642" si="50">SUM(Z579)*2.02823</f>
        <v>482.56345364062508</v>
      </c>
    </row>
    <row r="580" spans="1:30" x14ac:dyDescent="0.3">
      <c r="A580" t="s">
        <v>30</v>
      </c>
      <c r="B580" s="8" t="s">
        <v>31</v>
      </c>
      <c r="C580" s="8" t="s">
        <v>32</v>
      </c>
      <c r="D580" s="8" t="s">
        <v>69</v>
      </c>
      <c r="E580" s="8" t="s">
        <v>70</v>
      </c>
      <c r="F580" s="8" t="s">
        <v>71</v>
      </c>
      <c r="G580">
        <v>8421999000</v>
      </c>
      <c r="H580" t="s">
        <v>36</v>
      </c>
      <c r="I580" t="s">
        <v>678</v>
      </c>
      <c r="J580" t="s">
        <v>38</v>
      </c>
      <c r="K580" t="s">
        <v>39</v>
      </c>
      <c r="L580">
        <v>13</v>
      </c>
      <c r="M580">
        <v>5</v>
      </c>
      <c r="N580" t="s">
        <v>64</v>
      </c>
      <c r="O580">
        <v>0</v>
      </c>
      <c r="P580">
        <v>1332</v>
      </c>
      <c r="Q580">
        <v>94.57</v>
      </c>
      <c r="R580">
        <v>8.7100000000000009</v>
      </c>
      <c r="S580">
        <v>1435.28</v>
      </c>
      <c r="T580" t="s">
        <v>41</v>
      </c>
      <c r="U580" t="s">
        <v>41</v>
      </c>
      <c r="V580" t="s">
        <v>38</v>
      </c>
      <c r="W580" t="s">
        <v>679</v>
      </c>
      <c r="X580">
        <v>266.39999999999998</v>
      </c>
      <c r="Y580" s="9">
        <f t="shared" si="46"/>
        <v>266.39999999999998</v>
      </c>
      <c r="Z580" s="9">
        <f t="shared" si="47"/>
        <v>499.49999999999994</v>
      </c>
      <c r="AA580" s="5">
        <f t="shared" si="48"/>
        <v>554.94449999999995</v>
      </c>
      <c r="AB580" s="6">
        <f t="shared" si="49"/>
        <v>809.14004999999986</v>
      </c>
      <c r="AD580" s="10">
        <f t="shared" si="50"/>
        <v>1013.1008849999999</v>
      </c>
    </row>
    <row r="581" spans="1:30" x14ac:dyDescent="0.3">
      <c r="A581" t="s">
        <v>30</v>
      </c>
      <c r="B581" s="8" t="s">
        <v>31</v>
      </c>
      <c r="C581" s="8" t="s">
        <v>32</v>
      </c>
      <c r="D581" s="8" t="s">
        <v>33</v>
      </c>
      <c r="E581" s="8" t="s">
        <v>34</v>
      </c>
      <c r="F581" s="8" t="s">
        <v>35</v>
      </c>
      <c r="G581">
        <v>8421999000</v>
      </c>
      <c r="H581" t="s">
        <v>36</v>
      </c>
      <c r="I581" t="s">
        <v>680</v>
      </c>
      <c r="J581" t="s">
        <v>38</v>
      </c>
      <c r="K581" t="s">
        <v>39</v>
      </c>
      <c r="L581">
        <v>6</v>
      </c>
      <c r="M581">
        <v>5</v>
      </c>
      <c r="N581" t="s">
        <v>64</v>
      </c>
      <c r="O581">
        <v>0</v>
      </c>
      <c r="P581">
        <v>1404.99</v>
      </c>
      <c r="Q581">
        <v>95.34</v>
      </c>
      <c r="R581">
        <v>9.1300000000000008</v>
      </c>
      <c r="S581">
        <v>1509.47</v>
      </c>
      <c r="T581" t="s">
        <v>41</v>
      </c>
      <c r="U581" t="s">
        <v>41</v>
      </c>
      <c r="V581" t="s">
        <v>38</v>
      </c>
      <c r="W581" t="s">
        <v>679</v>
      </c>
      <c r="X581">
        <v>281</v>
      </c>
      <c r="Y581" s="9">
        <f t="shared" si="46"/>
        <v>280.99799999999999</v>
      </c>
      <c r="Z581" s="9">
        <f t="shared" si="47"/>
        <v>526.87125000000003</v>
      </c>
      <c r="AA581" s="5">
        <f t="shared" si="48"/>
        <v>585.35395875000006</v>
      </c>
      <c r="AB581" s="6">
        <f t="shared" si="49"/>
        <v>853.47873787499998</v>
      </c>
      <c r="AD581" s="10">
        <f t="shared" si="50"/>
        <v>1068.6160753875001</v>
      </c>
    </row>
    <row r="582" spans="1:30" x14ac:dyDescent="0.3">
      <c r="A582" t="s">
        <v>30</v>
      </c>
      <c r="B582" s="8" t="s">
        <v>31</v>
      </c>
      <c r="C582" s="8" t="s">
        <v>32</v>
      </c>
      <c r="D582" s="8" t="s">
        <v>69</v>
      </c>
      <c r="E582" s="8" t="s">
        <v>70</v>
      </c>
      <c r="F582" s="8" t="s">
        <v>71</v>
      </c>
      <c r="G582">
        <v>8421999000</v>
      </c>
      <c r="H582" t="s">
        <v>36</v>
      </c>
      <c r="I582" t="s">
        <v>670</v>
      </c>
      <c r="J582" t="s">
        <v>38</v>
      </c>
      <c r="K582" t="s">
        <v>39</v>
      </c>
      <c r="L582">
        <v>8</v>
      </c>
      <c r="M582">
        <v>4</v>
      </c>
      <c r="N582" t="s">
        <v>64</v>
      </c>
      <c r="O582">
        <v>0</v>
      </c>
      <c r="P582">
        <v>1099.68</v>
      </c>
      <c r="Q582">
        <v>71.989999999999995</v>
      </c>
      <c r="R582">
        <v>7.13</v>
      </c>
      <c r="S582">
        <v>1178.8</v>
      </c>
      <c r="T582" t="s">
        <v>41</v>
      </c>
      <c r="U582" t="s">
        <v>41</v>
      </c>
      <c r="V582" t="s">
        <v>38</v>
      </c>
      <c r="W582" t="s">
        <v>679</v>
      </c>
      <c r="X582">
        <v>274.92</v>
      </c>
      <c r="Y582" s="9">
        <f t="shared" si="46"/>
        <v>274.92</v>
      </c>
      <c r="Z582" s="9">
        <f t="shared" si="47"/>
        <v>515.47500000000002</v>
      </c>
      <c r="AA582" s="5">
        <f t="shared" si="48"/>
        <v>572.692725</v>
      </c>
      <c r="AB582" s="6">
        <f t="shared" si="49"/>
        <v>835.01795249999998</v>
      </c>
      <c r="AD582" s="10">
        <f t="shared" si="50"/>
        <v>1045.5018592500001</v>
      </c>
    </row>
    <row r="583" spans="1:30" x14ac:dyDescent="0.3">
      <c r="A583" t="s">
        <v>30</v>
      </c>
      <c r="B583" s="8" t="s">
        <v>31</v>
      </c>
      <c r="C583" s="8" t="s">
        <v>32</v>
      </c>
      <c r="D583" s="8" t="s">
        <v>33</v>
      </c>
      <c r="E583" s="8" t="s">
        <v>34</v>
      </c>
      <c r="F583" s="8" t="s">
        <v>35</v>
      </c>
      <c r="G583">
        <v>8421999000</v>
      </c>
      <c r="H583" t="s">
        <v>36</v>
      </c>
      <c r="I583" t="s">
        <v>670</v>
      </c>
      <c r="J583" t="s">
        <v>38</v>
      </c>
      <c r="K583" t="s">
        <v>39</v>
      </c>
      <c r="L583">
        <v>8</v>
      </c>
      <c r="M583">
        <v>2</v>
      </c>
      <c r="N583" t="s">
        <v>64</v>
      </c>
      <c r="O583">
        <v>0</v>
      </c>
      <c r="P583">
        <v>562.32000000000005</v>
      </c>
      <c r="Q583">
        <v>60.03</v>
      </c>
      <c r="R583">
        <v>3.77</v>
      </c>
      <c r="S583">
        <v>626.12</v>
      </c>
      <c r="T583" t="s">
        <v>41</v>
      </c>
      <c r="U583" t="s">
        <v>41</v>
      </c>
      <c r="V583" t="s">
        <v>38</v>
      </c>
      <c r="W583" t="s">
        <v>679</v>
      </c>
      <c r="X583">
        <v>281.16000000000003</v>
      </c>
      <c r="Y583" s="9">
        <f t="shared" si="46"/>
        <v>281.16000000000003</v>
      </c>
      <c r="Z583" s="9">
        <f t="shared" si="47"/>
        <v>527.17500000000007</v>
      </c>
      <c r="AA583" s="5">
        <f t="shared" si="48"/>
        <v>585.69142500000009</v>
      </c>
      <c r="AB583" s="6">
        <f t="shared" si="49"/>
        <v>853.97078250000004</v>
      </c>
      <c r="AD583" s="10">
        <f t="shared" si="50"/>
        <v>1069.2321502500001</v>
      </c>
    </row>
    <row r="584" spans="1:30" x14ac:dyDescent="0.3">
      <c r="A584" t="s">
        <v>30</v>
      </c>
      <c r="B584" s="8" t="s">
        <v>31</v>
      </c>
      <c r="C584" s="8" t="s">
        <v>32</v>
      </c>
      <c r="D584" s="8" t="s">
        <v>33</v>
      </c>
      <c r="E584" s="8" t="s">
        <v>34</v>
      </c>
      <c r="F584" s="8" t="s">
        <v>35</v>
      </c>
      <c r="G584">
        <v>8421999000</v>
      </c>
      <c r="H584" t="s">
        <v>36</v>
      </c>
      <c r="I584" t="s">
        <v>670</v>
      </c>
      <c r="J584" t="s">
        <v>38</v>
      </c>
      <c r="K584" t="s">
        <v>39</v>
      </c>
      <c r="L584">
        <v>8</v>
      </c>
      <c r="M584">
        <v>1</v>
      </c>
      <c r="N584" t="s">
        <v>64</v>
      </c>
      <c r="O584">
        <v>0</v>
      </c>
      <c r="P584">
        <v>281.16000000000003</v>
      </c>
      <c r="Q584">
        <v>30.01</v>
      </c>
      <c r="R584">
        <v>1.88</v>
      </c>
      <c r="S584">
        <v>313.06</v>
      </c>
      <c r="T584" t="s">
        <v>41</v>
      </c>
      <c r="U584" t="s">
        <v>41</v>
      </c>
      <c r="V584" t="s">
        <v>38</v>
      </c>
      <c r="W584" t="s">
        <v>679</v>
      </c>
      <c r="X584">
        <v>281.16000000000003</v>
      </c>
      <c r="Y584" s="9">
        <f t="shared" si="46"/>
        <v>281.16000000000003</v>
      </c>
      <c r="Z584" s="9">
        <f t="shared" si="47"/>
        <v>527.17500000000007</v>
      </c>
      <c r="AA584" s="5">
        <f t="shared" si="48"/>
        <v>585.69142500000009</v>
      </c>
      <c r="AB584" s="6">
        <f t="shared" si="49"/>
        <v>853.97078250000004</v>
      </c>
      <c r="AD584" s="10">
        <f t="shared" si="50"/>
        <v>1069.2321502500001</v>
      </c>
    </row>
    <row r="585" spans="1:30" x14ac:dyDescent="0.3">
      <c r="A585" t="s">
        <v>168</v>
      </c>
      <c r="B585" s="8" t="s">
        <v>31</v>
      </c>
      <c r="C585" s="8" t="s">
        <v>32</v>
      </c>
      <c r="E585" s="8" t="s">
        <v>70</v>
      </c>
      <c r="F585" s="8" t="s">
        <v>71</v>
      </c>
      <c r="G585">
        <v>8421999000</v>
      </c>
      <c r="H585" t="s">
        <v>36</v>
      </c>
      <c r="I585" t="s">
        <v>680</v>
      </c>
      <c r="J585" t="s">
        <v>38</v>
      </c>
      <c r="K585" t="s">
        <v>39</v>
      </c>
      <c r="L585">
        <v>0</v>
      </c>
      <c r="M585">
        <v>5</v>
      </c>
      <c r="N585" t="s">
        <v>64</v>
      </c>
      <c r="O585">
        <v>0</v>
      </c>
      <c r="P585">
        <v>1190.48</v>
      </c>
      <c r="Q585">
        <v>91.39</v>
      </c>
      <c r="R585">
        <v>8.57</v>
      </c>
      <c r="S585">
        <v>1290.44</v>
      </c>
      <c r="T585" t="s">
        <v>41</v>
      </c>
      <c r="U585" t="s">
        <v>41</v>
      </c>
      <c r="V585" t="s">
        <v>38</v>
      </c>
      <c r="W585" t="s">
        <v>679</v>
      </c>
      <c r="X585">
        <v>238.1</v>
      </c>
      <c r="Y585" s="9">
        <f t="shared" si="46"/>
        <v>238.096</v>
      </c>
      <c r="Z585" s="9">
        <f t="shared" si="47"/>
        <v>446.43</v>
      </c>
      <c r="AA585" s="5">
        <f t="shared" si="48"/>
        <v>495.98372999999998</v>
      </c>
      <c r="AB585" s="6">
        <f t="shared" si="49"/>
        <v>723.17195700000002</v>
      </c>
      <c r="AD585" s="10">
        <f t="shared" si="50"/>
        <v>905.46271890000014</v>
      </c>
    </row>
    <row r="586" spans="1:30" x14ac:dyDescent="0.3">
      <c r="A586" t="s">
        <v>168</v>
      </c>
      <c r="B586" s="8" t="s">
        <v>32</v>
      </c>
      <c r="C586" s="8" t="s">
        <v>32</v>
      </c>
      <c r="D586" s="8" t="s">
        <v>33</v>
      </c>
      <c r="E586" s="8" t="s">
        <v>34</v>
      </c>
      <c r="F586" s="8" t="s">
        <v>35</v>
      </c>
      <c r="G586">
        <v>3926909000</v>
      </c>
      <c r="H586" t="s">
        <v>36</v>
      </c>
      <c r="I586" t="s">
        <v>681</v>
      </c>
      <c r="J586" t="s">
        <v>38</v>
      </c>
      <c r="K586" t="s">
        <v>39</v>
      </c>
      <c r="L586">
        <v>11</v>
      </c>
      <c r="M586">
        <v>2</v>
      </c>
      <c r="N586" t="s">
        <v>64</v>
      </c>
      <c r="O586">
        <v>12.28</v>
      </c>
      <c r="P586">
        <v>60.99</v>
      </c>
      <c r="Q586">
        <v>5.84</v>
      </c>
      <c r="R586">
        <v>0.41</v>
      </c>
      <c r="S586">
        <v>67.25</v>
      </c>
      <c r="T586" t="s">
        <v>41</v>
      </c>
      <c r="U586" t="s">
        <v>43</v>
      </c>
      <c r="V586" t="s">
        <v>38</v>
      </c>
      <c r="W586" t="s">
        <v>682</v>
      </c>
      <c r="X586">
        <v>30.5</v>
      </c>
      <c r="Y586" s="9">
        <f t="shared" si="46"/>
        <v>30.495000000000001</v>
      </c>
      <c r="Z586" s="9">
        <f t="shared" si="47"/>
        <v>57.178125000000001</v>
      </c>
      <c r="AA586" s="5">
        <f t="shared" si="48"/>
        <v>63.524896875000003</v>
      </c>
      <c r="AB586" s="6">
        <f t="shared" si="49"/>
        <v>92.622844687499992</v>
      </c>
      <c r="AD586" s="10">
        <f t="shared" si="50"/>
        <v>115.97038846875002</v>
      </c>
    </row>
    <row r="587" spans="1:30" x14ac:dyDescent="0.3">
      <c r="A587" t="s">
        <v>30</v>
      </c>
      <c r="B587" s="8" t="s">
        <v>32</v>
      </c>
      <c r="C587" s="8" t="s">
        <v>32</v>
      </c>
      <c r="D587" s="8" t="s">
        <v>33</v>
      </c>
      <c r="E587" s="8" t="s">
        <v>34</v>
      </c>
      <c r="F587" s="8" t="s">
        <v>35</v>
      </c>
      <c r="G587">
        <v>3926909000</v>
      </c>
      <c r="H587" t="s">
        <v>36</v>
      </c>
      <c r="I587" t="s">
        <v>683</v>
      </c>
      <c r="J587" t="s">
        <v>38</v>
      </c>
      <c r="K587" t="s">
        <v>39</v>
      </c>
      <c r="L587">
        <v>8</v>
      </c>
      <c r="M587">
        <v>3</v>
      </c>
      <c r="N587" t="s">
        <v>64</v>
      </c>
      <c r="O587">
        <v>18.2</v>
      </c>
      <c r="P587">
        <v>90.41</v>
      </c>
      <c r="Q587">
        <v>5.12</v>
      </c>
      <c r="R587">
        <v>0.57999999999999996</v>
      </c>
      <c r="S587">
        <v>96.1</v>
      </c>
      <c r="T587" t="s">
        <v>41</v>
      </c>
      <c r="U587" t="s">
        <v>41</v>
      </c>
      <c r="V587" t="s">
        <v>38</v>
      </c>
      <c r="W587" t="s">
        <v>682</v>
      </c>
      <c r="X587">
        <v>30.14</v>
      </c>
      <c r="Y587" s="9">
        <f t="shared" si="46"/>
        <v>30.136666666666667</v>
      </c>
      <c r="Z587" s="9">
        <f t="shared" si="47"/>
        <v>56.506250000000001</v>
      </c>
      <c r="AA587" s="5">
        <f t="shared" si="48"/>
        <v>62.778443750000001</v>
      </c>
      <c r="AB587" s="6">
        <f t="shared" si="49"/>
        <v>91.534474375000002</v>
      </c>
      <c r="AD587" s="10">
        <f t="shared" si="50"/>
        <v>114.60767143750002</v>
      </c>
    </row>
    <row r="588" spans="1:30" x14ac:dyDescent="0.3">
      <c r="A588" t="s">
        <v>30</v>
      </c>
      <c r="B588" s="8" t="s">
        <v>32</v>
      </c>
      <c r="C588" s="8" t="s">
        <v>32</v>
      </c>
      <c r="D588" s="8" t="s">
        <v>33</v>
      </c>
      <c r="E588" s="8" t="s">
        <v>34</v>
      </c>
      <c r="F588" s="8" t="s">
        <v>35</v>
      </c>
      <c r="G588">
        <v>8481909090</v>
      </c>
      <c r="H588" t="s">
        <v>238</v>
      </c>
      <c r="I588" t="s">
        <v>684</v>
      </c>
      <c r="J588" t="s">
        <v>38</v>
      </c>
      <c r="K588" t="s">
        <v>39</v>
      </c>
      <c r="L588">
        <v>3</v>
      </c>
      <c r="M588">
        <v>3</v>
      </c>
      <c r="N588" t="s">
        <v>64</v>
      </c>
      <c r="O588">
        <v>0</v>
      </c>
      <c r="P588">
        <v>544.35</v>
      </c>
      <c r="Q588">
        <v>23.3</v>
      </c>
      <c r="R588">
        <v>3.51</v>
      </c>
      <c r="S588">
        <v>571.16</v>
      </c>
      <c r="T588" t="s">
        <v>41</v>
      </c>
      <c r="U588" t="s">
        <v>43</v>
      </c>
      <c r="V588" t="s">
        <v>38</v>
      </c>
      <c r="W588" t="s">
        <v>685</v>
      </c>
      <c r="X588">
        <v>181.45</v>
      </c>
      <c r="Y588" s="9">
        <f t="shared" si="46"/>
        <v>181.45000000000002</v>
      </c>
      <c r="Z588" s="9">
        <f t="shared" si="47"/>
        <v>340.21875000000006</v>
      </c>
      <c r="AA588" s="5">
        <f t="shared" si="48"/>
        <v>377.98303125000007</v>
      </c>
      <c r="AB588" s="6">
        <f t="shared" si="49"/>
        <v>551.12035312500007</v>
      </c>
      <c r="AD588" s="10">
        <f t="shared" si="50"/>
        <v>690.04187531250022</v>
      </c>
    </row>
    <row r="589" spans="1:30" x14ac:dyDescent="0.3">
      <c r="A589" t="s">
        <v>30</v>
      </c>
      <c r="B589" s="8" t="s">
        <v>32</v>
      </c>
      <c r="C589" s="8" t="s">
        <v>32</v>
      </c>
      <c r="D589" s="8" t="s">
        <v>69</v>
      </c>
      <c r="E589" s="8" t="s">
        <v>70</v>
      </c>
      <c r="F589" s="8" t="s">
        <v>71</v>
      </c>
      <c r="G589">
        <v>8481909090</v>
      </c>
      <c r="H589" t="s">
        <v>53</v>
      </c>
      <c r="I589" t="s">
        <v>686</v>
      </c>
      <c r="J589" t="s">
        <v>38</v>
      </c>
      <c r="K589" t="s">
        <v>39</v>
      </c>
      <c r="L589">
        <v>13</v>
      </c>
      <c r="M589">
        <v>2</v>
      </c>
      <c r="N589" t="s">
        <v>64</v>
      </c>
      <c r="O589">
        <v>0</v>
      </c>
      <c r="P589">
        <v>356</v>
      </c>
      <c r="Q589">
        <v>19.010000000000002</v>
      </c>
      <c r="R589">
        <v>2.29</v>
      </c>
      <c r="S589">
        <v>377.29</v>
      </c>
      <c r="T589" t="s">
        <v>72</v>
      </c>
      <c r="U589" t="s">
        <v>72</v>
      </c>
      <c r="V589" t="s">
        <v>38</v>
      </c>
      <c r="W589" t="s">
        <v>685</v>
      </c>
      <c r="X589">
        <v>178</v>
      </c>
      <c r="Y589" s="9">
        <f t="shared" si="46"/>
        <v>178</v>
      </c>
      <c r="Z589" s="9">
        <f t="shared" si="47"/>
        <v>333.75</v>
      </c>
      <c r="AA589" s="5">
        <f t="shared" si="48"/>
        <v>370.79624999999999</v>
      </c>
      <c r="AB589" s="6">
        <f t="shared" si="49"/>
        <v>540.64162499999998</v>
      </c>
      <c r="AD589" s="10">
        <f t="shared" si="50"/>
        <v>676.92176250000011</v>
      </c>
    </row>
    <row r="590" spans="1:30" x14ac:dyDescent="0.3">
      <c r="A590" t="s">
        <v>30</v>
      </c>
      <c r="B590" s="8" t="s">
        <v>32</v>
      </c>
      <c r="C590" s="8" t="s">
        <v>32</v>
      </c>
      <c r="D590" s="8" t="s">
        <v>33</v>
      </c>
      <c r="E590" s="8" t="s">
        <v>34</v>
      </c>
      <c r="F590" s="8" t="s">
        <v>35</v>
      </c>
      <c r="G590">
        <v>8481909090</v>
      </c>
      <c r="H590" t="s">
        <v>53</v>
      </c>
      <c r="I590" t="s">
        <v>686</v>
      </c>
      <c r="J590" t="s">
        <v>38</v>
      </c>
      <c r="K590" t="s">
        <v>39</v>
      </c>
      <c r="L590">
        <v>10</v>
      </c>
      <c r="M590">
        <v>2</v>
      </c>
      <c r="N590" t="s">
        <v>64</v>
      </c>
      <c r="O590">
        <v>0</v>
      </c>
      <c r="P590">
        <v>363.21</v>
      </c>
      <c r="Q590">
        <v>30.23</v>
      </c>
      <c r="R590">
        <v>2.38</v>
      </c>
      <c r="S590">
        <v>395.83</v>
      </c>
      <c r="T590" t="s">
        <v>41</v>
      </c>
      <c r="U590" t="s">
        <v>43</v>
      </c>
      <c r="V590" t="s">
        <v>38</v>
      </c>
      <c r="W590" t="s">
        <v>685</v>
      </c>
      <c r="X590">
        <v>181.61</v>
      </c>
      <c r="Y590" s="9">
        <f t="shared" si="46"/>
        <v>181.60499999999999</v>
      </c>
      <c r="Z590" s="9">
        <f t="shared" si="47"/>
        <v>340.50937499999998</v>
      </c>
      <c r="AA590" s="5">
        <f t="shared" si="48"/>
        <v>378.30591562499995</v>
      </c>
      <c r="AB590" s="6">
        <f t="shared" si="49"/>
        <v>551.59113656249997</v>
      </c>
      <c r="AD590" s="10">
        <f t="shared" si="50"/>
        <v>690.63132965625005</v>
      </c>
    </row>
    <row r="591" spans="1:30" x14ac:dyDescent="0.3">
      <c r="A591" t="s">
        <v>30</v>
      </c>
      <c r="B591" s="8" t="s">
        <v>32</v>
      </c>
      <c r="C591" s="8" t="s">
        <v>32</v>
      </c>
      <c r="D591" s="8" t="s">
        <v>33</v>
      </c>
      <c r="E591" s="8" t="s">
        <v>34</v>
      </c>
      <c r="F591" s="8" t="s">
        <v>35</v>
      </c>
      <c r="G591">
        <v>8481909090</v>
      </c>
      <c r="H591" t="s">
        <v>53</v>
      </c>
      <c r="I591" t="s">
        <v>687</v>
      </c>
      <c r="J591" t="s">
        <v>38</v>
      </c>
      <c r="K591" t="s">
        <v>39</v>
      </c>
      <c r="L591">
        <v>8</v>
      </c>
      <c r="M591">
        <v>2</v>
      </c>
      <c r="N591" t="s">
        <v>64</v>
      </c>
      <c r="O591">
        <v>0</v>
      </c>
      <c r="P591">
        <v>361.95</v>
      </c>
      <c r="Q591">
        <v>20.49</v>
      </c>
      <c r="R591">
        <v>2.31</v>
      </c>
      <c r="S591">
        <v>384.75</v>
      </c>
      <c r="T591" t="s">
        <v>41</v>
      </c>
      <c r="U591" t="s">
        <v>41</v>
      </c>
      <c r="V591" t="s">
        <v>38</v>
      </c>
      <c r="W591" t="s">
        <v>685</v>
      </c>
      <c r="X591">
        <v>180.98</v>
      </c>
      <c r="Y591" s="9">
        <f t="shared" si="46"/>
        <v>180.97499999999999</v>
      </c>
      <c r="Z591" s="9">
        <f t="shared" si="47"/>
        <v>339.328125</v>
      </c>
      <c r="AA591" s="5">
        <f t="shared" si="48"/>
        <v>376.99354687499999</v>
      </c>
      <c r="AB591" s="6">
        <f t="shared" si="49"/>
        <v>549.67762968749992</v>
      </c>
      <c r="AD591" s="10">
        <f t="shared" si="50"/>
        <v>688.23548296875003</v>
      </c>
    </row>
    <row r="592" spans="1:30" x14ac:dyDescent="0.3">
      <c r="A592" t="s">
        <v>30</v>
      </c>
      <c r="B592" s="8" t="s">
        <v>32</v>
      </c>
      <c r="C592" s="8" t="s">
        <v>32</v>
      </c>
      <c r="D592" s="8" t="s">
        <v>33</v>
      </c>
      <c r="E592" s="8" t="s">
        <v>34</v>
      </c>
      <c r="F592" s="8" t="s">
        <v>35</v>
      </c>
      <c r="G592">
        <v>7320209090</v>
      </c>
      <c r="H592" t="s">
        <v>36</v>
      </c>
      <c r="I592" t="s">
        <v>688</v>
      </c>
      <c r="J592" t="s">
        <v>38</v>
      </c>
      <c r="K592" t="s">
        <v>39</v>
      </c>
      <c r="L592">
        <v>8</v>
      </c>
      <c r="M592">
        <v>6</v>
      </c>
      <c r="N592" t="s">
        <v>40</v>
      </c>
      <c r="O592">
        <v>0</v>
      </c>
      <c r="P592">
        <v>228.88</v>
      </c>
      <c r="Q592">
        <v>12.96</v>
      </c>
      <c r="R592">
        <v>1.46</v>
      </c>
      <c r="S592">
        <v>243.3</v>
      </c>
      <c r="T592" t="s">
        <v>41</v>
      </c>
      <c r="U592" t="s">
        <v>41</v>
      </c>
      <c r="V592" t="s">
        <v>38</v>
      </c>
      <c r="W592" t="s">
        <v>689</v>
      </c>
      <c r="X592">
        <v>38.15</v>
      </c>
      <c r="Y592" s="9">
        <f t="shared" si="46"/>
        <v>38.146666666666668</v>
      </c>
      <c r="Z592" s="9">
        <f t="shared" si="47"/>
        <v>71.525000000000006</v>
      </c>
      <c r="AA592" s="5">
        <f t="shared" si="48"/>
        <v>79.464275000000001</v>
      </c>
      <c r="AB592" s="6">
        <f t="shared" si="49"/>
        <v>115.8633475</v>
      </c>
      <c r="AD592" s="10">
        <f t="shared" si="50"/>
        <v>145.06915075000003</v>
      </c>
    </row>
    <row r="593" spans="1:30" x14ac:dyDescent="0.3">
      <c r="A593" t="s">
        <v>30</v>
      </c>
      <c r="B593" s="8" t="s">
        <v>32</v>
      </c>
      <c r="C593" s="8" t="s">
        <v>32</v>
      </c>
      <c r="D593" s="8" t="s">
        <v>33</v>
      </c>
      <c r="E593" s="8" t="s">
        <v>34</v>
      </c>
      <c r="F593" s="8" t="s">
        <v>35</v>
      </c>
      <c r="G593">
        <v>7320209090</v>
      </c>
      <c r="H593" t="s">
        <v>36</v>
      </c>
      <c r="I593" t="s">
        <v>688</v>
      </c>
      <c r="J593" t="s">
        <v>38</v>
      </c>
      <c r="K593" t="s">
        <v>39</v>
      </c>
      <c r="L593">
        <v>8</v>
      </c>
      <c r="M593">
        <v>5</v>
      </c>
      <c r="N593" t="s">
        <v>40</v>
      </c>
      <c r="O593">
        <v>0</v>
      </c>
      <c r="P593">
        <v>190.74</v>
      </c>
      <c r="Q593">
        <v>10.8</v>
      </c>
      <c r="R593">
        <v>1.22</v>
      </c>
      <c r="S593">
        <v>202.75</v>
      </c>
      <c r="T593" t="s">
        <v>41</v>
      </c>
      <c r="U593" t="s">
        <v>41</v>
      </c>
      <c r="V593" t="s">
        <v>38</v>
      </c>
      <c r="W593" t="s">
        <v>689</v>
      </c>
      <c r="X593">
        <v>38.15</v>
      </c>
      <c r="Y593" s="9">
        <f t="shared" si="46"/>
        <v>38.148000000000003</v>
      </c>
      <c r="Z593" s="9">
        <f t="shared" si="47"/>
        <v>71.527500000000003</v>
      </c>
      <c r="AA593" s="5">
        <f t="shared" si="48"/>
        <v>79.467052500000008</v>
      </c>
      <c r="AB593" s="6">
        <f t="shared" si="49"/>
        <v>115.86739725</v>
      </c>
      <c r="AD593" s="10">
        <f t="shared" si="50"/>
        <v>145.07422132500002</v>
      </c>
    </row>
    <row r="594" spans="1:30" x14ac:dyDescent="0.3">
      <c r="A594" t="s">
        <v>30</v>
      </c>
      <c r="B594" s="8" t="s">
        <v>32</v>
      </c>
      <c r="C594" s="8" t="s">
        <v>32</v>
      </c>
      <c r="D594" s="8" t="s">
        <v>33</v>
      </c>
      <c r="E594" s="8" t="s">
        <v>34</v>
      </c>
      <c r="F594" s="8" t="s">
        <v>35</v>
      </c>
      <c r="G594">
        <v>8482500000</v>
      </c>
      <c r="H594" t="s">
        <v>690</v>
      </c>
      <c r="I594" t="s">
        <v>81</v>
      </c>
      <c r="J594" t="s">
        <v>38</v>
      </c>
      <c r="K594" t="s">
        <v>39</v>
      </c>
      <c r="L594">
        <v>8</v>
      </c>
      <c r="M594">
        <v>1</v>
      </c>
      <c r="N594" t="s">
        <v>64</v>
      </c>
      <c r="O594">
        <v>0</v>
      </c>
      <c r="P594">
        <v>470.02</v>
      </c>
      <c r="Q594">
        <v>26.61</v>
      </c>
      <c r="R594">
        <v>3</v>
      </c>
      <c r="S594">
        <v>499.63</v>
      </c>
      <c r="T594" t="s">
        <v>41</v>
      </c>
      <c r="U594" t="s">
        <v>41</v>
      </c>
      <c r="V594" t="s">
        <v>38</v>
      </c>
      <c r="W594" t="s">
        <v>691</v>
      </c>
      <c r="X594">
        <v>470.02</v>
      </c>
      <c r="Y594" s="9">
        <f t="shared" si="46"/>
        <v>470.02</v>
      </c>
      <c r="Z594" s="9">
        <f t="shared" si="47"/>
        <v>881.28749999999991</v>
      </c>
      <c r="AA594" s="5">
        <f t="shared" si="48"/>
        <v>979.11041249999994</v>
      </c>
      <c r="AB594" s="6">
        <f t="shared" si="49"/>
        <v>1427.5976212499997</v>
      </c>
      <c r="AD594" s="10">
        <f t="shared" si="50"/>
        <v>1787.453746125</v>
      </c>
    </row>
    <row r="595" spans="1:30" x14ac:dyDescent="0.3">
      <c r="A595" t="s">
        <v>30</v>
      </c>
      <c r="B595" s="8" t="s">
        <v>32</v>
      </c>
      <c r="C595" s="8" t="s">
        <v>32</v>
      </c>
      <c r="D595" s="8" t="s">
        <v>33</v>
      </c>
      <c r="E595" s="8" t="s">
        <v>34</v>
      </c>
      <c r="F595" s="8" t="s">
        <v>35</v>
      </c>
      <c r="G595">
        <v>8481909090</v>
      </c>
      <c r="H595" t="s">
        <v>53</v>
      </c>
      <c r="I595" t="s">
        <v>692</v>
      </c>
      <c r="J595" t="s">
        <v>38</v>
      </c>
      <c r="K595" t="s">
        <v>39</v>
      </c>
      <c r="L595">
        <v>10</v>
      </c>
      <c r="M595">
        <v>2</v>
      </c>
      <c r="N595" t="s">
        <v>64</v>
      </c>
      <c r="O595">
        <v>0</v>
      </c>
      <c r="P595">
        <v>118.9</v>
      </c>
      <c r="Q595">
        <v>9.9</v>
      </c>
      <c r="R595">
        <v>0.78</v>
      </c>
      <c r="S595">
        <v>129.58000000000001</v>
      </c>
      <c r="T595" t="s">
        <v>41</v>
      </c>
      <c r="U595" t="s">
        <v>43</v>
      </c>
      <c r="V595" t="s">
        <v>38</v>
      </c>
      <c r="W595" t="s">
        <v>693</v>
      </c>
      <c r="X595">
        <v>59.45</v>
      </c>
      <c r="Y595" s="9">
        <f t="shared" si="46"/>
        <v>59.45</v>
      </c>
      <c r="Z595" s="9">
        <f t="shared" si="47"/>
        <v>111.46875</v>
      </c>
      <c r="AA595" s="5">
        <f t="shared" si="48"/>
        <v>123.84178125</v>
      </c>
      <c r="AB595" s="6">
        <f t="shared" si="49"/>
        <v>180.56822812499999</v>
      </c>
      <c r="AD595" s="10">
        <f t="shared" si="50"/>
        <v>226.08426281250001</v>
      </c>
    </row>
    <row r="596" spans="1:30" x14ac:dyDescent="0.3">
      <c r="A596" t="s">
        <v>30</v>
      </c>
      <c r="B596" s="8" t="s">
        <v>32</v>
      </c>
      <c r="C596" s="8" t="s">
        <v>32</v>
      </c>
      <c r="D596" s="8" t="s">
        <v>69</v>
      </c>
      <c r="E596" s="8" t="s">
        <v>70</v>
      </c>
      <c r="F596" s="8" t="s">
        <v>71</v>
      </c>
      <c r="G596">
        <v>8481909090</v>
      </c>
      <c r="H596" t="s">
        <v>53</v>
      </c>
      <c r="I596" t="s">
        <v>692</v>
      </c>
      <c r="J596" t="s">
        <v>38</v>
      </c>
      <c r="K596" t="s">
        <v>39</v>
      </c>
      <c r="L596">
        <v>8</v>
      </c>
      <c r="M596">
        <v>10</v>
      </c>
      <c r="N596" t="s">
        <v>64</v>
      </c>
      <c r="O596">
        <v>0</v>
      </c>
      <c r="P596">
        <v>582.70000000000005</v>
      </c>
      <c r="Q596">
        <v>38.15</v>
      </c>
      <c r="R596">
        <v>3.78</v>
      </c>
      <c r="S596">
        <v>624.62</v>
      </c>
      <c r="T596" t="s">
        <v>41</v>
      </c>
      <c r="U596" t="s">
        <v>41</v>
      </c>
      <c r="V596" t="s">
        <v>38</v>
      </c>
      <c r="W596" t="s">
        <v>693</v>
      </c>
      <c r="X596">
        <v>58.27</v>
      </c>
      <c r="Y596" s="9">
        <f t="shared" si="46"/>
        <v>58.27</v>
      </c>
      <c r="Z596" s="9">
        <f t="shared" si="47"/>
        <v>109.25625000000001</v>
      </c>
      <c r="AA596" s="5">
        <f t="shared" si="48"/>
        <v>121.38369375000001</v>
      </c>
      <c r="AB596" s="6">
        <f t="shared" si="49"/>
        <v>176.984199375</v>
      </c>
      <c r="AD596" s="10">
        <f t="shared" si="50"/>
        <v>221.59680393750003</v>
      </c>
    </row>
    <row r="597" spans="1:30" x14ac:dyDescent="0.3">
      <c r="A597" t="s">
        <v>30</v>
      </c>
      <c r="B597" s="8" t="s">
        <v>32</v>
      </c>
      <c r="C597" s="8" t="s">
        <v>32</v>
      </c>
      <c r="D597" s="8" t="s">
        <v>33</v>
      </c>
      <c r="E597" s="8" t="s">
        <v>34</v>
      </c>
      <c r="F597" s="8" t="s">
        <v>35</v>
      </c>
      <c r="G597">
        <v>8481909090</v>
      </c>
      <c r="H597" t="s">
        <v>53</v>
      </c>
      <c r="I597" t="s">
        <v>692</v>
      </c>
      <c r="J597" t="s">
        <v>38</v>
      </c>
      <c r="K597" t="s">
        <v>39</v>
      </c>
      <c r="L597">
        <v>12</v>
      </c>
      <c r="M597">
        <v>10</v>
      </c>
      <c r="N597" t="s">
        <v>64</v>
      </c>
      <c r="O597">
        <v>0</v>
      </c>
      <c r="P597">
        <v>599.77</v>
      </c>
      <c r="Q597">
        <v>68.87</v>
      </c>
      <c r="R597">
        <v>4</v>
      </c>
      <c r="S597">
        <v>672.63</v>
      </c>
      <c r="T597" t="s">
        <v>41</v>
      </c>
      <c r="U597" t="s">
        <v>41</v>
      </c>
      <c r="V597" t="s">
        <v>38</v>
      </c>
      <c r="W597" t="s">
        <v>693</v>
      </c>
      <c r="X597">
        <v>59.98</v>
      </c>
      <c r="Y597" s="9">
        <f t="shared" si="46"/>
        <v>59.976999999999997</v>
      </c>
      <c r="Z597" s="9">
        <f t="shared" si="47"/>
        <v>112.456875</v>
      </c>
      <c r="AA597" s="5">
        <f t="shared" si="48"/>
        <v>124.939588125</v>
      </c>
      <c r="AB597" s="6">
        <f t="shared" si="49"/>
        <v>182.16889181249999</v>
      </c>
      <c r="AD597" s="10">
        <f t="shared" si="50"/>
        <v>228.08840758125001</v>
      </c>
    </row>
    <row r="598" spans="1:30" x14ac:dyDescent="0.3">
      <c r="A598" t="s">
        <v>30</v>
      </c>
      <c r="B598" s="8" t="s">
        <v>32</v>
      </c>
      <c r="C598" s="8" t="s">
        <v>32</v>
      </c>
      <c r="D598" s="8" t="s">
        <v>69</v>
      </c>
      <c r="E598" s="8" t="s">
        <v>70</v>
      </c>
      <c r="F598" s="8" t="s">
        <v>71</v>
      </c>
      <c r="G598">
        <v>8481909090</v>
      </c>
      <c r="H598" t="s">
        <v>238</v>
      </c>
      <c r="I598" t="s">
        <v>694</v>
      </c>
      <c r="J598" t="s">
        <v>38</v>
      </c>
      <c r="K598" t="s">
        <v>39</v>
      </c>
      <c r="L598">
        <v>9</v>
      </c>
      <c r="M598">
        <v>2</v>
      </c>
      <c r="N598" t="s">
        <v>64</v>
      </c>
      <c r="O598">
        <v>0</v>
      </c>
      <c r="P598">
        <v>567.22</v>
      </c>
      <c r="Q598">
        <v>28.58</v>
      </c>
      <c r="R598">
        <v>3.6</v>
      </c>
      <c r="S598">
        <v>599.41</v>
      </c>
      <c r="T598" t="s">
        <v>41</v>
      </c>
      <c r="U598" t="s">
        <v>43</v>
      </c>
      <c r="V598" t="s">
        <v>38</v>
      </c>
      <c r="W598" t="s">
        <v>695</v>
      </c>
      <c r="X598">
        <v>283.61</v>
      </c>
      <c r="Y598" s="9">
        <f t="shared" si="46"/>
        <v>283.61</v>
      </c>
      <c r="Z598" s="9">
        <f t="shared" si="47"/>
        <v>531.76875000000007</v>
      </c>
      <c r="AA598" s="5">
        <f t="shared" si="48"/>
        <v>590.79508125000007</v>
      </c>
      <c r="AB598" s="6">
        <f t="shared" si="49"/>
        <v>861.41219812500003</v>
      </c>
      <c r="AD598" s="10">
        <f t="shared" si="50"/>
        <v>1078.5493318125002</v>
      </c>
    </row>
    <row r="599" spans="1:30" x14ac:dyDescent="0.3">
      <c r="A599" t="s">
        <v>30</v>
      </c>
      <c r="B599" s="8" t="s">
        <v>31</v>
      </c>
      <c r="C599" s="8" t="s">
        <v>32</v>
      </c>
      <c r="D599" s="8" t="s">
        <v>33</v>
      </c>
      <c r="E599" s="8" t="s">
        <v>34</v>
      </c>
      <c r="F599" s="8" t="s">
        <v>35</v>
      </c>
      <c r="G599">
        <v>3403990000</v>
      </c>
      <c r="H599" t="s">
        <v>481</v>
      </c>
      <c r="I599" t="s">
        <v>656</v>
      </c>
      <c r="J599" t="s">
        <v>38</v>
      </c>
      <c r="K599" t="s">
        <v>39</v>
      </c>
      <c r="L599">
        <v>7</v>
      </c>
      <c r="M599">
        <v>2</v>
      </c>
      <c r="N599" t="s">
        <v>40</v>
      </c>
      <c r="O599">
        <v>0</v>
      </c>
      <c r="P599">
        <v>330.35</v>
      </c>
      <c r="Q599">
        <v>52.19</v>
      </c>
      <c r="R599">
        <v>2.04</v>
      </c>
      <c r="S599">
        <v>384.57</v>
      </c>
      <c r="T599" t="s">
        <v>41</v>
      </c>
      <c r="U599" t="s">
        <v>41</v>
      </c>
      <c r="V599" t="s">
        <v>38</v>
      </c>
      <c r="W599" t="s">
        <v>696</v>
      </c>
      <c r="X599">
        <v>165.18</v>
      </c>
      <c r="Y599" s="9">
        <f t="shared" si="46"/>
        <v>165.17500000000001</v>
      </c>
      <c r="Z599" s="9">
        <f t="shared" si="47"/>
        <v>309.703125</v>
      </c>
      <c r="AA599" s="5">
        <f t="shared" si="48"/>
        <v>344.08017187500002</v>
      </c>
      <c r="AB599" s="6">
        <f t="shared" si="49"/>
        <v>501.68809218749999</v>
      </c>
      <c r="AD599" s="10">
        <f t="shared" si="50"/>
        <v>628.1491692187501</v>
      </c>
    </row>
    <row r="600" spans="1:30" x14ac:dyDescent="0.3">
      <c r="A600" t="s">
        <v>30</v>
      </c>
      <c r="B600" s="8" t="s">
        <v>31</v>
      </c>
      <c r="C600" s="8" t="s">
        <v>32</v>
      </c>
      <c r="D600" s="8" t="s">
        <v>33</v>
      </c>
      <c r="E600" s="8" t="s">
        <v>34</v>
      </c>
      <c r="F600" s="8" t="s">
        <v>35</v>
      </c>
      <c r="G600">
        <v>3403990000</v>
      </c>
      <c r="H600" t="s">
        <v>481</v>
      </c>
      <c r="I600" t="s">
        <v>656</v>
      </c>
      <c r="J600" t="s">
        <v>38</v>
      </c>
      <c r="K600" t="s">
        <v>39</v>
      </c>
      <c r="L600">
        <v>16</v>
      </c>
      <c r="M600">
        <v>1</v>
      </c>
      <c r="N600" t="s">
        <v>40</v>
      </c>
      <c r="O600">
        <v>0</v>
      </c>
      <c r="P600">
        <v>165.67</v>
      </c>
      <c r="Q600">
        <v>22.86</v>
      </c>
      <c r="R600">
        <v>1.1100000000000001</v>
      </c>
      <c r="S600">
        <v>189.64</v>
      </c>
      <c r="T600" t="s">
        <v>41</v>
      </c>
      <c r="U600" t="s">
        <v>41</v>
      </c>
      <c r="V600" t="s">
        <v>38</v>
      </c>
      <c r="W600" t="s">
        <v>696</v>
      </c>
      <c r="X600">
        <v>165.67</v>
      </c>
      <c r="Y600" s="9">
        <f t="shared" si="46"/>
        <v>165.67</v>
      </c>
      <c r="Z600" s="9">
        <f t="shared" si="47"/>
        <v>310.63124999999997</v>
      </c>
      <c r="AA600" s="5">
        <f t="shared" si="48"/>
        <v>345.11131874999995</v>
      </c>
      <c r="AB600" s="6">
        <f t="shared" si="49"/>
        <v>503.19156187499993</v>
      </c>
      <c r="AD600" s="10">
        <f t="shared" si="50"/>
        <v>630.03162018750004</v>
      </c>
    </row>
    <row r="601" spans="1:30" x14ac:dyDescent="0.3">
      <c r="A601" t="s">
        <v>30</v>
      </c>
      <c r="B601" s="8" t="s">
        <v>31</v>
      </c>
      <c r="C601" s="8" t="s">
        <v>32</v>
      </c>
      <c r="D601" s="8" t="s">
        <v>33</v>
      </c>
      <c r="E601" s="8" t="s">
        <v>34</v>
      </c>
      <c r="F601" s="8" t="s">
        <v>35</v>
      </c>
      <c r="G601">
        <v>3403990000</v>
      </c>
      <c r="H601" t="s">
        <v>53</v>
      </c>
      <c r="I601" t="s">
        <v>656</v>
      </c>
      <c r="J601" t="s">
        <v>38</v>
      </c>
      <c r="K601" t="s">
        <v>39</v>
      </c>
      <c r="L601">
        <v>12</v>
      </c>
      <c r="M601">
        <v>3</v>
      </c>
      <c r="N601" t="s">
        <v>40</v>
      </c>
      <c r="O601">
        <v>0</v>
      </c>
      <c r="P601">
        <v>498.63</v>
      </c>
      <c r="Q601">
        <v>57.26</v>
      </c>
      <c r="R601">
        <v>3.32</v>
      </c>
      <c r="S601">
        <v>559.21</v>
      </c>
      <c r="T601" t="s">
        <v>41</v>
      </c>
      <c r="U601" t="s">
        <v>41</v>
      </c>
      <c r="V601" t="s">
        <v>38</v>
      </c>
      <c r="W601" t="s">
        <v>696</v>
      </c>
      <c r="X601">
        <v>166.21</v>
      </c>
      <c r="Y601" s="9">
        <f t="shared" si="46"/>
        <v>166.21</v>
      </c>
      <c r="Z601" s="9">
        <f t="shared" si="47"/>
        <v>311.64375000000001</v>
      </c>
      <c r="AA601" s="5">
        <f t="shared" si="48"/>
        <v>346.23620625000001</v>
      </c>
      <c r="AB601" s="6">
        <f t="shared" si="49"/>
        <v>504.83171062499997</v>
      </c>
      <c r="AD601" s="10">
        <f t="shared" si="50"/>
        <v>632.08520306250011</v>
      </c>
    </row>
    <row r="602" spans="1:30" x14ac:dyDescent="0.3">
      <c r="A602" t="s">
        <v>30</v>
      </c>
      <c r="B602" s="8" t="s">
        <v>31</v>
      </c>
      <c r="C602" s="8" t="s">
        <v>32</v>
      </c>
      <c r="D602" s="8" t="s">
        <v>33</v>
      </c>
      <c r="E602" s="8" t="s">
        <v>34</v>
      </c>
      <c r="F602" s="8" t="s">
        <v>35</v>
      </c>
      <c r="G602">
        <v>3403990000</v>
      </c>
      <c r="H602" t="s">
        <v>53</v>
      </c>
      <c r="I602" t="s">
        <v>656</v>
      </c>
      <c r="J602" t="s">
        <v>38</v>
      </c>
      <c r="K602" t="s">
        <v>39</v>
      </c>
      <c r="L602">
        <v>8</v>
      </c>
      <c r="M602">
        <v>4</v>
      </c>
      <c r="N602" t="s">
        <v>40</v>
      </c>
      <c r="O602">
        <v>0</v>
      </c>
      <c r="P602">
        <v>660.58</v>
      </c>
      <c r="Q602">
        <v>70.52</v>
      </c>
      <c r="R602">
        <v>4.43</v>
      </c>
      <c r="S602">
        <v>735.53</v>
      </c>
      <c r="T602" t="s">
        <v>41</v>
      </c>
      <c r="U602" t="s">
        <v>41</v>
      </c>
      <c r="V602" t="s">
        <v>38</v>
      </c>
      <c r="W602" t="s">
        <v>696</v>
      </c>
      <c r="X602">
        <v>165.15</v>
      </c>
      <c r="Y602" s="9">
        <f t="shared" si="46"/>
        <v>165.14500000000001</v>
      </c>
      <c r="Z602" s="9">
        <f t="shared" si="47"/>
        <v>309.64687500000002</v>
      </c>
      <c r="AA602" s="5">
        <f t="shared" si="48"/>
        <v>344.01767812500003</v>
      </c>
      <c r="AB602" s="6">
        <f t="shared" si="49"/>
        <v>501.59697281249998</v>
      </c>
      <c r="AD602" s="10">
        <f t="shared" si="50"/>
        <v>628.03508128125009</v>
      </c>
    </row>
    <row r="603" spans="1:30" x14ac:dyDescent="0.3">
      <c r="A603" t="s">
        <v>30</v>
      </c>
      <c r="B603" s="8" t="s">
        <v>31</v>
      </c>
      <c r="C603" s="8" t="s">
        <v>32</v>
      </c>
      <c r="D603" s="8" t="s">
        <v>33</v>
      </c>
      <c r="E603" s="8" t="s">
        <v>34</v>
      </c>
      <c r="F603" s="8" t="s">
        <v>35</v>
      </c>
      <c r="G603">
        <v>3403990000</v>
      </c>
      <c r="H603" t="s">
        <v>53</v>
      </c>
      <c r="I603" t="s">
        <v>697</v>
      </c>
      <c r="J603" t="s">
        <v>38</v>
      </c>
      <c r="K603" t="s">
        <v>39</v>
      </c>
      <c r="L603">
        <v>8</v>
      </c>
      <c r="M603">
        <v>3</v>
      </c>
      <c r="N603" t="s">
        <v>40</v>
      </c>
      <c r="O603">
        <v>0</v>
      </c>
      <c r="P603">
        <v>492.54</v>
      </c>
      <c r="Q603">
        <v>27.89</v>
      </c>
      <c r="R603">
        <v>3.14</v>
      </c>
      <c r="S603">
        <v>523.57000000000005</v>
      </c>
      <c r="T603" t="s">
        <v>41</v>
      </c>
      <c r="U603" t="s">
        <v>41</v>
      </c>
      <c r="V603" t="s">
        <v>38</v>
      </c>
      <c r="W603" t="s">
        <v>696</v>
      </c>
      <c r="X603">
        <v>164.18</v>
      </c>
      <c r="Y603" s="9">
        <f t="shared" si="46"/>
        <v>164.18</v>
      </c>
      <c r="Z603" s="9">
        <f t="shared" si="47"/>
        <v>307.83750000000003</v>
      </c>
      <c r="AA603" s="5">
        <f t="shared" si="48"/>
        <v>342.00746250000003</v>
      </c>
      <c r="AB603" s="6">
        <f t="shared" si="49"/>
        <v>498.66596625</v>
      </c>
      <c r="AD603" s="10">
        <f t="shared" si="50"/>
        <v>624.36525262500015</v>
      </c>
    </row>
    <row r="604" spans="1:30" x14ac:dyDescent="0.3">
      <c r="A604" t="s">
        <v>30</v>
      </c>
      <c r="B604" s="8" t="s">
        <v>32</v>
      </c>
      <c r="C604" s="8" t="s">
        <v>32</v>
      </c>
      <c r="D604" s="8" t="s">
        <v>33</v>
      </c>
      <c r="E604" s="8" t="s">
        <v>34</v>
      </c>
      <c r="F604" s="8" t="s">
        <v>35</v>
      </c>
      <c r="G604">
        <v>8483309000</v>
      </c>
      <c r="H604" t="s">
        <v>177</v>
      </c>
      <c r="I604" t="s">
        <v>698</v>
      </c>
      <c r="J604" t="s">
        <v>38</v>
      </c>
      <c r="K604" t="s">
        <v>39</v>
      </c>
      <c r="L604">
        <v>7</v>
      </c>
      <c r="M604">
        <v>1</v>
      </c>
      <c r="N604" t="s">
        <v>64</v>
      </c>
      <c r="O604">
        <v>0</v>
      </c>
      <c r="P604">
        <v>155.97999999999999</v>
      </c>
      <c r="Q604">
        <v>24.64</v>
      </c>
      <c r="R604">
        <v>0.96</v>
      </c>
      <c r="S604">
        <v>181.59</v>
      </c>
      <c r="T604" t="s">
        <v>41</v>
      </c>
      <c r="U604" t="s">
        <v>41</v>
      </c>
      <c r="V604" t="s">
        <v>38</v>
      </c>
      <c r="W604" t="s">
        <v>699</v>
      </c>
      <c r="X604">
        <v>155.97999999999999</v>
      </c>
      <c r="Y604" s="9">
        <f t="shared" si="46"/>
        <v>155.97999999999999</v>
      </c>
      <c r="Z604" s="9">
        <f t="shared" si="47"/>
        <v>292.46249999999998</v>
      </c>
      <c r="AA604" s="5">
        <f t="shared" si="48"/>
        <v>324.92583749999994</v>
      </c>
      <c r="AB604" s="6">
        <f t="shared" si="49"/>
        <v>473.76000374999995</v>
      </c>
      <c r="AD604" s="10">
        <f t="shared" si="50"/>
        <v>593.18121637499996</v>
      </c>
    </row>
    <row r="605" spans="1:30" x14ac:dyDescent="0.3">
      <c r="A605" t="s">
        <v>30</v>
      </c>
      <c r="B605" s="8" t="s">
        <v>32</v>
      </c>
      <c r="C605" s="8" t="s">
        <v>32</v>
      </c>
      <c r="D605" s="8" t="s">
        <v>33</v>
      </c>
      <c r="E605" s="8" t="s">
        <v>34</v>
      </c>
      <c r="F605" s="8" t="s">
        <v>35</v>
      </c>
      <c r="G605">
        <v>8483309000</v>
      </c>
      <c r="H605" t="s">
        <v>177</v>
      </c>
      <c r="I605" t="s">
        <v>700</v>
      </c>
      <c r="J605" t="s">
        <v>38</v>
      </c>
      <c r="K605" t="s">
        <v>39</v>
      </c>
      <c r="L605">
        <v>6</v>
      </c>
      <c r="M605">
        <v>2</v>
      </c>
      <c r="N605" t="s">
        <v>64</v>
      </c>
      <c r="O605">
        <v>0</v>
      </c>
      <c r="P605">
        <v>285.3</v>
      </c>
      <c r="Q605">
        <v>34.5</v>
      </c>
      <c r="R605">
        <v>1.99</v>
      </c>
      <c r="S605">
        <v>321.79000000000002</v>
      </c>
      <c r="T605" t="s">
        <v>41</v>
      </c>
      <c r="U605" t="s">
        <v>43</v>
      </c>
      <c r="V605" t="s">
        <v>38</v>
      </c>
      <c r="W605" t="s">
        <v>699</v>
      </c>
      <c r="X605">
        <v>142.65</v>
      </c>
      <c r="Y605" s="9">
        <f t="shared" si="46"/>
        <v>142.65</v>
      </c>
      <c r="Z605" s="9">
        <f t="shared" si="47"/>
        <v>267.46875</v>
      </c>
      <c r="AA605" s="5">
        <f t="shared" si="48"/>
        <v>297.15778124999997</v>
      </c>
      <c r="AB605" s="6">
        <f t="shared" si="49"/>
        <v>433.27262812499998</v>
      </c>
      <c r="AD605" s="10">
        <f t="shared" si="50"/>
        <v>542.48814281250009</v>
      </c>
    </row>
    <row r="606" spans="1:30" x14ac:dyDescent="0.3">
      <c r="A606" t="s">
        <v>30</v>
      </c>
      <c r="B606" s="8" t="s">
        <v>32</v>
      </c>
      <c r="C606" s="8" t="s">
        <v>32</v>
      </c>
      <c r="D606" s="8" t="s">
        <v>33</v>
      </c>
      <c r="E606" s="8" t="s">
        <v>34</v>
      </c>
      <c r="F606" s="8" t="s">
        <v>35</v>
      </c>
      <c r="G606">
        <v>8483309000</v>
      </c>
      <c r="H606" t="s">
        <v>177</v>
      </c>
      <c r="I606" t="s">
        <v>700</v>
      </c>
      <c r="J606" t="s">
        <v>38</v>
      </c>
      <c r="K606" t="s">
        <v>39</v>
      </c>
      <c r="L606">
        <v>3</v>
      </c>
      <c r="M606">
        <v>2</v>
      </c>
      <c r="N606" t="s">
        <v>64</v>
      </c>
      <c r="O606">
        <v>0</v>
      </c>
      <c r="P606">
        <v>290.69</v>
      </c>
      <c r="Q606">
        <v>12.44</v>
      </c>
      <c r="R606">
        <v>1.88</v>
      </c>
      <c r="S606">
        <v>305</v>
      </c>
      <c r="T606" t="s">
        <v>41</v>
      </c>
      <c r="U606" t="s">
        <v>43</v>
      </c>
      <c r="V606" t="s">
        <v>38</v>
      </c>
      <c r="W606" t="s">
        <v>699</v>
      </c>
      <c r="X606">
        <v>145.34</v>
      </c>
      <c r="Y606" s="9">
        <f t="shared" si="46"/>
        <v>145.345</v>
      </c>
      <c r="Z606" s="9">
        <f t="shared" si="47"/>
        <v>272.52187500000002</v>
      </c>
      <c r="AA606" s="5">
        <f t="shared" si="48"/>
        <v>302.77180312500002</v>
      </c>
      <c r="AB606" s="6">
        <f t="shared" si="49"/>
        <v>441.45818531250001</v>
      </c>
      <c r="AD606" s="10">
        <f t="shared" si="50"/>
        <v>552.73704253125015</v>
      </c>
    </row>
    <row r="607" spans="1:30" x14ac:dyDescent="0.3">
      <c r="A607" t="s">
        <v>30</v>
      </c>
      <c r="B607" s="8" t="s">
        <v>66</v>
      </c>
      <c r="C607" s="8" t="s">
        <v>32</v>
      </c>
      <c r="D607" s="8" t="s">
        <v>69</v>
      </c>
      <c r="E607" s="8" t="s">
        <v>70</v>
      </c>
      <c r="F607" s="8" t="s">
        <v>71</v>
      </c>
      <c r="G607">
        <v>8481809990</v>
      </c>
      <c r="H607" t="s">
        <v>160</v>
      </c>
      <c r="I607" t="s">
        <v>418</v>
      </c>
      <c r="J607" t="s">
        <v>38</v>
      </c>
      <c r="K607" t="s">
        <v>39</v>
      </c>
      <c r="L607">
        <v>13</v>
      </c>
      <c r="M607">
        <v>6</v>
      </c>
      <c r="N607" t="s">
        <v>64</v>
      </c>
      <c r="O607">
        <v>0</v>
      </c>
      <c r="P607">
        <v>439.56</v>
      </c>
      <c r="Q607">
        <v>31.21</v>
      </c>
      <c r="R607">
        <v>2.87</v>
      </c>
      <c r="S607">
        <v>473.64</v>
      </c>
      <c r="T607" t="s">
        <v>41</v>
      </c>
      <c r="U607" t="s">
        <v>41</v>
      </c>
      <c r="V607" t="s">
        <v>38</v>
      </c>
      <c r="W607" t="s">
        <v>701</v>
      </c>
      <c r="X607">
        <v>73.260000000000005</v>
      </c>
      <c r="Y607" s="9">
        <f t="shared" si="46"/>
        <v>73.260000000000005</v>
      </c>
      <c r="Z607" s="9">
        <f t="shared" si="47"/>
        <v>137.36250000000001</v>
      </c>
      <c r="AA607" s="5">
        <f t="shared" si="48"/>
        <v>152.60973750000002</v>
      </c>
      <c r="AB607" s="6">
        <f t="shared" si="49"/>
        <v>222.51351375000002</v>
      </c>
      <c r="AD607" s="10">
        <f t="shared" si="50"/>
        <v>278.60274337500005</v>
      </c>
    </row>
    <row r="608" spans="1:30" x14ac:dyDescent="0.3">
      <c r="A608" t="s">
        <v>30</v>
      </c>
      <c r="B608" s="8" t="s">
        <v>66</v>
      </c>
      <c r="C608" s="8" t="s">
        <v>32</v>
      </c>
      <c r="D608" s="8" t="s">
        <v>33</v>
      </c>
      <c r="E608" s="8" t="s">
        <v>34</v>
      </c>
      <c r="F608" s="8" t="s">
        <v>35</v>
      </c>
      <c r="G608">
        <v>8481809990</v>
      </c>
      <c r="H608" t="s">
        <v>53</v>
      </c>
      <c r="I608" t="s">
        <v>470</v>
      </c>
      <c r="J608" t="s">
        <v>38</v>
      </c>
      <c r="K608" t="s">
        <v>39</v>
      </c>
      <c r="L608">
        <v>4</v>
      </c>
      <c r="M608">
        <v>8</v>
      </c>
      <c r="N608" t="s">
        <v>64</v>
      </c>
      <c r="O608">
        <v>0</v>
      </c>
      <c r="P608">
        <v>780.36</v>
      </c>
      <c r="Q608">
        <v>40.86</v>
      </c>
      <c r="R608">
        <v>5.09</v>
      </c>
      <c r="S608">
        <v>826.31</v>
      </c>
      <c r="T608" t="s">
        <v>41</v>
      </c>
      <c r="U608" t="s">
        <v>41</v>
      </c>
      <c r="V608" t="s">
        <v>38</v>
      </c>
      <c r="W608" t="s">
        <v>701</v>
      </c>
      <c r="X608">
        <v>97.55</v>
      </c>
      <c r="Y608" s="9">
        <f t="shared" si="46"/>
        <v>97.545000000000002</v>
      </c>
      <c r="Z608" s="9">
        <f t="shared" si="47"/>
        <v>182.89687499999999</v>
      </c>
      <c r="AA608" s="5">
        <f t="shared" si="48"/>
        <v>203.19842812499999</v>
      </c>
      <c r="AB608" s="6">
        <f t="shared" si="49"/>
        <v>296.27464781249995</v>
      </c>
      <c r="AD608" s="10">
        <f t="shared" si="50"/>
        <v>370.95692878125004</v>
      </c>
    </row>
    <row r="609" spans="1:30" x14ac:dyDescent="0.3">
      <c r="A609" t="s">
        <v>30</v>
      </c>
      <c r="B609" s="8" t="s">
        <v>66</v>
      </c>
      <c r="C609" s="8" t="s">
        <v>32</v>
      </c>
      <c r="D609" s="8" t="s">
        <v>69</v>
      </c>
      <c r="E609" s="8" t="s">
        <v>70</v>
      </c>
      <c r="F609" s="8" t="s">
        <v>71</v>
      </c>
      <c r="G609">
        <v>8481809990</v>
      </c>
      <c r="H609" t="s">
        <v>53</v>
      </c>
      <c r="I609" t="s">
        <v>418</v>
      </c>
      <c r="J609" t="s">
        <v>38</v>
      </c>
      <c r="K609" t="s">
        <v>39</v>
      </c>
      <c r="L609">
        <v>13</v>
      </c>
      <c r="M609">
        <v>5</v>
      </c>
      <c r="N609" t="s">
        <v>64</v>
      </c>
      <c r="O609">
        <v>0</v>
      </c>
      <c r="P609">
        <v>476.85</v>
      </c>
      <c r="Q609">
        <v>25.46</v>
      </c>
      <c r="R609">
        <v>3.06</v>
      </c>
      <c r="S609">
        <v>505.37</v>
      </c>
      <c r="T609" t="s">
        <v>72</v>
      </c>
      <c r="U609" t="s">
        <v>72</v>
      </c>
      <c r="V609" t="s">
        <v>38</v>
      </c>
      <c r="W609" t="s">
        <v>701</v>
      </c>
      <c r="X609">
        <v>95.37</v>
      </c>
      <c r="Y609" s="9">
        <f t="shared" si="46"/>
        <v>95.37</v>
      </c>
      <c r="Z609" s="9">
        <f t="shared" si="47"/>
        <v>178.81875000000002</v>
      </c>
      <c r="AA609" s="5">
        <f t="shared" si="48"/>
        <v>198.66763125000003</v>
      </c>
      <c r="AB609" s="6">
        <f t="shared" si="49"/>
        <v>289.668493125</v>
      </c>
      <c r="AD609" s="10">
        <f t="shared" si="50"/>
        <v>362.68555331250008</v>
      </c>
    </row>
    <row r="610" spans="1:30" x14ac:dyDescent="0.3">
      <c r="A610" t="s">
        <v>30</v>
      </c>
      <c r="B610" s="8" t="s">
        <v>66</v>
      </c>
      <c r="C610" s="8" t="s">
        <v>32</v>
      </c>
      <c r="D610" s="8" t="s">
        <v>33</v>
      </c>
      <c r="E610" s="8" t="s">
        <v>34</v>
      </c>
      <c r="F610" s="8" t="s">
        <v>35</v>
      </c>
      <c r="G610">
        <v>8481809990</v>
      </c>
      <c r="H610" t="s">
        <v>53</v>
      </c>
      <c r="I610" t="s">
        <v>418</v>
      </c>
      <c r="J610" t="s">
        <v>38</v>
      </c>
      <c r="K610" t="s">
        <v>39</v>
      </c>
      <c r="L610">
        <v>8</v>
      </c>
      <c r="M610">
        <v>5</v>
      </c>
      <c r="N610" t="s">
        <v>64</v>
      </c>
      <c r="O610">
        <v>0</v>
      </c>
      <c r="P610">
        <v>487.67</v>
      </c>
      <c r="Q610">
        <v>52.06</v>
      </c>
      <c r="R610">
        <v>3.27</v>
      </c>
      <c r="S610">
        <v>543</v>
      </c>
      <c r="T610" t="s">
        <v>41</v>
      </c>
      <c r="U610" t="s">
        <v>41</v>
      </c>
      <c r="V610" t="s">
        <v>38</v>
      </c>
      <c r="W610" t="s">
        <v>701</v>
      </c>
      <c r="X610">
        <v>97.54</v>
      </c>
      <c r="Y610" s="9">
        <f t="shared" si="46"/>
        <v>97.534000000000006</v>
      </c>
      <c r="Z610" s="9">
        <f t="shared" si="47"/>
        <v>182.87625</v>
      </c>
      <c r="AA610" s="5">
        <f t="shared" si="48"/>
        <v>203.17551374999999</v>
      </c>
      <c r="AB610" s="6">
        <f t="shared" si="49"/>
        <v>296.24123737499997</v>
      </c>
      <c r="AD610" s="10">
        <f t="shared" si="50"/>
        <v>370.91509653750006</v>
      </c>
    </row>
    <row r="611" spans="1:30" x14ac:dyDescent="0.3">
      <c r="A611" t="s">
        <v>168</v>
      </c>
      <c r="B611" s="8" t="s">
        <v>31</v>
      </c>
      <c r="C611" s="8" t="s">
        <v>32</v>
      </c>
      <c r="E611" s="8" t="s">
        <v>70</v>
      </c>
      <c r="F611" s="8" t="s">
        <v>71</v>
      </c>
      <c r="G611">
        <v>8421999000</v>
      </c>
      <c r="H611" t="s">
        <v>36</v>
      </c>
      <c r="I611" t="s">
        <v>560</v>
      </c>
      <c r="J611" t="s">
        <v>38</v>
      </c>
      <c r="K611" t="s">
        <v>39</v>
      </c>
      <c r="L611">
        <v>0</v>
      </c>
      <c r="M611">
        <v>5</v>
      </c>
      <c r="N611" t="s">
        <v>64</v>
      </c>
      <c r="O611">
        <v>0</v>
      </c>
      <c r="P611">
        <v>1173.1600000000001</v>
      </c>
      <c r="Q611">
        <v>90.06</v>
      </c>
      <c r="R611">
        <v>8.4499999999999993</v>
      </c>
      <c r="S611">
        <v>1271.6600000000001</v>
      </c>
      <c r="T611" t="s">
        <v>41</v>
      </c>
      <c r="U611" t="s">
        <v>41</v>
      </c>
      <c r="V611" t="s">
        <v>38</v>
      </c>
      <c r="W611" t="s">
        <v>702</v>
      </c>
      <c r="X611">
        <v>234.63</v>
      </c>
      <c r="Y611" s="9">
        <f t="shared" si="46"/>
        <v>234.63200000000001</v>
      </c>
      <c r="Z611" s="9">
        <f t="shared" si="47"/>
        <v>439.935</v>
      </c>
      <c r="AA611" s="5">
        <f t="shared" si="48"/>
        <v>488.767785</v>
      </c>
      <c r="AB611" s="6">
        <f t="shared" si="49"/>
        <v>712.65070649999996</v>
      </c>
      <c r="AD611" s="10">
        <f t="shared" si="50"/>
        <v>892.28936505000013</v>
      </c>
    </row>
    <row r="612" spans="1:30" x14ac:dyDescent="0.3">
      <c r="A612" t="s">
        <v>30</v>
      </c>
      <c r="B612" s="8" t="s">
        <v>31</v>
      </c>
      <c r="C612" s="8" t="s">
        <v>32</v>
      </c>
      <c r="D612" s="8" t="s">
        <v>33</v>
      </c>
      <c r="E612" s="8" t="s">
        <v>34</v>
      </c>
      <c r="F612" s="8" t="s">
        <v>35</v>
      </c>
      <c r="G612">
        <v>8421999000</v>
      </c>
      <c r="H612" t="s">
        <v>36</v>
      </c>
      <c r="I612" t="s">
        <v>560</v>
      </c>
      <c r="J612" t="s">
        <v>38</v>
      </c>
      <c r="K612" t="s">
        <v>39</v>
      </c>
      <c r="L612">
        <v>8</v>
      </c>
      <c r="M612">
        <v>3</v>
      </c>
      <c r="N612" t="s">
        <v>64</v>
      </c>
      <c r="O612">
        <v>0</v>
      </c>
      <c r="P612">
        <v>1211.5</v>
      </c>
      <c r="Q612">
        <v>129.33000000000001</v>
      </c>
      <c r="R612">
        <v>8.1199999999999992</v>
      </c>
      <c r="S612">
        <v>1348.95</v>
      </c>
      <c r="T612" t="s">
        <v>41</v>
      </c>
      <c r="U612" t="s">
        <v>41</v>
      </c>
      <c r="V612" t="s">
        <v>38</v>
      </c>
      <c r="W612" t="s">
        <v>703</v>
      </c>
      <c r="X612">
        <v>403.83</v>
      </c>
      <c r="Y612" s="9">
        <f t="shared" si="46"/>
        <v>403.83333333333331</v>
      </c>
      <c r="Z612" s="9">
        <f t="shared" si="47"/>
        <v>757.1875</v>
      </c>
      <c r="AA612" s="5">
        <f t="shared" si="48"/>
        <v>841.23531249999996</v>
      </c>
      <c r="AB612" s="6">
        <f t="shared" si="49"/>
        <v>1226.5680312499999</v>
      </c>
      <c r="AD612" s="10">
        <f t="shared" si="50"/>
        <v>1535.750403125</v>
      </c>
    </row>
    <row r="613" spans="1:30" x14ac:dyDescent="0.3">
      <c r="A613" t="s">
        <v>30</v>
      </c>
      <c r="B613" s="8" t="s">
        <v>31</v>
      </c>
      <c r="C613" s="8" t="s">
        <v>32</v>
      </c>
      <c r="D613" s="8" t="s">
        <v>33</v>
      </c>
      <c r="E613" s="8" t="s">
        <v>34</v>
      </c>
      <c r="F613" s="8" t="s">
        <v>35</v>
      </c>
      <c r="G613">
        <v>8421999000</v>
      </c>
      <c r="H613" t="s">
        <v>36</v>
      </c>
      <c r="I613" t="s">
        <v>663</v>
      </c>
      <c r="J613" t="s">
        <v>38</v>
      </c>
      <c r="K613" t="s">
        <v>39</v>
      </c>
      <c r="L613">
        <v>8</v>
      </c>
      <c r="M613">
        <v>4</v>
      </c>
      <c r="N613" t="s">
        <v>64</v>
      </c>
      <c r="O613">
        <v>0</v>
      </c>
      <c r="P613">
        <v>1613.85</v>
      </c>
      <c r="Q613">
        <v>202.17</v>
      </c>
      <c r="R613">
        <v>11.02</v>
      </c>
      <c r="S613">
        <v>1827.05</v>
      </c>
      <c r="T613" t="s">
        <v>41</v>
      </c>
      <c r="U613" t="s">
        <v>41</v>
      </c>
      <c r="V613" t="s">
        <v>38</v>
      </c>
      <c r="W613" t="s">
        <v>703</v>
      </c>
      <c r="X613">
        <v>403.46</v>
      </c>
      <c r="Y613" s="9">
        <f t="shared" si="46"/>
        <v>403.46249999999998</v>
      </c>
      <c r="Z613" s="9">
        <f t="shared" si="47"/>
        <v>756.4921875</v>
      </c>
      <c r="AA613" s="5">
        <f t="shared" si="48"/>
        <v>840.46282031249996</v>
      </c>
      <c r="AB613" s="6">
        <f t="shared" si="49"/>
        <v>1225.4416945312498</v>
      </c>
      <c r="AD613" s="10">
        <f t="shared" si="50"/>
        <v>1534.3401494531252</v>
      </c>
    </row>
    <row r="614" spans="1:30" x14ac:dyDescent="0.3">
      <c r="A614" t="s">
        <v>168</v>
      </c>
      <c r="B614" s="8" t="s">
        <v>31</v>
      </c>
      <c r="C614" s="8" t="s">
        <v>32</v>
      </c>
      <c r="E614" s="8" t="s">
        <v>70</v>
      </c>
      <c r="F614" s="8" t="s">
        <v>71</v>
      </c>
      <c r="G614">
        <v>8421999000</v>
      </c>
      <c r="H614" t="s">
        <v>36</v>
      </c>
      <c r="I614" t="s">
        <v>560</v>
      </c>
      <c r="J614" t="s">
        <v>38</v>
      </c>
      <c r="K614" t="s">
        <v>39</v>
      </c>
      <c r="L614">
        <v>0</v>
      </c>
      <c r="M614">
        <v>5</v>
      </c>
      <c r="N614" t="s">
        <v>64</v>
      </c>
      <c r="O614">
        <v>0</v>
      </c>
      <c r="P614">
        <v>1709.87</v>
      </c>
      <c r="Q614">
        <v>131.26</v>
      </c>
      <c r="R614">
        <v>12.32</v>
      </c>
      <c r="S614">
        <v>1853.44</v>
      </c>
      <c r="T614" t="s">
        <v>41</v>
      </c>
      <c r="U614" t="s">
        <v>41</v>
      </c>
      <c r="V614" t="s">
        <v>38</v>
      </c>
      <c r="W614" t="s">
        <v>703</v>
      </c>
      <c r="X614">
        <v>341.97</v>
      </c>
      <c r="Y614" s="9">
        <f t="shared" si="46"/>
        <v>341.97399999999999</v>
      </c>
      <c r="Z614" s="9">
        <f t="shared" si="47"/>
        <v>641.20124999999996</v>
      </c>
      <c r="AA614" s="5">
        <f t="shared" si="48"/>
        <v>712.37458874999993</v>
      </c>
      <c r="AB614" s="6">
        <f t="shared" si="49"/>
        <v>1038.6819048749999</v>
      </c>
      <c r="AD614" s="10">
        <f t="shared" si="50"/>
        <v>1300.5036112875</v>
      </c>
    </row>
    <row r="615" spans="1:30" x14ac:dyDescent="0.3">
      <c r="A615" t="s">
        <v>30</v>
      </c>
      <c r="B615" s="8" t="s">
        <v>66</v>
      </c>
      <c r="C615" s="8" t="s">
        <v>32</v>
      </c>
      <c r="D615" s="8" t="s">
        <v>33</v>
      </c>
      <c r="E615" s="8" t="s">
        <v>34</v>
      </c>
      <c r="F615" s="8" t="s">
        <v>35</v>
      </c>
      <c r="G615">
        <v>8481809990</v>
      </c>
      <c r="H615" t="s">
        <v>53</v>
      </c>
      <c r="I615" t="s">
        <v>704</v>
      </c>
      <c r="J615" t="s">
        <v>38</v>
      </c>
      <c r="K615" t="s">
        <v>39</v>
      </c>
      <c r="L615">
        <v>10</v>
      </c>
      <c r="M615">
        <v>2</v>
      </c>
      <c r="N615" t="s">
        <v>64</v>
      </c>
      <c r="O615">
        <v>0</v>
      </c>
      <c r="P615">
        <v>86.93</v>
      </c>
      <c r="Q615">
        <v>7.24</v>
      </c>
      <c r="R615">
        <v>0.56999999999999995</v>
      </c>
      <c r="S615">
        <v>94.73</v>
      </c>
      <c r="T615" t="s">
        <v>41</v>
      </c>
      <c r="U615" t="s">
        <v>43</v>
      </c>
      <c r="V615" t="s">
        <v>38</v>
      </c>
      <c r="W615" t="s">
        <v>705</v>
      </c>
      <c r="X615">
        <v>43.46</v>
      </c>
      <c r="Y615" s="9">
        <f t="shared" si="46"/>
        <v>43.465000000000003</v>
      </c>
      <c r="Z615" s="9">
        <f t="shared" si="47"/>
        <v>81.496875000000003</v>
      </c>
      <c r="AA615" s="5">
        <f t="shared" si="48"/>
        <v>90.543028125000006</v>
      </c>
      <c r="AB615" s="6">
        <f t="shared" si="49"/>
        <v>132.01678781249998</v>
      </c>
      <c r="AD615" s="10">
        <f t="shared" si="50"/>
        <v>165.29440678125002</v>
      </c>
    </row>
    <row r="616" spans="1:30" x14ac:dyDescent="0.3">
      <c r="A616" t="s">
        <v>168</v>
      </c>
      <c r="B616" s="8" t="s">
        <v>66</v>
      </c>
      <c r="C616" s="8" t="s">
        <v>32</v>
      </c>
      <c r="D616" s="8" t="s">
        <v>33</v>
      </c>
      <c r="E616" s="8" t="s">
        <v>34</v>
      </c>
      <c r="F616" s="8" t="s">
        <v>35</v>
      </c>
      <c r="G616">
        <v>8481909090</v>
      </c>
      <c r="H616" t="s">
        <v>53</v>
      </c>
      <c r="I616" t="s">
        <v>706</v>
      </c>
      <c r="J616" t="s">
        <v>38</v>
      </c>
      <c r="K616" t="s">
        <v>39</v>
      </c>
      <c r="L616">
        <v>11</v>
      </c>
      <c r="M616">
        <v>6</v>
      </c>
      <c r="N616" t="s">
        <v>64</v>
      </c>
      <c r="O616">
        <v>115.66</v>
      </c>
      <c r="P616">
        <v>574.41999999999996</v>
      </c>
      <c r="Q616">
        <v>55.02</v>
      </c>
      <c r="R616">
        <v>3.88</v>
      </c>
      <c r="S616">
        <v>633.32000000000005</v>
      </c>
      <c r="T616" t="s">
        <v>41</v>
      </c>
      <c r="U616" t="s">
        <v>43</v>
      </c>
      <c r="V616" t="s">
        <v>38</v>
      </c>
      <c r="W616" t="s">
        <v>707</v>
      </c>
      <c r="X616">
        <v>95.74</v>
      </c>
      <c r="Y616" s="9">
        <f t="shared" si="46"/>
        <v>95.736666666666665</v>
      </c>
      <c r="Z616" s="9">
        <f t="shared" si="47"/>
        <v>179.50624999999999</v>
      </c>
      <c r="AA616" s="5">
        <f t="shared" si="48"/>
        <v>199.43144375</v>
      </c>
      <c r="AB616" s="6">
        <f t="shared" si="49"/>
        <v>290.78217437499995</v>
      </c>
      <c r="AD616" s="10">
        <f t="shared" si="50"/>
        <v>364.0799614375</v>
      </c>
    </row>
    <row r="617" spans="1:30" x14ac:dyDescent="0.3">
      <c r="A617" t="s">
        <v>30</v>
      </c>
      <c r="B617" s="8" t="s">
        <v>66</v>
      </c>
      <c r="C617" s="8" t="s">
        <v>32</v>
      </c>
      <c r="D617" s="8" t="s">
        <v>33</v>
      </c>
      <c r="E617" s="8" t="s">
        <v>34</v>
      </c>
      <c r="F617" s="8" t="s">
        <v>35</v>
      </c>
      <c r="G617">
        <v>8481909090</v>
      </c>
      <c r="H617" t="s">
        <v>53</v>
      </c>
      <c r="I617" t="s">
        <v>706</v>
      </c>
      <c r="J617" t="s">
        <v>38</v>
      </c>
      <c r="K617" t="s">
        <v>39</v>
      </c>
      <c r="L617">
        <v>4</v>
      </c>
      <c r="M617">
        <v>5</v>
      </c>
      <c r="N617" t="s">
        <v>64</v>
      </c>
      <c r="O617">
        <v>95.79</v>
      </c>
      <c r="P617">
        <v>475.86</v>
      </c>
      <c r="Q617">
        <v>24.92</v>
      </c>
      <c r="R617">
        <v>3.1</v>
      </c>
      <c r="S617">
        <v>503.88</v>
      </c>
      <c r="T617" t="s">
        <v>41</v>
      </c>
      <c r="U617" t="s">
        <v>41</v>
      </c>
      <c r="V617" t="s">
        <v>38</v>
      </c>
      <c r="W617" t="s">
        <v>707</v>
      </c>
      <c r="X617">
        <v>95.17</v>
      </c>
      <c r="Y617" s="9">
        <f t="shared" si="46"/>
        <v>95.171999999999997</v>
      </c>
      <c r="Z617" s="9">
        <f t="shared" si="47"/>
        <v>178.44749999999999</v>
      </c>
      <c r="AA617" s="5">
        <f t="shared" si="48"/>
        <v>198.25517249999999</v>
      </c>
      <c r="AB617" s="6">
        <f t="shared" si="49"/>
        <v>289.06710524999994</v>
      </c>
      <c r="AD617" s="10">
        <f t="shared" si="50"/>
        <v>361.93257292500004</v>
      </c>
    </row>
    <row r="618" spans="1:30" x14ac:dyDescent="0.3">
      <c r="A618" t="s">
        <v>30</v>
      </c>
      <c r="B618" s="8" t="s">
        <v>66</v>
      </c>
      <c r="C618" s="8" t="s">
        <v>32</v>
      </c>
      <c r="D618" s="8" t="s">
        <v>33</v>
      </c>
      <c r="E618" s="8" t="s">
        <v>34</v>
      </c>
      <c r="F618" s="8" t="s">
        <v>35</v>
      </c>
      <c r="G618">
        <v>8481909090</v>
      </c>
      <c r="H618" t="s">
        <v>53</v>
      </c>
      <c r="I618" t="s">
        <v>708</v>
      </c>
      <c r="J618" t="s">
        <v>74</v>
      </c>
      <c r="K618" t="s">
        <v>39</v>
      </c>
      <c r="L618">
        <v>7</v>
      </c>
      <c r="M618">
        <v>4</v>
      </c>
      <c r="N618" t="s">
        <v>64</v>
      </c>
      <c r="O618">
        <v>0</v>
      </c>
      <c r="P618">
        <v>379.64</v>
      </c>
      <c r="Q618">
        <v>21.44</v>
      </c>
      <c r="R618">
        <v>2.42</v>
      </c>
      <c r="S618">
        <v>403.5</v>
      </c>
      <c r="T618" t="s">
        <v>75</v>
      </c>
      <c r="U618" t="s">
        <v>708</v>
      </c>
      <c r="V618" t="s">
        <v>74</v>
      </c>
      <c r="W618" t="s">
        <v>707</v>
      </c>
      <c r="X618">
        <v>94.91</v>
      </c>
      <c r="Y618" s="9">
        <f t="shared" si="46"/>
        <v>94.91</v>
      </c>
      <c r="Z618" s="9">
        <f t="shared" si="47"/>
        <v>177.95624999999998</v>
      </c>
      <c r="AA618" s="5">
        <f t="shared" si="48"/>
        <v>197.70939374999998</v>
      </c>
      <c r="AB618" s="6">
        <f t="shared" si="49"/>
        <v>288.27132937499994</v>
      </c>
      <c r="AD618" s="10">
        <f t="shared" si="50"/>
        <v>360.93620493750001</v>
      </c>
    </row>
    <row r="619" spans="1:30" x14ac:dyDescent="0.3">
      <c r="A619" t="s">
        <v>30</v>
      </c>
      <c r="B619" s="8" t="s">
        <v>66</v>
      </c>
      <c r="C619" s="8" t="s">
        <v>32</v>
      </c>
      <c r="D619" s="8" t="s">
        <v>69</v>
      </c>
      <c r="E619" s="8" t="s">
        <v>70</v>
      </c>
      <c r="F619" s="8" t="s">
        <v>71</v>
      </c>
      <c r="G619">
        <v>8481909090</v>
      </c>
      <c r="H619" t="s">
        <v>53</v>
      </c>
      <c r="I619" t="s">
        <v>575</v>
      </c>
      <c r="J619" t="s">
        <v>38</v>
      </c>
      <c r="K619" t="s">
        <v>39</v>
      </c>
      <c r="L619">
        <v>13</v>
      </c>
      <c r="M619">
        <v>10</v>
      </c>
      <c r="N619" t="s">
        <v>64</v>
      </c>
      <c r="O619">
        <v>187.3</v>
      </c>
      <c r="P619">
        <v>930.5</v>
      </c>
      <c r="Q619">
        <v>49.68</v>
      </c>
      <c r="R619">
        <v>5.98</v>
      </c>
      <c r="S619">
        <v>986.16</v>
      </c>
      <c r="T619" t="s">
        <v>72</v>
      </c>
      <c r="U619" t="s">
        <v>72</v>
      </c>
      <c r="V619" t="s">
        <v>38</v>
      </c>
      <c r="W619" t="s">
        <v>707</v>
      </c>
      <c r="X619">
        <v>93.05</v>
      </c>
      <c r="Y619" s="9">
        <f t="shared" si="46"/>
        <v>93.05</v>
      </c>
      <c r="Z619" s="9">
        <f t="shared" si="47"/>
        <v>174.46875</v>
      </c>
      <c r="AA619" s="5">
        <f t="shared" si="48"/>
        <v>193.83478124999999</v>
      </c>
      <c r="AB619" s="6">
        <f t="shared" si="49"/>
        <v>282.62192812499995</v>
      </c>
      <c r="AD619" s="10">
        <f t="shared" si="50"/>
        <v>353.86275281250005</v>
      </c>
    </row>
    <row r="620" spans="1:30" x14ac:dyDescent="0.3">
      <c r="A620" t="s">
        <v>30</v>
      </c>
      <c r="B620" s="8" t="s">
        <v>66</v>
      </c>
      <c r="C620" s="8" t="s">
        <v>32</v>
      </c>
      <c r="D620" s="8" t="s">
        <v>33</v>
      </c>
      <c r="E620" s="8" t="s">
        <v>34</v>
      </c>
      <c r="F620" s="8" t="s">
        <v>35</v>
      </c>
      <c r="G620">
        <v>8481909090</v>
      </c>
      <c r="H620" t="s">
        <v>53</v>
      </c>
      <c r="I620" t="s">
        <v>709</v>
      </c>
      <c r="J620" t="s">
        <v>38</v>
      </c>
      <c r="K620" t="s">
        <v>39</v>
      </c>
      <c r="L620">
        <v>10</v>
      </c>
      <c r="M620">
        <v>4</v>
      </c>
      <c r="N620" t="s">
        <v>64</v>
      </c>
      <c r="O620">
        <v>76.45</v>
      </c>
      <c r="P620">
        <v>379.74</v>
      </c>
      <c r="Q620">
        <v>31.61</v>
      </c>
      <c r="R620">
        <v>2.4900000000000002</v>
      </c>
      <c r="S620">
        <v>413.84</v>
      </c>
      <c r="T620" t="s">
        <v>41</v>
      </c>
      <c r="U620" t="s">
        <v>43</v>
      </c>
      <c r="V620" t="s">
        <v>38</v>
      </c>
      <c r="W620" t="s">
        <v>707</v>
      </c>
      <c r="X620">
        <v>94.94</v>
      </c>
      <c r="Y620" s="9">
        <f t="shared" si="46"/>
        <v>94.935000000000002</v>
      </c>
      <c r="Z620" s="9">
        <f t="shared" si="47"/>
        <v>178.00312500000001</v>
      </c>
      <c r="AA620" s="5">
        <f t="shared" si="48"/>
        <v>197.76147187500001</v>
      </c>
      <c r="AB620" s="6">
        <f t="shared" si="49"/>
        <v>288.34726218750001</v>
      </c>
      <c r="AD620" s="10">
        <f t="shared" si="50"/>
        <v>361.03127821875006</v>
      </c>
    </row>
    <row r="621" spans="1:30" x14ac:dyDescent="0.3">
      <c r="A621" t="s">
        <v>30</v>
      </c>
      <c r="B621" s="8" t="s">
        <v>66</v>
      </c>
      <c r="C621" s="8" t="s">
        <v>32</v>
      </c>
      <c r="D621" s="8" t="s">
        <v>33</v>
      </c>
      <c r="E621" s="8" t="s">
        <v>34</v>
      </c>
      <c r="F621" s="8" t="s">
        <v>35</v>
      </c>
      <c r="G621">
        <v>8481909090</v>
      </c>
      <c r="H621" t="s">
        <v>53</v>
      </c>
      <c r="I621" t="s">
        <v>706</v>
      </c>
      <c r="J621" t="s">
        <v>38</v>
      </c>
      <c r="K621" t="s">
        <v>39</v>
      </c>
      <c r="L621">
        <v>8</v>
      </c>
      <c r="M621">
        <v>5</v>
      </c>
      <c r="N621" t="s">
        <v>64</v>
      </c>
      <c r="O621">
        <v>95.8</v>
      </c>
      <c r="P621">
        <v>475.81</v>
      </c>
      <c r="Q621">
        <v>50.79</v>
      </c>
      <c r="R621">
        <v>3.19</v>
      </c>
      <c r="S621">
        <v>529.79</v>
      </c>
      <c r="T621" t="s">
        <v>41</v>
      </c>
      <c r="U621" t="s">
        <v>41</v>
      </c>
      <c r="V621" t="s">
        <v>38</v>
      </c>
      <c r="W621" t="s">
        <v>707</v>
      </c>
      <c r="X621">
        <v>95.16</v>
      </c>
      <c r="Y621" s="9">
        <f t="shared" si="46"/>
        <v>95.162000000000006</v>
      </c>
      <c r="Z621" s="9">
        <f t="shared" si="47"/>
        <v>178.42875000000001</v>
      </c>
      <c r="AA621" s="5">
        <f t="shared" si="48"/>
        <v>198.23434125</v>
      </c>
      <c r="AB621" s="6">
        <f t="shared" si="49"/>
        <v>289.03673212500001</v>
      </c>
      <c r="AD621" s="10">
        <f t="shared" si="50"/>
        <v>361.89454361250006</v>
      </c>
    </row>
    <row r="622" spans="1:30" x14ac:dyDescent="0.3">
      <c r="A622" t="s">
        <v>30</v>
      </c>
      <c r="B622" s="8" t="s">
        <v>31</v>
      </c>
      <c r="C622" s="8" t="s">
        <v>32</v>
      </c>
      <c r="D622" s="8" t="s">
        <v>33</v>
      </c>
      <c r="E622" s="8" t="s">
        <v>34</v>
      </c>
      <c r="F622" s="8" t="s">
        <v>35</v>
      </c>
      <c r="G622">
        <v>8481805900</v>
      </c>
      <c r="H622" t="s">
        <v>36</v>
      </c>
      <c r="I622" t="s">
        <v>710</v>
      </c>
      <c r="J622" t="s">
        <v>38</v>
      </c>
      <c r="K622" t="s">
        <v>39</v>
      </c>
      <c r="L622">
        <v>16</v>
      </c>
      <c r="M622">
        <v>1</v>
      </c>
      <c r="N622" t="s">
        <v>64</v>
      </c>
      <c r="O622">
        <v>0</v>
      </c>
      <c r="P622">
        <v>208.42</v>
      </c>
      <c r="Q622">
        <v>28.76</v>
      </c>
      <c r="R622">
        <v>1.39</v>
      </c>
      <c r="S622">
        <v>238.57</v>
      </c>
      <c r="T622" t="s">
        <v>41</v>
      </c>
      <c r="U622" t="s">
        <v>41</v>
      </c>
      <c r="V622" t="s">
        <v>38</v>
      </c>
      <c r="W622" t="s">
        <v>711</v>
      </c>
      <c r="X622">
        <v>208.42</v>
      </c>
      <c r="Y622" s="9">
        <f t="shared" si="46"/>
        <v>208.42</v>
      </c>
      <c r="Z622" s="9">
        <f t="shared" si="47"/>
        <v>390.78749999999997</v>
      </c>
      <c r="AA622" s="5">
        <f t="shared" si="48"/>
        <v>434.16491249999996</v>
      </c>
      <c r="AB622" s="6">
        <f t="shared" si="49"/>
        <v>633.03667124999993</v>
      </c>
      <c r="AD622" s="10">
        <f t="shared" si="50"/>
        <v>792.60693112499996</v>
      </c>
    </row>
    <row r="623" spans="1:30" x14ac:dyDescent="0.3">
      <c r="A623" t="s">
        <v>30</v>
      </c>
      <c r="B623" s="8" t="s">
        <v>31</v>
      </c>
      <c r="C623" s="8" t="s">
        <v>32</v>
      </c>
      <c r="D623" s="8" t="s">
        <v>69</v>
      </c>
      <c r="E623" s="8" t="s">
        <v>70</v>
      </c>
      <c r="F623" s="8" t="s">
        <v>71</v>
      </c>
      <c r="G623">
        <v>8481805900</v>
      </c>
      <c r="H623" t="s">
        <v>53</v>
      </c>
      <c r="I623" t="s">
        <v>712</v>
      </c>
      <c r="J623" t="s">
        <v>38</v>
      </c>
      <c r="K623" t="s">
        <v>39</v>
      </c>
      <c r="L623">
        <v>13</v>
      </c>
      <c r="M623">
        <v>1</v>
      </c>
      <c r="N623" t="s">
        <v>64</v>
      </c>
      <c r="O623">
        <v>0</v>
      </c>
      <c r="P623">
        <v>204</v>
      </c>
      <c r="Q623">
        <v>10.89</v>
      </c>
      <c r="R623">
        <v>1.31</v>
      </c>
      <c r="S623">
        <v>216.2</v>
      </c>
      <c r="T623" t="s">
        <v>72</v>
      </c>
      <c r="U623" t="s">
        <v>72</v>
      </c>
      <c r="V623" t="s">
        <v>38</v>
      </c>
      <c r="W623" t="s">
        <v>711</v>
      </c>
      <c r="X623">
        <v>204</v>
      </c>
      <c r="Y623" s="9">
        <f t="shared" si="46"/>
        <v>204</v>
      </c>
      <c r="Z623" s="9">
        <f t="shared" si="47"/>
        <v>382.5</v>
      </c>
      <c r="AA623" s="5">
        <f t="shared" si="48"/>
        <v>424.95749999999998</v>
      </c>
      <c r="AB623" s="6">
        <f t="shared" si="49"/>
        <v>619.61174999999992</v>
      </c>
      <c r="AD623" s="10">
        <f t="shared" si="50"/>
        <v>775.79797500000006</v>
      </c>
    </row>
    <row r="624" spans="1:30" x14ac:dyDescent="0.3">
      <c r="A624" t="s">
        <v>30</v>
      </c>
      <c r="B624" s="8" t="s">
        <v>32</v>
      </c>
      <c r="C624" s="8" t="s">
        <v>32</v>
      </c>
      <c r="D624" s="8" t="s">
        <v>33</v>
      </c>
      <c r="E624" s="8" t="s">
        <v>34</v>
      </c>
      <c r="F624" s="8" t="s">
        <v>35</v>
      </c>
      <c r="G624">
        <v>8482500000</v>
      </c>
      <c r="H624" t="s">
        <v>83</v>
      </c>
      <c r="I624" t="s">
        <v>81</v>
      </c>
      <c r="J624" t="s">
        <v>38</v>
      </c>
      <c r="K624" t="s">
        <v>39</v>
      </c>
      <c r="L624">
        <v>3</v>
      </c>
      <c r="M624">
        <v>5</v>
      </c>
      <c r="N624" t="s">
        <v>64</v>
      </c>
      <c r="O624">
        <v>0</v>
      </c>
      <c r="P624">
        <v>2566.21</v>
      </c>
      <c r="Q624">
        <v>109.82</v>
      </c>
      <c r="R624">
        <v>16.55</v>
      </c>
      <c r="S624">
        <v>2692.58</v>
      </c>
      <c r="T624" t="s">
        <v>41</v>
      </c>
      <c r="U624" t="s">
        <v>43</v>
      </c>
      <c r="V624" t="s">
        <v>38</v>
      </c>
      <c r="W624" t="s">
        <v>713</v>
      </c>
      <c r="X624">
        <v>513.24</v>
      </c>
      <c r="Y624" s="9">
        <f t="shared" si="46"/>
        <v>513.24199999999996</v>
      </c>
      <c r="Z624" s="9">
        <f t="shared" si="47"/>
        <v>962.3287499999999</v>
      </c>
      <c r="AA624" s="5">
        <f t="shared" si="48"/>
        <v>1069.14724125</v>
      </c>
      <c r="AB624" s="6">
        <f t="shared" si="49"/>
        <v>1558.8763421249998</v>
      </c>
      <c r="AD624" s="10">
        <f t="shared" si="50"/>
        <v>1951.8240406125001</v>
      </c>
    </row>
    <row r="625" spans="1:30" x14ac:dyDescent="0.3">
      <c r="A625" t="s">
        <v>30</v>
      </c>
      <c r="B625" s="8" t="s">
        <v>32</v>
      </c>
      <c r="C625" s="8" t="s">
        <v>32</v>
      </c>
      <c r="D625" s="8" t="s">
        <v>33</v>
      </c>
      <c r="E625" s="8" t="s">
        <v>34</v>
      </c>
      <c r="F625" s="8" t="s">
        <v>35</v>
      </c>
      <c r="G625">
        <v>8482500000</v>
      </c>
      <c r="H625" t="s">
        <v>83</v>
      </c>
      <c r="I625" t="s">
        <v>81</v>
      </c>
      <c r="J625" t="s">
        <v>38</v>
      </c>
      <c r="K625" t="s">
        <v>39</v>
      </c>
      <c r="L625">
        <v>4</v>
      </c>
      <c r="M625">
        <v>1</v>
      </c>
      <c r="N625" t="s">
        <v>64</v>
      </c>
      <c r="O625">
        <v>0</v>
      </c>
      <c r="P625">
        <v>514.97</v>
      </c>
      <c r="Q625">
        <v>26.96</v>
      </c>
      <c r="R625">
        <v>3.36</v>
      </c>
      <c r="S625">
        <v>545.28</v>
      </c>
      <c r="T625" t="s">
        <v>41</v>
      </c>
      <c r="U625" t="s">
        <v>41</v>
      </c>
      <c r="V625" t="s">
        <v>38</v>
      </c>
      <c r="W625" t="s">
        <v>713</v>
      </c>
      <c r="X625">
        <v>514.97</v>
      </c>
      <c r="Y625" s="9">
        <f t="shared" si="46"/>
        <v>514.97</v>
      </c>
      <c r="Z625" s="9">
        <f t="shared" si="47"/>
        <v>965.56875000000002</v>
      </c>
      <c r="AA625" s="5">
        <f t="shared" si="48"/>
        <v>1072.7468812500001</v>
      </c>
      <c r="AB625" s="6">
        <f t="shared" si="49"/>
        <v>1564.124818125</v>
      </c>
      <c r="AD625" s="10">
        <f t="shared" si="50"/>
        <v>1958.3955058125002</v>
      </c>
    </row>
    <row r="626" spans="1:30" x14ac:dyDescent="0.3">
      <c r="A626" t="s">
        <v>30</v>
      </c>
      <c r="B626" s="8" t="s">
        <v>32</v>
      </c>
      <c r="C626" s="8" t="s">
        <v>32</v>
      </c>
      <c r="D626" s="8" t="s">
        <v>33</v>
      </c>
      <c r="E626" s="8" t="s">
        <v>34</v>
      </c>
      <c r="F626" s="8" t="s">
        <v>35</v>
      </c>
      <c r="G626">
        <v>8482500000</v>
      </c>
      <c r="H626" t="s">
        <v>690</v>
      </c>
      <c r="I626" t="s">
        <v>675</v>
      </c>
      <c r="J626" t="s">
        <v>38</v>
      </c>
      <c r="K626" t="s">
        <v>39</v>
      </c>
      <c r="L626">
        <v>8</v>
      </c>
      <c r="M626">
        <v>1</v>
      </c>
      <c r="N626" t="s">
        <v>64</v>
      </c>
      <c r="O626">
        <v>0</v>
      </c>
      <c r="P626">
        <v>514.91</v>
      </c>
      <c r="Q626">
        <v>54.97</v>
      </c>
      <c r="R626">
        <v>3.45</v>
      </c>
      <c r="S626">
        <v>573.33000000000004</v>
      </c>
      <c r="T626" t="s">
        <v>41</v>
      </c>
      <c r="U626" t="s">
        <v>41</v>
      </c>
      <c r="V626" t="s">
        <v>38</v>
      </c>
      <c r="W626" t="s">
        <v>713</v>
      </c>
      <c r="X626">
        <v>514.91</v>
      </c>
      <c r="Y626" s="9">
        <f t="shared" si="46"/>
        <v>514.91</v>
      </c>
      <c r="Z626" s="9">
        <f t="shared" si="47"/>
        <v>965.45624999999995</v>
      </c>
      <c r="AA626" s="5">
        <f t="shared" si="48"/>
        <v>1072.62189375</v>
      </c>
      <c r="AB626" s="6">
        <f t="shared" si="49"/>
        <v>1563.9425793749999</v>
      </c>
      <c r="AD626" s="10">
        <f t="shared" si="50"/>
        <v>1958.1673299375002</v>
      </c>
    </row>
    <row r="627" spans="1:30" x14ac:dyDescent="0.3">
      <c r="A627" t="s">
        <v>30</v>
      </c>
      <c r="B627" s="8" t="s">
        <v>32</v>
      </c>
      <c r="C627" s="8" t="s">
        <v>32</v>
      </c>
      <c r="D627" s="8" t="s">
        <v>33</v>
      </c>
      <c r="E627" s="8" t="s">
        <v>34</v>
      </c>
      <c r="F627" s="8" t="s">
        <v>35</v>
      </c>
      <c r="G627">
        <v>8482500000</v>
      </c>
      <c r="H627" t="s">
        <v>690</v>
      </c>
      <c r="I627" t="s">
        <v>675</v>
      </c>
      <c r="J627" t="s">
        <v>38</v>
      </c>
      <c r="K627" t="s">
        <v>39</v>
      </c>
      <c r="L627">
        <v>12</v>
      </c>
      <c r="M627">
        <v>2</v>
      </c>
      <c r="N627" t="s">
        <v>64</v>
      </c>
      <c r="O627">
        <v>0</v>
      </c>
      <c r="P627">
        <v>1036.46</v>
      </c>
      <c r="Q627">
        <v>119.01</v>
      </c>
      <c r="R627">
        <v>6.91</v>
      </c>
      <c r="S627">
        <v>1162.3699999999999</v>
      </c>
      <c r="T627" t="s">
        <v>41</v>
      </c>
      <c r="U627" t="s">
        <v>41</v>
      </c>
      <c r="V627" t="s">
        <v>38</v>
      </c>
      <c r="W627" t="s">
        <v>713</v>
      </c>
      <c r="X627">
        <v>518.23</v>
      </c>
      <c r="Y627" s="9">
        <f t="shared" si="46"/>
        <v>518.23</v>
      </c>
      <c r="Z627" s="9">
        <f t="shared" si="47"/>
        <v>971.68125000000009</v>
      </c>
      <c r="AA627" s="5">
        <f t="shared" si="48"/>
        <v>1079.5378687500001</v>
      </c>
      <c r="AB627" s="6">
        <f t="shared" si="49"/>
        <v>1574.0264568750001</v>
      </c>
      <c r="AD627" s="10">
        <f t="shared" si="50"/>
        <v>1970.7930616875003</v>
      </c>
    </row>
    <row r="628" spans="1:30" x14ac:dyDescent="0.3">
      <c r="A628" t="s">
        <v>30</v>
      </c>
      <c r="B628" s="8" t="s">
        <v>32</v>
      </c>
      <c r="C628" s="8" t="s">
        <v>32</v>
      </c>
      <c r="D628" s="8" t="s">
        <v>33</v>
      </c>
      <c r="E628" s="8" t="s">
        <v>34</v>
      </c>
      <c r="F628" s="8" t="s">
        <v>35</v>
      </c>
      <c r="G628">
        <v>8482500000</v>
      </c>
      <c r="H628" t="s">
        <v>690</v>
      </c>
      <c r="I628" t="s">
        <v>81</v>
      </c>
      <c r="J628" t="s">
        <v>38</v>
      </c>
      <c r="K628" t="s">
        <v>39</v>
      </c>
      <c r="L628">
        <v>8</v>
      </c>
      <c r="M628">
        <v>1</v>
      </c>
      <c r="N628" t="s">
        <v>64</v>
      </c>
      <c r="O628">
        <v>0</v>
      </c>
      <c r="P628">
        <v>511.9</v>
      </c>
      <c r="Q628">
        <v>28.98</v>
      </c>
      <c r="R628">
        <v>3.27</v>
      </c>
      <c r="S628">
        <v>544.15</v>
      </c>
      <c r="T628" t="s">
        <v>41</v>
      </c>
      <c r="U628" t="s">
        <v>41</v>
      </c>
      <c r="V628" t="s">
        <v>38</v>
      </c>
      <c r="W628" t="s">
        <v>713</v>
      </c>
      <c r="X628">
        <v>511.9</v>
      </c>
      <c r="Y628" s="9">
        <f t="shared" si="46"/>
        <v>511.9</v>
      </c>
      <c r="Z628" s="9">
        <f t="shared" si="47"/>
        <v>959.8125</v>
      </c>
      <c r="AA628" s="5">
        <f t="shared" si="48"/>
        <v>1066.3516875</v>
      </c>
      <c r="AB628" s="6">
        <f t="shared" si="49"/>
        <v>1554.80026875</v>
      </c>
      <c r="AD628" s="10">
        <f t="shared" si="50"/>
        <v>1946.7205068750002</v>
      </c>
    </row>
    <row r="629" spans="1:30" x14ac:dyDescent="0.3">
      <c r="A629" t="s">
        <v>30</v>
      </c>
      <c r="B629" s="8" t="s">
        <v>32</v>
      </c>
      <c r="C629" s="8" t="s">
        <v>32</v>
      </c>
      <c r="D629" s="8" t="s">
        <v>33</v>
      </c>
      <c r="E629" s="8" t="s">
        <v>34</v>
      </c>
      <c r="F629" s="8" t="s">
        <v>35</v>
      </c>
      <c r="G629">
        <v>8421999000</v>
      </c>
      <c r="H629" t="s">
        <v>36</v>
      </c>
      <c r="I629" t="s">
        <v>670</v>
      </c>
      <c r="J629" t="s">
        <v>38</v>
      </c>
      <c r="K629" t="s">
        <v>39</v>
      </c>
      <c r="L629">
        <v>10</v>
      </c>
      <c r="M629">
        <v>2</v>
      </c>
      <c r="N629" t="s">
        <v>64</v>
      </c>
      <c r="O629">
        <v>0</v>
      </c>
      <c r="P629">
        <v>43.4</v>
      </c>
      <c r="Q629">
        <v>3.61</v>
      </c>
      <c r="R629">
        <v>0.28000000000000003</v>
      </c>
      <c r="S629">
        <v>47.3</v>
      </c>
      <c r="T629" t="s">
        <v>41</v>
      </c>
      <c r="U629" t="s">
        <v>43</v>
      </c>
      <c r="V629" t="s">
        <v>38</v>
      </c>
      <c r="W629" t="s">
        <v>714</v>
      </c>
      <c r="X629">
        <v>21.7</v>
      </c>
      <c r="Y629" s="9">
        <f t="shared" si="46"/>
        <v>21.7</v>
      </c>
      <c r="Z629" s="9">
        <f t="shared" si="47"/>
        <v>40.6875</v>
      </c>
      <c r="AA629" s="5">
        <f t="shared" si="48"/>
        <v>45.203812499999998</v>
      </c>
      <c r="AB629" s="6">
        <f t="shared" si="49"/>
        <v>65.909681249999991</v>
      </c>
      <c r="AD629" s="10">
        <f t="shared" si="50"/>
        <v>82.52360812500001</v>
      </c>
    </row>
    <row r="630" spans="1:30" x14ac:dyDescent="0.3">
      <c r="A630" t="s">
        <v>30</v>
      </c>
      <c r="B630" s="8" t="s">
        <v>32</v>
      </c>
      <c r="C630" s="8" t="s">
        <v>32</v>
      </c>
      <c r="D630" s="8" t="s">
        <v>33</v>
      </c>
      <c r="E630" s="8" t="s">
        <v>34</v>
      </c>
      <c r="F630" s="8" t="s">
        <v>35</v>
      </c>
      <c r="G630">
        <v>8481809990</v>
      </c>
      <c r="H630" t="s">
        <v>53</v>
      </c>
      <c r="I630" t="s">
        <v>715</v>
      </c>
      <c r="J630" t="s">
        <v>38</v>
      </c>
      <c r="K630" t="s">
        <v>39</v>
      </c>
      <c r="L630">
        <v>8</v>
      </c>
      <c r="M630">
        <v>6</v>
      </c>
      <c r="N630" t="s">
        <v>64</v>
      </c>
      <c r="O630">
        <v>0</v>
      </c>
      <c r="P630">
        <v>481.74</v>
      </c>
      <c r="Q630">
        <v>27.27</v>
      </c>
      <c r="R630">
        <v>3.08</v>
      </c>
      <c r="S630">
        <v>512.09</v>
      </c>
      <c r="T630" t="s">
        <v>41</v>
      </c>
      <c r="U630" t="s">
        <v>41</v>
      </c>
      <c r="V630" t="s">
        <v>38</v>
      </c>
      <c r="W630" t="s">
        <v>716</v>
      </c>
      <c r="X630">
        <v>80.290000000000006</v>
      </c>
      <c r="Y630" s="9">
        <f t="shared" si="46"/>
        <v>80.290000000000006</v>
      </c>
      <c r="Z630" s="9">
        <f t="shared" si="47"/>
        <v>150.54375000000002</v>
      </c>
      <c r="AA630" s="5">
        <f t="shared" si="48"/>
        <v>167.25410625000001</v>
      </c>
      <c r="AB630" s="6">
        <f t="shared" si="49"/>
        <v>243.865820625</v>
      </c>
      <c r="AD630" s="10">
        <f t="shared" si="50"/>
        <v>305.33735006250009</v>
      </c>
    </row>
    <row r="631" spans="1:30" x14ac:dyDescent="0.3">
      <c r="A631" t="s">
        <v>168</v>
      </c>
      <c r="B631" s="8" t="s">
        <v>31</v>
      </c>
      <c r="C631" s="8" t="s">
        <v>32</v>
      </c>
      <c r="E631" s="8" t="s">
        <v>70</v>
      </c>
      <c r="F631" s="8" t="s">
        <v>71</v>
      </c>
      <c r="G631">
        <v>8421999000</v>
      </c>
      <c r="H631" t="s">
        <v>36</v>
      </c>
      <c r="I631" t="s">
        <v>430</v>
      </c>
      <c r="J631" t="s">
        <v>38</v>
      </c>
      <c r="K631" t="s">
        <v>39</v>
      </c>
      <c r="L631">
        <v>0</v>
      </c>
      <c r="M631">
        <v>6</v>
      </c>
      <c r="N631" t="s">
        <v>64</v>
      </c>
      <c r="O631">
        <v>0</v>
      </c>
      <c r="P631">
        <v>993.04</v>
      </c>
      <c r="Q631">
        <v>76.23</v>
      </c>
      <c r="R631">
        <v>7.15</v>
      </c>
      <c r="S631">
        <v>1076.42</v>
      </c>
      <c r="T631" t="s">
        <v>41</v>
      </c>
      <c r="U631" t="s">
        <v>41</v>
      </c>
      <c r="V631" t="s">
        <v>38</v>
      </c>
      <c r="W631" t="s">
        <v>717</v>
      </c>
      <c r="X631">
        <v>165.51</v>
      </c>
      <c r="Y631" s="9">
        <f t="shared" si="46"/>
        <v>165.50666666666666</v>
      </c>
      <c r="Z631" s="9">
        <f t="shared" si="47"/>
        <v>310.32499999999999</v>
      </c>
      <c r="AA631" s="5">
        <f t="shared" si="48"/>
        <v>344.771075</v>
      </c>
      <c r="AB631" s="6">
        <f t="shared" si="49"/>
        <v>502.69546749999995</v>
      </c>
      <c r="AD631" s="10">
        <f t="shared" si="50"/>
        <v>629.41047475000005</v>
      </c>
    </row>
    <row r="632" spans="1:30" x14ac:dyDescent="0.3">
      <c r="A632" t="s">
        <v>30</v>
      </c>
      <c r="B632" s="8" t="s">
        <v>31</v>
      </c>
      <c r="C632" s="8" t="s">
        <v>32</v>
      </c>
      <c r="D632" s="8" t="s">
        <v>33</v>
      </c>
      <c r="E632" s="8" t="s">
        <v>34</v>
      </c>
      <c r="F632" s="8" t="s">
        <v>35</v>
      </c>
      <c r="G632">
        <v>8421999000</v>
      </c>
      <c r="H632" t="s">
        <v>36</v>
      </c>
      <c r="I632" t="s">
        <v>602</v>
      </c>
      <c r="J632" t="s">
        <v>38</v>
      </c>
      <c r="K632" t="s">
        <v>39</v>
      </c>
      <c r="L632">
        <v>3</v>
      </c>
      <c r="M632">
        <v>3</v>
      </c>
      <c r="N632" t="s">
        <v>64</v>
      </c>
      <c r="O632">
        <v>0</v>
      </c>
      <c r="P632">
        <v>584.45000000000005</v>
      </c>
      <c r="Q632">
        <v>25.01</v>
      </c>
      <c r="R632">
        <v>3.77</v>
      </c>
      <c r="S632">
        <v>613.23</v>
      </c>
      <c r="T632" t="s">
        <v>41</v>
      </c>
      <c r="U632" t="s">
        <v>43</v>
      </c>
      <c r="V632" t="s">
        <v>38</v>
      </c>
      <c r="W632" t="s">
        <v>718</v>
      </c>
      <c r="X632">
        <v>194.82</v>
      </c>
      <c r="Y632" s="9">
        <f t="shared" si="46"/>
        <v>194.81666666666669</v>
      </c>
      <c r="Z632" s="9">
        <f t="shared" si="47"/>
        <v>365.28125000000006</v>
      </c>
      <c r="AA632" s="5">
        <f t="shared" si="48"/>
        <v>405.82746875000004</v>
      </c>
      <c r="AB632" s="6">
        <f t="shared" si="49"/>
        <v>591.7190968750001</v>
      </c>
      <c r="AD632" s="10">
        <f t="shared" si="50"/>
        <v>740.87438968750018</v>
      </c>
    </row>
    <row r="633" spans="1:30" x14ac:dyDescent="0.3">
      <c r="A633" t="s">
        <v>30</v>
      </c>
      <c r="B633" s="8" t="s">
        <v>31</v>
      </c>
      <c r="C633" s="8" t="s">
        <v>32</v>
      </c>
      <c r="D633" s="8" t="s">
        <v>33</v>
      </c>
      <c r="E633" s="8" t="s">
        <v>34</v>
      </c>
      <c r="F633" s="8" t="s">
        <v>35</v>
      </c>
      <c r="G633">
        <v>8421999000</v>
      </c>
      <c r="H633" t="s">
        <v>36</v>
      </c>
      <c r="I633" t="s">
        <v>430</v>
      </c>
      <c r="J633" t="s">
        <v>38</v>
      </c>
      <c r="K633" t="s">
        <v>39</v>
      </c>
      <c r="L633">
        <v>6</v>
      </c>
      <c r="M633">
        <v>5</v>
      </c>
      <c r="N633" t="s">
        <v>64</v>
      </c>
      <c r="O633">
        <v>0</v>
      </c>
      <c r="P633">
        <v>976.68</v>
      </c>
      <c r="Q633">
        <v>66.28</v>
      </c>
      <c r="R633">
        <v>6.35</v>
      </c>
      <c r="S633">
        <v>1049.3</v>
      </c>
      <c r="T633" t="s">
        <v>41</v>
      </c>
      <c r="U633" t="s">
        <v>41</v>
      </c>
      <c r="V633" t="s">
        <v>38</v>
      </c>
      <c r="W633" t="s">
        <v>718</v>
      </c>
      <c r="X633">
        <v>195.34</v>
      </c>
      <c r="Y633" s="9">
        <f t="shared" si="46"/>
        <v>195.33599999999998</v>
      </c>
      <c r="Z633" s="9">
        <f t="shared" si="47"/>
        <v>366.255</v>
      </c>
      <c r="AA633" s="5">
        <f t="shared" si="48"/>
        <v>406.90930500000002</v>
      </c>
      <c r="AB633" s="6">
        <f t="shared" si="49"/>
        <v>593.29647449999993</v>
      </c>
      <c r="AD633" s="10">
        <f t="shared" si="50"/>
        <v>742.84937865000006</v>
      </c>
    </row>
    <row r="634" spans="1:30" x14ac:dyDescent="0.3">
      <c r="A634" t="s">
        <v>30</v>
      </c>
      <c r="B634" s="8" t="s">
        <v>31</v>
      </c>
      <c r="C634" s="8" t="s">
        <v>32</v>
      </c>
      <c r="D634" s="8" t="s">
        <v>33</v>
      </c>
      <c r="E634" s="8" t="s">
        <v>34</v>
      </c>
      <c r="F634" s="8" t="s">
        <v>35</v>
      </c>
      <c r="G634">
        <v>8421999000</v>
      </c>
      <c r="H634" t="s">
        <v>36</v>
      </c>
      <c r="I634" t="s">
        <v>430</v>
      </c>
      <c r="J634" t="s">
        <v>38</v>
      </c>
      <c r="K634" t="s">
        <v>39</v>
      </c>
      <c r="L634">
        <v>8</v>
      </c>
      <c r="M634">
        <v>3</v>
      </c>
      <c r="N634" t="s">
        <v>64</v>
      </c>
      <c r="O634">
        <v>0</v>
      </c>
      <c r="P634">
        <v>586.34</v>
      </c>
      <c r="Q634">
        <v>62.59</v>
      </c>
      <c r="R634">
        <v>3.93</v>
      </c>
      <c r="S634">
        <v>652.87</v>
      </c>
      <c r="T634" t="s">
        <v>41</v>
      </c>
      <c r="U634" t="s">
        <v>41</v>
      </c>
      <c r="V634" t="s">
        <v>38</v>
      </c>
      <c r="W634" t="s">
        <v>718</v>
      </c>
      <c r="X634">
        <v>195.45</v>
      </c>
      <c r="Y634" s="9">
        <f t="shared" si="46"/>
        <v>195.44666666666669</v>
      </c>
      <c r="Z634" s="9">
        <f t="shared" si="47"/>
        <v>366.46250000000003</v>
      </c>
      <c r="AA634" s="5">
        <f t="shared" si="48"/>
        <v>407.13983750000006</v>
      </c>
      <c r="AB634" s="6">
        <f t="shared" si="49"/>
        <v>593.63260375000004</v>
      </c>
      <c r="AD634" s="10">
        <f t="shared" si="50"/>
        <v>743.2702363750002</v>
      </c>
    </row>
    <row r="635" spans="1:30" x14ac:dyDescent="0.3">
      <c r="A635" t="s">
        <v>168</v>
      </c>
      <c r="B635" s="8" t="s">
        <v>31</v>
      </c>
      <c r="C635" s="8" t="s">
        <v>32</v>
      </c>
      <c r="E635" s="8" t="s">
        <v>70</v>
      </c>
      <c r="F635" s="8" t="s">
        <v>71</v>
      </c>
      <c r="G635">
        <v>8421999000</v>
      </c>
      <c r="H635" t="s">
        <v>36</v>
      </c>
      <c r="I635" t="s">
        <v>430</v>
      </c>
      <c r="J635" t="s">
        <v>38</v>
      </c>
      <c r="K635" t="s">
        <v>39</v>
      </c>
      <c r="L635">
        <v>0</v>
      </c>
      <c r="M635">
        <v>6</v>
      </c>
      <c r="N635" t="s">
        <v>64</v>
      </c>
      <c r="O635">
        <v>0</v>
      </c>
      <c r="P635">
        <v>993.04</v>
      </c>
      <c r="Q635">
        <v>76.23</v>
      </c>
      <c r="R635">
        <v>7.15</v>
      </c>
      <c r="S635">
        <v>1076.42</v>
      </c>
      <c r="T635" t="s">
        <v>41</v>
      </c>
      <c r="U635" t="s">
        <v>41</v>
      </c>
      <c r="V635" t="s">
        <v>38</v>
      </c>
      <c r="W635" t="s">
        <v>718</v>
      </c>
      <c r="X635">
        <v>165.51</v>
      </c>
      <c r="Y635" s="9">
        <f t="shared" si="46"/>
        <v>165.50666666666666</v>
      </c>
      <c r="Z635" s="9">
        <f t="shared" si="47"/>
        <v>310.32499999999999</v>
      </c>
      <c r="AA635" s="5">
        <f t="shared" si="48"/>
        <v>344.771075</v>
      </c>
      <c r="AB635" s="6">
        <f t="shared" si="49"/>
        <v>502.69546749999995</v>
      </c>
      <c r="AD635" s="10">
        <f t="shared" si="50"/>
        <v>629.41047475000005</v>
      </c>
    </row>
    <row r="636" spans="1:30" x14ac:dyDescent="0.3">
      <c r="A636" t="s">
        <v>30</v>
      </c>
      <c r="B636" s="8" t="s">
        <v>31</v>
      </c>
      <c r="C636" s="8" t="s">
        <v>32</v>
      </c>
      <c r="D636" s="8" t="s">
        <v>33</v>
      </c>
      <c r="E636" s="8" t="s">
        <v>34</v>
      </c>
      <c r="F636" s="8" t="s">
        <v>35</v>
      </c>
      <c r="G636">
        <v>8421999000</v>
      </c>
      <c r="H636" t="s">
        <v>36</v>
      </c>
      <c r="I636" t="s">
        <v>215</v>
      </c>
      <c r="J636" t="s">
        <v>38</v>
      </c>
      <c r="K636" t="s">
        <v>39</v>
      </c>
      <c r="L636">
        <v>8</v>
      </c>
      <c r="M636">
        <v>8</v>
      </c>
      <c r="N636" t="s">
        <v>64</v>
      </c>
      <c r="O636">
        <v>0</v>
      </c>
      <c r="P636">
        <v>815.69</v>
      </c>
      <c r="Q636">
        <v>102.18</v>
      </c>
      <c r="R636">
        <v>5.57</v>
      </c>
      <c r="S636">
        <v>923.45</v>
      </c>
      <c r="T636" t="s">
        <v>41</v>
      </c>
      <c r="U636" t="s">
        <v>41</v>
      </c>
      <c r="V636" t="s">
        <v>38</v>
      </c>
      <c r="W636" t="s">
        <v>719</v>
      </c>
      <c r="X636">
        <v>101.96</v>
      </c>
      <c r="Y636" s="9">
        <f t="shared" si="46"/>
        <v>101.96125000000001</v>
      </c>
      <c r="Z636" s="9">
        <f t="shared" si="47"/>
        <v>191.17734375000001</v>
      </c>
      <c r="AA636" s="5">
        <f t="shared" si="48"/>
        <v>212.39802890625</v>
      </c>
      <c r="AB636" s="6">
        <f t="shared" si="49"/>
        <v>309.68817914062498</v>
      </c>
      <c r="AD636" s="10">
        <f t="shared" si="50"/>
        <v>387.75162391406258</v>
      </c>
    </row>
    <row r="637" spans="1:30" x14ac:dyDescent="0.3">
      <c r="A637" t="s">
        <v>30</v>
      </c>
      <c r="B637" s="8" t="s">
        <v>31</v>
      </c>
      <c r="C637" s="8" t="s">
        <v>32</v>
      </c>
      <c r="D637" s="8" t="s">
        <v>33</v>
      </c>
      <c r="E637" s="8" t="s">
        <v>34</v>
      </c>
      <c r="F637" s="8" t="s">
        <v>35</v>
      </c>
      <c r="G637">
        <v>8421999000</v>
      </c>
      <c r="H637" t="s">
        <v>36</v>
      </c>
      <c r="I637" t="s">
        <v>215</v>
      </c>
      <c r="J637" t="s">
        <v>38</v>
      </c>
      <c r="K637" t="s">
        <v>39</v>
      </c>
      <c r="L637">
        <v>8</v>
      </c>
      <c r="M637">
        <v>10</v>
      </c>
      <c r="N637" t="s">
        <v>64</v>
      </c>
      <c r="O637">
        <v>0</v>
      </c>
      <c r="P637">
        <v>1495.99</v>
      </c>
      <c r="Q637">
        <v>215.29</v>
      </c>
      <c r="R637">
        <v>10.53</v>
      </c>
      <c r="S637">
        <v>1721.81</v>
      </c>
      <c r="T637" t="s">
        <v>41</v>
      </c>
      <c r="U637" t="s">
        <v>41</v>
      </c>
      <c r="V637" t="s">
        <v>38</v>
      </c>
      <c r="W637" t="s">
        <v>720</v>
      </c>
      <c r="X637">
        <v>149.6</v>
      </c>
      <c r="Y637" s="9">
        <f t="shared" si="46"/>
        <v>149.59899999999999</v>
      </c>
      <c r="Z637" s="9">
        <f t="shared" si="47"/>
        <v>280.49812499999996</v>
      </c>
      <c r="AA637" s="5">
        <f t="shared" si="48"/>
        <v>311.63341687499997</v>
      </c>
      <c r="AB637" s="6">
        <f t="shared" si="49"/>
        <v>454.37891268749991</v>
      </c>
      <c r="AD637" s="10">
        <f t="shared" si="50"/>
        <v>568.91471206874996</v>
      </c>
    </row>
    <row r="638" spans="1:30" x14ac:dyDescent="0.3">
      <c r="A638" t="s">
        <v>30</v>
      </c>
      <c r="B638" s="8" t="s">
        <v>31</v>
      </c>
      <c r="C638" s="8" t="s">
        <v>32</v>
      </c>
      <c r="D638" s="8" t="s">
        <v>33</v>
      </c>
      <c r="E638" s="8" t="s">
        <v>34</v>
      </c>
      <c r="F638" s="8" t="s">
        <v>35</v>
      </c>
      <c r="G638">
        <v>8421999000</v>
      </c>
      <c r="H638" t="s">
        <v>36</v>
      </c>
      <c r="I638" t="s">
        <v>215</v>
      </c>
      <c r="J638" t="s">
        <v>38</v>
      </c>
      <c r="K638" t="s">
        <v>39</v>
      </c>
      <c r="L638">
        <v>6</v>
      </c>
      <c r="M638">
        <v>8</v>
      </c>
      <c r="N638" t="s">
        <v>64</v>
      </c>
      <c r="O638">
        <v>0</v>
      </c>
      <c r="P638">
        <v>1273.3800000000001</v>
      </c>
      <c r="Q638">
        <v>86.41</v>
      </c>
      <c r="R638">
        <v>8.2799999999999994</v>
      </c>
      <c r="S638">
        <v>1368.07</v>
      </c>
      <c r="T638" t="s">
        <v>41</v>
      </c>
      <c r="U638" t="s">
        <v>41</v>
      </c>
      <c r="V638" t="s">
        <v>38</v>
      </c>
      <c r="W638" t="s">
        <v>720</v>
      </c>
      <c r="X638">
        <v>159.16999999999999</v>
      </c>
      <c r="Y638" s="9">
        <f t="shared" si="46"/>
        <v>159.17250000000001</v>
      </c>
      <c r="Z638" s="9">
        <f t="shared" si="47"/>
        <v>298.44843750000001</v>
      </c>
      <c r="AA638" s="5">
        <f t="shared" si="48"/>
        <v>331.57621406250001</v>
      </c>
      <c r="AB638" s="6">
        <f t="shared" si="49"/>
        <v>483.45662390625</v>
      </c>
      <c r="AD638" s="10">
        <f t="shared" si="50"/>
        <v>605.32207439062506</v>
      </c>
    </row>
    <row r="639" spans="1:30" x14ac:dyDescent="0.3">
      <c r="A639" t="s">
        <v>30</v>
      </c>
      <c r="B639" s="8" t="s">
        <v>31</v>
      </c>
      <c r="C639" s="8" t="s">
        <v>32</v>
      </c>
      <c r="D639" s="8" t="s">
        <v>69</v>
      </c>
      <c r="E639" s="8" t="s">
        <v>70</v>
      </c>
      <c r="F639" s="8" t="s">
        <v>71</v>
      </c>
      <c r="G639">
        <v>8421999000</v>
      </c>
      <c r="H639" t="s">
        <v>36</v>
      </c>
      <c r="I639" t="s">
        <v>721</v>
      </c>
      <c r="J639" t="s">
        <v>38</v>
      </c>
      <c r="K639" t="s">
        <v>39</v>
      </c>
      <c r="L639">
        <v>9</v>
      </c>
      <c r="M639">
        <v>10</v>
      </c>
      <c r="N639" t="s">
        <v>64</v>
      </c>
      <c r="O639">
        <v>0</v>
      </c>
      <c r="P639">
        <v>1469.2</v>
      </c>
      <c r="Q639">
        <v>74.040000000000006</v>
      </c>
      <c r="R639">
        <v>9.33</v>
      </c>
      <c r="S639">
        <v>1552.57</v>
      </c>
      <c r="T639" t="s">
        <v>41</v>
      </c>
      <c r="U639" t="s">
        <v>43</v>
      </c>
      <c r="V639" t="s">
        <v>38</v>
      </c>
      <c r="W639" t="s">
        <v>720</v>
      </c>
      <c r="X639">
        <v>146.91999999999999</v>
      </c>
      <c r="Y639" s="9">
        <f t="shared" si="46"/>
        <v>146.92000000000002</v>
      </c>
      <c r="Z639" s="9">
        <f t="shared" si="47"/>
        <v>275.47500000000002</v>
      </c>
      <c r="AA639" s="5">
        <f t="shared" si="48"/>
        <v>306.05272500000001</v>
      </c>
      <c r="AB639" s="6">
        <f t="shared" si="49"/>
        <v>446.24195250000002</v>
      </c>
      <c r="AD639" s="10">
        <f t="shared" si="50"/>
        <v>558.72665925000013</v>
      </c>
    </row>
    <row r="640" spans="1:30" x14ac:dyDescent="0.3">
      <c r="A640" t="s">
        <v>30</v>
      </c>
      <c r="B640" s="8" t="s">
        <v>31</v>
      </c>
      <c r="C640" s="8" t="s">
        <v>32</v>
      </c>
      <c r="D640" s="8" t="s">
        <v>69</v>
      </c>
      <c r="E640" s="8" t="s">
        <v>70</v>
      </c>
      <c r="F640" s="8" t="s">
        <v>71</v>
      </c>
      <c r="G640">
        <v>8421999000</v>
      </c>
      <c r="H640" t="s">
        <v>36</v>
      </c>
      <c r="I640" t="s">
        <v>215</v>
      </c>
      <c r="J640" t="s">
        <v>38</v>
      </c>
      <c r="K640" t="s">
        <v>39</v>
      </c>
      <c r="L640">
        <v>8</v>
      </c>
      <c r="M640">
        <v>10</v>
      </c>
      <c r="N640" t="s">
        <v>64</v>
      </c>
      <c r="O640">
        <v>0</v>
      </c>
      <c r="P640">
        <v>1557.3</v>
      </c>
      <c r="Q640">
        <v>101.95</v>
      </c>
      <c r="R640">
        <v>10.1</v>
      </c>
      <c r="S640">
        <v>1669.34</v>
      </c>
      <c r="T640" t="s">
        <v>41</v>
      </c>
      <c r="U640" t="s">
        <v>41</v>
      </c>
      <c r="V640" t="s">
        <v>38</v>
      </c>
      <c r="W640" t="s">
        <v>720</v>
      </c>
      <c r="X640">
        <v>155.72999999999999</v>
      </c>
      <c r="Y640" s="9">
        <f t="shared" si="46"/>
        <v>155.72999999999999</v>
      </c>
      <c r="Z640" s="9">
        <f t="shared" si="47"/>
        <v>291.99374999999998</v>
      </c>
      <c r="AA640" s="5">
        <f t="shared" si="48"/>
        <v>324.40505624999997</v>
      </c>
      <c r="AB640" s="6">
        <f t="shared" si="49"/>
        <v>473.00067562499993</v>
      </c>
      <c r="AD640" s="10">
        <f t="shared" si="50"/>
        <v>592.23048356250001</v>
      </c>
    </row>
    <row r="641" spans="1:30" x14ac:dyDescent="0.3">
      <c r="A641" t="s">
        <v>30</v>
      </c>
      <c r="B641" s="8" t="s">
        <v>31</v>
      </c>
      <c r="C641" s="8" t="s">
        <v>32</v>
      </c>
      <c r="D641" s="8" t="s">
        <v>33</v>
      </c>
      <c r="E641" s="8" t="s">
        <v>34</v>
      </c>
      <c r="F641" s="8" t="s">
        <v>35</v>
      </c>
      <c r="G641">
        <v>8421999000</v>
      </c>
      <c r="H641" t="s">
        <v>36</v>
      </c>
      <c r="I641" t="s">
        <v>215</v>
      </c>
      <c r="J641" t="s">
        <v>38</v>
      </c>
      <c r="K641" t="s">
        <v>39</v>
      </c>
      <c r="L641">
        <v>8</v>
      </c>
      <c r="M641">
        <v>6</v>
      </c>
      <c r="N641" t="s">
        <v>64</v>
      </c>
      <c r="O641">
        <v>0</v>
      </c>
      <c r="P641">
        <v>955.59</v>
      </c>
      <c r="Q641">
        <v>102.01</v>
      </c>
      <c r="R641">
        <v>6.4</v>
      </c>
      <c r="S641">
        <v>1064</v>
      </c>
      <c r="T641" t="s">
        <v>41</v>
      </c>
      <c r="U641" t="s">
        <v>41</v>
      </c>
      <c r="V641" t="s">
        <v>38</v>
      </c>
      <c r="W641" t="s">
        <v>720</v>
      </c>
      <c r="X641">
        <v>159.27000000000001</v>
      </c>
      <c r="Y641" s="9">
        <f t="shared" si="46"/>
        <v>159.26500000000001</v>
      </c>
      <c r="Z641" s="9">
        <f t="shared" si="47"/>
        <v>298.62187500000005</v>
      </c>
      <c r="AA641" s="5">
        <f t="shared" si="48"/>
        <v>331.76890312500007</v>
      </c>
      <c r="AB641" s="6">
        <f t="shared" si="49"/>
        <v>483.73757531250004</v>
      </c>
      <c r="AD641" s="10">
        <f t="shared" si="50"/>
        <v>605.67384553125021</v>
      </c>
    </row>
    <row r="642" spans="1:30" x14ac:dyDescent="0.3">
      <c r="A642" t="s">
        <v>168</v>
      </c>
      <c r="B642" s="8" t="s">
        <v>31</v>
      </c>
      <c r="C642" s="8" t="s">
        <v>32</v>
      </c>
      <c r="E642" s="8" t="s">
        <v>70</v>
      </c>
      <c r="F642" s="8" t="s">
        <v>71</v>
      </c>
      <c r="G642">
        <v>8421999000</v>
      </c>
      <c r="H642" t="s">
        <v>36</v>
      </c>
      <c r="I642" t="s">
        <v>215</v>
      </c>
      <c r="J642" t="s">
        <v>38</v>
      </c>
      <c r="K642" t="s">
        <v>39</v>
      </c>
      <c r="L642">
        <v>0</v>
      </c>
      <c r="M642">
        <v>6</v>
      </c>
      <c r="N642" t="s">
        <v>64</v>
      </c>
      <c r="O642">
        <v>0</v>
      </c>
      <c r="P642">
        <v>809.22</v>
      </c>
      <c r="Q642">
        <v>62.12</v>
      </c>
      <c r="R642">
        <v>5.83</v>
      </c>
      <c r="S642">
        <v>877.16</v>
      </c>
      <c r="T642" t="s">
        <v>41</v>
      </c>
      <c r="U642" t="s">
        <v>41</v>
      </c>
      <c r="V642" t="s">
        <v>38</v>
      </c>
      <c r="W642" t="s">
        <v>720</v>
      </c>
      <c r="X642">
        <v>134.87</v>
      </c>
      <c r="Y642" s="9">
        <f t="shared" si="46"/>
        <v>134.87</v>
      </c>
      <c r="Z642" s="9">
        <f t="shared" si="47"/>
        <v>252.88125000000002</v>
      </c>
      <c r="AA642" s="5">
        <f t="shared" si="48"/>
        <v>280.95106875000005</v>
      </c>
      <c r="AB642" s="6">
        <f t="shared" si="49"/>
        <v>409.64233687500001</v>
      </c>
      <c r="AD642" s="10">
        <f t="shared" si="50"/>
        <v>512.90133768750013</v>
      </c>
    </row>
    <row r="643" spans="1:30" x14ac:dyDescent="0.3">
      <c r="A643" t="s">
        <v>30</v>
      </c>
      <c r="B643" s="8" t="s">
        <v>31</v>
      </c>
      <c r="C643" s="8" t="s">
        <v>32</v>
      </c>
      <c r="D643" s="8" t="s">
        <v>33</v>
      </c>
      <c r="E643" s="8" t="s">
        <v>34</v>
      </c>
      <c r="F643" s="8" t="s">
        <v>35</v>
      </c>
      <c r="G643">
        <v>8421999000</v>
      </c>
      <c r="H643" t="s">
        <v>36</v>
      </c>
      <c r="I643" t="s">
        <v>722</v>
      </c>
      <c r="J643" t="s">
        <v>38</v>
      </c>
      <c r="K643" t="s">
        <v>39</v>
      </c>
      <c r="L643">
        <v>6</v>
      </c>
      <c r="M643">
        <v>6</v>
      </c>
      <c r="N643" t="s">
        <v>64</v>
      </c>
      <c r="O643">
        <v>0</v>
      </c>
      <c r="P643">
        <v>920.63</v>
      </c>
      <c r="Q643">
        <v>62.47</v>
      </c>
      <c r="R643">
        <v>5.99</v>
      </c>
      <c r="S643">
        <v>989.09</v>
      </c>
      <c r="T643" t="s">
        <v>41</v>
      </c>
      <c r="U643" t="s">
        <v>41</v>
      </c>
      <c r="V643" t="s">
        <v>38</v>
      </c>
      <c r="W643" t="s">
        <v>723</v>
      </c>
      <c r="X643">
        <v>153.44</v>
      </c>
      <c r="Y643" s="9">
        <f t="shared" ref="Y643:Y706" si="51">SUM(P643)/M643</f>
        <v>153.43833333333333</v>
      </c>
      <c r="Z643" s="9">
        <f t="shared" ref="Z643:Z706" si="52">SUM(Y643)*1.875</f>
        <v>287.69687499999998</v>
      </c>
      <c r="AA643" s="5">
        <f t="shared" ref="AA643:AA706" si="53">SUM(Z643)*1.111</f>
        <v>319.63122812499995</v>
      </c>
      <c r="AB643" s="6">
        <f t="shared" ref="AB643:AB706" si="54">SUM(Z643)*1.6199</f>
        <v>466.04016781249993</v>
      </c>
      <c r="AD643" s="10">
        <f t="shared" ref="AD643:AD706" si="55">SUM(Z643)*2.02823</f>
        <v>583.51543278124996</v>
      </c>
    </row>
    <row r="644" spans="1:30" x14ac:dyDescent="0.3">
      <c r="A644" t="s">
        <v>30</v>
      </c>
      <c r="B644" s="8" t="s">
        <v>31</v>
      </c>
      <c r="C644" s="8" t="s">
        <v>32</v>
      </c>
      <c r="D644" s="8" t="s">
        <v>33</v>
      </c>
      <c r="E644" s="8" t="s">
        <v>34</v>
      </c>
      <c r="F644" s="8" t="s">
        <v>35</v>
      </c>
      <c r="G644">
        <v>8421999000</v>
      </c>
      <c r="H644" t="s">
        <v>36</v>
      </c>
      <c r="I644" t="s">
        <v>724</v>
      </c>
      <c r="J644" t="s">
        <v>38</v>
      </c>
      <c r="K644" t="s">
        <v>39</v>
      </c>
      <c r="L644">
        <v>16</v>
      </c>
      <c r="M644">
        <v>4</v>
      </c>
      <c r="N644" t="s">
        <v>64</v>
      </c>
      <c r="O644">
        <v>0</v>
      </c>
      <c r="P644">
        <v>616.04999999999995</v>
      </c>
      <c r="Q644">
        <v>85.03</v>
      </c>
      <c r="R644">
        <v>4.1100000000000003</v>
      </c>
      <c r="S644">
        <v>705.19</v>
      </c>
      <c r="T644" t="s">
        <v>41</v>
      </c>
      <c r="U644" t="s">
        <v>41</v>
      </c>
      <c r="V644" t="s">
        <v>38</v>
      </c>
      <c r="W644" t="s">
        <v>723</v>
      </c>
      <c r="X644">
        <v>154.01</v>
      </c>
      <c r="Y644" s="9">
        <f t="shared" si="51"/>
        <v>154.01249999999999</v>
      </c>
      <c r="Z644" s="9">
        <f t="shared" si="52"/>
        <v>288.7734375</v>
      </c>
      <c r="AA644" s="5">
        <f t="shared" si="53"/>
        <v>320.82728906249997</v>
      </c>
      <c r="AB644" s="6">
        <f t="shared" si="54"/>
        <v>467.78409140624996</v>
      </c>
      <c r="AD644" s="10">
        <f t="shared" si="55"/>
        <v>585.69894914062502</v>
      </c>
    </row>
    <row r="645" spans="1:30" x14ac:dyDescent="0.3">
      <c r="A645" t="s">
        <v>30</v>
      </c>
      <c r="B645" s="8" t="s">
        <v>31</v>
      </c>
      <c r="C645" s="8" t="s">
        <v>32</v>
      </c>
      <c r="D645" s="8" t="s">
        <v>69</v>
      </c>
      <c r="E645" s="8" t="s">
        <v>70</v>
      </c>
      <c r="F645" s="8" t="s">
        <v>71</v>
      </c>
      <c r="G645">
        <v>8421999000</v>
      </c>
      <c r="H645" t="s">
        <v>36</v>
      </c>
      <c r="I645" t="s">
        <v>725</v>
      </c>
      <c r="J645" t="s">
        <v>38</v>
      </c>
      <c r="K645" t="s">
        <v>39</v>
      </c>
      <c r="L645">
        <v>13</v>
      </c>
      <c r="M645">
        <v>12</v>
      </c>
      <c r="N645" t="s">
        <v>64</v>
      </c>
      <c r="O645">
        <v>0</v>
      </c>
      <c r="P645">
        <v>1625.04</v>
      </c>
      <c r="Q645">
        <v>86.76</v>
      </c>
      <c r="R645">
        <v>10.44</v>
      </c>
      <c r="S645">
        <v>1722.24</v>
      </c>
      <c r="T645" t="s">
        <v>72</v>
      </c>
      <c r="U645" t="s">
        <v>72</v>
      </c>
      <c r="V645" t="s">
        <v>38</v>
      </c>
      <c r="W645" t="s">
        <v>723</v>
      </c>
      <c r="X645">
        <v>135.41999999999999</v>
      </c>
      <c r="Y645" s="9">
        <f t="shared" si="51"/>
        <v>135.41999999999999</v>
      </c>
      <c r="Z645" s="9">
        <f t="shared" si="52"/>
        <v>253.91249999999997</v>
      </c>
      <c r="AA645" s="5">
        <f t="shared" si="53"/>
        <v>282.09678749999995</v>
      </c>
      <c r="AB645" s="6">
        <f t="shared" si="54"/>
        <v>411.31285874999992</v>
      </c>
      <c r="AD645" s="10">
        <f t="shared" si="55"/>
        <v>514.99294987500002</v>
      </c>
    </row>
    <row r="646" spans="1:30" x14ac:dyDescent="0.3">
      <c r="A646" t="s">
        <v>30</v>
      </c>
      <c r="B646" s="8" t="s">
        <v>31</v>
      </c>
      <c r="C646" s="8" t="s">
        <v>32</v>
      </c>
      <c r="D646" s="8" t="s">
        <v>33</v>
      </c>
      <c r="E646" s="8" t="s">
        <v>34</v>
      </c>
      <c r="F646" s="8" t="s">
        <v>35</v>
      </c>
      <c r="G646">
        <v>8421999000</v>
      </c>
      <c r="H646" t="s">
        <v>36</v>
      </c>
      <c r="I646" t="s">
        <v>722</v>
      </c>
      <c r="J646" t="s">
        <v>38</v>
      </c>
      <c r="K646" t="s">
        <v>39</v>
      </c>
      <c r="L646">
        <v>8</v>
      </c>
      <c r="M646">
        <v>6</v>
      </c>
      <c r="N646" t="s">
        <v>64</v>
      </c>
      <c r="O646">
        <v>0</v>
      </c>
      <c r="P646">
        <v>921.17</v>
      </c>
      <c r="Q646">
        <v>98.33</v>
      </c>
      <c r="R646">
        <v>6.17</v>
      </c>
      <c r="S646">
        <v>1025.68</v>
      </c>
      <c r="T646" t="s">
        <v>41</v>
      </c>
      <c r="U646" t="s">
        <v>41</v>
      </c>
      <c r="V646" t="s">
        <v>38</v>
      </c>
      <c r="W646" t="s">
        <v>723</v>
      </c>
      <c r="X646">
        <v>153.53</v>
      </c>
      <c r="Y646" s="9">
        <f t="shared" si="51"/>
        <v>153.52833333333334</v>
      </c>
      <c r="Z646" s="9">
        <f t="shared" si="52"/>
        <v>287.86562500000002</v>
      </c>
      <c r="AA646" s="5">
        <f t="shared" si="53"/>
        <v>319.81870937500003</v>
      </c>
      <c r="AB646" s="6">
        <f t="shared" si="54"/>
        <v>466.3135259375</v>
      </c>
      <c r="AD646" s="10">
        <f t="shared" si="55"/>
        <v>583.85769659375012</v>
      </c>
    </row>
    <row r="647" spans="1:30" x14ac:dyDescent="0.3">
      <c r="A647" t="s">
        <v>168</v>
      </c>
      <c r="B647" s="8" t="s">
        <v>31</v>
      </c>
      <c r="C647" s="8" t="s">
        <v>32</v>
      </c>
      <c r="E647" s="8" t="s">
        <v>70</v>
      </c>
      <c r="F647" s="8" t="s">
        <v>71</v>
      </c>
      <c r="G647">
        <v>8421999000</v>
      </c>
      <c r="H647" t="s">
        <v>36</v>
      </c>
      <c r="I647" t="s">
        <v>722</v>
      </c>
      <c r="J647" t="s">
        <v>38</v>
      </c>
      <c r="K647" t="s">
        <v>39</v>
      </c>
      <c r="L647">
        <v>0</v>
      </c>
      <c r="M647">
        <v>12</v>
      </c>
      <c r="N647" t="s">
        <v>64</v>
      </c>
      <c r="O647">
        <v>0</v>
      </c>
      <c r="P647">
        <v>1560.1</v>
      </c>
      <c r="Q647">
        <v>119.76</v>
      </c>
      <c r="R647">
        <v>11.24</v>
      </c>
      <c r="S647">
        <v>1691.1</v>
      </c>
      <c r="T647" t="s">
        <v>41</v>
      </c>
      <c r="U647" t="s">
        <v>41</v>
      </c>
      <c r="V647" t="s">
        <v>38</v>
      </c>
      <c r="W647" t="s">
        <v>723</v>
      </c>
      <c r="X647">
        <v>130.01</v>
      </c>
      <c r="Y647" s="9">
        <f t="shared" si="51"/>
        <v>130.00833333333333</v>
      </c>
      <c r="Z647" s="9">
        <f t="shared" si="52"/>
        <v>243.765625</v>
      </c>
      <c r="AA647" s="5">
        <f t="shared" si="53"/>
        <v>270.82360937499999</v>
      </c>
      <c r="AB647" s="6">
        <f t="shared" si="54"/>
        <v>394.87593593749995</v>
      </c>
      <c r="AD647" s="10">
        <f t="shared" si="55"/>
        <v>494.41275359375004</v>
      </c>
    </row>
    <row r="648" spans="1:30" x14ac:dyDescent="0.3">
      <c r="A648" t="s">
        <v>30</v>
      </c>
      <c r="B648" s="8" t="s">
        <v>32</v>
      </c>
      <c r="C648" s="8" t="s">
        <v>32</v>
      </c>
      <c r="D648" s="8" t="s">
        <v>33</v>
      </c>
      <c r="E648" s="8" t="s">
        <v>34</v>
      </c>
      <c r="F648" s="8" t="s">
        <v>35</v>
      </c>
      <c r="G648">
        <v>8484900000</v>
      </c>
      <c r="H648" t="s">
        <v>177</v>
      </c>
      <c r="I648" t="s">
        <v>726</v>
      </c>
      <c r="J648" t="s">
        <v>38</v>
      </c>
      <c r="K648" t="s">
        <v>39</v>
      </c>
      <c r="L648">
        <v>7</v>
      </c>
      <c r="M648">
        <v>2</v>
      </c>
      <c r="N648" t="s">
        <v>64</v>
      </c>
      <c r="O648">
        <v>0</v>
      </c>
      <c r="P648">
        <v>42.16</v>
      </c>
      <c r="Q648">
        <v>6.66</v>
      </c>
      <c r="R648">
        <v>0.26</v>
      </c>
      <c r="S648">
        <v>49.08</v>
      </c>
      <c r="T648" t="s">
        <v>41</v>
      </c>
      <c r="U648" t="s">
        <v>41</v>
      </c>
      <c r="V648" t="s">
        <v>38</v>
      </c>
      <c r="W648" t="s">
        <v>727</v>
      </c>
      <c r="X648">
        <v>21.08</v>
      </c>
      <c r="Y648" s="9">
        <f t="shared" si="51"/>
        <v>21.08</v>
      </c>
      <c r="Z648" s="9">
        <f t="shared" si="52"/>
        <v>39.524999999999999</v>
      </c>
      <c r="AA648" s="5">
        <f t="shared" si="53"/>
        <v>43.912275000000001</v>
      </c>
      <c r="AB648" s="6">
        <f t="shared" si="54"/>
        <v>64.026547499999992</v>
      </c>
      <c r="AD648" s="10">
        <f t="shared" si="55"/>
        <v>80.165790749999999</v>
      </c>
    </row>
    <row r="649" spans="1:30" x14ac:dyDescent="0.3">
      <c r="A649" t="s">
        <v>30</v>
      </c>
      <c r="B649" s="8" t="s">
        <v>32</v>
      </c>
      <c r="C649" s="8" t="s">
        <v>32</v>
      </c>
      <c r="D649" s="8" t="s">
        <v>33</v>
      </c>
      <c r="E649" s="8" t="s">
        <v>34</v>
      </c>
      <c r="F649" s="8" t="s">
        <v>35</v>
      </c>
      <c r="G649">
        <v>8481909090</v>
      </c>
      <c r="H649" t="s">
        <v>53</v>
      </c>
      <c r="I649" t="s">
        <v>728</v>
      </c>
      <c r="J649" t="s">
        <v>38</v>
      </c>
      <c r="K649" t="s">
        <v>39</v>
      </c>
      <c r="L649">
        <v>4</v>
      </c>
      <c r="M649">
        <v>6</v>
      </c>
      <c r="N649" t="s">
        <v>64</v>
      </c>
      <c r="O649">
        <v>0</v>
      </c>
      <c r="P649">
        <v>540.04</v>
      </c>
      <c r="Q649">
        <v>28.27</v>
      </c>
      <c r="R649">
        <v>3.52</v>
      </c>
      <c r="S649">
        <v>571.84</v>
      </c>
      <c r="T649" t="s">
        <v>41</v>
      </c>
      <c r="U649" t="s">
        <v>41</v>
      </c>
      <c r="V649" t="s">
        <v>38</v>
      </c>
      <c r="W649" t="s">
        <v>729</v>
      </c>
      <c r="X649">
        <v>90.01</v>
      </c>
      <c r="Y649" s="9">
        <f t="shared" si="51"/>
        <v>90.006666666666661</v>
      </c>
      <c r="Z649" s="9">
        <f t="shared" si="52"/>
        <v>168.76249999999999</v>
      </c>
      <c r="AA649" s="5">
        <f t="shared" si="53"/>
        <v>187.4951375</v>
      </c>
      <c r="AB649" s="6">
        <f t="shared" si="54"/>
        <v>273.37837374999998</v>
      </c>
      <c r="AD649" s="10">
        <f t="shared" si="55"/>
        <v>342.28916537500004</v>
      </c>
    </row>
    <row r="650" spans="1:30" x14ac:dyDescent="0.3">
      <c r="A650" t="s">
        <v>30</v>
      </c>
      <c r="B650" s="8" t="s">
        <v>32</v>
      </c>
      <c r="C650" s="8" t="s">
        <v>32</v>
      </c>
      <c r="D650" s="8" t="s">
        <v>69</v>
      </c>
      <c r="E650" s="8" t="s">
        <v>70</v>
      </c>
      <c r="F650" s="8" t="s">
        <v>71</v>
      </c>
      <c r="G650">
        <v>8481909090</v>
      </c>
      <c r="H650" t="s">
        <v>53</v>
      </c>
      <c r="I650" t="s">
        <v>730</v>
      </c>
      <c r="J650" t="s">
        <v>38</v>
      </c>
      <c r="K650" t="s">
        <v>39</v>
      </c>
      <c r="L650">
        <v>13</v>
      </c>
      <c r="M650">
        <v>10</v>
      </c>
      <c r="N650" t="s">
        <v>64</v>
      </c>
      <c r="O650">
        <v>0</v>
      </c>
      <c r="P650">
        <v>880</v>
      </c>
      <c r="Q650">
        <v>46.98</v>
      </c>
      <c r="R650">
        <v>5.65</v>
      </c>
      <c r="S650">
        <v>932.64</v>
      </c>
      <c r="T650" t="s">
        <v>72</v>
      </c>
      <c r="U650" t="s">
        <v>72</v>
      </c>
      <c r="V650" t="s">
        <v>38</v>
      </c>
      <c r="W650" t="s">
        <v>729</v>
      </c>
      <c r="X650">
        <v>88</v>
      </c>
      <c r="Y650" s="9">
        <f t="shared" si="51"/>
        <v>88</v>
      </c>
      <c r="Z650" s="9">
        <f t="shared" si="52"/>
        <v>165</v>
      </c>
      <c r="AA650" s="5">
        <f t="shared" si="53"/>
        <v>183.315</v>
      </c>
      <c r="AB650" s="6">
        <f t="shared" si="54"/>
        <v>267.2835</v>
      </c>
      <c r="AD650" s="10">
        <f t="shared" si="55"/>
        <v>334.65795000000003</v>
      </c>
    </row>
    <row r="651" spans="1:30" x14ac:dyDescent="0.3">
      <c r="A651" t="s">
        <v>30</v>
      </c>
      <c r="B651" s="8" t="s">
        <v>32</v>
      </c>
      <c r="C651" s="8" t="s">
        <v>32</v>
      </c>
      <c r="D651" s="8" t="s">
        <v>33</v>
      </c>
      <c r="E651" s="8" t="s">
        <v>34</v>
      </c>
      <c r="F651" s="8" t="s">
        <v>35</v>
      </c>
      <c r="G651">
        <v>8481909090</v>
      </c>
      <c r="H651" t="s">
        <v>53</v>
      </c>
      <c r="I651" t="s">
        <v>692</v>
      </c>
      <c r="J651" t="s">
        <v>38</v>
      </c>
      <c r="K651" t="s">
        <v>39</v>
      </c>
      <c r="L651">
        <v>10</v>
      </c>
      <c r="M651">
        <v>3</v>
      </c>
      <c r="N651" t="s">
        <v>64</v>
      </c>
      <c r="O651">
        <v>0</v>
      </c>
      <c r="P651">
        <v>269.35000000000002</v>
      </c>
      <c r="Q651">
        <v>22.42</v>
      </c>
      <c r="R651">
        <v>1.76</v>
      </c>
      <c r="S651">
        <v>293.52999999999997</v>
      </c>
      <c r="T651" t="s">
        <v>41</v>
      </c>
      <c r="U651" t="s">
        <v>43</v>
      </c>
      <c r="V651" t="s">
        <v>38</v>
      </c>
      <c r="W651" t="s">
        <v>729</v>
      </c>
      <c r="X651">
        <v>89.78</v>
      </c>
      <c r="Y651" s="9">
        <f t="shared" si="51"/>
        <v>89.783333333333346</v>
      </c>
      <c r="Z651" s="9">
        <f t="shared" si="52"/>
        <v>168.34375000000003</v>
      </c>
      <c r="AA651" s="5">
        <f t="shared" si="53"/>
        <v>187.02990625000004</v>
      </c>
      <c r="AB651" s="6">
        <f t="shared" si="54"/>
        <v>272.70004062500004</v>
      </c>
      <c r="AD651" s="10">
        <f t="shared" si="55"/>
        <v>341.43984406250007</v>
      </c>
    </row>
    <row r="652" spans="1:30" x14ac:dyDescent="0.3">
      <c r="A652" t="s">
        <v>30</v>
      </c>
      <c r="B652" s="8" t="s">
        <v>32</v>
      </c>
      <c r="C652" s="8" t="s">
        <v>32</v>
      </c>
      <c r="D652" s="8" t="s">
        <v>33</v>
      </c>
      <c r="E652" s="8" t="s">
        <v>34</v>
      </c>
      <c r="F652" s="8" t="s">
        <v>35</v>
      </c>
      <c r="G652">
        <v>8481909090</v>
      </c>
      <c r="H652" t="s">
        <v>53</v>
      </c>
      <c r="I652" t="s">
        <v>728</v>
      </c>
      <c r="J652" t="s">
        <v>38</v>
      </c>
      <c r="K652" t="s">
        <v>39</v>
      </c>
      <c r="L652">
        <v>8</v>
      </c>
      <c r="M652">
        <v>6</v>
      </c>
      <c r="N652" t="s">
        <v>64</v>
      </c>
      <c r="O652">
        <v>0</v>
      </c>
      <c r="P652">
        <v>539.99</v>
      </c>
      <c r="Q652">
        <v>57.64</v>
      </c>
      <c r="R652">
        <v>3.62</v>
      </c>
      <c r="S652">
        <v>601.25</v>
      </c>
      <c r="T652" t="s">
        <v>41</v>
      </c>
      <c r="U652" t="s">
        <v>41</v>
      </c>
      <c r="V652" t="s">
        <v>38</v>
      </c>
      <c r="W652" t="s">
        <v>729</v>
      </c>
      <c r="X652">
        <v>90</v>
      </c>
      <c r="Y652" s="9">
        <f t="shared" si="51"/>
        <v>89.998333333333335</v>
      </c>
      <c r="Z652" s="9">
        <f t="shared" si="52"/>
        <v>168.74687499999999</v>
      </c>
      <c r="AA652" s="5">
        <f t="shared" si="53"/>
        <v>187.47777812499999</v>
      </c>
      <c r="AB652" s="6">
        <f t="shared" si="54"/>
        <v>273.35306281249996</v>
      </c>
      <c r="AD652" s="10">
        <f t="shared" si="55"/>
        <v>342.25747428124998</v>
      </c>
    </row>
    <row r="653" spans="1:30" x14ac:dyDescent="0.3">
      <c r="A653" t="s">
        <v>30</v>
      </c>
      <c r="B653" s="8" t="s">
        <v>32</v>
      </c>
      <c r="C653" s="8" t="s">
        <v>32</v>
      </c>
      <c r="D653" s="8" t="s">
        <v>33</v>
      </c>
      <c r="E653" s="8" t="s">
        <v>34</v>
      </c>
      <c r="F653" s="8" t="s">
        <v>35</v>
      </c>
      <c r="G653">
        <v>8481909090</v>
      </c>
      <c r="H653" t="s">
        <v>53</v>
      </c>
      <c r="I653" t="s">
        <v>731</v>
      </c>
      <c r="J653" t="s">
        <v>38</v>
      </c>
      <c r="K653" t="s">
        <v>39</v>
      </c>
      <c r="L653">
        <v>4</v>
      </c>
      <c r="M653">
        <v>10</v>
      </c>
      <c r="N653" t="s">
        <v>64</v>
      </c>
      <c r="O653">
        <v>0</v>
      </c>
      <c r="P653">
        <v>136.54</v>
      </c>
      <c r="Q653">
        <v>7.15</v>
      </c>
      <c r="R653">
        <v>0.89</v>
      </c>
      <c r="S653">
        <v>144.58000000000001</v>
      </c>
      <c r="T653" t="s">
        <v>41</v>
      </c>
      <c r="U653" t="s">
        <v>41</v>
      </c>
      <c r="V653" t="s">
        <v>38</v>
      </c>
      <c r="W653" t="s">
        <v>732</v>
      </c>
      <c r="X653">
        <v>13.65</v>
      </c>
      <c r="Y653" s="9">
        <f t="shared" si="51"/>
        <v>13.654</v>
      </c>
      <c r="Z653" s="9">
        <f t="shared" si="52"/>
        <v>25.60125</v>
      </c>
      <c r="AA653" s="5">
        <f t="shared" si="53"/>
        <v>28.442988750000001</v>
      </c>
      <c r="AB653" s="6">
        <f t="shared" si="54"/>
        <v>41.471464874999995</v>
      </c>
      <c r="AD653" s="10">
        <f t="shared" si="55"/>
        <v>51.925223287500003</v>
      </c>
    </row>
    <row r="654" spans="1:30" x14ac:dyDescent="0.3">
      <c r="A654" t="s">
        <v>30</v>
      </c>
      <c r="B654" s="8" t="s">
        <v>32</v>
      </c>
      <c r="C654" s="8" t="s">
        <v>32</v>
      </c>
      <c r="D654" s="8" t="s">
        <v>33</v>
      </c>
      <c r="E654" s="8" t="s">
        <v>34</v>
      </c>
      <c r="F654" s="8" t="s">
        <v>35</v>
      </c>
      <c r="G654">
        <v>8481909090</v>
      </c>
      <c r="H654" t="s">
        <v>53</v>
      </c>
      <c r="I654" t="s">
        <v>733</v>
      </c>
      <c r="J654" t="s">
        <v>38</v>
      </c>
      <c r="K654" t="s">
        <v>39</v>
      </c>
      <c r="L654">
        <v>10</v>
      </c>
      <c r="M654">
        <v>3</v>
      </c>
      <c r="N654" t="s">
        <v>64</v>
      </c>
      <c r="O654">
        <v>0</v>
      </c>
      <c r="P654">
        <v>40.86</v>
      </c>
      <c r="Q654">
        <v>3.4</v>
      </c>
      <c r="R654">
        <v>0.27</v>
      </c>
      <c r="S654">
        <v>44.53</v>
      </c>
      <c r="T654" t="s">
        <v>41</v>
      </c>
      <c r="U654" t="s">
        <v>43</v>
      </c>
      <c r="V654" t="s">
        <v>38</v>
      </c>
      <c r="W654" t="s">
        <v>732</v>
      </c>
      <c r="X654">
        <v>13.62</v>
      </c>
      <c r="Y654" s="9">
        <f t="shared" si="51"/>
        <v>13.62</v>
      </c>
      <c r="Z654" s="9">
        <f t="shared" si="52"/>
        <v>25.537499999999998</v>
      </c>
      <c r="AA654" s="5">
        <f t="shared" si="53"/>
        <v>28.372162499999998</v>
      </c>
      <c r="AB654" s="6">
        <f t="shared" si="54"/>
        <v>41.368196249999997</v>
      </c>
      <c r="AD654" s="10">
        <f t="shared" si="55"/>
        <v>51.795923625</v>
      </c>
    </row>
    <row r="655" spans="1:30" x14ac:dyDescent="0.3">
      <c r="A655" t="s">
        <v>30</v>
      </c>
      <c r="B655" s="8" t="s">
        <v>32</v>
      </c>
      <c r="C655" s="8" t="s">
        <v>32</v>
      </c>
      <c r="D655" s="8" t="s">
        <v>33</v>
      </c>
      <c r="E655" s="8" t="s">
        <v>34</v>
      </c>
      <c r="F655" s="8" t="s">
        <v>35</v>
      </c>
      <c r="G655">
        <v>8481909090</v>
      </c>
      <c r="H655" t="s">
        <v>53</v>
      </c>
      <c r="I655" t="s">
        <v>734</v>
      </c>
      <c r="J655" t="s">
        <v>38</v>
      </c>
      <c r="K655" t="s">
        <v>39</v>
      </c>
      <c r="L655">
        <v>8</v>
      </c>
      <c r="M655">
        <v>15</v>
      </c>
      <c r="N655" t="s">
        <v>64</v>
      </c>
      <c r="O655">
        <v>0</v>
      </c>
      <c r="P655">
        <v>203.6</v>
      </c>
      <c r="Q655">
        <v>11.53</v>
      </c>
      <c r="R655">
        <v>1.3</v>
      </c>
      <c r="S655">
        <v>216.42</v>
      </c>
      <c r="T655" t="s">
        <v>41</v>
      </c>
      <c r="U655" t="s">
        <v>41</v>
      </c>
      <c r="V655" t="s">
        <v>38</v>
      </c>
      <c r="W655" t="s">
        <v>732</v>
      </c>
      <c r="X655">
        <v>13.57</v>
      </c>
      <c r="Y655" s="9">
        <f t="shared" si="51"/>
        <v>13.573333333333332</v>
      </c>
      <c r="Z655" s="9">
        <f t="shared" si="52"/>
        <v>25.45</v>
      </c>
      <c r="AA655" s="5">
        <f t="shared" si="53"/>
        <v>28.27495</v>
      </c>
      <c r="AB655" s="6">
        <f t="shared" si="54"/>
        <v>41.226454999999994</v>
      </c>
      <c r="AD655" s="10">
        <f t="shared" si="55"/>
        <v>51.618453500000001</v>
      </c>
    </row>
    <row r="656" spans="1:30" x14ac:dyDescent="0.3">
      <c r="A656" t="s">
        <v>30</v>
      </c>
      <c r="B656" s="8" t="s">
        <v>32</v>
      </c>
      <c r="C656" s="8" t="s">
        <v>32</v>
      </c>
      <c r="D656" s="8" t="s">
        <v>33</v>
      </c>
      <c r="E656" s="8" t="s">
        <v>34</v>
      </c>
      <c r="F656" s="8" t="s">
        <v>35</v>
      </c>
      <c r="G656">
        <v>8481909090</v>
      </c>
      <c r="H656" t="s">
        <v>238</v>
      </c>
      <c r="I656" t="s">
        <v>735</v>
      </c>
      <c r="J656" t="s">
        <v>38</v>
      </c>
      <c r="K656" t="s">
        <v>39</v>
      </c>
      <c r="L656">
        <v>7</v>
      </c>
      <c r="M656">
        <v>2</v>
      </c>
      <c r="N656" t="s">
        <v>64</v>
      </c>
      <c r="O656">
        <v>0</v>
      </c>
      <c r="P656">
        <v>394.17</v>
      </c>
      <c r="Q656">
        <v>62.27</v>
      </c>
      <c r="R656">
        <v>2.4300000000000002</v>
      </c>
      <c r="S656">
        <v>458.88</v>
      </c>
      <c r="T656" t="s">
        <v>41</v>
      </c>
      <c r="U656" t="s">
        <v>41</v>
      </c>
      <c r="V656" t="s">
        <v>38</v>
      </c>
      <c r="W656" t="s">
        <v>736</v>
      </c>
      <c r="X656">
        <v>197.09</v>
      </c>
      <c r="Y656" s="9">
        <f t="shared" si="51"/>
        <v>197.08500000000001</v>
      </c>
      <c r="Z656" s="9">
        <f t="shared" si="52"/>
        <v>369.53437500000001</v>
      </c>
      <c r="AA656" s="5">
        <f t="shared" si="53"/>
        <v>410.55269062500003</v>
      </c>
      <c r="AB656" s="6">
        <f t="shared" si="54"/>
        <v>598.60873406249993</v>
      </c>
      <c r="AD656" s="10">
        <f t="shared" si="55"/>
        <v>749.50070540625006</v>
      </c>
    </row>
    <row r="657" spans="1:30" x14ac:dyDescent="0.3">
      <c r="A657" t="s">
        <v>30</v>
      </c>
      <c r="B657" s="8" t="s">
        <v>32</v>
      </c>
      <c r="C657" s="8" t="s">
        <v>32</v>
      </c>
      <c r="D657" s="8" t="s">
        <v>33</v>
      </c>
      <c r="E657" s="8" t="s">
        <v>34</v>
      </c>
      <c r="F657" s="8" t="s">
        <v>35</v>
      </c>
      <c r="G657">
        <v>8482800000</v>
      </c>
      <c r="H657" t="s">
        <v>646</v>
      </c>
      <c r="I657" t="s">
        <v>81</v>
      </c>
      <c r="J657" t="s">
        <v>38</v>
      </c>
      <c r="K657" t="s">
        <v>39</v>
      </c>
      <c r="L657">
        <v>6</v>
      </c>
      <c r="M657">
        <v>1</v>
      </c>
      <c r="N657" t="s">
        <v>64</v>
      </c>
      <c r="O657">
        <v>0</v>
      </c>
      <c r="P657">
        <v>1877.53</v>
      </c>
      <c r="Q657">
        <v>127.41</v>
      </c>
      <c r="R657">
        <v>12.2</v>
      </c>
      <c r="S657">
        <v>2017.15</v>
      </c>
      <c r="T657" t="s">
        <v>41</v>
      </c>
      <c r="U657" t="s">
        <v>41</v>
      </c>
      <c r="V657" t="s">
        <v>38</v>
      </c>
      <c r="W657" t="s">
        <v>737</v>
      </c>
      <c r="X657">
        <v>1877.53</v>
      </c>
      <c r="Y657" s="9">
        <f t="shared" si="51"/>
        <v>1877.53</v>
      </c>
      <c r="Z657" s="9">
        <f t="shared" si="52"/>
        <v>3520.3687500000001</v>
      </c>
      <c r="AA657" s="5">
        <f t="shared" si="53"/>
        <v>3911.12968125</v>
      </c>
      <c r="AB657" s="6">
        <f t="shared" si="54"/>
        <v>5702.6453381249994</v>
      </c>
      <c r="AD657" s="10">
        <f t="shared" si="55"/>
        <v>7140.1175098125013</v>
      </c>
    </row>
    <row r="658" spans="1:30" x14ac:dyDescent="0.3">
      <c r="A658" t="s">
        <v>30</v>
      </c>
      <c r="B658" s="8" t="s">
        <v>32</v>
      </c>
      <c r="C658" s="8" t="s">
        <v>32</v>
      </c>
      <c r="D658" s="8" t="s">
        <v>69</v>
      </c>
      <c r="E658" s="8" t="s">
        <v>70</v>
      </c>
      <c r="F658" s="8" t="s">
        <v>71</v>
      </c>
      <c r="G658">
        <v>8482800000</v>
      </c>
      <c r="H658" t="s">
        <v>646</v>
      </c>
      <c r="I658" t="s">
        <v>81</v>
      </c>
      <c r="J658" t="s">
        <v>38</v>
      </c>
      <c r="K658" t="s">
        <v>39</v>
      </c>
      <c r="L658">
        <v>9</v>
      </c>
      <c r="M658">
        <v>2</v>
      </c>
      <c r="N658" t="s">
        <v>64</v>
      </c>
      <c r="O658">
        <v>0</v>
      </c>
      <c r="P658">
        <v>3673.84</v>
      </c>
      <c r="Q658">
        <v>185.14</v>
      </c>
      <c r="R658">
        <v>23.34</v>
      </c>
      <c r="S658">
        <v>3882.32</v>
      </c>
      <c r="T658" t="s">
        <v>41</v>
      </c>
      <c r="U658" t="s">
        <v>43</v>
      </c>
      <c r="V658" t="s">
        <v>38</v>
      </c>
      <c r="W658" t="s">
        <v>737</v>
      </c>
      <c r="X658">
        <v>1836.92</v>
      </c>
      <c r="Y658" s="9">
        <f t="shared" si="51"/>
        <v>1836.92</v>
      </c>
      <c r="Z658" s="9">
        <f t="shared" si="52"/>
        <v>3444.2250000000004</v>
      </c>
      <c r="AA658" s="5">
        <f t="shared" si="53"/>
        <v>3826.5339750000003</v>
      </c>
      <c r="AB658" s="6">
        <f t="shared" si="54"/>
        <v>5579.3000775</v>
      </c>
      <c r="AD658" s="10">
        <f t="shared" si="55"/>
        <v>6985.6804717500017</v>
      </c>
    </row>
    <row r="659" spans="1:30" x14ac:dyDescent="0.3">
      <c r="A659" t="s">
        <v>30</v>
      </c>
      <c r="B659" s="8" t="s">
        <v>66</v>
      </c>
      <c r="C659" s="8" t="s">
        <v>32</v>
      </c>
      <c r="D659" s="8" t="s">
        <v>33</v>
      </c>
      <c r="E659" s="8" t="s">
        <v>34</v>
      </c>
      <c r="F659" s="8" t="s">
        <v>35</v>
      </c>
      <c r="G659">
        <v>8481909090</v>
      </c>
      <c r="H659" t="s">
        <v>53</v>
      </c>
      <c r="I659" t="s">
        <v>738</v>
      </c>
      <c r="J659" t="s">
        <v>38</v>
      </c>
      <c r="K659" t="s">
        <v>39</v>
      </c>
      <c r="L659">
        <v>12</v>
      </c>
      <c r="M659">
        <v>4</v>
      </c>
      <c r="N659" t="s">
        <v>64</v>
      </c>
      <c r="O659">
        <v>0</v>
      </c>
      <c r="P659">
        <v>532.30999999999995</v>
      </c>
      <c r="Q659">
        <v>61.12</v>
      </c>
      <c r="R659">
        <v>3.55</v>
      </c>
      <c r="S659">
        <v>596.98</v>
      </c>
      <c r="T659" t="s">
        <v>41</v>
      </c>
      <c r="U659" t="s">
        <v>41</v>
      </c>
      <c r="V659" t="s">
        <v>38</v>
      </c>
      <c r="W659" t="s">
        <v>739</v>
      </c>
      <c r="X659">
        <v>133.08000000000001</v>
      </c>
      <c r="Y659" s="9">
        <f t="shared" si="51"/>
        <v>133.07749999999999</v>
      </c>
      <c r="Z659" s="9">
        <f t="shared" si="52"/>
        <v>249.52031249999999</v>
      </c>
      <c r="AA659" s="5">
        <f t="shared" si="53"/>
        <v>277.21706718749999</v>
      </c>
      <c r="AB659" s="6">
        <f t="shared" si="54"/>
        <v>404.19795421874994</v>
      </c>
      <c r="AD659" s="10">
        <f t="shared" si="55"/>
        <v>506.08458342187504</v>
      </c>
    </row>
    <row r="660" spans="1:30" x14ac:dyDescent="0.3">
      <c r="A660" t="s">
        <v>30</v>
      </c>
      <c r="B660" s="8" t="s">
        <v>66</v>
      </c>
      <c r="C660" s="8" t="s">
        <v>32</v>
      </c>
      <c r="D660" s="8" t="s">
        <v>69</v>
      </c>
      <c r="E660" s="8" t="s">
        <v>70</v>
      </c>
      <c r="F660" s="8" t="s">
        <v>71</v>
      </c>
      <c r="G660">
        <v>8481909090</v>
      </c>
      <c r="H660" t="s">
        <v>53</v>
      </c>
      <c r="I660" t="s">
        <v>740</v>
      </c>
      <c r="J660" t="s">
        <v>38</v>
      </c>
      <c r="K660" t="s">
        <v>39</v>
      </c>
      <c r="L660">
        <v>13</v>
      </c>
      <c r="M660">
        <v>4</v>
      </c>
      <c r="N660" t="s">
        <v>64</v>
      </c>
      <c r="O660">
        <v>0</v>
      </c>
      <c r="P660">
        <v>517.16</v>
      </c>
      <c r="Q660">
        <v>27.61</v>
      </c>
      <c r="R660">
        <v>3.32</v>
      </c>
      <c r="S660">
        <v>548.09</v>
      </c>
      <c r="T660" t="s">
        <v>72</v>
      </c>
      <c r="U660" t="s">
        <v>72</v>
      </c>
      <c r="V660" t="s">
        <v>38</v>
      </c>
      <c r="W660" t="s">
        <v>739</v>
      </c>
      <c r="X660">
        <v>129.29</v>
      </c>
      <c r="Y660" s="9">
        <f t="shared" si="51"/>
        <v>129.29</v>
      </c>
      <c r="Z660" s="9">
        <f t="shared" si="52"/>
        <v>242.41874999999999</v>
      </c>
      <c r="AA660" s="5">
        <f t="shared" si="53"/>
        <v>269.32723125000001</v>
      </c>
      <c r="AB660" s="6">
        <f t="shared" si="54"/>
        <v>392.69413312499995</v>
      </c>
      <c r="AD660" s="10">
        <f t="shared" si="55"/>
        <v>491.68098131250002</v>
      </c>
    </row>
    <row r="661" spans="1:30" x14ac:dyDescent="0.3">
      <c r="A661" t="s">
        <v>30</v>
      </c>
      <c r="B661" s="8" t="s">
        <v>66</v>
      </c>
      <c r="C661" s="8" t="s">
        <v>32</v>
      </c>
      <c r="D661" s="8" t="s">
        <v>33</v>
      </c>
      <c r="E661" s="8" t="s">
        <v>34</v>
      </c>
      <c r="F661" s="8" t="s">
        <v>35</v>
      </c>
      <c r="G661">
        <v>8481909090</v>
      </c>
      <c r="H661" t="s">
        <v>53</v>
      </c>
      <c r="I661" t="s">
        <v>741</v>
      </c>
      <c r="J661" t="s">
        <v>38</v>
      </c>
      <c r="K661" t="s">
        <v>39</v>
      </c>
      <c r="L661">
        <v>10</v>
      </c>
      <c r="M661">
        <v>2</v>
      </c>
      <c r="N661" t="s">
        <v>64</v>
      </c>
      <c r="O661">
        <v>0</v>
      </c>
      <c r="P661">
        <v>263.82</v>
      </c>
      <c r="Q661">
        <v>21.96</v>
      </c>
      <c r="R661">
        <v>1.73</v>
      </c>
      <c r="S661">
        <v>287.51</v>
      </c>
      <c r="T661" t="s">
        <v>41</v>
      </c>
      <c r="U661" t="s">
        <v>43</v>
      </c>
      <c r="V661" t="s">
        <v>38</v>
      </c>
      <c r="W661" t="s">
        <v>739</v>
      </c>
      <c r="X661">
        <v>131.91</v>
      </c>
      <c r="Y661" s="9">
        <f t="shared" si="51"/>
        <v>131.91</v>
      </c>
      <c r="Z661" s="9">
        <f t="shared" si="52"/>
        <v>247.33124999999998</v>
      </c>
      <c r="AA661" s="5">
        <f t="shared" si="53"/>
        <v>274.78501875000001</v>
      </c>
      <c r="AB661" s="6">
        <f t="shared" si="54"/>
        <v>400.65189187499993</v>
      </c>
      <c r="AD661" s="10">
        <f t="shared" si="55"/>
        <v>501.64466118749999</v>
      </c>
    </row>
    <row r="662" spans="1:30" x14ac:dyDescent="0.3">
      <c r="A662" t="s">
        <v>30</v>
      </c>
      <c r="B662" s="8" t="s">
        <v>66</v>
      </c>
      <c r="C662" s="8" t="s">
        <v>32</v>
      </c>
      <c r="D662" s="8" t="s">
        <v>33</v>
      </c>
      <c r="E662" s="8" t="s">
        <v>34</v>
      </c>
      <c r="F662" s="8" t="s">
        <v>35</v>
      </c>
      <c r="G662">
        <v>8481909090</v>
      </c>
      <c r="H662" t="s">
        <v>53</v>
      </c>
      <c r="I662" t="s">
        <v>740</v>
      </c>
      <c r="J662" t="s">
        <v>38</v>
      </c>
      <c r="K662" t="s">
        <v>39</v>
      </c>
      <c r="L662">
        <v>8</v>
      </c>
      <c r="M662">
        <v>4</v>
      </c>
      <c r="N662" t="s">
        <v>64</v>
      </c>
      <c r="O662">
        <v>0</v>
      </c>
      <c r="P662">
        <v>528.9</v>
      </c>
      <c r="Q662">
        <v>56.46</v>
      </c>
      <c r="R662">
        <v>3.55</v>
      </c>
      <c r="S662">
        <v>588.91</v>
      </c>
      <c r="T662" t="s">
        <v>41</v>
      </c>
      <c r="U662" t="s">
        <v>41</v>
      </c>
      <c r="V662" t="s">
        <v>38</v>
      </c>
      <c r="W662" t="s">
        <v>739</v>
      </c>
      <c r="X662">
        <v>132.22999999999999</v>
      </c>
      <c r="Y662" s="9">
        <f t="shared" si="51"/>
        <v>132.22499999999999</v>
      </c>
      <c r="Z662" s="9">
        <f t="shared" si="52"/>
        <v>247.921875</v>
      </c>
      <c r="AA662" s="5">
        <f t="shared" si="53"/>
        <v>275.44120312500002</v>
      </c>
      <c r="AB662" s="6">
        <f t="shared" si="54"/>
        <v>401.60864531249996</v>
      </c>
      <c r="AD662" s="10">
        <f t="shared" si="55"/>
        <v>502.84258453125005</v>
      </c>
    </row>
    <row r="663" spans="1:30" x14ac:dyDescent="0.3">
      <c r="A663" t="s">
        <v>30</v>
      </c>
      <c r="B663" s="8" t="s">
        <v>32</v>
      </c>
      <c r="C663" s="8" t="s">
        <v>32</v>
      </c>
      <c r="D663" s="8" t="s">
        <v>69</v>
      </c>
      <c r="E663" s="8" t="s">
        <v>70</v>
      </c>
      <c r="F663" s="8" t="s">
        <v>71</v>
      </c>
      <c r="G663">
        <v>8484900000</v>
      </c>
      <c r="H663" t="s">
        <v>36</v>
      </c>
      <c r="I663" t="s">
        <v>742</v>
      </c>
      <c r="J663" t="s">
        <v>38</v>
      </c>
      <c r="K663" t="s">
        <v>39</v>
      </c>
      <c r="L663">
        <v>8</v>
      </c>
      <c r="M663">
        <v>1</v>
      </c>
      <c r="N663" t="s">
        <v>64</v>
      </c>
      <c r="O663">
        <v>0</v>
      </c>
      <c r="P663">
        <v>26.77</v>
      </c>
      <c r="Q663">
        <v>1.75</v>
      </c>
      <c r="R663">
        <v>0.17</v>
      </c>
      <c r="S663">
        <v>28.7</v>
      </c>
      <c r="T663" t="s">
        <v>41</v>
      </c>
      <c r="U663" t="s">
        <v>41</v>
      </c>
      <c r="V663" t="s">
        <v>38</v>
      </c>
      <c r="W663" t="s">
        <v>743</v>
      </c>
      <c r="X663">
        <v>26.77</v>
      </c>
      <c r="Y663" s="9">
        <f t="shared" si="51"/>
        <v>26.77</v>
      </c>
      <c r="Z663" s="9">
        <f t="shared" si="52"/>
        <v>50.193750000000001</v>
      </c>
      <c r="AA663" s="5">
        <f t="shared" si="53"/>
        <v>55.76525625</v>
      </c>
      <c r="AB663" s="6">
        <f t="shared" si="54"/>
        <v>81.308855624999993</v>
      </c>
      <c r="AD663" s="10">
        <f t="shared" si="55"/>
        <v>101.80446956250002</v>
      </c>
    </row>
    <row r="664" spans="1:30" x14ac:dyDescent="0.3">
      <c r="A664" t="s">
        <v>30</v>
      </c>
      <c r="B664" s="8" t="s">
        <v>32</v>
      </c>
      <c r="C664" s="8" t="s">
        <v>32</v>
      </c>
      <c r="D664" s="8" t="s">
        <v>33</v>
      </c>
      <c r="E664" s="8" t="s">
        <v>34</v>
      </c>
      <c r="F664" s="8" t="s">
        <v>35</v>
      </c>
      <c r="G664">
        <v>8484900000</v>
      </c>
      <c r="H664" t="s">
        <v>36</v>
      </c>
      <c r="I664" t="s">
        <v>742</v>
      </c>
      <c r="J664" t="s">
        <v>38</v>
      </c>
      <c r="K664" t="s">
        <v>39</v>
      </c>
      <c r="L664">
        <v>8</v>
      </c>
      <c r="M664">
        <v>3</v>
      </c>
      <c r="N664" t="s">
        <v>64</v>
      </c>
      <c r="O664">
        <v>0</v>
      </c>
      <c r="P664">
        <v>82.06</v>
      </c>
      <c r="Q664">
        <v>10.28</v>
      </c>
      <c r="R664">
        <v>0.56000000000000005</v>
      </c>
      <c r="S664">
        <v>92.9</v>
      </c>
      <c r="T664" t="s">
        <v>41</v>
      </c>
      <c r="U664" t="s">
        <v>41</v>
      </c>
      <c r="V664" t="s">
        <v>38</v>
      </c>
      <c r="W664" t="s">
        <v>743</v>
      </c>
      <c r="X664">
        <v>27.35</v>
      </c>
      <c r="Y664" s="9">
        <f t="shared" si="51"/>
        <v>27.353333333333335</v>
      </c>
      <c r="Z664" s="9">
        <f t="shared" si="52"/>
        <v>51.287500000000001</v>
      </c>
      <c r="AA664" s="5">
        <f t="shared" si="53"/>
        <v>56.9804125</v>
      </c>
      <c r="AB664" s="6">
        <f t="shared" si="54"/>
        <v>83.080621249999993</v>
      </c>
      <c r="AD664" s="10">
        <f t="shared" si="55"/>
        <v>104.02284612500002</v>
      </c>
    </row>
    <row r="665" spans="1:30" x14ac:dyDescent="0.3">
      <c r="A665" t="s">
        <v>30</v>
      </c>
      <c r="B665" s="8" t="s">
        <v>32</v>
      </c>
      <c r="C665" s="8" t="s">
        <v>32</v>
      </c>
      <c r="D665" s="8" t="s">
        <v>33</v>
      </c>
      <c r="E665" s="8" t="s">
        <v>34</v>
      </c>
      <c r="F665" s="8" t="s">
        <v>35</v>
      </c>
      <c r="G665">
        <v>8481809990</v>
      </c>
      <c r="H665" t="s">
        <v>53</v>
      </c>
      <c r="I665" t="s">
        <v>744</v>
      </c>
      <c r="J665" t="s">
        <v>74</v>
      </c>
      <c r="K665" t="s">
        <v>39</v>
      </c>
      <c r="L665">
        <v>7</v>
      </c>
      <c r="M665">
        <v>4</v>
      </c>
      <c r="N665" t="s">
        <v>64</v>
      </c>
      <c r="O665">
        <v>0</v>
      </c>
      <c r="P665">
        <v>3081.71</v>
      </c>
      <c r="Q665">
        <v>174.03</v>
      </c>
      <c r="R665">
        <v>19.64</v>
      </c>
      <c r="S665">
        <v>3275.38</v>
      </c>
      <c r="T665" t="s">
        <v>75</v>
      </c>
      <c r="U665" t="s">
        <v>744</v>
      </c>
      <c r="V665" t="s">
        <v>74</v>
      </c>
      <c r="W665" t="s">
        <v>745</v>
      </c>
      <c r="X665">
        <v>770.43</v>
      </c>
      <c r="Y665" s="9">
        <f t="shared" si="51"/>
        <v>770.42750000000001</v>
      </c>
      <c r="Z665" s="9">
        <f t="shared" si="52"/>
        <v>1444.5515625</v>
      </c>
      <c r="AA665" s="5">
        <f t="shared" si="53"/>
        <v>1604.8967859375</v>
      </c>
      <c r="AB665" s="6">
        <f t="shared" si="54"/>
        <v>2340.0290760937501</v>
      </c>
      <c r="AD665" s="10">
        <f t="shared" si="55"/>
        <v>2929.8828156093755</v>
      </c>
    </row>
    <row r="666" spans="1:30" x14ac:dyDescent="0.3">
      <c r="A666" t="s">
        <v>30</v>
      </c>
      <c r="B666" s="8" t="s">
        <v>32</v>
      </c>
      <c r="C666" s="8" t="s">
        <v>32</v>
      </c>
      <c r="D666" s="8" t="s">
        <v>33</v>
      </c>
      <c r="E666" s="8" t="s">
        <v>34</v>
      </c>
      <c r="F666" s="8" t="s">
        <v>35</v>
      </c>
      <c r="G666">
        <v>8481809990</v>
      </c>
      <c r="H666" t="s">
        <v>53</v>
      </c>
      <c r="I666" t="s">
        <v>746</v>
      </c>
      <c r="J666" t="s">
        <v>38</v>
      </c>
      <c r="K666" t="s">
        <v>39</v>
      </c>
      <c r="L666">
        <v>4</v>
      </c>
      <c r="M666">
        <v>1</v>
      </c>
      <c r="N666" t="s">
        <v>64</v>
      </c>
      <c r="O666">
        <v>0</v>
      </c>
      <c r="P666">
        <v>893.73</v>
      </c>
      <c r="Q666">
        <v>46.79</v>
      </c>
      <c r="R666">
        <v>5.83</v>
      </c>
      <c r="S666">
        <v>946.35</v>
      </c>
      <c r="T666" t="s">
        <v>41</v>
      </c>
      <c r="U666" t="s">
        <v>41</v>
      </c>
      <c r="V666" t="s">
        <v>38</v>
      </c>
      <c r="W666" t="s">
        <v>747</v>
      </c>
      <c r="X666">
        <v>893.73</v>
      </c>
      <c r="Y666" s="9">
        <f t="shared" si="51"/>
        <v>893.73</v>
      </c>
      <c r="Z666" s="9">
        <f t="shared" si="52"/>
        <v>1675.7437500000001</v>
      </c>
      <c r="AA666" s="5">
        <f t="shared" si="53"/>
        <v>1861.75130625</v>
      </c>
      <c r="AB666" s="6">
        <f t="shared" si="54"/>
        <v>2714.5373006250002</v>
      </c>
      <c r="AD666" s="10">
        <f t="shared" si="55"/>
        <v>3398.7937460625003</v>
      </c>
    </row>
    <row r="667" spans="1:30" x14ac:dyDescent="0.3">
      <c r="A667" t="s">
        <v>30</v>
      </c>
      <c r="B667" s="8" t="s">
        <v>32</v>
      </c>
      <c r="C667" s="8" t="s">
        <v>32</v>
      </c>
      <c r="D667" s="8" t="s">
        <v>33</v>
      </c>
      <c r="E667" s="8" t="s">
        <v>34</v>
      </c>
      <c r="F667" s="8" t="s">
        <v>35</v>
      </c>
      <c r="G667">
        <v>8481809990</v>
      </c>
      <c r="H667" t="s">
        <v>53</v>
      </c>
      <c r="I667" t="s">
        <v>744</v>
      </c>
      <c r="J667" t="s">
        <v>74</v>
      </c>
      <c r="K667" t="s">
        <v>39</v>
      </c>
      <c r="L667">
        <v>7</v>
      </c>
      <c r="M667">
        <v>4</v>
      </c>
      <c r="N667" t="s">
        <v>64</v>
      </c>
      <c r="O667">
        <v>0</v>
      </c>
      <c r="P667">
        <v>3565.06</v>
      </c>
      <c r="Q667">
        <v>201.32</v>
      </c>
      <c r="R667">
        <v>22.72</v>
      </c>
      <c r="S667">
        <v>3789.1</v>
      </c>
      <c r="T667" t="s">
        <v>75</v>
      </c>
      <c r="U667" t="s">
        <v>744</v>
      </c>
      <c r="V667" t="s">
        <v>74</v>
      </c>
      <c r="W667" t="s">
        <v>747</v>
      </c>
      <c r="X667">
        <v>891.26</v>
      </c>
      <c r="Y667" s="9">
        <f t="shared" si="51"/>
        <v>891.26499999999999</v>
      </c>
      <c r="Z667" s="9">
        <f t="shared" si="52"/>
        <v>1671.121875</v>
      </c>
      <c r="AA667" s="5">
        <f t="shared" si="53"/>
        <v>1856.616403125</v>
      </c>
      <c r="AB667" s="6">
        <f t="shared" si="54"/>
        <v>2707.0503253124998</v>
      </c>
      <c r="AD667" s="10">
        <f t="shared" si="55"/>
        <v>3389.4195205312503</v>
      </c>
    </row>
    <row r="668" spans="1:30" x14ac:dyDescent="0.3">
      <c r="A668" t="s">
        <v>30</v>
      </c>
      <c r="B668" s="8" t="s">
        <v>32</v>
      </c>
      <c r="C668" s="8" t="s">
        <v>32</v>
      </c>
      <c r="D668" s="8" t="s">
        <v>33</v>
      </c>
      <c r="E668" s="8" t="s">
        <v>34</v>
      </c>
      <c r="F668" s="8" t="s">
        <v>35</v>
      </c>
      <c r="G668">
        <v>7306400000</v>
      </c>
      <c r="H668" t="s">
        <v>246</v>
      </c>
      <c r="I668" t="s">
        <v>748</v>
      </c>
      <c r="J668" t="s">
        <v>38</v>
      </c>
      <c r="K668" t="s">
        <v>39</v>
      </c>
      <c r="L668">
        <v>3</v>
      </c>
      <c r="M668">
        <v>4</v>
      </c>
      <c r="N668" t="s">
        <v>40</v>
      </c>
      <c r="O668">
        <v>23.47</v>
      </c>
      <c r="P668">
        <v>93.29</v>
      </c>
      <c r="Q668">
        <v>3.99</v>
      </c>
      <c r="R668">
        <v>0.6</v>
      </c>
      <c r="S668">
        <v>97.89</v>
      </c>
      <c r="T668" t="s">
        <v>41</v>
      </c>
      <c r="U668" t="s">
        <v>43</v>
      </c>
      <c r="V668" t="s">
        <v>38</v>
      </c>
      <c r="W668" t="s">
        <v>749</v>
      </c>
      <c r="X668">
        <v>23.32</v>
      </c>
      <c r="Y668" s="9">
        <f t="shared" si="51"/>
        <v>23.322500000000002</v>
      </c>
      <c r="Z668" s="9">
        <f t="shared" si="52"/>
        <v>43.729687500000004</v>
      </c>
      <c r="AA668" s="5">
        <f t="shared" si="53"/>
        <v>48.583682812500001</v>
      </c>
      <c r="AB668" s="6">
        <f t="shared" si="54"/>
        <v>70.837720781249999</v>
      </c>
      <c r="AD668" s="10">
        <f t="shared" si="55"/>
        <v>88.693864078125017</v>
      </c>
    </row>
    <row r="669" spans="1:30" x14ac:dyDescent="0.3">
      <c r="A669" t="s">
        <v>30</v>
      </c>
      <c r="B669" s="8" t="s">
        <v>32</v>
      </c>
      <c r="C669" s="8" t="s">
        <v>32</v>
      </c>
      <c r="D669" s="8" t="s">
        <v>33</v>
      </c>
      <c r="E669" s="8" t="s">
        <v>34</v>
      </c>
      <c r="F669" s="8" t="s">
        <v>35</v>
      </c>
      <c r="G669">
        <v>8481909090</v>
      </c>
      <c r="H669" t="s">
        <v>238</v>
      </c>
      <c r="I669" t="s">
        <v>750</v>
      </c>
      <c r="J669" t="s">
        <v>38</v>
      </c>
      <c r="K669" t="s">
        <v>39</v>
      </c>
      <c r="L669">
        <v>7</v>
      </c>
      <c r="M669">
        <v>8</v>
      </c>
      <c r="N669" t="s">
        <v>64</v>
      </c>
      <c r="O669">
        <v>0</v>
      </c>
      <c r="P669">
        <v>362.55</v>
      </c>
      <c r="Q669">
        <v>57.28</v>
      </c>
      <c r="R669">
        <v>2.23</v>
      </c>
      <c r="S669">
        <v>422.07</v>
      </c>
      <c r="T669" t="s">
        <v>41</v>
      </c>
      <c r="U669" t="s">
        <v>41</v>
      </c>
      <c r="V669" t="s">
        <v>38</v>
      </c>
      <c r="W669" t="s">
        <v>751</v>
      </c>
      <c r="X669">
        <v>45.32</v>
      </c>
      <c r="Y669" s="9">
        <f t="shared" si="51"/>
        <v>45.318750000000001</v>
      </c>
      <c r="Z669" s="9">
        <f t="shared" si="52"/>
        <v>84.97265625</v>
      </c>
      <c r="AA669" s="5">
        <f t="shared" si="53"/>
        <v>94.404621093749995</v>
      </c>
      <c r="AB669" s="6">
        <f t="shared" si="54"/>
        <v>137.64720585937499</v>
      </c>
      <c r="AD669" s="10">
        <f t="shared" si="55"/>
        <v>172.34409058593752</v>
      </c>
    </row>
    <row r="670" spans="1:30" x14ac:dyDescent="0.3">
      <c r="A670" t="s">
        <v>30</v>
      </c>
      <c r="B670" s="8" t="s">
        <v>66</v>
      </c>
      <c r="C670" s="8" t="s">
        <v>32</v>
      </c>
      <c r="D670" s="8" t="s">
        <v>33</v>
      </c>
      <c r="E670" s="8" t="s">
        <v>34</v>
      </c>
      <c r="F670" s="8" t="s">
        <v>35</v>
      </c>
      <c r="G670">
        <v>3802100000</v>
      </c>
      <c r="H670" t="s">
        <v>752</v>
      </c>
      <c r="I670" t="s">
        <v>753</v>
      </c>
      <c r="J670" t="s">
        <v>38</v>
      </c>
      <c r="K670" t="s">
        <v>39</v>
      </c>
      <c r="L670">
        <v>8</v>
      </c>
      <c r="M670">
        <v>1</v>
      </c>
      <c r="N670" t="s">
        <v>40</v>
      </c>
      <c r="O670">
        <v>0</v>
      </c>
      <c r="P670">
        <v>220.87</v>
      </c>
      <c r="Q670">
        <v>31.78</v>
      </c>
      <c r="R670">
        <v>1.55</v>
      </c>
      <c r="S670">
        <v>254.21</v>
      </c>
      <c r="T670" t="s">
        <v>41</v>
      </c>
      <c r="U670" t="s">
        <v>41</v>
      </c>
      <c r="V670" t="s">
        <v>38</v>
      </c>
      <c r="W670" t="s">
        <v>754</v>
      </c>
      <c r="X670">
        <v>220.87</v>
      </c>
      <c r="Y670" s="9">
        <f t="shared" si="51"/>
        <v>220.87</v>
      </c>
      <c r="Z670" s="9">
        <f t="shared" si="52"/>
        <v>414.13125000000002</v>
      </c>
      <c r="AA670" s="5">
        <f t="shared" si="53"/>
        <v>460.09981875</v>
      </c>
      <c r="AB670" s="6">
        <f t="shared" si="54"/>
        <v>670.85121187499999</v>
      </c>
      <c r="AD670" s="10">
        <f t="shared" si="55"/>
        <v>839.9534251875001</v>
      </c>
    </row>
    <row r="671" spans="1:30" x14ac:dyDescent="0.3">
      <c r="A671" t="s">
        <v>30</v>
      </c>
      <c r="B671" s="8" t="s">
        <v>66</v>
      </c>
      <c r="C671" s="8" t="s">
        <v>32</v>
      </c>
      <c r="D671" s="8" t="s">
        <v>33</v>
      </c>
      <c r="E671" s="8" t="s">
        <v>34</v>
      </c>
      <c r="F671" s="8" t="s">
        <v>35</v>
      </c>
      <c r="G671">
        <v>3802100000</v>
      </c>
      <c r="H671" t="s">
        <v>755</v>
      </c>
      <c r="I671" t="s">
        <v>756</v>
      </c>
      <c r="J671" t="s">
        <v>38</v>
      </c>
      <c r="K671" t="s">
        <v>39</v>
      </c>
      <c r="L671">
        <v>12</v>
      </c>
      <c r="M671">
        <v>2</v>
      </c>
      <c r="N671" t="s">
        <v>40</v>
      </c>
      <c r="O671">
        <v>0</v>
      </c>
      <c r="P671">
        <v>460.59</v>
      </c>
      <c r="Q671">
        <v>52.89</v>
      </c>
      <c r="R671">
        <v>3.07</v>
      </c>
      <c r="S671">
        <v>516.54</v>
      </c>
      <c r="T671" t="s">
        <v>41</v>
      </c>
      <c r="U671" t="s">
        <v>41</v>
      </c>
      <c r="V671" t="s">
        <v>38</v>
      </c>
      <c r="W671" t="s">
        <v>754</v>
      </c>
      <c r="X671">
        <v>230.29</v>
      </c>
      <c r="Y671" s="9">
        <f t="shared" si="51"/>
        <v>230.29499999999999</v>
      </c>
      <c r="Z671" s="9">
        <f t="shared" si="52"/>
        <v>431.80312499999997</v>
      </c>
      <c r="AA671" s="5">
        <f t="shared" si="53"/>
        <v>479.73327187499996</v>
      </c>
      <c r="AB671" s="6">
        <f t="shared" si="54"/>
        <v>699.47788218749986</v>
      </c>
      <c r="AD671" s="10">
        <f t="shared" si="55"/>
        <v>875.79605221874999</v>
      </c>
    </row>
    <row r="672" spans="1:30" x14ac:dyDescent="0.3">
      <c r="A672" t="s">
        <v>30</v>
      </c>
      <c r="B672" s="8" t="s">
        <v>32</v>
      </c>
      <c r="C672" s="8" t="s">
        <v>32</v>
      </c>
      <c r="D672" s="8" t="s">
        <v>33</v>
      </c>
      <c r="E672" s="8" t="s">
        <v>34</v>
      </c>
      <c r="F672" s="8" t="s">
        <v>35</v>
      </c>
      <c r="G672">
        <v>8481909090</v>
      </c>
      <c r="H672" t="s">
        <v>53</v>
      </c>
      <c r="I672" t="s">
        <v>757</v>
      </c>
      <c r="J672" t="s">
        <v>38</v>
      </c>
      <c r="K672" t="s">
        <v>39</v>
      </c>
      <c r="L672">
        <v>12</v>
      </c>
      <c r="M672">
        <v>4</v>
      </c>
      <c r="N672" t="s">
        <v>64</v>
      </c>
      <c r="O672">
        <v>0</v>
      </c>
      <c r="P672">
        <v>181.4</v>
      </c>
      <c r="Q672">
        <v>20.83</v>
      </c>
      <c r="R672">
        <v>1.21</v>
      </c>
      <c r="S672">
        <v>203.44</v>
      </c>
      <c r="T672" t="s">
        <v>41</v>
      </c>
      <c r="U672" t="s">
        <v>41</v>
      </c>
      <c r="V672" t="s">
        <v>38</v>
      </c>
      <c r="W672" t="s">
        <v>758</v>
      </c>
      <c r="X672">
        <v>45.35</v>
      </c>
      <c r="Y672" s="9">
        <f t="shared" si="51"/>
        <v>45.35</v>
      </c>
      <c r="Z672" s="9">
        <f t="shared" si="52"/>
        <v>85.03125</v>
      </c>
      <c r="AA672" s="5">
        <f t="shared" si="53"/>
        <v>94.469718749999998</v>
      </c>
      <c r="AB672" s="6">
        <f t="shared" si="54"/>
        <v>137.74212187499998</v>
      </c>
      <c r="AD672" s="10">
        <f t="shared" si="55"/>
        <v>172.46293218750003</v>
      </c>
    </row>
    <row r="673" spans="1:30" x14ac:dyDescent="0.3">
      <c r="A673" t="s">
        <v>30</v>
      </c>
      <c r="B673" s="8" t="s">
        <v>32</v>
      </c>
      <c r="C673" s="8" t="s">
        <v>32</v>
      </c>
      <c r="D673" s="8" t="s">
        <v>33</v>
      </c>
      <c r="E673" s="8" t="s">
        <v>34</v>
      </c>
      <c r="F673" s="8" t="s">
        <v>35</v>
      </c>
      <c r="G673">
        <v>7318290000</v>
      </c>
      <c r="H673" t="s">
        <v>759</v>
      </c>
      <c r="I673" t="s">
        <v>730</v>
      </c>
      <c r="J673" t="s">
        <v>38</v>
      </c>
      <c r="K673" t="s">
        <v>39</v>
      </c>
      <c r="L673">
        <v>6</v>
      </c>
      <c r="M673">
        <v>2</v>
      </c>
      <c r="N673" t="s">
        <v>40</v>
      </c>
      <c r="O673">
        <v>9.15</v>
      </c>
      <c r="P673">
        <v>121.14</v>
      </c>
      <c r="Q673">
        <v>14.65</v>
      </c>
      <c r="R673">
        <v>0.84</v>
      </c>
      <c r="S673">
        <v>136.63</v>
      </c>
      <c r="T673" t="s">
        <v>41</v>
      </c>
      <c r="U673" t="s">
        <v>43</v>
      </c>
      <c r="V673" t="s">
        <v>38</v>
      </c>
      <c r="W673" t="s">
        <v>760</v>
      </c>
      <c r="X673">
        <v>60.57</v>
      </c>
      <c r="Y673" s="9">
        <f t="shared" si="51"/>
        <v>60.57</v>
      </c>
      <c r="Z673" s="9">
        <f t="shared" si="52"/>
        <v>113.56874999999999</v>
      </c>
      <c r="AA673" s="5">
        <f t="shared" si="53"/>
        <v>126.17488125</v>
      </c>
      <c r="AB673" s="6">
        <f t="shared" si="54"/>
        <v>183.97001812499997</v>
      </c>
      <c r="AD673" s="10">
        <f t="shared" si="55"/>
        <v>230.34354581250003</v>
      </c>
    </row>
    <row r="674" spans="1:30" x14ac:dyDescent="0.3">
      <c r="A674" t="s">
        <v>30</v>
      </c>
      <c r="B674" s="8" t="s">
        <v>32</v>
      </c>
      <c r="C674" s="8" t="s">
        <v>32</v>
      </c>
      <c r="D674" s="8" t="s">
        <v>69</v>
      </c>
      <c r="E674" s="8" t="s">
        <v>70</v>
      </c>
      <c r="F674" s="8" t="s">
        <v>71</v>
      </c>
      <c r="G674">
        <v>7318290000</v>
      </c>
      <c r="H674" t="s">
        <v>759</v>
      </c>
      <c r="I674" t="s">
        <v>233</v>
      </c>
      <c r="J674" t="s">
        <v>38</v>
      </c>
      <c r="K674" t="s">
        <v>39</v>
      </c>
      <c r="L674">
        <v>13</v>
      </c>
      <c r="M674">
        <v>15</v>
      </c>
      <c r="N674" t="s">
        <v>40</v>
      </c>
      <c r="O674">
        <v>52.45</v>
      </c>
      <c r="P674">
        <v>694.8</v>
      </c>
      <c r="Q674">
        <v>49.33</v>
      </c>
      <c r="R674">
        <v>4.54</v>
      </c>
      <c r="S674">
        <v>748.67</v>
      </c>
      <c r="T674" t="s">
        <v>41</v>
      </c>
      <c r="U674" t="s">
        <v>41</v>
      </c>
      <c r="V674" t="s">
        <v>38</v>
      </c>
      <c r="W674" t="s">
        <v>760</v>
      </c>
      <c r="X674">
        <v>46.32</v>
      </c>
      <c r="Y674" s="9">
        <f t="shared" si="51"/>
        <v>46.32</v>
      </c>
      <c r="Z674" s="9">
        <f t="shared" si="52"/>
        <v>86.85</v>
      </c>
      <c r="AA674" s="5">
        <f t="shared" si="53"/>
        <v>96.490349999999992</v>
      </c>
      <c r="AB674" s="6">
        <f t="shared" si="54"/>
        <v>140.68831499999999</v>
      </c>
      <c r="AD674" s="10">
        <f t="shared" si="55"/>
        <v>176.15177550000001</v>
      </c>
    </row>
    <row r="675" spans="1:30" x14ac:dyDescent="0.3">
      <c r="A675" t="s">
        <v>30</v>
      </c>
      <c r="B675" s="8" t="s">
        <v>32</v>
      </c>
      <c r="C675" s="8" t="s">
        <v>32</v>
      </c>
      <c r="D675" s="8" t="s">
        <v>33</v>
      </c>
      <c r="E675" s="8" t="s">
        <v>34</v>
      </c>
      <c r="F675" s="8" t="s">
        <v>35</v>
      </c>
      <c r="G675">
        <v>7318290000</v>
      </c>
      <c r="H675" t="s">
        <v>759</v>
      </c>
      <c r="I675" t="s">
        <v>761</v>
      </c>
      <c r="J675" t="s">
        <v>38</v>
      </c>
      <c r="K675" t="s">
        <v>39</v>
      </c>
      <c r="L675">
        <v>10</v>
      </c>
      <c r="M675">
        <v>2</v>
      </c>
      <c r="N675" t="s">
        <v>40</v>
      </c>
      <c r="O675">
        <v>9.32</v>
      </c>
      <c r="P675">
        <v>123.47</v>
      </c>
      <c r="Q675">
        <v>10.28</v>
      </c>
      <c r="R675">
        <v>0.81</v>
      </c>
      <c r="S675">
        <v>134.56</v>
      </c>
      <c r="T675" t="s">
        <v>41</v>
      </c>
      <c r="U675" t="s">
        <v>43</v>
      </c>
      <c r="V675" t="s">
        <v>38</v>
      </c>
      <c r="W675" t="s">
        <v>760</v>
      </c>
      <c r="X675">
        <v>61.74</v>
      </c>
      <c r="Y675" s="9">
        <f t="shared" si="51"/>
        <v>61.734999999999999</v>
      </c>
      <c r="Z675" s="9">
        <f t="shared" si="52"/>
        <v>115.753125</v>
      </c>
      <c r="AA675" s="5">
        <f t="shared" si="53"/>
        <v>128.60172187499998</v>
      </c>
      <c r="AB675" s="6">
        <f t="shared" si="54"/>
        <v>187.50848718749998</v>
      </c>
      <c r="AD675" s="10">
        <f t="shared" si="55"/>
        <v>234.77396071875</v>
      </c>
    </row>
    <row r="676" spans="1:30" x14ac:dyDescent="0.3">
      <c r="A676" t="s">
        <v>30</v>
      </c>
      <c r="B676" s="8" t="s">
        <v>32</v>
      </c>
      <c r="C676" s="8" t="s">
        <v>32</v>
      </c>
      <c r="D676" s="8" t="s">
        <v>33</v>
      </c>
      <c r="E676" s="8" t="s">
        <v>34</v>
      </c>
      <c r="F676" s="8" t="s">
        <v>35</v>
      </c>
      <c r="G676">
        <v>7318290000</v>
      </c>
      <c r="H676" t="s">
        <v>759</v>
      </c>
      <c r="I676" t="s">
        <v>761</v>
      </c>
      <c r="J676" t="s">
        <v>38</v>
      </c>
      <c r="K676" t="s">
        <v>39</v>
      </c>
      <c r="L676">
        <v>8</v>
      </c>
      <c r="M676">
        <v>10</v>
      </c>
      <c r="N676" t="s">
        <v>40</v>
      </c>
      <c r="O676">
        <v>46.44</v>
      </c>
      <c r="P676">
        <v>615.22</v>
      </c>
      <c r="Q676">
        <v>34.83</v>
      </c>
      <c r="R676">
        <v>3.93</v>
      </c>
      <c r="S676">
        <v>653.97</v>
      </c>
      <c r="T676" t="s">
        <v>41</v>
      </c>
      <c r="U676" t="s">
        <v>41</v>
      </c>
      <c r="V676" t="s">
        <v>38</v>
      </c>
      <c r="W676" t="s">
        <v>760</v>
      </c>
      <c r="X676">
        <v>61.52</v>
      </c>
      <c r="Y676" s="9">
        <f t="shared" si="51"/>
        <v>61.522000000000006</v>
      </c>
      <c r="Z676" s="9">
        <f t="shared" si="52"/>
        <v>115.35375000000001</v>
      </c>
      <c r="AA676" s="5">
        <f t="shared" si="53"/>
        <v>128.15801625</v>
      </c>
      <c r="AB676" s="6">
        <f t="shared" si="54"/>
        <v>186.86153962500001</v>
      </c>
      <c r="AD676" s="10">
        <f t="shared" si="55"/>
        <v>233.96393636250002</v>
      </c>
    </row>
    <row r="677" spans="1:30" x14ac:dyDescent="0.3">
      <c r="A677" t="s">
        <v>30</v>
      </c>
      <c r="B677" s="8" t="s">
        <v>32</v>
      </c>
      <c r="C677" s="8" t="s">
        <v>32</v>
      </c>
      <c r="D677" s="8" t="s">
        <v>69</v>
      </c>
      <c r="E677" s="8" t="s">
        <v>70</v>
      </c>
      <c r="F677" s="8" t="s">
        <v>71</v>
      </c>
      <c r="G677">
        <v>8481909090</v>
      </c>
      <c r="H677" t="s">
        <v>53</v>
      </c>
      <c r="I677" t="s">
        <v>762</v>
      </c>
      <c r="J677" t="s">
        <v>38</v>
      </c>
      <c r="K677" t="s">
        <v>39</v>
      </c>
      <c r="L677">
        <v>8</v>
      </c>
      <c r="M677">
        <v>3</v>
      </c>
      <c r="N677" t="s">
        <v>64</v>
      </c>
      <c r="O677">
        <v>0</v>
      </c>
      <c r="P677">
        <v>413.22</v>
      </c>
      <c r="Q677">
        <v>27.05</v>
      </c>
      <c r="R677">
        <v>2.68</v>
      </c>
      <c r="S677">
        <v>442.95</v>
      </c>
      <c r="T677" t="s">
        <v>41</v>
      </c>
      <c r="U677" t="s">
        <v>41</v>
      </c>
      <c r="V677" t="s">
        <v>38</v>
      </c>
      <c r="W677" t="s">
        <v>763</v>
      </c>
      <c r="X677">
        <v>137.74</v>
      </c>
      <c r="Y677" s="9">
        <f t="shared" si="51"/>
        <v>137.74</v>
      </c>
      <c r="Z677" s="9">
        <f t="shared" si="52"/>
        <v>258.26250000000005</v>
      </c>
      <c r="AA677" s="5">
        <f t="shared" si="53"/>
        <v>286.92963750000007</v>
      </c>
      <c r="AB677" s="6">
        <f t="shared" si="54"/>
        <v>418.35942375000002</v>
      </c>
      <c r="AD677" s="10">
        <f t="shared" si="55"/>
        <v>523.81575037500011</v>
      </c>
    </row>
    <row r="678" spans="1:30" x14ac:dyDescent="0.3">
      <c r="A678" t="s">
        <v>30</v>
      </c>
      <c r="B678" s="8" t="s">
        <v>32</v>
      </c>
      <c r="C678" s="8" t="s">
        <v>32</v>
      </c>
      <c r="D678" s="8" t="s">
        <v>69</v>
      </c>
      <c r="E678" s="8" t="s">
        <v>70</v>
      </c>
      <c r="F678" s="8" t="s">
        <v>71</v>
      </c>
      <c r="G678">
        <v>8481809990</v>
      </c>
      <c r="H678" t="s">
        <v>53</v>
      </c>
      <c r="I678" t="s">
        <v>659</v>
      </c>
      <c r="J678" t="s">
        <v>38</v>
      </c>
      <c r="K678" t="s">
        <v>39</v>
      </c>
      <c r="L678">
        <v>13</v>
      </c>
      <c r="M678">
        <v>3</v>
      </c>
      <c r="N678" t="s">
        <v>64</v>
      </c>
      <c r="O678">
        <v>0</v>
      </c>
      <c r="P678">
        <v>569.64</v>
      </c>
      <c r="Q678">
        <v>30.41</v>
      </c>
      <c r="R678">
        <v>3.66</v>
      </c>
      <c r="S678">
        <v>603.71</v>
      </c>
      <c r="T678" t="s">
        <v>72</v>
      </c>
      <c r="U678" t="s">
        <v>72</v>
      </c>
      <c r="V678" t="s">
        <v>38</v>
      </c>
      <c r="W678" t="s">
        <v>764</v>
      </c>
      <c r="X678">
        <v>189.88</v>
      </c>
      <c r="Y678" s="9">
        <f t="shared" si="51"/>
        <v>189.88</v>
      </c>
      <c r="Z678" s="9">
        <f t="shared" si="52"/>
        <v>356.02499999999998</v>
      </c>
      <c r="AA678" s="5">
        <f t="shared" si="53"/>
        <v>395.54377499999998</v>
      </c>
      <c r="AB678" s="6">
        <f t="shared" si="54"/>
        <v>576.72489749999988</v>
      </c>
      <c r="AD678" s="10">
        <f t="shared" si="55"/>
        <v>722.10058575000005</v>
      </c>
    </row>
    <row r="679" spans="1:30" x14ac:dyDescent="0.3">
      <c r="A679" t="s">
        <v>30</v>
      </c>
      <c r="B679" s="8" t="s">
        <v>32</v>
      </c>
      <c r="C679" s="8" t="s">
        <v>32</v>
      </c>
      <c r="D679" s="8" t="s">
        <v>69</v>
      </c>
      <c r="E679" s="8" t="s">
        <v>70</v>
      </c>
      <c r="F679" s="8" t="s">
        <v>71</v>
      </c>
      <c r="G679">
        <v>8481909090</v>
      </c>
      <c r="H679" t="s">
        <v>53</v>
      </c>
      <c r="I679" t="s">
        <v>762</v>
      </c>
      <c r="J679" t="s">
        <v>38</v>
      </c>
      <c r="K679" t="s">
        <v>39</v>
      </c>
      <c r="L679">
        <v>8</v>
      </c>
      <c r="M679">
        <v>2</v>
      </c>
      <c r="N679" t="s">
        <v>64</v>
      </c>
      <c r="O679">
        <v>0</v>
      </c>
      <c r="P679">
        <v>370.06</v>
      </c>
      <c r="Q679">
        <v>24.23</v>
      </c>
      <c r="R679">
        <v>2.4</v>
      </c>
      <c r="S679">
        <v>396.68</v>
      </c>
      <c r="T679" t="s">
        <v>41</v>
      </c>
      <c r="U679" t="s">
        <v>41</v>
      </c>
      <c r="V679" t="s">
        <v>38</v>
      </c>
      <c r="W679" t="s">
        <v>765</v>
      </c>
      <c r="X679">
        <v>185.03</v>
      </c>
      <c r="Y679" s="9">
        <f t="shared" si="51"/>
        <v>185.03</v>
      </c>
      <c r="Z679" s="9">
        <f t="shared" si="52"/>
        <v>346.93124999999998</v>
      </c>
      <c r="AA679" s="5">
        <f t="shared" si="53"/>
        <v>385.44061875</v>
      </c>
      <c r="AB679" s="6">
        <f t="shared" si="54"/>
        <v>561.99393187499993</v>
      </c>
      <c r="AD679" s="10">
        <f t="shared" si="55"/>
        <v>703.65636918749999</v>
      </c>
    </row>
    <row r="680" spans="1:30" x14ac:dyDescent="0.3">
      <c r="A680" t="s">
        <v>30</v>
      </c>
      <c r="B680" s="8" t="s">
        <v>31</v>
      </c>
      <c r="C680" s="8" t="s">
        <v>32</v>
      </c>
      <c r="D680" s="8" t="s">
        <v>33</v>
      </c>
      <c r="E680" s="8" t="s">
        <v>34</v>
      </c>
      <c r="F680" s="8" t="s">
        <v>35</v>
      </c>
      <c r="G680">
        <v>8481805900</v>
      </c>
      <c r="H680" t="s">
        <v>53</v>
      </c>
      <c r="I680" t="s">
        <v>766</v>
      </c>
      <c r="J680" t="s">
        <v>74</v>
      </c>
      <c r="K680" t="s">
        <v>39</v>
      </c>
      <c r="L680">
        <v>7</v>
      </c>
      <c r="M680">
        <v>2</v>
      </c>
      <c r="N680" t="s">
        <v>64</v>
      </c>
      <c r="O680">
        <v>0</v>
      </c>
      <c r="P680">
        <v>1756.6</v>
      </c>
      <c r="Q680">
        <v>99.2</v>
      </c>
      <c r="R680">
        <v>11.19</v>
      </c>
      <c r="S680">
        <v>1866.99</v>
      </c>
      <c r="T680" t="s">
        <v>75</v>
      </c>
      <c r="U680" t="s">
        <v>766</v>
      </c>
      <c r="V680" t="s">
        <v>74</v>
      </c>
      <c r="W680" t="s">
        <v>767</v>
      </c>
      <c r="X680">
        <v>878.3</v>
      </c>
      <c r="Y680" s="9">
        <f t="shared" si="51"/>
        <v>878.3</v>
      </c>
      <c r="Z680" s="9">
        <f t="shared" si="52"/>
        <v>1646.8125</v>
      </c>
      <c r="AA680" s="5">
        <f t="shared" si="53"/>
        <v>1829.6086875000001</v>
      </c>
      <c r="AB680" s="6">
        <f t="shared" si="54"/>
        <v>2667.67156875</v>
      </c>
      <c r="AD680" s="10">
        <f t="shared" si="55"/>
        <v>3340.1145168750004</v>
      </c>
    </row>
    <row r="681" spans="1:30" x14ac:dyDescent="0.3">
      <c r="A681" t="s">
        <v>30</v>
      </c>
      <c r="B681" s="8" t="s">
        <v>32</v>
      </c>
      <c r="C681" s="8" t="s">
        <v>32</v>
      </c>
      <c r="D681" s="8" t="s">
        <v>33</v>
      </c>
      <c r="E681" s="8" t="s">
        <v>34</v>
      </c>
      <c r="F681" s="8" t="s">
        <v>35</v>
      </c>
      <c r="G681">
        <v>8487909000</v>
      </c>
      <c r="H681" t="s">
        <v>36</v>
      </c>
      <c r="I681" t="s">
        <v>768</v>
      </c>
      <c r="J681" t="s">
        <v>74</v>
      </c>
      <c r="K681" t="s">
        <v>39</v>
      </c>
      <c r="L681">
        <v>7</v>
      </c>
      <c r="M681">
        <v>4</v>
      </c>
      <c r="N681" t="s">
        <v>64</v>
      </c>
      <c r="O681">
        <v>0</v>
      </c>
      <c r="P681">
        <v>920.84</v>
      </c>
      <c r="Q681">
        <v>52</v>
      </c>
      <c r="R681">
        <v>5.87</v>
      </c>
      <c r="S681">
        <v>978.72</v>
      </c>
      <c r="T681" t="s">
        <v>75</v>
      </c>
      <c r="U681" t="s">
        <v>768</v>
      </c>
      <c r="V681" t="s">
        <v>74</v>
      </c>
      <c r="W681" t="s">
        <v>769</v>
      </c>
      <c r="X681">
        <v>230.21</v>
      </c>
      <c r="Y681" s="9">
        <f t="shared" si="51"/>
        <v>230.21</v>
      </c>
      <c r="Z681" s="9">
        <f t="shared" si="52"/>
        <v>431.64375000000001</v>
      </c>
      <c r="AA681" s="5">
        <f t="shared" si="53"/>
        <v>479.55620625</v>
      </c>
      <c r="AB681" s="6">
        <f t="shared" si="54"/>
        <v>699.21971062499995</v>
      </c>
      <c r="AD681" s="10">
        <f t="shared" si="55"/>
        <v>875.47280306250013</v>
      </c>
    </row>
    <row r="682" spans="1:30" x14ac:dyDescent="0.3">
      <c r="A682" t="s">
        <v>30</v>
      </c>
      <c r="B682" s="8" t="s">
        <v>32</v>
      </c>
      <c r="C682" s="8" t="s">
        <v>32</v>
      </c>
      <c r="D682" s="8" t="s">
        <v>69</v>
      </c>
      <c r="E682" s="8" t="s">
        <v>70</v>
      </c>
      <c r="F682" s="8" t="s">
        <v>71</v>
      </c>
      <c r="G682">
        <v>8487909000</v>
      </c>
      <c r="H682" t="s">
        <v>36</v>
      </c>
      <c r="I682" t="s">
        <v>770</v>
      </c>
      <c r="J682" t="s">
        <v>38</v>
      </c>
      <c r="K682" t="s">
        <v>39</v>
      </c>
      <c r="L682">
        <v>13</v>
      </c>
      <c r="M682">
        <v>2</v>
      </c>
      <c r="N682" t="s">
        <v>64</v>
      </c>
      <c r="O682">
        <v>0</v>
      </c>
      <c r="P682">
        <v>451.4</v>
      </c>
      <c r="Q682">
        <v>24.1</v>
      </c>
      <c r="R682">
        <v>2.9</v>
      </c>
      <c r="S682">
        <v>478.4</v>
      </c>
      <c r="T682" t="s">
        <v>72</v>
      </c>
      <c r="U682" t="s">
        <v>72</v>
      </c>
      <c r="V682" t="s">
        <v>38</v>
      </c>
      <c r="W682" t="s">
        <v>769</v>
      </c>
      <c r="X682">
        <v>225.7</v>
      </c>
      <c r="Y682" s="9">
        <f t="shared" si="51"/>
        <v>225.7</v>
      </c>
      <c r="Z682" s="9">
        <f t="shared" si="52"/>
        <v>423.1875</v>
      </c>
      <c r="AA682" s="5">
        <f t="shared" si="53"/>
        <v>470.16131250000001</v>
      </c>
      <c r="AB682" s="6">
        <f t="shared" si="54"/>
        <v>685.52143124999998</v>
      </c>
      <c r="AD682" s="10">
        <f t="shared" si="55"/>
        <v>858.32158312500007</v>
      </c>
    </row>
    <row r="683" spans="1:30" x14ac:dyDescent="0.3">
      <c r="A683" t="s">
        <v>30</v>
      </c>
      <c r="B683" s="8" t="s">
        <v>32</v>
      </c>
      <c r="C683" s="8" t="s">
        <v>32</v>
      </c>
      <c r="D683" s="8" t="s">
        <v>69</v>
      </c>
      <c r="E683" s="8" t="s">
        <v>70</v>
      </c>
      <c r="F683" s="8" t="s">
        <v>71</v>
      </c>
      <c r="G683">
        <v>8487909000</v>
      </c>
      <c r="H683" t="s">
        <v>36</v>
      </c>
      <c r="I683" t="s">
        <v>771</v>
      </c>
      <c r="J683" t="s">
        <v>38</v>
      </c>
      <c r="K683" t="s">
        <v>39</v>
      </c>
      <c r="L683">
        <v>13</v>
      </c>
      <c r="M683">
        <v>2</v>
      </c>
      <c r="N683" t="s">
        <v>64</v>
      </c>
      <c r="O683">
        <v>0</v>
      </c>
      <c r="P683">
        <v>220.6</v>
      </c>
      <c r="Q683">
        <v>11.78</v>
      </c>
      <c r="R683">
        <v>1.42</v>
      </c>
      <c r="S683">
        <v>233.79</v>
      </c>
      <c r="T683" t="s">
        <v>72</v>
      </c>
      <c r="U683" t="s">
        <v>72</v>
      </c>
      <c r="V683" t="s">
        <v>38</v>
      </c>
      <c r="W683" t="s">
        <v>772</v>
      </c>
      <c r="X683">
        <v>110.3</v>
      </c>
      <c r="Y683" s="9">
        <f t="shared" si="51"/>
        <v>110.3</v>
      </c>
      <c r="Z683" s="9">
        <f t="shared" si="52"/>
        <v>206.8125</v>
      </c>
      <c r="AA683" s="5">
        <f t="shared" si="53"/>
        <v>229.7686875</v>
      </c>
      <c r="AB683" s="6">
        <f t="shared" si="54"/>
        <v>335.01556875</v>
      </c>
      <c r="AD683" s="10">
        <f t="shared" si="55"/>
        <v>419.46331687500003</v>
      </c>
    </row>
    <row r="684" spans="1:30" x14ac:dyDescent="0.3">
      <c r="A684" t="s">
        <v>168</v>
      </c>
      <c r="B684" s="8" t="s">
        <v>32</v>
      </c>
      <c r="C684" s="8" t="s">
        <v>32</v>
      </c>
      <c r="D684" s="8" t="s">
        <v>33</v>
      </c>
      <c r="E684" s="8" t="s">
        <v>34</v>
      </c>
      <c r="F684" s="8" t="s">
        <v>35</v>
      </c>
      <c r="G684">
        <v>8484900000</v>
      </c>
      <c r="H684" t="s">
        <v>177</v>
      </c>
      <c r="I684" t="s">
        <v>773</v>
      </c>
      <c r="J684" t="s">
        <v>38</v>
      </c>
      <c r="K684" t="s">
        <v>39</v>
      </c>
      <c r="L684">
        <v>11</v>
      </c>
      <c r="M684">
        <v>1</v>
      </c>
      <c r="N684" t="s">
        <v>64</v>
      </c>
      <c r="O684">
        <v>0</v>
      </c>
      <c r="P684">
        <v>504.16</v>
      </c>
      <c r="Q684">
        <v>48.29</v>
      </c>
      <c r="R684">
        <v>3.4</v>
      </c>
      <c r="S684">
        <v>555.85</v>
      </c>
      <c r="T684" t="s">
        <v>41</v>
      </c>
      <c r="U684" t="s">
        <v>43</v>
      </c>
      <c r="V684" t="s">
        <v>38</v>
      </c>
      <c r="W684" t="s">
        <v>774</v>
      </c>
      <c r="X684">
        <v>504.16</v>
      </c>
      <c r="Y684" s="9">
        <f t="shared" si="51"/>
        <v>504.16</v>
      </c>
      <c r="Z684" s="9">
        <f t="shared" si="52"/>
        <v>945.30000000000007</v>
      </c>
      <c r="AA684" s="5">
        <f t="shared" si="53"/>
        <v>1050.2283</v>
      </c>
      <c r="AB684" s="6">
        <f t="shared" si="54"/>
        <v>1531.2914700000001</v>
      </c>
      <c r="AD684" s="10">
        <f t="shared" si="55"/>
        <v>1917.2858190000004</v>
      </c>
    </row>
    <row r="685" spans="1:30" x14ac:dyDescent="0.3">
      <c r="A685" t="s">
        <v>30</v>
      </c>
      <c r="B685" s="8" t="s">
        <v>32</v>
      </c>
      <c r="C685" s="8" t="s">
        <v>32</v>
      </c>
      <c r="D685" s="8" t="s">
        <v>33</v>
      </c>
      <c r="E685" s="8" t="s">
        <v>34</v>
      </c>
      <c r="F685" s="8" t="s">
        <v>35</v>
      </c>
      <c r="G685">
        <v>8481909090</v>
      </c>
      <c r="H685" t="s">
        <v>238</v>
      </c>
      <c r="I685" t="s">
        <v>775</v>
      </c>
      <c r="J685" t="s">
        <v>38</v>
      </c>
      <c r="K685" t="s">
        <v>39</v>
      </c>
      <c r="L685">
        <v>6</v>
      </c>
      <c r="M685">
        <v>2</v>
      </c>
      <c r="N685" t="s">
        <v>64</v>
      </c>
      <c r="O685">
        <v>0</v>
      </c>
      <c r="P685">
        <v>105.73</v>
      </c>
      <c r="Q685">
        <v>12.79</v>
      </c>
      <c r="R685">
        <v>0.74</v>
      </c>
      <c r="S685">
        <v>119.26</v>
      </c>
      <c r="T685" t="s">
        <v>41</v>
      </c>
      <c r="U685" t="s">
        <v>43</v>
      </c>
      <c r="V685" t="s">
        <v>38</v>
      </c>
      <c r="W685" t="s">
        <v>776</v>
      </c>
      <c r="X685">
        <v>52.87</v>
      </c>
      <c r="Y685" s="9">
        <f t="shared" si="51"/>
        <v>52.865000000000002</v>
      </c>
      <c r="Z685" s="9">
        <f t="shared" si="52"/>
        <v>99.121875000000003</v>
      </c>
      <c r="AA685" s="5">
        <f t="shared" si="53"/>
        <v>110.124403125</v>
      </c>
      <c r="AB685" s="6">
        <f t="shared" si="54"/>
        <v>160.56752531249998</v>
      </c>
      <c r="AD685" s="10">
        <f t="shared" si="55"/>
        <v>201.04196053125003</v>
      </c>
    </row>
    <row r="686" spans="1:30" x14ac:dyDescent="0.3">
      <c r="A686" t="s">
        <v>30</v>
      </c>
      <c r="B686" s="8" t="s">
        <v>32</v>
      </c>
      <c r="C686" s="8" t="s">
        <v>32</v>
      </c>
      <c r="D686" s="8" t="s">
        <v>33</v>
      </c>
      <c r="E686" s="8" t="s">
        <v>34</v>
      </c>
      <c r="F686" s="8" t="s">
        <v>35</v>
      </c>
      <c r="G686">
        <v>8481909090</v>
      </c>
      <c r="H686" t="s">
        <v>53</v>
      </c>
      <c r="I686" t="s">
        <v>777</v>
      </c>
      <c r="J686" t="s">
        <v>38</v>
      </c>
      <c r="K686" t="s">
        <v>39</v>
      </c>
      <c r="L686">
        <v>10</v>
      </c>
      <c r="M686">
        <v>2</v>
      </c>
      <c r="N686" t="s">
        <v>64</v>
      </c>
      <c r="O686">
        <v>0</v>
      </c>
      <c r="P686">
        <v>107.43</v>
      </c>
      <c r="Q686">
        <v>8.94</v>
      </c>
      <c r="R686">
        <v>0.7</v>
      </c>
      <c r="S686">
        <v>117.08</v>
      </c>
      <c r="T686" t="s">
        <v>41</v>
      </c>
      <c r="U686" t="s">
        <v>43</v>
      </c>
      <c r="V686" t="s">
        <v>38</v>
      </c>
      <c r="W686" t="s">
        <v>776</v>
      </c>
      <c r="X686">
        <v>53.72</v>
      </c>
      <c r="Y686" s="9">
        <f t="shared" si="51"/>
        <v>53.715000000000003</v>
      </c>
      <c r="Z686" s="9">
        <f t="shared" si="52"/>
        <v>100.715625</v>
      </c>
      <c r="AA686" s="5">
        <f t="shared" si="53"/>
        <v>111.895059375</v>
      </c>
      <c r="AB686" s="6">
        <f t="shared" si="54"/>
        <v>163.1492409375</v>
      </c>
      <c r="AD686" s="10">
        <f t="shared" si="55"/>
        <v>204.27445209375003</v>
      </c>
    </row>
    <row r="687" spans="1:30" x14ac:dyDescent="0.3">
      <c r="A687" t="s">
        <v>30</v>
      </c>
      <c r="B687" s="8" t="s">
        <v>32</v>
      </c>
      <c r="C687" s="8" t="s">
        <v>32</v>
      </c>
      <c r="D687" s="8" t="s">
        <v>33</v>
      </c>
      <c r="E687" s="8" t="s">
        <v>34</v>
      </c>
      <c r="F687" s="8" t="s">
        <v>35</v>
      </c>
      <c r="G687">
        <v>8481909090</v>
      </c>
      <c r="H687" t="s">
        <v>238</v>
      </c>
      <c r="I687" t="s">
        <v>313</v>
      </c>
      <c r="J687" t="s">
        <v>38</v>
      </c>
      <c r="K687" t="s">
        <v>39</v>
      </c>
      <c r="L687">
        <v>6</v>
      </c>
      <c r="M687">
        <v>2</v>
      </c>
      <c r="N687" t="s">
        <v>64</v>
      </c>
      <c r="O687">
        <v>0</v>
      </c>
      <c r="P687">
        <v>76.459999999999994</v>
      </c>
      <c r="Q687">
        <v>9.25</v>
      </c>
      <c r="R687">
        <v>0.53</v>
      </c>
      <c r="S687">
        <v>86.23</v>
      </c>
      <c r="T687" t="s">
        <v>41</v>
      </c>
      <c r="U687" t="s">
        <v>43</v>
      </c>
      <c r="V687" t="s">
        <v>38</v>
      </c>
      <c r="W687" t="s">
        <v>778</v>
      </c>
      <c r="X687">
        <v>38.229999999999997</v>
      </c>
      <c r="Y687" s="9">
        <f t="shared" si="51"/>
        <v>38.229999999999997</v>
      </c>
      <c r="Z687" s="9">
        <f t="shared" si="52"/>
        <v>71.681249999999991</v>
      </c>
      <c r="AA687" s="5">
        <f t="shared" si="53"/>
        <v>79.637868749999996</v>
      </c>
      <c r="AB687" s="6">
        <f t="shared" si="54"/>
        <v>116.11645687499998</v>
      </c>
      <c r="AD687" s="10">
        <f t="shared" si="55"/>
        <v>145.38606168749999</v>
      </c>
    </row>
    <row r="688" spans="1:30" x14ac:dyDescent="0.3">
      <c r="A688" t="s">
        <v>30</v>
      </c>
      <c r="B688" s="8" t="s">
        <v>32</v>
      </c>
      <c r="C688" s="8" t="s">
        <v>32</v>
      </c>
      <c r="D688" s="8" t="s">
        <v>33</v>
      </c>
      <c r="E688" s="8" t="s">
        <v>34</v>
      </c>
      <c r="F688" s="8" t="s">
        <v>35</v>
      </c>
      <c r="G688">
        <v>8481909090</v>
      </c>
      <c r="H688" t="s">
        <v>238</v>
      </c>
      <c r="I688" t="s">
        <v>313</v>
      </c>
      <c r="J688" t="s">
        <v>38</v>
      </c>
      <c r="K688" t="s">
        <v>39</v>
      </c>
      <c r="L688">
        <v>3</v>
      </c>
      <c r="M688">
        <v>10</v>
      </c>
      <c r="N688" t="s">
        <v>64</v>
      </c>
      <c r="O688">
        <v>0</v>
      </c>
      <c r="P688">
        <v>400.62</v>
      </c>
      <c r="Q688">
        <v>17.14</v>
      </c>
      <c r="R688">
        <v>2.58</v>
      </c>
      <c r="S688">
        <v>420.35</v>
      </c>
      <c r="T688" t="s">
        <v>41</v>
      </c>
      <c r="U688" t="s">
        <v>43</v>
      </c>
      <c r="V688" t="s">
        <v>38</v>
      </c>
      <c r="W688" t="s">
        <v>778</v>
      </c>
      <c r="X688">
        <v>40.06</v>
      </c>
      <c r="Y688" s="9">
        <f t="shared" si="51"/>
        <v>40.061999999999998</v>
      </c>
      <c r="Z688" s="9">
        <f t="shared" si="52"/>
        <v>75.116249999999994</v>
      </c>
      <c r="AA688" s="5">
        <f t="shared" si="53"/>
        <v>83.454153749999989</v>
      </c>
      <c r="AB688" s="6">
        <f t="shared" si="54"/>
        <v>121.68081337499999</v>
      </c>
      <c r="AD688" s="10">
        <f t="shared" si="55"/>
        <v>152.3530317375</v>
      </c>
    </row>
    <row r="689" spans="1:30" x14ac:dyDescent="0.3">
      <c r="A689" t="s">
        <v>30</v>
      </c>
      <c r="B689" s="8" t="s">
        <v>32</v>
      </c>
      <c r="C689" s="8" t="s">
        <v>32</v>
      </c>
      <c r="D689" s="8" t="s">
        <v>69</v>
      </c>
      <c r="E689" s="8" t="s">
        <v>70</v>
      </c>
      <c r="F689" s="8" t="s">
        <v>71</v>
      </c>
      <c r="G689">
        <v>8481909090</v>
      </c>
      <c r="H689" t="s">
        <v>238</v>
      </c>
      <c r="I689" t="s">
        <v>672</v>
      </c>
      <c r="J689" t="s">
        <v>38</v>
      </c>
      <c r="K689" t="s">
        <v>39</v>
      </c>
      <c r="L689">
        <v>13</v>
      </c>
      <c r="M689">
        <v>3</v>
      </c>
      <c r="N689" t="s">
        <v>64</v>
      </c>
      <c r="O689">
        <v>0</v>
      </c>
      <c r="P689">
        <v>94.74</v>
      </c>
      <c r="Q689">
        <v>6.73</v>
      </c>
      <c r="R689">
        <v>0.62</v>
      </c>
      <c r="S689">
        <v>102.09</v>
      </c>
      <c r="T689" t="s">
        <v>41</v>
      </c>
      <c r="U689" t="s">
        <v>41</v>
      </c>
      <c r="V689" t="s">
        <v>38</v>
      </c>
      <c r="W689" t="s">
        <v>778</v>
      </c>
      <c r="X689">
        <v>31.58</v>
      </c>
      <c r="Y689" s="9">
        <f t="shared" si="51"/>
        <v>31.58</v>
      </c>
      <c r="Z689" s="9">
        <f t="shared" si="52"/>
        <v>59.212499999999999</v>
      </c>
      <c r="AA689" s="5">
        <f t="shared" si="53"/>
        <v>65.785087500000003</v>
      </c>
      <c r="AB689" s="6">
        <f t="shared" si="54"/>
        <v>95.918328749999986</v>
      </c>
      <c r="AD689" s="10">
        <f t="shared" si="55"/>
        <v>120.096568875</v>
      </c>
    </row>
    <row r="690" spans="1:30" x14ac:dyDescent="0.3">
      <c r="A690" t="s">
        <v>30</v>
      </c>
      <c r="B690" s="8" t="s">
        <v>32</v>
      </c>
      <c r="C690" s="8" t="s">
        <v>32</v>
      </c>
      <c r="D690" s="8" t="s">
        <v>69</v>
      </c>
      <c r="E690" s="8" t="s">
        <v>70</v>
      </c>
      <c r="F690" s="8" t="s">
        <v>71</v>
      </c>
      <c r="G690">
        <v>8481909090</v>
      </c>
      <c r="H690" t="s">
        <v>238</v>
      </c>
      <c r="I690" t="s">
        <v>672</v>
      </c>
      <c r="J690" t="s">
        <v>38</v>
      </c>
      <c r="K690" t="s">
        <v>39</v>
      </c>
      <c r="L690">
        <v>13</v>
      </c>
      <c r="M690">
        <v>12</v>
      </c>
      <c r="N690" t="s">
        <v>64</v>
      </c>
      <c r="O690">
        <v>0</v>
      </c>
      <c r="P690">
        <v>378.96</v>
      </c>
      <c r="Q690">
        <v>26.91</v>
      </c>
      <c r="R690">
        <v>2.48</v>
      </c>
      <c r="S690">
        <v>408.34</v>
      </c>
      <c r="T690" t="s">
        <v>41</v>
      </c>
      <c r="U690" t="s">
        <v>41</v>
      </c>
      <c r="V690" t="s">
        <v>38</v>
      </c>
      <c r="W690" t="s">
        <v>778</v>
      </c>
      <c r="X690">
        <v>31.58</v>
      </c>
      <c r="Y690" s="9">
        <f t="shared" si="51"/>
        <v>31.58</v>
      </c>
      <c r="Z690" s="9">
        <f t="shared" si="52"/>
        <v>59.212499999999999</v>
      </c>
      <c r="AA690" s="5">
        <f t="shared" si="53"/>
        <v>65.785087500000003</v>
      </c>
      <c r="AB690" s="6">
        <f t="shared" si="54"/>
        <v>95.918328749999986</v>
      </c>
      <c r="AD690" s="10">
        <f t="shared" si="55"/>
        <v>120.096568875</v>
      </c>
    </row>
    <row r="691" spans="1:30" x14ac:dyDescent="0.3">
      <c r="A691" t="s">
        <v>30</v>
      </c>
      <c r="B691" s="8" t="s">
        <v>32</v>
      </c>
      <c r="C691" s="8" t="s">
        <v>32</v>
      </c>
      <c r="D691" s="8" t="s">
        <v>33</v>
      </c>
      <c r="E691" s="8" t="s">
        <v>34</v>
      </c>
      <c r="F691" s="8" t="s">
        <v>35</v>
      </c>
      <c r="G691">
        <v>8481909090</v>
      </c>
      <c r="H691" t="s">
        <v>53</v>
      </c>
      <c r="I691" t="s">
        <v>762</v>
      </c>
      <c r="J691" t="s">
        <v>74</v>
      </c>
      <c r="K691" t="s">
        <v>39</v>
      </c>
      <c r="L691">
        <v>7</v>
      </c>
      <c r="M691">
        <v>2</v>
      </c>
      <c r="N691" t="s">
        <v>64</v>
      </c>
      <c r="O691">
        <v>0</v>
      </c>
      <c r="P691">
        <v>80.17</v>
      </c>
      <c r="Q691">
        <v>4.53</v>
      </c>
      <c r="R691">
        <v>0.51</v>
      </c>
      <c r="S691">
        <v>85.21</v>
      </c>
      <c r="T691" t="s">
        <v>75</v>
      </c>
      <c r="U691" t="s">
        <v>762</v>
      </c>
      <c r="V691" t="s">
        <v>74</v>
      </c>
      <c r="W691" t="s">
        <v>778</v>
      </c>
      <c r="X691">
        <v>40.090000000000003</v>
      </c>
      <c r="Y691" s="9">
        <f t="shared" si="51"/>
        <v>40.085000000000001</v>
      </c>
      <c r="Z691" s="9">
        <f t="shared" si="52"/>
        <v>75.159374999999997</v>
      </c>
      <c r="AA691" s="5">
        <f t="shared" si="53"/>
        <v>83.502065625</v>
      </c>
      <c r="AB691" s="6">
        <f t="shared" si="54"/>
        <v>121.75067156249999</v>
      </c>
      <c r="AD691" s="10">
        <f t="shared" si="55"/>
        <v>152.44049915625001</v>
      </c>
    </row>
    <row r="692" spans="1:30" x14ac:dyDescent="0.3">
      <c r="A692" t="s">
        <v>30</v>
      </c>
      <c r="B692" s="8" t="s">
        <v>32</v>
      </c>
      <c r="C692" s="8" t="s">
        <v>32</v>
      </c>
      <c r="D692" s="8" t="s">
        <v>33</v>
      </c>
      <c r="E692" s="8" t="s">
        <v>34</v>
      </c>
      <c r="F692" s="8" t="s">
        <v>35</v>
      </c>
      <c r="G692">
        <v>8481909090</v>
      </c>
      <c r="H692" t="s">
        <v>53</v>
      </c>
      <c r="I692" t="s">
        <v>672</v>
      </c>
      <c r="J692" t="s">
        <v>38</v>
      </c>
      <c r="K692" t="s">
        <v>39</v>
      </c>
      <c r="L692">
        <v>12</v>
      </c>
      <c r="M692">
        <v>15</v>
      </c>
      <c r="N692" t="s">
        <v>64</v>
      </c>
      <c r="O692">
        <v>0</v>
      </c>
      <c r="P692">
        <v>606.77</v>
      </c>
      <c r="Q692">
        <v>69.67</v>
      </c>
      <c r="R692">
        <v>4.04</v>
      </c>
      <c r="S692">
        <v>680.48</v>
      </c>
      <c r="T692" t="s">
        <v>41</v>
      </c>
      <c r="U692" t="s">
        <v>41</v>
      </c>
      <c r="V692" t="s">
        <v>38</v>
      </c>
      <c r="W692" t="s">
        <v>778</v>
      </c>
      <c r="X692">
        <v>40.450000000000003</v>
      </c>
      <c r="Y692" s="9">
        <f t="shared" si="51"/>
        <v>40.451333333333331</v>
      </c>
      <c r="Z692" s="9">
        <f t="shared" si="52"/>
        <v>75.846249999999998</v>
      </c>
      <c r="AA692" s="5">
        <f t="shared" si="53"/>
        <v>84.265183749999991</v>
      </c>
      <c r="AB692" s="6">
        <f t="shared" si="54"/>
        <v>122.86334037499999</v>
      </c>
      <c r="AD692" s="10">
        <f t="shared" si="55"/>
        <v>153.8336396375</v>
      </c>
    </row>
    <row r="693" spans="1:30" x14ac:dyDescent="0.3">
      <c r="A693" t="s">
        <v>30</v>
      </c>
      <c r="B693" s="8" t="s">
        <v>32</v>
      </c>
      <c r="C693" s="8" t="s">
        <v>32</v>
      </c>
      <c r="D693" s="8" t="s">
        <v>33</v>
      </c>
      <c r="E693" s="8" t="s">
        <v>34</v>
      </c>
      <c r="F693" s="8" t="s">
        <v>35</v>
      </c>
      <c r="G693">
        <v>8481909090</v>
      </c>
      <c r="H693" t="s">
        <v>53</v>
      </c>
      <c r="I693" t="s">
        <v>313</v>
      </c>
      <c r="J693" t="s">
        <v>38</v>
      </c>
      <c r="K693" t="s">
        <v>39</v>
      </c>
      <c r="L693">
        <v>10</v>
      </c>
      <c r="M693">
        <v>4</v>
      </c>
      <c r="N693" t="s">
        <v>64</v>
      </c>
      <c r="O693">
        <v>0</v>
      </c>
      <c r="P693">
        <v>160.38999999999999</v>
      </c>
      <c r="Q693">
        <v>13.35</v>
      </c>
      <c r="R693">
        <v>1.05</v>
      </c>
      <c r="S693">
        <v>174.79</v>
      </c>
      <c r="T693" t="s">
        <v>41</v>
      </c>
      <c r="U693" t="s">
        <v>43</v>
      </c>
      <c r="V693" t="s">
        <v>38</v>
      </c>
      <c r="W693" t="s">
        <v>778</v>
      </c>
      <c r="X693">
        <v>40.1</v>
      </c>
      <c r="Y693" s="9">
        <f t="shared" si="51"/>
        <v>40.097499999999997</v>
      </c>
      <c r="Z693" s="9">
        <f t="shared" si="52"/>
        <v>75.182812499999997</v>
      </c>
      <c r="AA693" s="5">
        <f t="shared" si="53"/>
        <v>83.52810468749999</v>
      </c>
      <c r="AB693" s="6">
        <f t="shared" si="54"/>
        <v>121.78863796874998</v>
      </c>
      <c r="AD693" s="10">
        <f t="shared" si="55"/>
        <v>152.48803579687501</v>
      </c>
    </row>
    <row r="694" spans="1:30" x14ac:dyDescent="0.3">
      <c r="A694" t="s">
        <v>30</v>
      </c>
      <c r="B694" s="8" t="s">
        <v>32</v>
      </c>
      <c r="C694" s="8" t="s">
        <v>32</v>
      </c>
      <c r="D694" s="8" t="s">
        <v>33</v>
      </c>
      <c r="E694" s="8" t="s">
        <v>34</v>
      </c>
      <c r="F694" s="8" t="s">
        <v>35</v>
      </c>
      <c r="G694">
        <v>8481909090</v>
      </c>
      <c r="H694" t="s">
        <v>53</v>
      </c>
      <c r="I694" t="s">
        <v>672</v>
      </c>
      <c r="J694" t="s">
        <v>38</v>
      </c>
      <c r="K694" t="s">
        <v>39</v>
      </c>
      <c r="L694">
        <v>8</v>
      </c>
      <c r="M694">
        <v>10</v>
      </c>
      <c r="N694" t="s">
        <v>64</v>
      </c>
      <c r="O694">
        <v>0</v>
      </c>
      <c r="P694">
        <v>399.57</v>
      </c>
      <c r="Q694">
        <v>22.62</v>
      </c>
      <c r="R694">
        <v>2.5499999999999998</v>
      </c>
      <c r="S694">
        <v>424.74</v>
      </c>
      <c r="T694" t="s">
        <v>41</v>
      </c>
      <c r="U694" t="s">
        <v>41</v>
      </c>
      <c r="V694" t="s">
        <v>38</v>
      </c>
      <c r="W694" t="s">
        <v>778</v>
      </c>
      <c r="X694">
        <v>39.96</v>
      </c>
      <c r="Y694" s="9">
        <f t="shared" si="51"/>
        <v>39.957000000000001</v>
      </c>
      <c r="Z694" s="9">
        <f t="shared" si="52"/>
        <v>74.919375000000002</v>
      </c>
      <c r="AA694" s="5">
        <f t="shared" si="53"/>
        <v>83.235425625000005</v>
      </c>
      <c r="AB694" s="6">
        <f t="shared" si="54"/>
        <v>121.3618955625</v>
      </c>
      <c r="AD694" s="10">
        <f t="shared" si="55"/>
        <v>151.95372395625003</v>
      </c>
    </row>
    <row r="695" spans="1:30" x14ac:dyDescent="0.3">
      <c r="A695" t="s">
        <v>30</v>
      </c>
      <c r="B695" s="8" t="s">
        <v>32</v>
      </c>
      <c r="C695" s="8" t="s">
        <v>32</v>
      </c>
      <c r="D695" s="8" t="s">
        <v>33</v>
      </c>
      <c r="E695" s="8" t="s">
        <v>34</v>
      </c>
      <c r="F695" s="8" t="s">
        <v>35</v>
      </c>
      <c r="G695">
        <v>8481909090</v>
      </c>
      <c r="H695" t="s">
        <v>53</v>
      </c>
      <c r="I695" t="s">
        <v>762</v>
      </c>
      <c r="J695" t="s">
        <v>74</v>
      </c>
      <c r="K695" t="s">
        <v>39</v>
      </c>
      <c r="L695">
        <v>7</v>
      </c>
      <c r="M695">
        <v>2</v>
      </c>
      <c r="N695" t="s">
        <v>64</v>
      </c>
      <c r="O695">
        <v>0</v>
      </c>
      <c r="P695">
        <v>88.41</v>
      </c>
      <c r="Q695">
        <v>4.99</v>
      </c>
      <c r="R695">
        <v>0.56000000000000005</v>
      </c>
      <c r="S695">
        <v>93.97</v>
      </c>
      <c r="T695" t="s">
        <v>75</v>
      </c>
      <c r="U695" t="s">
        <v>762</v>
      </c>
      <c r="V695" t="s">
        <v>74</v>
      </c>
      <c r="W695" t="s">
        <v>779</v>
      </c>
      <c r="X695">
        <v>44.2</v>
      </c>
      <c r="Y695" s="9">
        <f t="shared" si="51"/>
        <v>44.204999999999998</v>
      </c>
      <c r="Z695" s="9">
        <f t="shared" si="52"/>
        <v>82.884374999999991</v>
      </c>
      <c r="AA695" s="5">
        <f t="shared" si="53"/>
        <v>92.084540624999988</v>
      </c>
      <c r="AB695" s="6">
        <f t="shared" si="54"/>
        <v>134.26439906249999</v>
      </c>
      <c r="AD695" s="10">
        <f t="shared" si="55"/>
        <v>168.10857590625</v>
      </c>
    </row>
    <row r="696" spans="1:30" x14ac:dyDescent="0.3">
      <c r="A696" t="s">
        <v>30</v>
      </c>
      <c r="B696" s="8" t="s">
        <v>32</v>
      </c>
      <c r="C696" s="8" t="s">
        <v>32</v>
      </c>
      <c r="D696" s="8" t="s">
        <v>33</v>
      </c>
      <c r="E696" s="8" t="s">
        <v>34</v>
      </c>
      <c r="F696" s="8" t="s">
        <v>35</v>
      </c>
      <c r="G696">
        <v>8481909090</v>
      </c>
      <c r="H696" t="s">
        <v>53</v>
      </c>
      <c r="I696" t="s">
        <v>313</v>
      </c>
      <c r="J696" t="s">
        <v>38</v>
      </c>
      <c r="K696" t="s">
        <v>39</v>
      </c>
      <c r="L696">
        <v>10</v>
      </c>
      <c r="M696">
        <v>3</v>
      </c>
      <c r="N696" t="s">
        <v>64</v>
      </c>
      <c r="O696">
        <v>0</v>
      </c>
      <c r="P696">
        <v>132.65</v>
      </c>
      <c r="Q696">
        <v>11.04</v>
      </c>
      <c r="R696">
        <v>0.87</v>
      </c>
      <c r="S696">
        <v>144.57</v>
      </c>
      <c r="T696" t="s">
        <v>41</v>
      </c>
      <c r="U696" t="s">
        <v>43</v>
      </c>
      <c r="V696" t="s">
        <v>38</v>
      </c>
      <c r="W696" t="s">
        <v>779</v>
      </c>
      <c r="X696">
        <v>44.22</v>
      </c>
      <c r="Y696" s="9">
        <f t="shared" si="51"/>
        <v>44.216666666666669</v>
      </c>
      <c r="Z696" s="9">
        <f t="shared" si="52"/>
        <v>82.90625</v>
      </c>
      <c r="AA696" s="5">
        <f t="shared" si="53"/>
        <v>92.108843750000005</v>
      </c>
      <c r="AB696" s="6">
        <f t="shared" si="54"/>
        <v>134.29983437499999</v>
      </c>
      <c r="AD696" s="10">
        <f t="shared" si="55"/>
        <v>168.15294343750003</v>
      </c>
    </row>
    <row r="697" spans="1:30" x14ac:dyDescent="0.3">
      <c r="A697" t="s">
        <v>30</v>
      </c>
      <c r="B697" s="8" t="s">
        <v>32</v>
      </c>
      <c r="C697" s="8" t="s">
        <v>32</v>
      </c>
      <c r="D697" s="8" t="s">
        <v>33</v>
      </c>
      <c r="E697" s="8" t="s">
        <v>34</v>
      </c>
      <c r="F697" s="8" t="s">
        <v>35</v>
      </c>
      <c r="G697">
        <v>8481909090</v>
      </c>
      <c r="H697" t="s">
        <v>53</v>
      </c>
      <c r="I697" t="s">
        <v>672</v>
      </c>
      <c r="J697" t="s">
        <v>38</v>
      </c>
      <c r="K697" t="s">
        <v>39</v>
      </c>
      <c r="L697">
        <v>8</v>
      </c>
      <c r="M697">
        <v>6</v>
      </c>
      <c r="N697" t="s">
        <v>64</v>
      </c>
      <c r="O697">
        <v>0</v>
      </c>
      <c r="P697">
        <v>264.39</v>
      </c>
      <c r="Q697">
        <v>14.97</v>
      </c>
      <c r="R697">
        <v>1.69</v>
      </c>
      <c r="S697">
        <v>281.04000000000002</v>
      </c>
      <c r="T697" t="s">
        <v>41</v>
      </c>
      <c r="U697" t="s">
        <v>41</v>
      </c>
      <c r="V697" t="s">
        <v>38</v>
      </c>
      <c r="W697" t="s">
        <v>779</v>
      </c>
      <c r="X697">
        <v>44.06</v>
      </c>
      <c r="Y697" s="9">
        <f t="shared" si="51"/>
        <v>44.064999999999998</v>
      </c>
      <c r="Z697" s="9">
        <f t="shared" si="52"/>
        <v>82.621874999999989</v>
      </c>
      <c r="AA697" s="5">
        <f t="shared" si="53"/>
        <v>91.792903124999981</v>
      </c>
      <c r="AB697" s="6">
        <f t="shared" si="54"/>
        <v>133.83917531249998</v>
      </c>
      <c r="AD697" s="10">
        <f t="shared" si="55"/>
        <v>167.57616553124998</v>
      </c>
    </row>
    <row r="698" spans="1:30" x14ac:dyDescent="0.3">
      <c r="A698" t="s">
        <v>30</v>
      </c>
      <c r="B698" s="8" t="s">
        <v>32</v>
      </c>
      <c r="C698" s="8" t="s">
        <v>32</v>
      </c>
      <c r="D698" s="8" t="s">
        <v>33</v>
      </c>
      <c r="E698" s="8" t="s">
        <v>34</v>
      </c>
      <c r="F698" s="8" t="s">
        <v>35</v>
      </c>
      <c r="G698">
        <v>8481909090</v>
      </c>
      <c r="H698" t="s">
        <v>238</v>
      </c>
      <c r="I698" t="s">
        <v>780</v>
      </c>
      <c r="J698" t="s">
        <v>38</v>
      </c>
      <c r="K698" t="s">
        <v>39</v>
      </c>
      <c r="L698">
        <v>3</v>
      </c>
      <c r="M698">
        <v>10</v>
      </c>
      <c r="N698" t="s">
        <v>64</v>
      </c>
      <c r="O698">
        <v>0</v>
      </c>
      <c r="P698">
        <v>438.64</v>
      </c>
      <c r="Q698">
        <v>18.77</v>
      </c>
      <c r="R698">
        <v>2.83</v>
      </c>
      <c r="S698">
        <v>460.24</v>
      </c>
      <c r="T698" t="s">
        <v>41</v>
      </c>
      <c r="U698" t="s">
        <v>43</v>
      </c>
      <c r="V698" t="s">
        <v>38</v>
      </c>
      <c r="W698" t="s">
        <v>781</v>
      </c>
      <c r="X698">
        <v>43.86</v>
      </c>
      <c r="Y698" s="9">
        <f t="shared" si="51"/>
        <v>43.863999999999997</v>
      </c>
      <c r="Z698" s="9">
        <f t="shared" si="52"/>
        <v>82.24499999999999</v>
      </c>
      <c r="AA698" s="5">
        <f t="shared" si="53"/>
        <v>91.374194999999986</v>
      </c>
      <c r="AB698" s="6">
        <f t="shared" si="54"/>
        <v>133.22867549999998</v>
      </c>
      <c r="AD698" s="10">
        <f t="shared" si="55"/>
        <v>166.81177635</v>
      </c>
    </row>
    <row r="699" spans="1:30" x14ac:dyDescent="0.3">
      <c r="A699" t="s">
        <v>30</v>
      </c>
      <c r="B699" s="8" t="s">
        <v>32</v>
      </c>
      <c r="C699" s="8" t="s">
        <v>32</v>
      </c>
      <c r="D699" s="8" t="s">
        <v>69</v>
      </c>
      <c r="E699" s="8" t="s">
        <v>70</v>
      </c>
      <c r="F699" s="8" t="s">
        <v>71</v>
      </c>
      <c r="G699">
        <v>8481909090</v>
      </c>
      <c r="H699" t="s">
        <v>238</v>
      </c>
      <c r="I699" t="s">
        <v>313</v>
      </c>
      <c r="J699" t="s">
        <v>38</v>
      </c>
      <c r="K699" t="s">
        <v>39</v>
      </c>
      <c r="L699">
        <v>9</v>
      </c>
      <c r="M699">
        <v>5</v>
      </c>
      <c r="N699" t="s">
        <v>64</v>
      </c>
      <c r="O699">
        <v>0</v>
      </c>
      <c r="P699">
        <v>208.8</v>
      </c>
      <c r="Q699">
        <v>10.52</v>
      </c>
      <c r="R699">
        <v>1.33</v>
      </c>
      <c r="S699">
        <v>220.65</v>
      </c>
      <c r="T699" t="s">
        <v>41</v>
      </c>
      <c r="U699" t="s">
        <v>43</v>
      </c>
      <c r="V699" t="s">
        <v>38</v>
      </c>
      <c r="W699" t="s">
        <v>781</v>
      </c>
      <c r="X699">
        <v>41.76</v>
      </c>
      <c r="Y699" s="9">
        <f t="shared" si="51"/>
        <v>41.760000000000005</v>
      </c>
      <c r="Z699" s="9">
        <f t="shared" si="52"/>
        <v>78.300000000000011</v>
      </c>
      <c r="AA699" s="5">
        <f t="shared" si="53"/>
        <v>86.99130000000001</v>
      </c>
      <c r="AB699" s="6">
        <f t="shared" si="54"/>
        <v>126.83817000000001</v>
      </c>
      <c r="AD699" s="10">
        <f t="shared" si="55"/>
        <v>158.81040900000005</v>
      </c>
    </row>
    <row r="700" spans="1:30" x14ac:dyDescent="0.3">
      <c r="A700" t="s">
        <v>30</v>
      </c>
      <c r="B700" s="8" t="s">
        <v>32</v>
      </c>
      <c r="C700" s="8" t="s">
        <v>32</v>
      </c>
      <c r="D700" s="8" t="s">
        <v>33</v>
      </c>
      <c r="E700" s="8" t="s">
        <v>34</v>
      </c>
      <c r="F700" s="8" t="s">
        <v>35</v>
      </c>
      <c r="G700">
        <v>8481909090</v>
      </c>
      <c r="H700" t="s">
        <v>53</v>
      </c>
      <c r="I700" t="s">
        <v>782</v>
      </c>
      <c r="J700" t="s">
        <v>74</v>
      </c>
      <c r="K700" t="s">
        <v>39</v>
      </c>
      <c r="L700">
        <v>7</v>
      </c>
      <c r="M700">
        <v>3</v>
      </c>
      <c r="N700" t="s">
        <v>64</v>
      </c>
      <c r="O700">
        <v>0</v>
      </c>
      <c r="P700">
        <v>131.66999999999999</v>
      </c>
      <c r="Q700">
        <v>7.44</v>
      </c>
      <c r="R700">
        <v>0.84</v>
      </c>
      <c r="S700">
        <v>139.94999999999999</v>
      </c>
      <c r="T700" t="s">
        <v>75</v>
      </c>
      <c r="U700" t="s">
        <v>782</v>
      </c>
      <c r="V700" t="s">
        <v>74</v>
      </c>
      <c r="W700" t="s">
        <v>781</v>
      </c>
      <c r="X700">
        <v>43.89</v>
      </c>
      <c r="Y700" s="9">
        <f t="shared" si="51"/>
        <v>43.889999999999993</v>
      </c>
      <c r="Z700" s="9">
        <f t="shared" si="52"/>
        <v>82.293749999999989</v>
      </c>
      <c r="AA700" s="5">
        <f t="shared" si="53"/>
        <v>91.428356249999993</v>
      </c>
      <c r="AB700" s="6">
        <f t="shared" si="54"/>
        <v>133.30764562499996</v>
      </c>
      <c r="AD700" s="10">
        <f t="shared" si="55"/>
        <v>166.91065256249999</v>
      </c>
    </row>
    <row r="701" spans="1:30" x14ac:dyDescent="0.3">
      <c r="A701" t="s">
        <v>30</v>
      </c>
      <c r="B701" s="8" t="s">
        <v>32</v>
      </c>
      <c r="C701" s="8" t="s">
        <v>32</v>
      </c>
      <c r="D701" s="8" t="s">
        <v>33</v>
      </c>
      <c r="E701" s="8" t="s">
        <v>34</v>
      </c>
      <c r="F701" s="8" t="s">
        <v>35</v>
      </c>
      <c r="G701">
        <v>8481809990</v>
      </c>
      <c r="H701" t="s">
        <v>160</v>
      </c>
      <c r="I701" t="s">
        <v>659</v>
      </c>
      <c r="J701" t="s">
        <v>38</v>
      </c>
      <c r="K701" t="s">
        <v>39</v>
      </c>
      <c r="L701">
        <v>7</v>
      </c>
      <c r="M701">
        <v>10</v>
      </c>
      <c r="N701" t="s">
        <v>64</v>
      </c>
      <c r="O701">
        <v>0</v>
      </c>
      <c r="P701">
        <v>1528.21</v>
      </c>
      <c r="Q701">
        <v>241.43</v>
      </c>
      <c r="R701">
        <v>9.42</v>
      </c>
      <c r="S701">
        <v>1779.07</v>
      </c>
      <c r="T701" t="s">
        <v>41</v>
      </c>
      <c r="U701" t="s">
        <v>41</v>
      </c>
      <c r="V701" t="s">
        <v>38</v>
      </c>
      <c r="W701" t="s">
        <v>783</v>
      </c>
      <c r="X701">
        <v>152.82</v>
      </c>
      <c r="Y701" s="9">
        <f t="shared" si="51"/>
        <v>152.821</v>
      </c>
      <c r="Z701" s="9">
        <f t="shared" si="52"/>
        <v>286.53937500000001</v>
      </c>
      <c r="AA701" s="5">
        <f t="shared" si="53"/>
        <v>318.34524562500002</v>
      </c>
      <c r="AB701" s="6">
        <f t="shared" si="54"/>
        <v>464.16513356249999</v>
      </c>
      <c r="AD701" s="10">
        <f t="shared" si="55"/>
        <v>581.16775655625008</v>
      </c>
    </row>
    <row r="702" spans="1:30" x14ac:dyDescent="0.3">
      <c r="A702" t="s">
        <v>30</v>
      </c>
      <c r="B702" s="8" t="s">
        <v>32</v>
      </c>
      <c r="C702" s="8" t="s">
        <v>32</v>
      </c>
      <c r="D702" s="8" t="s">
        <v>33</v>
      </c>
      <c r="E702" s="8" t="s">
        <v>34</v>
      </c>
      <c r="F702" s="8" t="s">
        <v>35</v>
      </c>
      <c r="G702">
        <v>8481809990</v>
      </c>
      <c r="H702" t="s">
        <v>160</v>
      </c>
      <c r="I702" t="s">
        <v>360</v>
      </c>
      <c r="J702" t="s">
        <v>38</v>
      </c>
      <c r="K702" t="s">
        <v>39</v>
      </c>
      <c r="L702">
        <v>6</v>
      </c>
      <c r="M702">
        <v>2</v>
      </c>
      <c r="N702" t="s">
        <v>64</v>
      </c>
      <c r="O702">
        <v>0</v>
      </c>
      <c r="P702">
        <v>286.54000000000002</v>
      </c>
      <c r="Q702">
        <v>34.65</v>
      </c>
      <c r="R702">
        <v>2</v>
      </c>
      <c r="S702">
        <v>323.19</v>
      </c>
      <c r="T702" t="s">
        <v>41</v>
      </c>
      <c r="U702" t="s">
        <v>43</v>
      </c>
      <c r="V702" t="s">
        <v>38</v>
      </c>
      <c r="W702" t="s">
        <v>783</v>
      </c>
      <c r="X702">
        <v>143.27000000000001</v>
      </c>
      <c r="Y702" s="9">
        <f t="shared" si="51"/>
        <v>143.27000000000001</v>
      </c>
      <c r="Z702" s="9">
        <f t="shared" si="52"/>
        <v>268.63125000000002</v>
      </c>
      <c r="AA702" s="5">
        <f t="shared" si="53"/>
        <v>298.44931875000003</v>
      </c>
      <c r="AB702" s="6">
        <f t="shared" si="54"/>
        <v>435.155761875</v>
      </c>
      <c r="AD702" s="10">
        <f t="shared" si="55"/>
        <v>544.84596018750005</v>
      </c>
    </row>
    <row r="703" spans="1:30" x14ac:dyDescent="0.3">
      <c r="A703" t="s">
        <v>30</v>
      </c>
      <c r="B703" s="8" t="s">
        <v>32</v>
      </c>
      <c r="C703" s="8" t="s">
        <v>32</v>
      </c>
      <c r="D703" s="8" t="s">
        <v>33</v>
      </c>
      <c r="E703" s="8" t="s">
        <v>34</v>
      </c>
      <c r="F703" s="8" t="s">
        <v>35</v>
      </c>
      <c r="G703">
        <v>8481809990</v>
      </c>
      <c r="H703" t="s">
        <v>160</v>
      </c>
      <c r="I703" t="s">
        <v>784</v>
      </c>
      <c r="J703" t="s">
        <v>38</v>
      </c>
      <c r="K703" t="s">
        <v>39</v>
      </c>
      <c r="L703">
        <v>8</v>
      </c>
      <c r="M703">
        <v>2</v>
      </c>
      <c r="N703" t="s">
        <v>64</v>
      </c>
      <c r="O703">
        <v>0</v>
      </c>
      <c r="P703">
        <v>283.01</v>
      </c>
      <c r="Q703">
        <v>40.729999999999997</v>
      </c>
      <c r="R703">
        <v>1.99</v>
      </c>
      <c r="S703">
        <v>325.73</v>
      </c>
      <c r="T703" t="s">
        <v>41</v>
      </c>
      <c r="U703" t="s">
        <v>41</v>
      </c>
      <c r="V703" t="s">
        <v>38</v>
      </c>
      <c r="W703" t="s">
        <v>783</v>
      </c>
      <c r="X703">
        <v>141.5</v>
      </c>
      <c r="Y703" s="9">
        <f t="shared" si="51"/>
        <v>141.505</v>
      </c>
      <c r="Z703" s="9">
        <f t="shared" si="52"/>
        <v>265.32187499999998</v>
      </c>
      <c r="AA703" s="5">
        <f t="shared" si="53"/>
        <v>294.77260312499999</v>
      </c>
      <c r="AB703" s="6">
        <f t="shared" si="54"/>
        <v>429.79490531249996</v>
      </c>
      <c r="AD703" s="10">
        <f t="shared" si="55"/>
        <v>538.13378653125005</v>
      </c>
    </row>
    <row r="704" spans="1:30" x14ac:dyDescent="0.3">
      <c r="A704" t="s">
        <v>30</v>
      </c>
      <c r="B704" s="8" t="s">
        <v>32</v>
      </c>
      <c r="C704" s="8" t="s">
        <v>32</v>
      </c>
      <c r="D704" s="8" t="s">
        <v>69</v>
      </c>
      <c r="E704" s="8" t="s">
        <v>70</v>
      </c>
      <c r="F704" s="8" t="s">
        <v>71</v>
      </c>
      <c r="G704">
        <v>8481809990</v>
      </c>
      <c r="H704" t="s">
        <v>160</v>
      </c>
      <c r="I704" t="s">
        <v>785</v>
      </c>
      <c r="J704" t="s">
        <v>38</v>
      </c>
      <c r="K704" t="s">
        <v>39</v>
      </c>
      <c r="L704">
        <v>9</v>
      </c>
      <c r="M704">
        <v>8</v>
      </c>
      <c r="N704" t="s">
        <v>64</v>
      </c>
      <c r="O704">
        <v>0</v>
      </c>
      <c r="P704">
        <v>1111.76</v>
      </c>
      <c r="Q704">
        <v>56.03</v>
      </c>
      <c r="R704">
        <v>7.06</v>
      </c>
      <c r="S704">
        <v>1174.8499999999999</v>
      </c>
      <c r="T704" t="s">
        <v>41</v>
      </c>
      <c r="U704" t="s">
        <v>43</v>
      </c>
      <c r="V704" t="s">
        <v>38</v>
      </c>
      <c r="W704" t="s">
        <v>783</v>
      </c>
      <c r="X704">
        <v>138.97</v>
      </c>
      <c r="Y704" s="9">
        <f t="shared" si="51"/>
        <v>138.97</v>
      </c>
      <c r="Z704" s="9">
        <f t="shared" si="52"/>
        <v>260.56875000000002</v>
      </c>
      <c r="AA704" s="5">
        <f t="shared" si="53"/>
        <v>289.49188125000001</v>
      </c>
      <c r="AB704" s="6">
        <f t="shared" si="54"/>
        <v>422.09531812500001</v>
      </c>
      <c r="AD704" s="10">
        <f t="shared" si="55"/>
        <v>528.49335581250011</v>
      </c>
    </row>
    <row r="705" spans="1:30" x14ac:dyDescent="0.3">
      <c r="A705" t="s">
        <v>30</v>
      </c>
      <c r="B705" s="8" t="s">
        <v>32</v>
      </c>
      <c r="C705" s="8" t="s">
        <v>32</v>
      </c>
      <c r="D705" s="8" t="s">
        <v>33</v>
      </c>
      <c r="E705" s="8" t="s">
        <v>34</v>
      </c>
      <c r="F705" s="8" t="s">
        <v>35</v>
      </c>
      <c r="G705">
        <v>8481809990</v>
      </c>
      <c r="H705" t="s">
        <v>53</v>
      </c>
      <c r="I705" t="s">
        <v>659</v>
      </c>
      <c r="J705" t="s">
        <v>38</v>
      </c>
      <c r="K705" t="s">
        <v>39</v>
      </c>
      <c r="L705">
        <v>10</v>
      </c>
      <c r="M705">
        <v>2</v>
      </c>
      <c r="N705" t="s">
        <v>64</v>
      </c>
      <c r="O705">
        <v>0</v>
      </c>
      <c r="P705">
        <v>349.56</v>
      </c>
      <c r="Q705">
        <v>29.09</v>
      </c>
      <c r="R705">
        <v>2.29</v>
      </c>
      <c r="S705">
        <v>380.95</v>
      </c>
      <c r="T705" t="s">
        <v>41</v>
      </c>
      <c r="U705" t="s">
        <v>43</v>
      </c>
      <c r="V705" t="s">
        <v>38</v>
      </c>
      <c r="W705" t="s">
        <v>783</v>
      </c>
      <c r="X705">
        <v>174.78</v>
      </c>
      <c r="Y705" s="9">
        <f t="shared" si="51"/>
        <v>174.78</v>
      </c>
      <c r="Z705" s="9">
        <f t="shared" si="52"/>
        <v>327.71249999999998</v>
      </c>
      <c r="AA705" s="5">
        <f t="shared" si="53"/>
        <v>364.08858749999996</v>
      </c>
      <c r="AB705" s="6">
        <f t="shared" si="54"/>
        <v>530.86147874999995</v>
      </c>
      <c r="AD705" s="10">
        <f t="shared" si="55"/>
        <v>664.67632387499998</v>
      </c>
    </row>
    <row r="706" spans="1:30" x14ac:dyDescent="0.3">
      <c r="A706" t="s">
        <v>30</v>
      </c>
      <c r="B706" s="8" t="s">
        <v>32</v>
      </c>
      <c r="C706" s="8" t="s">
        <v>32</v>
      </c>
      <c r="D706" s="8" t="s">
        <v>33</v>
      </c>
      <c r="E706" s="8" t="s">
        <v>34</v>
      </c>
      <c r="F706" s="8" t="s">
        <v>35</v>
      </c>
      <c r="G706">
        <v>8481809990</v>
      </c>
      <c r="H706" t="s">
        <v>53</v>
      </c>
      <c r="I706" t="s">
        <v>659</v>
      </c>
      <c r="J706" t="s">
        <v>38</v>
      </c>
      <c r="K706" t="s">
        <v>39</v>
      </c>
      <c r="L706">
        <v>8</v>
      </c>
      <c r="M706">
        <v>6</v>
      </c>
      <c r="N706" t="s">
        <v>64</v>
      </c>
      <c r="O706">
        <v>0</v>
      </c>
      <c r="P706">
        <v>1045.05</v>
      </c>
      <c r="Q706">
        <v>59.17</v>
      </c>
      <c r="R706">
        <v>6.67</v>
      </c>
      <c r="S706">
        <v>1110.8800000000001</v>
      </c>
      <c r="T706" t="s">
        <v>41</v>
      </c>
      <c r="U706" t="s">
        <v>41</v>
      </c>
      <c r="V706" t="s">
        <v>38</v>
      </c>
      <c r="W706" t="s">
        <v>783</v>
      </c>
      <c r="X706">
        <v>174.17</v>
      </c>
      <c r="Y706" s="9">
        <f t="shared" si="51"/>
        <v>174.17499999999998</v>
      </c>
      <c r="Z706" s="9">
        <f t="shared" si="52"/>
        <v>326.57812499999994</v>
      </c>
      <c r="AA706" s="5">
        <f t="shared" si="53"/>
        <v>362.82829687499992</v>
      </c>
      <c r="AB706" s="6">
        <f t="shared" si="54"/>
        <v>529.02390468749991</v>
      </c>
      <c r="AD706" s="10">
        <f t="shared" si="55"/>
        <v>662.37555046874991</v>
      </c>
    </row>
    <row r="707" spans="1:30" x14ac:dyDescent="0.3">
      <c r="A707" t="s">
        <v>30</v>
      </c>
      <c r="B707" s="8" t="s">
        <v>31</v>
      </c>
      <c r="C707" s="8" t="s">
        <v>32</v>
      </c>
      <c r="D707" s="8" t="s">
        <v>33</v>
      </c>
      <c r="E707" s="8" t="s">
        <v>34</v>
      </c>
      <c r="F707" s="8" t="s">
        <v>35</v>
      </c>
      <c r="G707">
        <v>8421999000</v>
      </c>
      <c r="H707" t="s">
        <v>36</v>
      </c>
      <c r="I707" t="s">
        <v>661</v>
      </c>
      <c r="J707" t="s">
        <v>38</v>
      </c>
      <c r="K707" t="s">
        <v>39</v>
      </c>
      <c r="L707">
        <v>6</v>
      </c>
      <c r="M707">
        <v>2</v>
      </c>
      <c r="N707" t="s">
        <v>64</v>
      </c>
      <c r="O707">
        <v>0</v>
      </c>
      <c r="P707">
        <v>520.26</v>
      </c>
      <c r="Q707">
        <v>62.92</v>
      </c>
      <c r="R707">
        <v>3.62</v>
      </c>
      <c r="S707">
        <v>586.79999999999995</v>
      </c>
      <c r="T707" t="s">
        <v>41</v>
      </c>
      <c r="U707" t="s">
        <v>43</v>
      </c>
      <c r="V707" t="s">
        <v>38</v>
      </c>
      <c r="W707" t="s">
        <v>786</v>
      </c>
      <c r="X707">
        <v>260.13</v>
      </c>
      <c r="Y707" s="9">
        <f t="shared" ref="Y707:Y770" si="56">SUM(P707)/M707</f>
        <v>260.13</v>
      </c>
      <c r="Z707" s="9">
        <f t="shared" ref="Z707:Z770" si="57">SUM(Y707)*1.875</f>
        <v>487.74374999999998</v>
      </c>
      <c r="AA707" s="5">
        <f t="shared" ref="AA707:AA770" si="58">SUM(Z707)*1.111</f>
        <v>541.88330624999992</v>
      </c>
      <c r="AB707" s="6">
        <f t="shared" ref="AB707:AB770" si="59">SUM(Z707)*1.6199</f>
        <v>790.09610062499996</v>
      </c>
      <c r="AD707" s="10">
        <f t="shared" ref="AD707:AD770" si="60">SUM(Z707)*2.02823</f>
        <v>989.25650606250008</v>
      </c>
    </row>
    <row r="708" spans="1:30" x14ac:dyDescent="0.3">
      <c r="A708" t="s">
        <v>30</v>
      </c>
      <c r="B708" s="8" t="s">
        <v>31</v>
      </c>
      <c r="C708" s="8" t="s">
        <v>32</v>
      </c>
      <c r="D708" s="8" t="s">
        <v>33</v>
      </c>
      <c r="E708" s="8" t="s">
        <v>34</v>
      </c>
      <c r="F708" s="8" t="s">
        <v>35</v>
      </c>
      <c r="G708">
        <v>8421999000</v>
      </c>
      <c r="H708" t="s">
        <v>36</v>
      </c>
      <c r="I708" t="s">
        <v>787</v>
      </c>
      <c r="J708" t="s">
        <v>74</v>
      </c>
      <c r="K708" t="s">
        <v>39</v>
      </c>
      <c r="L708">
        <v>7</v>
      </c>
      <c r="M708">
        <v>14</v>
      </c>
      <c r="N708" t="s">
        <v>64</v>
      </c>
      <c r="O708">
        <v>0</v>
      </c>
      <c r="P708">
        <v>4131.58</v>
      </c>
      <c r="Q708">
        <v>233.32</v>
      </c>
      <c r="R708">
        <v>26.33</v>
      </c>
      <c r="S708">
        <v>4391.2299999999996</v>
      </c>
      <c r="T708" t="s">
        <v>75</v>
      </c>
      <c r="U708" t="s">
        <v>787</v>
      </c>
      <c r="V708" t="s">
        <v>74</v>
      </c>
      <c r="W708" t="s">
        <v>786</v>
      </c>
      <c r="X708">
        <v>295.11</v>
      </c>
      <c r="Y708" s="9">
        <f t="shared" si="56"/>
        <v>295.11285714285714</v>
      </c>
      <c r="Z708" s="9">
        <f t="shared" si="57"/>
        <v>553.33660714285713</v>
      </c>
      <c r="AA708" s="5">
        <f t="shared" si="58"/>
        <v>614.75697053571423</v>
      </c>
      <c r="AB708" s="6">
        <f t="shared" si="59"/>
        <v>896.34996991071421</v>
      </c>
      <c r="AD708" s="10">
        <f t="shared" si="60"/>
        <v>1122.2939067053571</v>
      </c>
    </row>
    <row r="709" spans="1:30" x14ac:dyDescent="0.3">
      <c r="A709" t="s">
        <v>30</v>
      </c>
      <c r="B709" s="8" t="s">
        <v>31</v>
      </c>
      <c r="C709" s="8" t="s">
        <v>32</v>
      </c>
      <c r="D709" s="8" t="s">
        <v>33</v>
      </c>
      <c r="E709" s="8" t="s">
        <v>34</v>
      </c>
      <c r="F709" s="8" t="s">
        <v>35</v>
      </c>
      <c r="G709">
        <v>8421999000</v>
      </c>
      <c r="H709" t="s">
        <v>36</v>
      </c>
      <c r="I709" t="s">
        <v>430</v>
      </c>
      <c r="J709" t="s">
        <v>38</v>
      </c>
      <c r="K709" t="s">
        <v>39</v>
      </c>
      <c r="L709">
        <v>10</v>
      </c>
      <c r="M709">
        <v>2</v>
      </c>
      <c r="N709" t="s">
        <v>64</v>
      </c>
      <c r="O709">
        <v>0</v>
      </c>
      <c r="P709">
        <v>590.39</v>
      </c>
      <c r="Q709">
        <v>49.14</v>
      </c>
      <c r="R709">
        <v>3.87</v>
      </c>
      <c r="S709">
        <v>643.39</v>
      </c>
      <c r="T709" t="s">
        <v>41</v>
      </c>
      <c r="U709" t="s">
        <v>43</v>
      </c>
      <c r="V709" t="s">
        <v>38</v>
      </c>
      <c r="W709" t="s">
        <v>786</v>
      </c>
      <c r="X709">
        <v>295.19</v>
      </c>
      <c r="Y709" s="9">
        <f t="shared" si="56"/>
        <v>295.19499999999999</v>
      </c>
      <c r="Z709" s="9">
        <f t="shared" si="57"/>
        <v>553.49062500000002</v>
      </c>
      <c r="AA709" s="5">
        <f t="shared" si="58"/>
        <v>614.92808437500003</v>
      </c>
      <c r="AB709" s="6">
        <f t="shared" si="59"/>
        <v>896.59946343749994</v>
      </c>
      <c r="AD709" s="10">
        <f t="shared" si="60"/>
        <v>1122.6062903437501</v>
      </c>
    </row>
    <row r="710" spans="1:30" x14ac:dyDescent="0.3">
      <c r="A710" t="s">
        <v>30</v>
      </c>
      <c r="B710" s="8" t="s">
        <v>31</v>
      </c>
      <c r="C710" s="8" t="s">
        <v>32</v>
      </c>
      <c r="D710" s="8" t="s">
        <v>69</v>
      </c>
      <c r="E710" s="8" t="s">
        <v>70</v>
      </c>
      <c r="F710" s="8" t="s">
        <v>71</v>
      </c>
      <c r="G710">
        <v>8421999000</v>
      </c>
      <c r="H710" t="s">
        <v>36</v>
      </c>
      <c r="I710" t="s">
        <v>430</v>
      </c>
      <c r="J710" t="s">
        <v>38</v>
      </c>
      <c r="K710" t="s">
        <v>39</v>
      </c>
      <c r="L710">
        <v>13</v>
      </c>
      <c r="M710">
        <v>3</v>
      </c>
      <c r="N710" t="s">
        <v>64</v>
      </c>
      <c r="O710">
        <v>0</v>
      </c>
      <c r="P710">
        <v>933.51</v>
      </c>
      <c r="Q710">
        <v>49.84</v>
      </c>
      <c r="R710">
        <v>6</v>
      </c>
      <c r="S710">
        <v>989.35</v>
      </c>
      <c r="T710" t="s">
        <v>72</v>
      </c>
      <c r="U710" t="s">
        <v>72</v>
      </c>
      <c r="V710" t="s">
        <v>38</v>
      </c>
      <c r="W710" t="s">
        <v>788</v>
      </c>
      <c r="X710">
        <v>311.17</v>
      </c>
      <c r="Y710" s="9">
        <f t="shared" si="56"/>
        <v>311.17</v>
      </c>
      <c r="Z710" s="9">
        <f t="shared" si="57"/>
        <v>583.44375000000002</v>
      </c>
      <c r="AA710" s="5">
        <f t="shared" si="58"/>
        <v>648.20600624999997</v>
      </c>
      <c r="AB710" s="6">
        <f t="shared" si="59"/>
        <v>945.12053062500001</v>
      </c>
      <c r="AD710" s="10">
        <f t="shared" si="60"/>
        <v>1183.3581170625002</v>
      </c>
    </row>
    <row r="711" spans="1:30" x14ac:dyDescent="0.3">
      <c r="A711" t="s">
        <v>30</v>
      </c>
      <c r="B711" s="8" t="s">
        <v>31</v>
      </c>
      <c r="C711" s="8" t="s">
        <v>32</v>
      </c>
      <c r="D711" s="8" t="s">
        <v>33</v>
      </c>
      <c r="E711" s="8" t="s">
        <v>34</v>
      </c>
      <c r="F711" s="8" t="s">
        <v>35</v>
      </c>
      <c r="G711">
        <v>8421999000</v>
      </c>
      <c r="H711" t="s">
        <v>36</v>
      </c>
      <c r="I711" t="s">
        <v>430</v>
      </c>
      <c r="J711" t="s">
        <v>38</v>
      </c>
      <c r="K711" t="s">
        <v>39</v>
      </c>
      <c r="L711">
        <v>8</v>
      </c>
      <c r="M711">
        <v>3</v>
      </c>
      <c r="N711" t="s">
        <v>64</v>
      </c>
      <c r="O711">
        <v>0</v>
      </c>
      <c r="P711">
        <v>954.7</v>
      </c>
      <c r="Q711">
        <v>101.91</v>
      </c>
      <c r="R711">
        <v>6.4</v>
      </c>
      <c r="S711">
        <v>1063.01</v>
      </c>
      <c r="T711" t="s">
        <v>41</v>
      </c>
      <c r="U711" t="s">
        <v>41</v>
      </c>
      <c r="V711" t="s">
        <v>38</v>
      </c>
      <c r="W711" t="s">
        <v>788</v>
      </c>
      <c r="X711">
        <v>318.23</v>
      </c>
      <c r="Y711" s="9">
        <f t="shared" si="56"/>
        <v>318.23333333333335</v>
      </c>
      <c r="Z711" s="9">
        <f t="shared" si="57"/>
        <v>596.6875</v>
      </c>
      <c r="AA711" s="5">
        <f t="shared" si="58"/>
        <v>662.91981250000003</v>
      </c>
      <c r="AB711" s="6">
        <f t="shared" si="59"/>
        <v>966.57408124999995</v>
      </c>
      <c r="AD711" s="10">
        <f t="shared" si="60"/>
        <v>1210.2194881250002</v>
      </c>
    </row>
    <row r="712" spans="1:30" x14ac:dyDescent="0.3">
      <c r="A712" t="s">
        <v>168</v>
      </c>
      <c r="B712" s="8" t="s">
        <v>31</v>
      </c>
      <c r="C712" s="8" t="s">
        <v>32</v>
      </c>
      <c r="E712" s="8" t="s">
        <v>70</v>
      </c>
      <c r="F712" s="8" t="s">
        <v>71</v>
      </c>
      <c r="G712">
        <v>8421999000</v>
      </c>
      <c r="H712" t="s">
        <v>36</v>
      </c>
      <c r="I712" t="s">
        <v>430</v>
      </c>
      <c r="J712" t="s">
        <v>38</v>
      </c>
      <c r="K712" t="s">
        <v>39</v>
      </c>
      <c r="L712">
        <v>0</v>
      </c>
      <c r="M712">
        <v>4</v>
      </c>
      <c r="N712" t="s">
        <v>64</v>
      </c>
      <c r="O712">
        <v>0</v>
      </c>
      <c r="P712">
        <v>1077.95</v>
      </c>
      <c r="Q712">
        <v>82.75</v>
      </c>
      <c r="R712">
        <v>7.76</v>
      </c>
      <c r="S712">
        <v>1168.46</v>
      </c>
      <c r="T712" t="s">
        <v>41</v>
      </c>
      <c r="U712" t="s">
        <v>41</v>
      </c>
      <c r="V712" t="s">
        <v>38</v>
      </c>
      <c r="W712" t="s">
        <v>788</v>
      </c>
      <c r="X712">
        <v>269.49</v>
      </c>
      <c r="Y712" s="9">
        <f t="shared" si="56"/>
        <v>269.48750000000001</v>
      </c>
      <c r="Z712" s="9">
        <f t="shared" si="57"/>
        <v>505.2890625</v>
      </c>
      <c r="AA712" s="5">
        <f t="shared" si="58"/>
        <v>561.37614843749998</v>
      </c>
      <c r="AB712" s="6">
        <f t="shared" si="59"/>
        <v>818.51775234374998</v>
      </c>
      <c r="AD712" s="10">
        <f t="shared" si="60"/>
        <v>1024.842435234375</v>
      </c>
    </row>
    <row r="713" spans="1:30" x14ac:dyDescent="0.3">
      <c r="A713" t="s">
        <v>30</v>
      </c>
      <c r="B713" s="8" t="s">
        <v>32</v>
      </c>
      <c r="C713" s="8" t="s">
        <v>32</v>
      </c>
      <c r="D713" s="8" t="s">
        <v>69</v>
      </c>
      <c r="E713" s="8" t="s">
        <v>70</v>
      </c>
      <c r="F713" s="8" t="s">
        <v>71</v>
      </c>
      <c r="G713">
        <v>8484900000</v>
      </c>
      <c r="H713" t="s">
        <v>36</v>
      </c>
      <c r="I713" t="s">
        <v>789</v>
      </c>
      <c r="J713" t="s">
        <v>38</v>
      </c>
      <c r="K713" t="s">
        <v>39</v>
      </c>
      <c r="L713">
        <v>8</v>
      </c>
      <c r="M713">
        <v>2</v>
      </c>
      <c r="N713" t="s">
        <v>64</v>
      </c>
      <c r="O713">
        <v>0</v>
      </c>
      <c r="P713">
        <v>69.28</v>
      </c>
      <c r="Q713">
        <v>4.53</v>
      </c>
      <c r="R713">
        <v>0.45</v>
      </c>
      <c r="S713">
        <v>74.260000000000005</v>
      </c>
      <c r="T713" t="s">
        <v>41</v>
      </c>
      <c r="U713" t="s">
        <v>41</v>
      </c>
      <c r="V713" t="s">
        <v>38</v>
      </c>
      <c r="W713" t="s">
        <v>790</v>
      </c>
      <c r="X713">
        <v>34.64</v>
      </c>
      <c r="Y713" s="9">
        <f t="shared" si="56"/>
        <v>34.64</v>
      </c>
      <c r="Z713" s="9">
        <f t="shared" si="57"/>
        <v>64.95</v>
      </c>
      <c r="AA713" s="5">
        <f t="shared" si="58"/>
        <v>72.159450000000007</v>
      </c>
      <c r="AB713" s="6">
        <f t="shared" si="59"/>
        <v>105.21250499999999</v>
      </c>
      <c r="AD713" s="10">
        <f t="shared" si="60"/>
        <v>131.73353850000001</v>
      </c>
    </row>
    <row r="714" spans="1:30" x14ac:dyDescent="0.3">
      <c r="A714" t="s">
        <v>30</v>
      </c>
      <c r="B714" s="8" t="s">
        <v>32</v>
      </c>
      <c r="C714" s="8" t="s">
        <v>32</v>
      </c>
      <c r="D714" s="8" t="s">
        <v>33</v>
      </c>
      <c r="E714" s="8" t="s">
        <v>34</v>
      </c>
      <c r="F714" s="8" t="s">
        <v>35</v>
      </c>
      <c r="G714">
        <v>8484900000</v>
      </c>
      <c r="H714" t="s">
        <v>36</v>
      </c>
      <c r="I714" t="s">
        <v>791</v>
      </c>
      <c r="J714" t="s">
        <v>38</v>
      </c>
      <c r="K714" t="s">
        <v>39</v>
      </c>
      <c r="L714">
        <v>8</v>
      </c>
      <c r="M714">
        <v>1</v>
      </c>
      <c r="N714" t="s">
        <v>64</v>
      </c>
      <c r="O714">
        <v>0</v>
      </c>
      <c r="P714">
        <v>35.22</v>
      </c>
      <c r="Q714">
        <v>1.99</v>
      </c>
      <c r="R714">
        <v>0.22</v>
      </c>
      <c r="S714">
        <v>37.44</v>
      </c>
      <c r="T714" t="s">
        <v>41</v>
      </c>
      <c r="U714" t="s">
        <v>41</v>
      </c>
      <c r="V714" t="s">
        <v>38</v>
      </c>
      <c r="W714" t="s">
        <v>790</v>
      </c>
      <c r="X714">
        <v>35.22</v>
      </c>
      <c r="Y714" s="9">
        <f t="shared" si="56"/>
        <v>35.22</v>
      </c>
      <c r="Z714" s="9">
        <f t="shared" si="57"/>
        <v>66.037499999999994</v>
      </c>
      <c r="AA714" s="5">
        <f t="shared" si="58"/>
        <v>73.367662499999994</v>
      </c>
      <c r="AB714" s="6">
        <f t="shared" si="59"/>
        <v>106.97414624999999</v>
      </c>
      <c r="AD714" s="10">
        <f t="shared" si="60"/>
        <v>133.939238625</v>
      </c>
    </row>
    <row r="715" spans="1:30" x14ac:dyDescent="0.3">
      <c r="A715" t="s">
        <v>30</v>
      </c>
      <c r="B715" s="8" t="s">
        <v>31</v>
      </c>
      <c r="C715" s="8" t="s">
        <v>32</v>
      </c>
      <c r="D715" s="8" t="s">
        <v>33</v>
      </c>
      <c r="E715" s="8" t="s">
        <v>34</v>
      </c>
      <c r="F715" s="8" t="s">
        <v>35</v>
      </c>
      <c r="G715">
        <v>8421999000</v>
      </c>
      <c r="H715" t="s">
        <v>36</v>
      </c>
      <c r="I715" t="s">
        <v>661</v>
      </c>
      <c r="J715" t="s">
        <v>38</v>
      </c>
      <c r="K715" t="s">
        <v>39</v>
      </c>
      <c r="L715">
        <v>6</v>
      </c>
      <c r="M715">
        <v>2</v>
      </c>
      <c r="N715" t="s">
        <v>64</v>
      </c>
      <c r="O715">
        <v>0</v>
      </c>
      <c r="P715">
        <v>213.1</v>
      </c>
      <c r="Q715">
        <v>25.77</v>
      </c>
      <c r="R715">
        <v>1.48</v>
      </c>
      <c r="S715">
        <v>240.35</v>
      </c>
      <c r="T715" t="s">
        <v>41</v>
      </c>
      <c r="U715" t="s">
        <v>43</v>
      </c>
      <c r="V715" t="s">
        <v>38</v>
      </c>
      <c r="W715" t="s">
        <v>792</v>
      </c>
      <c r="X715">
        <v>106.55</v>
      </c>
      <c r="Y715" s="9">
        <f t="shared" si="56"/>
        <v>106.55</v>
      </c>
      <c r="Z715" s="9">
        <f t="shared" si="57"/>
        <v>199.78125</v>
      </c>
      <c r="AA715" s="5">
        <f t="shared" si="58"/>
        <v>221.95696874999999</v>
      </c>
      <c r="AB715" s="6">
        <f t="shared" si="59"/>
        <v>323.62564687499997</v>
      </c>
      <c r="AD715" s="10">
        <f t="shared" si="60"/>
        <v>405.20232468750004</v>
      </c>
    </row>
    <row r="716" spans="1:30" x14ac:dyDescent="0.3">
      <c r="A716" t="s">
        <v>30</v>
      </c>
      <c r="B716" s="8" t="s">
        <v>31</v>
      </c>
      <c r="C716" s="8" t="s">
        <v>32</v>
      </c>
      <c r="D716" s="8" t="s">
        <v>69</v>
      </c>
      <c r="E716" s="8" t="s">
        <v>70</v>
      </c>
      <c r="F716" s="8" t="s">
        <v>71</v>
      </c>
      <c r="G716">
        <v>8421999000</v>
      </c>
      <c r="H716" t="s">
        <v>36</v>
      </c>
      <c r="I716" t="s">
        <v>692</v>
      </c>
      <c r="J716" t="s">
        <v>38</v>
      </c>
      <c r="K716" t="s">
        <v>39</v>
      </c>
      <c r="L716">
        <v>13</v>
      </c>
      <c r="M716">
        <v>8</v>
      </c>
      <c r="N716" t="s">
        <v>64</v>
      </c>
      <c r="O716">
        <v>0</v>
      </c>
      <c r="P716">
        <v>670.8</v>
      </c>
      <c r="Q716">
        <v>47.63</v>
      </c>
      <c r="R716">
        <v>4.3899999999999997</v>
      </c>
      <c r="S716">
        <v>722.81</v>
      </c>
      <c r="T716" t="s">
        <v>41</v>
      </c>
      <c r="U716" t="s">
        <v>41</v>
      </c>
      <c r="V716" t="s">
        <v>38</v>
      </c>
      <c r="W716" t="s">
        <v>792</v>
      </c>
      <c r="X716">
        <v>83.85</v>
      </c>
      <c r="Y716" s="9">
        <f t="shared" si="56"/>
        <v>83.85</v>
      </c>
      <c r="Z716" s="9">
        <f t="shared" si="57"/>
        <v>157.21875</v>
      </c>
      <c r="AA716" s="5">
        <f t="shared" si="58"/>
        <v>174.67003124999999</v>
      </c>
      <c r="AB716" s="6">
        <f t="shared" si="59"/>
        <v>254.67865312499998</v>
      </c>
      <c r="AD716" s="10">
        <f t="shared" si="60"/>
        <v>318.87578531250006</v>
      </c>
    </row>
    <row r="717" spans="1:30" x14ac:dyDescent="0.3">
      <c r="A717" t="s">
        <v>30</v>
      </c>
      <c r="B717" s="8" t="s">
        <v>31</v>
      </c>
      <c r="C717" s="8" t="s">
        <v>32</v>
      </c>
      <c r="D717" s="8" t="s">
        <v>33</v>
      </c>
      <c r="E717" s="8" t="s">
        <v>34</v>
      </c>
      <c r="F717" s="8" t="s">
        <v>35</v>
      </c>
      <c r="G717">
        <v>8421999000</v>
      </c>
      <c r="H717" t="s">
        <v>36</v>
      </c>
      <c r="I717" t="s">
        <v>430</v>
      </c>
      <c r="J717" t="s">
        <v>38</v>
      </c>
      <c r="K717" t="s">
        <v>39</v>
      </c>
      <c r="L717">
        <v>8</v>
      </c>
      <c r="M717">
        <v>5</v>
      </c>
      <c r="N717" t="s">
        <v>64</v>
      </c>
      <c r="O717">
        <v>0</v>
      </c>
      <c r="P717">
        <v>545.25</v>
      </c>
      <c r="Q717">
        <v>58.21</v>
      </c>
      <c r="R717">
        <v>3.65</v>
      </c>
      <c r="S717">
        <v>607.11</v>
      </c>
      <c r="T717" t="s">
        <v>41</v>
      </c>
      <c r="U717" t="s">
        <v>41</v>
      </c>
      <c r="V717" t="s">
        <v>38</v>
      </c>
      <c r="W717" t="s">
        <v>792</v>
      </c>
      <c r="X717">
        <v>109.05</v>
      </c>
      <c r="Y717" s="9">
        <f t="shared" si="56"/>
        <v>109.05</v>
      </c>
      <c r="Z717" s="9">
        <f t="shared" si="57"/>
        <v>204.46875</v>
      </c>
      <c r="AA717" s="5">
        <f t="shared" si="58"/>
        <v>227.16478125</v>
      </c>
      <c r="AB717" s="6">
        <f t="shared" si="59"/>
        <v>331.21892812499999</v>
      </c>
      <c r="AD717" s="10">
        <f t="shared" si="60"/>
        <v>414.70965281250005</v>
      </c>
    </row>
    <row r="718" spans="1:30" x14ac:dyDescent="0.3">
      <c r="A718" t="s">
        <v>30</v>
      </c>
      <c r="B718" s="8" t="s">
        <v>31</v>
      </c>
      <c r="C718" s="8" t="s">
        <v>32</v>
      </c>
      <c r="D718" s="8" t="s">
        <v>69</v>
      </c>
      <c r="E718" s="8" t="s">
        <v>70</v>
      </c>
      <c r="F718" s="8" t="s">
        <v>71</v>
      </c>
      <c r="G718">
        <v>8421999000</v>
      </c>
      <c r="H718" t="s">
        <v>36</v>
      </c>
      <c r="I718" t="s">
        <v>430</v>
      </c>
      <c r="J718" t="s">
        <v>38</v>
      </c>
      <c r="K718" t="s">
        <v>39</v>
      </c>
      <c r="L718">
        <v>13</v>
      </c>
      <c r="M718">
        <v>3</v>
      </c>
      <c r="N718" t="s">
        <v>64</v>
      </c>
      <c r="O718">
        <v>0</v>
      </c>
      <c r="P718">
        <v>825.87</v>
      </c>
      <c r="Q718">
        <v>44.09</v>
      </c>
      <c r="R718">
        <v>5.31</v>
      </c>
      <c r="S718">
        <v>875.27</v>
      </c>
      <c r="T718" t="s">
        <v>72</v>
      </c>
      <c r="U718" t="s">
        <v>72</v>
      </c>
      <c r="V718" t="s">
        <v>38</v>
      </c>
      <c r="W718" t="s">
        <v>793</v>
      </c>
      <c r="X718">
        <v>275.29000000000002</v>
      </c>
      <c r="Y718" s="9">
        <f t="shared" si="56"/>
        <v>275.29000000000002</v>
      </c>
      <c r="Z718" s="9">
        <f t="shared" si="57"/>
        <v>516.16875000000005</v>
      </c>
      <c r="AA718" s="5">
        <f t="shared" si="58"/>
        <v>573.46348125000009</v>
      </c>
      <c r="AB718" s="6">
        <f t="shared" si="59"/>
        <v>836.14175812500002</v>
      </c>
      <c r="AD718" s="10">
        <f t="shared" si="60"/>
        <v>1046.9089438125002</v>
      </c>
    </row>
    <row r="719" spans="1:30" x14ac:dyDescent="0.3">
      <c r="A719" t="s">
        <v>30</v>
      </c>
      <c r="B719" s="8" t="s">
        <v>31</v>
      </c>
      <c r="C719" s="8" t="s">
        <v>32</v>
      </c>
      <c r="D719" s="8" t="s">
        <v>33</v>
      </c>
      <c r="E719" s="8" t="s">
        <v>34</v>
      </c>
      <c r="F719" s="8" t="s">
        <v>35</v>
      </c>
      <c r="G719">
        <v>8421999000</v>
      </c>
      <c r="H719" t="s">
        <v>36</v>
      </c>
      <c r="I719" t="s">
        <v>430</v>
      </c>
      <c r="J719" t="s">
        <v>38</v>
      </c>
      <c r="K719" t="s">
        <v>39</v>
      </c>
      <c r="L719">
        <v>8</v>
      </c>
      <c r="M719">
        <v>3</v>
      </c>
      <c r="N719" t="s">
        <v>64</v>
      </c>
      <c r="O719">
        <v>0</v>
      </c>
      <c r="P719">
        <v>844.62</v>
      </c>
      <c r="Q719">
        <v>90.16</v>
      </c>
      <c r="R719">
        <v>5.66</v>
      </c>
      <c r="S719">
        <v>940.44</v>
      </c>
      <c r="T719" t="s">
        <v>41</v>
      </c>
      <c r="U719" t="s">
        <v>41</v>
      </c>
      <c r="V719" t="s">
        <v>38</v>
      </c>
      <c r="W719" t="s">
        <v>793</v>
      </c>
      <c r="X719">
        <v>281.54000000000002</v>
      </c>
      <c r="Y719" s="9">
        <f t="shared" si="56"/>
        <v>281.54000000000002</v>
      </c>
      <c r="Z719" s="9">
        <f t="shared" si="57"/>
        <v>527.88750000000005</v>
      </c>
      <c r="AA719" s="5">
        <f t="shared" si="58"/>
        <v>586.48301250000009</v>
      </c>
      <c r="AB719" s="6">
        <f t="shared" si="59"/>
        <v>855.12496125000007</v>
      </c>
      <c r="AD719" s="10">
        <f t="shared" si="60"/>
        <v>1070.6772641250002</v>
      </c>
    </row>
    <row r="720" spans="1:30" x14ac:dyDescent="0.3">
      <c r="A720" t="s">
        <v>168</v>
      </c>
      <c r="B720" s="8" t="s">
        <v>31</v>
      </c>
      <c r="C720" s="8" t="s">
        <v>32</v>
      </c>
      <c r="E720" s="8" t="s">
        <v>70</v>
      </c>
      <c r="F720" s="8" t="s">
        <v>71</v>
      </c>
      <c r="G720">
        <v>8421999000</v>
      </c>
      <c r="H720" t="s">
        <v>36</v>
      </c>
      <c r="I720" t="s">
        <v>430</v>
      </c>
      <c r="J720" t="s">
        <v>38</v>
      </c>
      <c r="K720" t="s">
        <v>39</v>
      </c>
      <c r="L720">
        <v>0</v>
      </c>
      <c r="M720">
        <v>5</v>
      </c>
      <c r="N720" t="s">
        <v>64</v>
      </c>
      <c r="O720">
        <v>0</v>
      </c>
      <c r="P720">
        <v>1192.06</v>
      </c>
      <c r="Q720">
        <v>91.51</v>
      </c>
      <c r="R720">
        <v>8.59</v>
      </c>
      <c r="S720">
        <v>1292.1500000000001</v>
      </c>
      <c r="T720" t="s">
        <v>41</v>
      </c>
      <c r="U720" t="s">
        <v>41</v>
      </c>
      <c r="V720" t="s">
        <v>38</v>
      </c>
      <c r="W720" t="s">
        <v>793</v>
      </c>
      <c r="X720">
        <v>238.41</v>
      </c>
      <c r="Y720" s="9">
        <f t="shared" si="56"/>
        <v>238.41199999999998</v>
      </c>
      <c r="Z720" s="9">
        <f t="shared" si="57"/>
        <v>447.02249999999998</v>
      </c>
      <c r="AA720" s="5">
        <f t="shared" si="58"/>
        <v>496.64199749999995</v>
      </c>
      <c r="AB720" s="6">
        <f t="shared" si="59"/>
        <v>724.13174774999993</v>
      </c>
      <c r="AD720" s="10">
        <f t="shared" si="60"/>
        <v>906.66444517500008</v>
      </c>
    </row>
    <row r="721" spans="1:30" x14ac:dyDescent="0.3">
      <c r="A721" t="s">
        <v>30</v>
      </c>
      <c r="B721" s="8" t="s">
        <v>32</v>
      </c>
      <c r="C721" s="8" t="s">
        <v>32</v>
      </c>
      <c r="D721" s="8" t="s">
        <v>33</v>
      </c>
      <c r="E721" s="8" t="s">
        <v>34</v>
      </c>
      <c r="F721" s="8" t="s">
        <v>35</v>
      </c>
      <c r="G721">
        <v>7318290000</v>
      </c>
      <c r="H721" t="s">
        <v>759</v>
      </c>
      <c r="I721" t="s">
        <v>794</v>
      </c>
      <c r="J721" t="s">
        <v>74</v>
      </c>
      <c r="K721" t="s">
        <v>39</v>
      </c>
      <c r="L721">
        <v>7</v>
      </c>
      <c r="M721">
        <v>6</v>
      </c>
      <c r="N721" t="s">
        <v>40</v>
      </c>
      <c r="O721">
        <v>0</v>
      </c>
      <c r="P721">
        <v>141.86000000000001</v>
      </c>
      <c r="Q721">
        <v>8.01</v>
      </c>
      <c r="R721">
        <v>0.9</v>
      </c>
      <c r="S721">
        <v>150.77000000000001</v>
      </c>
      <c r="T721" t="s">
        <v>75</v>
      </c>
      <c r="U721" t="s">
        <v>794</v>
      </c>
      <c r="V721" t="s">
        <v>74</v>
      </c>
      <c r="W721" t="s">
        <v>795</v>
      </c>
      <c r="X721">
        <v>23.64</v>
      </c>
      <c r="Y721" s="9">
        <f t="shared" si="56"/>
        <v>23.643333333333334</v>
      </c>
      <c r="Z721" s="9">
        <f t="shared" si="57"/>
        <v>44.331250000000004</v>
      </c>
      <c r="AA721" s="5">
        <f t="shared" si="58"/>
        <v>49.252018750000005</v>
      </c>
      <c r="AB721" s="6">
        <f t="shared" si="59"/>
        <v>71.812191874999996</v>
      </c>
      <c r="AD721" s="10">
        <f t="shared" si="60"/>
        <v>89.913971187500024</v>
      </c>
    </row>
    <row r="722" spans="1:30" x14ac:dyDescent="0.3">
      <c r="A722" t="s">
        <v>30</v>
      </c>
      <c r="B722" s="8" t="s">
        <v>32</v>
      </c>
      <c r="C722" s="8" t="s">
        <v>32</v>
      </c>
      <c r="D722" s="8" t="s">
        <v>33</v>
      </c>
      <c r="E722" s="8" t="s">
        <v>34</v>
      </c>
      <c r="F722" s="8" t="s">
        <v>35</v>
      </c>
      <c r="G722">
        <v>7318290000</v>
      </c>
      <c r="H722" t="s">
        <v>759</v>
      </c>
      <c r="I722" t="s">
        <v>796</v>
      </c>
      <c r="J722" t="s">
        <v>38</v>
      </c>
      <c r="K722" t="s">
        <v>39</v>
      </c>
      <c r="L722">
        <v>10</v>
      </c>
      <c r="M722">
        <v>2</v>
      </c>
      <c r="N722" t="s">
        <v>40</v>
      </c>
      <c r="O722">
        <v>3.57</v>
      </c>
      <c r="P722">
        <v>47.3</v>
      </c>
      <c r="Q722">
        <v>3.94</v>
      </c>
      <c r="R722">
        <v>0.31</v>
      </c>
      <c r="S722">
        <v>51.55</v>
      </c>
      <c r="T722" t="s">
        <v>41</v>
      </c>
      <c r="U722" t="s">
        <v>43</v>
      </c>
      <c r="V722" t="s">
        <v>38</v>
      </c>
      <c r="W722" t="s">
        <v>795</v>
      </c>
      <c r="X722">
        <v>23.65</v>
      </c>
      <c r="Y722" s="9">
        <f t="shared" si="56"/>
        <v>23.65</v>
      </c>
      <c r="Z722" s="9">
        <f t="shared" si="57"/>
        <v>44.34375</v>
      </c>
      <c r="AA722" s="5">
        <f t="shared" si="58"/>
        <v>49.26590625</v>
      </c>
      <c r="AB722" s="6">
        <f t="shared" si="59"/>
        <v>71.83244062499999</v>
      </c>
      <c r="AD722" s="10">
        <f t="shared" si="60"/>
        <v>89.939324062500006</v>
      </c>
    </row>
    <row r="723" spans="1:30" x14ac:dyDescent="0.3">
      <c r="A723" t="s">
        <v>30</v>
      </c>
      <c r="B723" s="8" t="s">
        <v>32</v>
      </c>
      <c r="C723" s="8" t="s">
        <v>32</v>
      </c>
      <c r="D723" s="8" t="s">
        <v>33</v>
      </c>
      <c r="E723" s="8" t="s">
        <v>34</v>
      </c>
      <c r="F723" s="8" t="s">
        <v>35</v>
      </c>
      <c r="G723">
        <v>8482500000</v>
      </c>
      <c r="H723" t="s">
        <v>83</v>
      </c>
      <c r="I723" t="s">
        <v>81</v>
      </c>
      <c r="J723" t="s">
        <v>38</v>
      </c>
      <c r="K723" t="s">
        <v>39</v>
      </c>
      <c r="L723">
        <v>3</v>
      </c>
      <c r="M723">
        <v>1</v>
      </c>
      <c r="N723" t="s">
        <v>64</v>
      </c>
      <c r="O723">
        <v>0</v>
      </c>
      <c r="P723">
        <v>758.59</v>
      </c>
      <c r="Q723">
        <v>32.46</v>
      </c>
      <c r="R723">
        <v>4.8899999999999997</v>
      </c>
      <c r="S723">
        <v>795.95</v>
      </c>
      <c r="T723" t="s">
        <v>41</v>
      </c>
      <c r="U723" t="s">
        <v>43</v>
      </c>
      <c r="V723" t="s">
        <v>38</v>
      </c>
      <c r="W723" t="s">
        <v>797</v>
      </c>
      <c r="X723">
        <v>758.59</v>
      </c>
      <c r="Y723" s="9">
        <f t="shared" si="56"/>
        <v>758.59</v>
      </c>
      <c r="Z723" s="9">
        <f t="shared" si="57"/>
        <v>1422.35625</v>
      </c>
      <c r="AA723" s="5">
        <f t="shared" si="58"/>
        <v>1580.23779375</v>
      </c>
      <c r="AB723" s="6">
        <f t="shared" si="59"/>
        <v>2304.0748893750001</v>
      </c>
      <c r="AD723" s="10">
        <f t="shared" si="60"/>
        <v>2884.8656169375004</v>
      </c>
    </row>
    <row r="724" spans="1:30" x14ac:dyDescent="0.3">
      <c r="A724" t="s">
        <v>30</v>
      </c>
      <c r="B724" s="8" t="s">
        <v>32</v>
      </c>
      <c r="C724" s="8" t="s">
        <v>32</v>
      </c>
      <c r="D724" s="8" t="s">
        <v>33</v>
      </c>
      <c r="E724" s="8" t="s">
        <v>34</v>
      </c>
      <c r="F724" s="8" t="s">
        <v>35</v>
      </c>
      <c r="G724">
        <v>8482500000</v>
      </c>
      <c r="H724" t="s">
        <v>690</v>
      </c>
      <c r="I724" t="s">
        <v>798</v>
      </c>
      <c r="J724" t="s">
        <v>74</v>
      </c>
      <c r="K724" t="s">
        <v>39</v>
      </c>
      <c r="L724">
        <v>7</v>
      </c>
      <c r="M724">
        <v>6</v>
      </c>
      <c r="N724" t="s">
        <v>64</v>
      </c>
      <c r="O724">
        <v>0</v>
      </c>
      <c r="P724">
        <v>4554.21</v>
      </c>
      <c r="Q724">
        <v>257.18</v>
      </c>
      <c r="R724">
        <v>29.02</v>
      </c>
      <c r="S724">
        <v>4840.41</v>
      </c>
      <c r="T724" t="s">
        <v>75</v>
      </c>
      <c r="U724" t="s">
        <v>798</v>
      </c>
      <c r="V724" t="s">
        <v>74</v>
      </c>
      <c r="W724" t="s">
        <v>797</v>
      </c>
      <c r="X724">
        <v>759.03</v>
      </c>
      <c r="Y724" s="9">
        <f t="shared" si="56"/>
        <v>759.03499999999997</v>
      </c>
      <c r="Z724" s="9">
        <f t="shared" si="57"/>
        <v>1423.190625</v>
      </c>
      <c r="AA724" s="5">
        <f t="shared" si="58"/>
        <v>1581.164784375</v>
      </c>
      <c r="AB724" s="6">
        <f t="shared" si="59"/>
        <v>2305.4264934374996</v>
      </c>
      <c r="AD724" s="10">
        <f t="shared" si="60"/>
        <v>2886.55792134375</v>
      </c>
    </row>
    <row r="725" spans="1:30" x14ac:dyDescent="0.3">
      <c r="A725" t="s">
        <v>30</v>
      </c>
      <c r="B725" s="8" t="s">
        <v>32</v>
      </c>
      <c r="C725" s="8" t="s">
        <v>32</v>
      </c>
      <c r="D725" s="8" t="s">
        <v>69</v>
      </c>
      <c r="E725" s="8" t="s">
        <v>70</v>
      </c>
      <c r="F725" s="8" t="s">
        <v>71</v>
      </c>
      <c r="G725">
        <v>8482500000</v>
      </c>
      <c r="H725" t="s">
        <v>690</v>
      </c>
      <c r="I725" t="s">
        <v>675</v>
      </c>
      <c r="J725" t="s">
        <v>38</v>
      </c>
      <c r="K725" t="s">
        <v>39</v>
      </c>
      <c r="L725">
        <v>13</v>
      </c>
      <c r="M725">
        <v>1</v>
      </c>
      <c r="N725" t="s">
        <v>64</v>
      </c>
      <c r="O725">
        <v>0</v>
      </c>
      <c r="P725">
        <v>744.16</v>
      </c>
      <c r="Q725">
        <v>39.729999999999997</v>
      </c>
      <c r="R725">
        <v>4.78</v>
      </c>
      <c r="S725">
        <v>788.67</v>
      </c>
      <c r="T725" t="s">
        <v>72</v>
      </c>
      <c r="U725" t="s">
        <v>72</v>
      </c>
      <c r="V725" t="s">
        <v>38</v>
      </c>
      <c r="W725" t="s">
        <v>797</v>
      </c>
      <c r="X725">
        <v>744.16</v>
      </c>
      <c r="Y725" s="9">
        <f t="shared" si="56"/>
        <v>744.16</v>
      </c>
      <c r="Z725" s="9">
        <f t="shared" si="57"/>
        <v>1395.3</v>
      </c>
      <c r="AA725" s="5">
        <f t="shared" si="58"/>
        <v>1550.1783</v>
      </c>
      <c r="AB725" s="6">
        <f t="shared" si="59"/>
        <v>2260.2464699999996</v>
      </c>
      <c r="AD725" s="10">
        <f t="shared" si="60"/>
        <v>2829.9893190000003</v>
      </c>
    </row>
    <row r="726" spans="1:30" x14ac:dyDescent="0.3">
      <c r="A726" t="s">
        <v>30</v>
      </c>
      <c r="B726" s="8" t="s">
        <v>32</v>
      </c>
      <c r="C726" s="8" t="s">
        <v>32</v>
      </c>
      <c r="D726" s="8" t="s">
        <v>33</v>
      </c>
      <c r="E726" s="8" t="s">
        <v>34</v>
      </c>
      <c r="F726" s="8" t="s">
        <v>35</v>
      </c>
      <c r="G726">
        <v>8482500000</v>
      </c>
      <c r="H726" t="s">
        <v>690</v>
      </c>
      <c r="I726" t="s">
        <v>81</v>
      </c>
      <c r="J726" t="s">
        <v>38</v>
      </c>
      <c r="K726" t="s">
        <v>39</v>
      </c>
      <c r="L726">
        <v>10</v>
      </c>
      <c r="M726">
        <v>2</v>
      </c>
      <c r="N726" t="s">
        <v>64</v>
      </c>
      <c r="O726">
        <v>0</v>
      </c>
      <c r="P726">
        <v>1518.48</v>
      </c>
      <c r="Q726">
        <v>126.39</v>
      </c>
      <c r="R726">
        <v>9.9499999999999993</v>
      </c>
      <c r="S726">
        <v>1654.81</v>
      </c>
      <c r="T726" t="s">
        <v>41</v>
      </c>
      <c r="U726" t="s">
        <v>43</v>
      </c>
      <c r="V726" t="s">
        <v>38</v>
      </c>
      <c r="W726" t="s">
        <v>797</v>
      </c>
      <c r="X726">
        <v>759.24</v>
      </c>
      <c r="Y726" s="9">
        <f t="shared" si="56"/>
        <v>759.24</v>
      </c>
      <c r="Z726" s="9">
        <f t="shared" si="57"/>
        <v>1423.575</v>
      </c>
      <c r="AA726" s="5">
        <f t="shared" si="58"/>
        <v>1581.591825</v>
      </c>
      <c r="AB726" s="6">
        <f t="shared" si="59"/>
        <v>2306.0491425</v>
      </c>
      <c r="AD726" s="10">
        <f t="shared" si="60"/>
        <v>2887.3375222500003</v>
      </c>
    </row>
    <row r="727" spans="1:30" x14ac:dyDescent="0.3">
      <c r="A727" t="s">
        <v>30</v>
      </c>
      <c r="B727" s="8" t="s">
        <v>32</v>
      </c>
      <c r="C727" s="8" t="s">
        <v>32</v>
      </c>
      <c r="D727" s="8" t="s">
        <v>33</v>
      </c>
      <c r="E727" s="8" t="s">
        <v>34</v>
      </c>
      <c r="F727" s="8" t="s">
        <v>35</v>
      </c>
      <c r="G727">
        <v>8482500000</v>
      </c>
      <c r="H727" t="s">
        <v>690</v>
      </c>
      <c r="I727" t="s">
        <v>675</v>
      </c>
      <c r="J727" t="s">
        <v>38</v>
      </c>
      <c r="K727" t="s">
        <v>39</v>
      </c>
      <c r="L727">
        <v>8</v>
      </c>
      <c r="M727">
        <v>1</v>
      </c>
      <c r="N727" t="s">
        <v>64</v>
      </c>
      <c r="O727">
        <v>0</v>
      </c>
      <c r="P727">
        <v>761.05</v>
      </c>
      <c r="Q727">
        <v>81.239999999999995</v>
      </c>
      <c r="R727">
        <v>5.0999999999999996</v>
      </c>
      <c r="S727">
        <v>847.4</v>
      </c>
      <c r="T727" t="s">
        <v>41</v>
      </c>
      <c r="U727" t="s">
        <v>41</v>
      </c>
      <c r="V727" t="s">
        <v>38</v>
      </c>
      <c r="W727" t="s">
        <v>797</v>
      </c>
      <c r="X727">
        <v>761.05</v>
      </c>
      <c r="Y727" s="9">
        <f t="shared" si="56"/>
        <v>761.05</v>
      </c>
      <c r="Z727" s="9">
        <f t="shared" si="57"/>
        <v>1426.96875</v>
      </c>
      <c r="AA727" s="5">
        <f t="shared" si="58"/>
        <v>1585.36228125</v>
      </c>
      <c r="AB727" s="6">
        <f t="shared" si="59"/>
        <v>2311.5466781249997</v>
      </c>
      <c r="AD727" s="10">
        <f t="shared" si="60"/>
        <v>2894.2208278125004</v>
      </c>
    </row>
    <row r="728" spans="1:30" x14ac:dyDescent="0.3">
      <c r="A728" t="s">
        <v>30</v>
      </c>
      <c r="B728" s="8" t="s">
        <v>32</v>
      </c>
      <c r="C728" s="8" t="s">
        <v>32</v>
      </c>
      <c r="D728" s="8" t="s">
        <v>33</v>
      </c>
      <c r="E728" s="8" t="s">
        <v>34</v>
      </c>
      <c r="F728" s="8" t="s">
        <v>35</v>
      </c>
      <c r="G728">
        <v>8482500000</v>
      </c>
      <c r="H728" t="s">
        <v>690</v>
      </c>
      <c r="I728" t="s">
        <v>675</v>
      </c>
      <c r="J728" t="s">
        <v>38</v>
      </c>
      <c r="K728" t="s">
        <v>39</v>
      </c>
      <c r="L728">
        <v>8</v>
      </c>
      <c r="M728">
        <v>3</v>
      </c>
      <c r="N728" t="s">
        <v>64</v>
      </c>
      <c r="O728">
        <v>0</v>
      </c>
      <c r="P728">
        <v>2281.0700000000002</v>
      </c>
      <c r="Q728">
        <v>285.75</v>
      </c>
      <c r="R728">
        <v>15.58</v>
      </c>
      <c r="S728">
        <v>2582.4</v>
      </c>
      <c r="T728" t="s">
        <v>41</v>
      </c>
      <c r="U728" t="s">
        <v>41</v>
      </c>
      <c r="V728" t="s">
        <v>38</v>
      </c>
      <c r="W728" t="s">
        <v>797</v>
      </c>
      <c r="X728">
        <v>760.36</v>
      </c>
      <c r="Y728" s="9">
        <f t="shared" si="56"/>
        <v>760.35666666666668</v>
      </c>
      <c r="Z728" s="9">
        <f t="shared" si="57"/>
        <v>1425.66875</v>
      </c>
      <c r="AA728" s="5">
        <f t="shared" si="58"/>
        <v>1583.9179812500001</v>
      </c>
      <c r="AB728" s="6">
        <f t="shared" si="59"/>
        <v>2309.4408081249999</v>
      </c>
      <c r="AD728" s="10">
        <f t="shared" si="60"/>
        <v>2891.5841288125002</v>
      </c>
    </row>
    <row r="729" spans="1:30" x14ac:dyDescent="0.3">
      <c r="A729" t="s">
        <v>168</v>
      </c>
      <c r="B729" s="8" t="s">
        <v>32</v>
      </c>
      <c r="C729" s="8" t="s">
        <v>32</v>
      </c>
      <c r="E729" s="8" t="s">
        <v>70</v>
      </c>
      <c r="F729" s="8" t="s">
        <v>71</v>
      </c>
      <c r="G729">
        <v>8482500000</v>
      </c>
      <c r="H729" t="s">
        <v>690</v>
      </c>
      <c r="I729" t="s">
        <v>81</v>
      </c>
      <c r="J729" t="s">
        <v>38</v>
      </c>
      <c r="K729" t="s">
        <v>39</v>
      </c>
      <c r="L729">
        <v>0</v>
      </c>
      <c r="M729">
        <v>1</v>
      </c>
      <c r="N729" t="s">
        <v>64</v>
      </c>
      <c r="O729">
        <v>0</v>
      </c>
      <c r="P729">
        <v>644.47</v>
      </c>
      <c r="Q729">
        <v>49.47</v>
      </c>
      <c r="R729">
        <v>4.6399999999999997</v>
      </c>
      <c r="S729">
        <v>698.59</v>
      </c>
      <c r="T729" t="s">
        <v>41</v>
      </c>
      <c r="U729" t="s">
        <v>41</v>
      </c>
      <c r="V729" t="s">
        <v>38</v>
      </c>
      <c r="W729" t="s">
        <v>797</v>
      </c>
      <c r="X729">
        <v>644.47</v>
      </c>
      <c r="Y729" s="9">
        <f t="shared" si="56"/>
        <v>644.47</v>
      </c>
      <c r="Z729" s="9">
        <f t="shared" si="57"/>
        <v>1208.3812500000001</v>
      </c>
      <c r="AA729" s="5">
        <f t="shared" si="58"/>
        <v>1342.5115687500002</v>
      </c>
      <c r="AB729" s="6">
        <f t="shared" si="59"/>
        <v>1957.456786875</v>
      </c>
      <c r="AD729" s="10">
        <f t="shared" si="60"/>
        <v>2450.8751026875007</v>
      </c>
    </row>
    <row r="730" spans="1:30" x14ac:dyDescent="0.3">
      <c r="A730" t="s">
        <v>168</v>
      </c>
      <c r="B730" s="8" t="s">
        <v>58</v>
      </c>
      <c r="C730" s="8" t="s">
        <v>32</v>
      </c>
      <c r="E730" s="8" t="s">
        <v>70</v>
      </c>
      <c r="F730" s="8" t="s">
        <v>71</v>
      </c>
      <c r="G730">
        <v>3403190000</v>
      </c>
      <c r="H730" t="s">
        <v>53</v>
      </c>
      <c r="I730" t="s">
        <v>482</v>
      </c>
      <c r="J730" t="s">
        <v>38</v>
      </c>
      <c r="K730" t="s">
        <v>39</v>
      </c>
      <c r="L730">
        <v>0</v>
      </c>
      <c r="M730">
        <v>1</v>
      </c>
      <c r="N730" t="s">
        <v>40</v>
      </c>
      <c r="O730">
        <v>0</v>
      </c>
      <c r="P730">
        <v>3470.29</v>
      </c>
      <c r="Q730">
        <v>225.36</v>
      </c>
      <c r="R730">
        <v>24.32</v>
      </c>
      <c r="S730">
        <v>3719.97</v>
      </c>
      <c r="T730" t="s">
        <v>483</v>
      </c>
      <c r="U730" t="s">
        <v>483</v>
      </c>
      <c r="V730" t="s">
        <v>38</v>
      </c>
      <c r="W730" t="s">
        <v>799</v>
      </c>
      <c r="X730">
        <v>3470.29</v>
      </c>
      <c r="Y730" s="9">
        <f t="shared" si="56"/>
        <v>3470.29</v>
      </c>
      <c r="Z730" s="9">
        <f t="shared" si="57"/>
        <v>6506.7937499999998</v>
      </c>
      <c r="AA730" s="5">
        <f t="shared" si="58"/>
        <v>7229.0478562499993</v>
      </c>
      <c r="AB730" s="6">
        <f t="shared" si="59"/>
        <v>10540.355195624999</v>
      </c>
      <c r="AD730" s="10">
        <f t="shared" si="60"/>
        <v>13197.274287562501</v>
      </c>
    </row>
    <row r="731" spans="1:30" x14ac:dyDescent="0.3">
      <c r="A731" t="s">
        <v>168</v>
      </c>
      <c r="B731" s="8" t="s">
        <v>58</v>
      </c>
      <c r="C731" s="8" t="s">
        <v>32</v>
      </c>
      <c r="E731" s="8" t="s">
        <v>70</v>
      </c>
      <c r="F731" s="8" t="s">
        <v>71</v>
      </c>
      <c r="G731">
        <v>3403190000</v>
      </c>
      <c r="H731" t="s">
        <v>53</v>
      </c>
      <c r="I731" t="s">
        <v>482</v>
      </c>
      <c r="J731" t="s">
        <v>38</v>
      </c>
      <c r="K731" t="s">
        <v>39</v>
      </c>
      <c r="L731">
        <v>0</v>
      </c>
      <c r="M731">
        <v>1</v>
      </c>
      <c r="N731" t="s">
        <v>40</v>
      </c>
      <c r="O731">
        <v>0</v>
      </c>
      <c r="P731">
        <v>3470.29</v>
      </c>
      <c r="Q731">
        <v>225.36</v>
      </c>
      <c r="R731">
        <v>24.32</v>
      </c>
      <c r="S731">
        <v>3719.97</v>
      </c>
      <c r="T731" t="s">
        <v>483</v>
      </c>
      <c r="U731" t="s">
        <v>483</v>
      </c>
      <c r="V731" t="s">
        <v>38</v>
      </c>
      <c r="W731" t="s">
        <v>799</v>
      </c>
      <c r="X731">
        <v>3470.29</v>
      </c>
      <c r="Y731" s="9">
        <f t="shared" si="56"/>
        <v>3470.29</v>
      </c>
      <c r="Z731" s="9">
        <f t="shared" si="57"/>
        <v>6506.7937499999998</v>
      </c>
      <c r="AA731" s="5">
        <f t="shared" si="58"/>
        <v>7229.0478562499993</v>
      </c>
      <c r="AB731" s="6">
        <f t="shared" si="59"/>
        <v>10540.355195624999</v>
      </c>
      <c r="AD731" s="10">
        <f t="shared" si="60"/>
        <v>13197.274287562501</v>
      </c>
    </row>
    <row r="732" spans="1:30" x14ac:dyDescent="0.3">
      <c r="A732" t="s">
        <v>168</v>
      </c>
      <c r="B732" s="8" t="s">
        <v>58</v>
      </c>
      <c r="C732" s="8" t="s">
        <v>32</v>
      </c>
      <c r="E732" s="8" t="s">
        <v>70</v>
      </c>
      <c r="F732" s="8" t="s">
        <v>71</v>
      </c>
      <c r="G732">
        <v>3403190000</v>
      </c>
      <c r="H732" t="s">
        <v>53</v>
      </c>
      <c r="I732" t="s">
        <v>482</v>
      </c>
      <c r="J732" t="s">
        <v>38</v>
      </c>
      <c r="K732" t="s">
        <v>39</v>
      </c>
      <c r="L732">
        <v>0</v>
      </c>
      <c r="M732">
        <v>1</v>
      </c>
      <c r="N732" t="s">
        <v>40</v>
      </c>
      <c r="O732">
        <v>0</v>
      </c>
      <c r="P732">
        <v>3470.29</v>
      </c>
      <c r="Q732">
        <v>225.36</v>
      </c>
      <c r="R732">
        <v>24.32</v>
      </c>
      <c r="S732">
        <v>3719.97</v>
      </c>
      <c r="T732" t="s">
        <v>483</v>
      </c>
      <c r="U732" t="s">
        <v>483</v>
      </c>
      <c r="V732" t="s">
        <v>38</v>
      </c>
      <c r="W732" t="s">
        <v>799</v>
      </c>
      <c r="X732">
        <v>3470.29</v>
      </c>
      <c r="Y732" s="9">
        <f t="shared" si="56"/>
        <v>3470.29</v>
      </c>
      <c r="Z732" s="9">
        <f t="shared" si="57"/>
        <v>6506.7937499999998</v>
      </c>
      <c r="AA732" s="5">
        <f t="shared" si="58"/>
        <v>7229.0478562499993</v>
      </c>
      <c r="AB732" s="6">
        <f t="shared" si="59"/>
        <v>10540.355195624999</v>
      </c>
      <c r="AD732" s="10">
        <f t="shared" si="60"/>
        <v>13197.274287562501</v>
      </c>
    </row>
    <row r="733" spans="1:30" x14ac:dyDescent="0.3">
      <c r="A733" t="s">
        <v>168</v>
      </c>
      <c r="B733" s="8" t="s">
        <v>58</v>
      </c>
      <c r="C733" s="8" t="s">
        <v>32</v>
      </c>
      <c r="E733" s="8" t="s">
        <v>70</v>
      </c>
      <c r="F733" s="8" t="s">
        <v>71</v>
      </c>
      <c r="G733">
        <v>3403190000</v>
      </c>
      <c r="H733" t="s">
        <v>53</v>
      </c>
      <c r="I733" t="s">
        <v>482</v>
      </c>
      <c r="J733" t="s">
        <v>38</v>
      </c>
      <c r="K733" t="s">
        <v>39</v>
      </c>
      <c r="L733">
        <v>0</v>
      </c>
      <c r="M733">
        <v>1</v>
      </c>
      <c r="N733" t="s">
        <v>40</v>
      </c>
      <c r="O733">
        <v>0</v>
      </c>
      <c r="P733">
        <v>3470.29</v>
      </c>
      <c r="Q733">
        <v>225.36</v>
      </c>
      <c r="R733">
        <v>24.32</v>
      </c>
      <c r="S733">
        <v>3719.97</v>
      </c>
      <c r="T733" t="s">
        <v>483</v>
      </c>
      <c r="U733" t="s">
        <v>483</v>
      </c>
      <c r="V733" t="s">
        <v>38</v>
      </c>
      <c r="W733" t="s">
        <v>799</v>
      </c>
      <c r="X733">
        <v>3470.29</v>
      </c>
      <c r="Y733" s="9">
        <f t="shared" si="56"/>
        <v>3470.29</v>
      </c>
      <c r="Z733" s="9">
        <f t="shared" si="57"/>
        <v>6506.7937499999998</v>
      </c>
      <c r="AA733" s="5">
        <f t="shared" si="58"/>
        <v>7229.0478562499993</v>
      </c>
      <c r="AB733" s="6">
        <f t="shared" si="59"/>
        <v>10540.355195624999</v>
      </c>
      <c r="AD733" s="10">
        <f t="shared" si="60"/>
        <v>13197.274287562501</v>
      </c>
    </row>
    <row r="734" spans="1:30" x14ac:dyDescent="0.3">
      <c r="A734" t="s">
        <v>168</v>
      </c>
      <c r="B734" s="8" t="s">
        <v>58</v>
      </c>
      <c r="C734" s="8" t="s">
        <v>32</v>
      </c>
      <c r="E734" s="8" t="s">
        <v>70</v>
      </c>
      <c r="F734" s="8" t="s">
        <v>71</v>
      </c>
      <c r="G734">
        <v>3403190000</v>
      </c>
      <c r="H734" t="s">
        <v>53</v>
      </c>
      <c r="I734" t="s">
        <v>482</v>
      </c>
      <c r="J734" t="s">
        <v>38</v>
      </c>
      <c r="K734" t="s">
        <v>39</v>
      </c>
      <c r="L734">
        <v>0</v>
      </c>
      <c r="M734">
        <v>1</v>
      </c>
      <c r="N734" t="s">
        <v>40</v>
      </c>
      <c r="O734">
        <v>0</v>
      </c>
      <c r="P734">
        <v>3470.29</v>
      </c>
      <c r="Q734">
        <v>225.36</v>
      </c>
      <c r="R734">
        <v>24.32</v>
      </c>
      <c r="S734">
        <v>3719.97</v>
      </c>
      <c r="T734" t="s">
        <v>483</v>
      </c>
      <c r="U734" t="s">
        <v>483</v>
      </c>
      <c r="V734" t="s">
        <v>38</v>
      </c>
      <c r="W734" t="s">
        <v>799</v>
      </c>
      <c r="X734">
        <v>3470.29</v>
      </c>
      <c r="Y734" s="9">
        <f t="shared" si="56"/>
        <v>3470.29</v>
      </c>
      <c r="Z734" s="9">
        <f t="shared" si="57"/>
        <v>6506.7937499999998</v>
      </c>
      <c r="AA734" s="5">
        <f t="shared" si="58"/>
        <v>7229.0478562499993</v>
      </c>
      <c r="AB734" s="6">
        <f t="shared" si="59"/>
        <v>10540.355195624999</v>
      </c>
      <c r="AD734" s="10">
        <f t="shared" si="60"/>
        <v>13197.274287562501</v>
      </c>
    </row>
    <row r="735" spans="1:30" x14ac:dyDescent="0.3">
      <c r="A735" t="s">
        <v>168</v>
      </c>
      <c r="B735" s="8" t="s">
        <v>32</v>
      </c>
      <c r="C735" s="8" t="s">
        <v>32</v>
      </c>
      <c r="D735" s="8" t="s">
        <v>33</v>
      </c>
      <c r="E735" s="8" t="s">
        <v>34</v>
      </c>
      <c r="F735" s="8" t="s">
        <v>35</v>
      </c>
      <c r="G735">
        <v>8487909000</v>
      </c>
      <c r="H735" t="s">
        <v>424</v>
      </c>
      <c r="I735" t="s">
        <v>746</v>
      </c>
      <c r="J735" t="s">
        <v>38</v>
      </c>
      <c r="K735" t="s">
        <v>39</v>
      </c>
      <c r="L735">
        <v>11</v>
      </c>
      <c r="M735">
        <v>1</v>
      </c>
      <c r="N735" t="s">
        <v>64</v>
      </c>
      <c r="O735">
        <v>0</v>
      </c>
      <c r="P735">
        <v>778.78</v>
      </c>
      <c r="Q735">
        <v>74.59</v>
      </c>
      <c r="R735">
        <v>5.25</v>
      </c>
      <c r="S735">
        <v>858.63</v>
      </c>
      <c r="T735" t="s">
        <v>41</v>
      </c>
      <c r="U735" t="s">
        <v>43</v>
      </c>
      <c r="V735" t="s">
        <v>38</v>
      </c>
      <c r="W735" t="s">
        <v>800</v>
      </c>
      <c r="X735">
        <v>778.78</v>
      </c>
      <c r="Y735" s="9">
        <f t="shared" si="56"/>
        <v>778.78</v>
      </c>
      <c r="Z735" s="9">
        <f t="shared" si="57"/>
        <v>1460.2124999999999</v>
      </c>
      <c r="AA735" s="5">
        <f t="shared" si="58"/>
        <v>1622.2960874999999</v>
      </c>
      <c r="AB735" s="6">
        <f t="shared" si="59"/>
        <v>2365.3982287499998</v>
      </c>
      <c r="AD735" s="10">
        <f t="shared" si="60"/>
        <v>2961.6467988750001</v>
      </c>
    </row>
    <row r="736" spans="1:30" x14ac:dyDescent="0.3">
      <c r="A736" t="s">
        <v>30</v>
      </c>
      <c r="B736" s="8" t="s">
        <v>32</v>
      </c>
      <c r="C736" s="8" t="s">
        <v>32</v>
      </c>
      <c r="D736" s="8" t="s">
        <v>33</v>
      </c>
      <c r="E736" s="8" t="s">
        <v>34</v>
      </c>
      <c r="F736" s="8" t="s">
        <v>35</v>
      </c>
      <c r="G736">
        <v>8482500000</v>
      </c>
      <c r="H736" t="s">
        <v>83</v>
      </c>
      <c r="I736" t="s">
        <v>81</v>
      </c>
      <c r="J736" t="s">
        <v>38</v>
      </c>
      <c r="K736" t="s">
        <v>39</v>
      </c>
      <c r="L736">
        <v>7</v>
      </c>
      <c r="M736">
        <v>1</v>
      </c>
      <c r="N736" t="s">
        <v>64</v>
      </c>
      <c r="O736">
        <v>0</v>
      </c>
      <c r="P736">
        <v>626.36</v>
      </c>
      <c r="Q736">
        <v>98.96</v>
      </c>
      <c r="R736">
        <v>3.86</v>
      </c>
      <c r="S736">
        <v>729.17</v>
      </c>
      <c r="T736" t="s">
        <v>41</v>
      </c>
      <c r="U736" t="s">
        <v>41</v>
      </c>
      <c r="V736" t="s">
        <v>38</v>
      </c>
      <c r="W736" t="s">
        <v>801</v>
      </c>
      <c r="X736">
        <v>626.36</v>
      </c>
      <c r="Y736" s="9">
        <f t="shared" si="56"/>
        <v>626.36</v>
      </c>
      <c r="Z736" s="9">
        <f t="shared" si="57"/>
        <v>1174.425</v>
      </c>
      <c r="AA736" s="5">
        <f t="shared" si="58"/>
        <v>1304.786175</v>
      </c>
      <c r="AB736" s="6">
        <f t="shared" si="59"/>
        <v>1902.4510574999997</v>
      </c>
      <c r="AD736" s="10">
        <f t="shared" si="60"/>
        <v>2382.00401775</v>
      </c>
    </row>
    <row r="737" spans="1:30" x14ac:dyDescent="0.3">
      <c r="A737" t="s">
        <v>30</v>
      </c>
      <c r="B737" s="8" t="s">
        <v>32</v>
      </c>
      <c r="C737" s="8" t="s">
        <v>32</v>
      </c>
      <c r="D737" s="8" t="s">
        <v>69</v>
      </c>
      <c r="E737" s="8" t="s">
        <v>70</v>
      </c>
      <c r="F737" s="8" t="s">
        <v>71</v>
      </c>
      <c r="G737">
        <v>8482500000</v>
      </c>
      <c r="H737" t="s">
        <v>690</v>
      </c>
      <c r="I737" t="s">
        <v>675</v>
      </c>
      <c r="J737" t="s">
        <v>38</v>
      </c>
      <c r="K737" t="s">
        <v>39</v>
      </c>
      <c r="L737">
        <v>13</v>
      </c>
      <c r="M737">
        <v>1</v>
      </c>
      <c r="N737" t="s">
        <v>64</v>
      </c>
      <c r="O737">
        <v>0</v>
      </c>
      <c r="P737">
        <v>613.01</v>
      </c>
      <c r="Q737">
        <v>32.729999999999997</v>
      </c>
      <c r="R737">
        <v>3.94</v>
      </c>
      <c r="S737">
        <v>649.67999999999995</v>
      </c>
      <c r="T737" t="s">
        <v>72</v>
      </c>
      <c r="U737" t="s">
        <v>72</v>
      </c>
      <c r="V737" t="s">
        <v>38</v>
      </c>
      <c r="W737" t="s">
        <v>801</v>
      </c>
      <c r="X737">
        <v>613.01</v>
      </c>
      <c r="Y737" s="9">
        <f t="shared" si="56"/>
        <v>613.01</v>
      </c>
      <c r="Z737" s="9">
        <f t="shared" si="57"/>
        <v>1149.39375</v>
      </c>
      <c r="AA737" s="5">
        <f t="shared" si="58"/>
        <v>1276.97645625</v>
      </c>
      <c r="AB737" s="6">
        <f t="shared" si="59"/>
        <v>1861.9029356249998</v>
      </c>
      <c r="AD737" s="10">
        <f t="shared" si="60"/>
        <v>2331.2348855625</v>
      </c>
    </row>
    <row r="738" spans="1:30" x14ac:dyDescent="0.3">
      <c r="A738" t="s">
        <v>30</v>
      </c>
      <c r="B738" s="8" t="s">
        <v>32</v>
      </c>
      <c r="C738" s="8" t="s">
        <v>32</v>
      </c>
      <c r="D738" s="8" t="s">
        <v>69</v>
      </c>
      <c r="E738" s="8" t="s">
        <v>70</v>
      </c>
      <c r="F738" s="8" t="s">
        <v>71</v>
      </c>
      <c r="G738">
        <v>8482500000</v>
      </c>
      <c r="H738" t="s">
        <v>690</v>
      </c>
      <c r="I738" t="s">
        <v>675</v>
      </c>
      <c r="J738" t="s">
        <v>38</v>
      </c>
      <c r="K738" t="s">
        <v>39</v>
      </c>
      <c r="L738">
        <v>8</v>
      </c>
      <c r="M738">
        <v>1</v>
      </c>
      <c r="N738" t="s">
        <v>64</v>
      </c>
      <c r="O738">
        <v>0</v>
      </c>
      <c r="P738">
        <v>613.01</v>
      </c>
      <c r="Q738">
        <v>40.130000000000003</v>
      </c>
      <c r="R738">
        <v>3.98</v>
      </c>
      <c r="S738">
        <v>657.12</v>
      </c>
      <c r="T738" t="s">
        <v>41</v>
      </c>
      <c r="U738" t="s">
        <v>41</v>
      </c>
      <c r="V738" t="s">
        <v>38</v>
      </c>
      <c r="W738" t="s">
        <v>801</v>
      </c>
      <c r="X738">
        <v>613.01</v>
      </c>
      <c r="Y738" s="9">
        <f t="shared" si="56"/>
        <v>613.01</v>
      </c>
      <c r="Z738" s="9">
        <f t="shared" si="57"/>
        <v>1149.39375</v>
      </c>
      <c r="AA738" s="5">
        <f t="shared" si="58"/>
        <v>1276.97645625</v>
      </c>
      <c r="AB738" s="6">
        <f t="shared" si="59"/>
        <v>1861.9029356249998</v>
      </c>
      <c r="AD738" s="10">
        <f t="shared" si="60"/>
        <v>2331.2348855625</v>
      </c>
    </row>
    <row r="739" spans="1:30" x14ac:dyDescent="0.3">
      <c r="A739" t="s">
        <v>30</v>
      </c>
      <c r="B739" s="8" t="s">
        <v>32</v>
      </c>
      <c r="C739" s="8" t="s">
        <v>32</v>
      </c>
      <c r="D739" s="8" t="s">
        <v>69</v>
      </c>
      <c r="E739" s="8" t="s">
        <v>70</v>
      </c>
      <c r="F739" s="8" t="s">
        <v>71</v>
      </c>
      <c r="G739">
        <v>8482500000</v>
      </c>
      <c r="H739" t="s">
        <v>83</v>
      </c>
      <c r="I739" t="s">
        <v>81</v>
      </c>
      <c r="J739" t="s">
        <v>38</v>
      </c>
      <c r="K739" t="s">
        <v>39</v>
      </c>
      <c r="L739">
        <v>9</v>
      </c>
      <c r="M739">
        <v>1</v>
      </c>
      <c r="N739" t="s">
        <v>64</v>
      </c>
      <c r="O739">
        <v>0</v>
      </c>
      <c r="P739">
        <v>867.06</v>
      </c>
      <c r="Q739">
        <v>43.69</v>
      </c>
      <c r="R739">
        <v>5.51</v>
      </c>
      <c r="S739">
        <v>916.26</v>
      </c>
      <c r="T739" t="s">
        <v>41</v>
      </c>
      <c r="U739" t="s">
        <v>43</v>
      </c>
      <c r="V739" t="s">
        <v>38</v>
      </c>
      <c r="W739" t="s">
        <v>802</v>
      </c>
      <c r="X739">
        <v>867.06</v>
      </c>
      <c r="Y739" s="9">
        <f t="shared" si="56"/>
        <v>867.06</v>
      </c>
      <c r="Z739" s="9">
        <f t="shared" si="57"/>
        <v>1625.7375</v>
      </c>
      <c r="AA739" s="5">
        <f t="shared" si="58"/>
        <v>1806.1943624999999</v>
      </c>
      <c r="AB739" s="6">
        <f t="shared" si="59"/>
        <v>2633.5321762499998</v>
      </c>
      <c r="AD739" s="10">
        <f t="shared" si="60"/>
        <v>3297.3695696250002</v>
      </c>
    </row>
    <row r="740" spans="1:30" x14ac:dyDescent="0.3">
      <c r="A740" t="s">
        <v>30</v>
      </c>
      <c r="B740" s="8" t="s">
        <v>66</v>
      </c>
      <c r="C740" s="8" t="s">
        <v>32</v>
      </c>
      <c r="D740" s="8" t="s">
        <v>33</v>
      </c>
      <c r="E740" s="8" t="s">
        <v>34</v>
      </c>
      <c r="F740" s="8" t="s">
        <v>35</v>
      </c>
      <c r="G740">
        <v>8538900090</v>
      </c>
      <c r="H740" t="s">
        <v>53</v>
      </c>
      <c r="I740" t="s">
        <v>803</v>
      </c>
      <c r="J740" t="s">
        <v>38</v>
      </c>
      <c r="K740" t="s">
        <v>39</v>
      </c>
      <c r="L740">
        <v>10</v>
      </c>
      <c r="M740">
        <v>2</v>
      </c>
      <c r="N740" t="s">
        <v>64</v>
      </c>
      <c r="O740">
        <v>0</v>
      </c>
      <c r="P740">
        <v>181.61</v>
      </c>
      <c r="Q740">
        <v>15.11</v>
      </c>
      <c r="R740">
        <v>1.19</v>
      </c>
      <c r="S740">
        <v>197.91</v>
      </c>
      <c r="T740" t="s">
        <v>41</v>
      </c>
      <c r="U740" t="s">
        <v>43</v>
      </c>
      <c r="V740" t="s">
        <v>38</v>
      </c>
      <c r="W740" t="s">
        <v>804</v>
      </c>
      <c r="X740">
        <v>90.8</v>
      </c>
      <c r="Y740" s="9">
        <f t="shared" si="56"/>
        <v>90.805000000000007</v>
      </c>
      <c r="Z740" s="9">
        <f t="shared" si="57"/>
        <v>170.25937500000001</v>
      </c>
      <c r="AA740" s="5">
        <f t="shared" si="58"/>
        <v>189.15816562500001</v>
      </c>
      <c r="AB740" s="6">
        <f t="shared" si="59"/>
        <v>275.80316156250001</v>
      </c>
      <c r="AD740" s="10">
        <f t="shared" si="60"/>
        <v>345.32517215625006</v>
      </c>
    </row>
    <row r="741" spans="1:30" x14ac:dyDescent="0.3">
      <c r="A741" t="s">
        <v>30</v>
      </c>
      <c r="B741" s="8" t="s">
        <v>31</v>
      </c>
      <c r="C741" s="8" t="s">
        <v>32</v>
      </c>
      <c r="D741" s="8" t="s">
        <v>69</v>
      </c>
      <c r="E741" s="8" t="s">
        <v>70</v>
      </c>
      <c r="F741" s="8" t="s">
        <v>71</v>
      </c>
      <c r="G741">
        <v>8421999000</v>
      </c>
      <c r="H741" t="s">
        <v>36</v>
      </c>
      <c r="I741" t="s">
        <v>215</v>
      </c>
      <c r="J741" t="s">
        <v>38</v>
      </c>
      <c r="K741" t="s">
        <v>39</v>
      </c>
      <c r="L741">
        <v>13</v>
      </c>
      <c r="M741">
        <v>6</v>
      </c>
      <c r="N741" t="s">
        <v>64</v>
      </c>
      <c r="O741">
        <v>0</v>
      </c>
      <c r="P741">
        <v>985.26</v>
      </c>
      <c r="Q741">
        <v>69.959999999999994</v>
      </c>
      <c r="R741">
        <v>6.44</v>
      </c>
      <c r="S741">
        <v>1061.6600000000001</v>
      </c>
      <c r="T741" t="s">
        <v>41</v>
      </c>
      <c r="U741" t="s">
        <v>41</v>
      </c>
      <c r="V741" t="s">
        <v>38</v>
      </c>
      <c r="W741" t="s">
        <v>805</v>
      </c>
      <c r="X741">
        <v>164.21</v>
      </c>
      <c r="Y741" s="9">
        <f t="shared" si="56"/>
        <v>164.21</v>
      </c>
      <c r="Z741" s="9">
        <f t="shared" si="57"/>
        <v>307.89375000000001</v>
      </c>
      <c r="AA741" s="5">
        <f t="shared" si="58"/>
        <v>342.06995625000002</v>
      </c>
      <c r="AB741" s="6">
        <f t="shared" si="59"/>
        <v>498.757085625</v>
      </c>
      <c r="AD741" s="10">
        <f t="shared" si="60"/>
        <v>624.47934056250006</v>
      </c>
    </row>
    <row r="742" spans="1:30" x14ac:dyDescent="0.3">
      <c r="A742" t="s">
        <v>30</v>
      </c>
      <c r="B742" s="8" t="s">
        <v>31</v>
      </c>
      <c r="C742" s="8" t="s">
        <v>32</v>
      </c>
      <c r="D742" s="8" t="s">
        <v>33</v>
      </c>
      <c r="E742" s="8" t="s">
        <v>34</v>
      </c>
      <c r="F742" s="8" t="s">
        <v>35</v>
      </c>
      <c r="G742">
        <v>8421999000</v>
      </c>
      <c r="H742" t="s">
        <v>36</v>
      </c>
      <c r="I742" t="s">
        <v>215</v>
      </c>
      <c r="J742" t="s">
        <v>38</v>
      </c>
      <c r="K742" t="s">
        <v>39</v>
      </c>
      <c r="L742">
        <v>4</v>
      </c>
      <c r="M742">
        <v>3</v>
      </c>
      <c r="N742" t="s">
        <v>64</v>
      </c>
      <c r="O742">
        <v>0</v>
      </c>
      <c r="P742">
        <v>637.74</v>
      </c>
      <c r="Q742">
        <v>33.39</v>
      </c>
      <c r="R742">
        <v>4.16</v>
      </c>
      <c r="S742">
        <v>675.29</v>
      </c>
      <c r="T742" t="s">
        <v>41</v>
      </c>
      <c r="U742" t="s">
        <v>41</v>
      </c>
      <c r="V742" t="s">
        <v>38</v>
      </c>
      <c r="W742" t="s">
        <v>805</v>
      </c>
      <c r="X742">
        <v>212.58</v>
      </c>
      <c r="Y742" s="9">
        <f t="shared" si="56"/>
        <v>212.58</v>
      </c>
      <c r="Z742" s="9">
        <f t="shared" si="57"/>
        <v>398.58750000000003</v>
      </c>
      <c r="AA742" s="5">
        <f t="shared" si="58"/>
        <v>442.83071250000006</v>
      </c>
      <c r="AB742" s="6">
        <f t="shared" si="59"/>
        <v>645.67189125000004</v>
      </c>
      <c r="AD742" s="10">
        <f t="shared" si="60"/>
        <v>808.4271251250002</v>
      </c>
    </row>
    <row r="743" spans="1:30" x14ac:dyDescent="0.3">
      <c r="A743" t="s">
        <v>30</v>
      </c>
      <c r="B743" s="8" t="s">
        <v>31</v>
      </c>
      <c r="C743" s="8" t="s">
        <v>32</v>
      </c>
      <c r="D743" s="8" t="s">
        <v>33</v>
      </c>
      <c r="E743" s="8" t="s">
        <v>34</v>
      </c>
      <c r="F743" s="8" t="s">
        <v>35</v>
      </c>
      <c r="G743">
        <v>8421999000</v>
      </c>
      <c r="H743" t="s">
        <v>36</v>
      </c>
      <c r="I743" t="s">
        <v>215</v>
      </c>
      <c r="J743" t="s">
        <v>38</v>
      </c>
      <c r="K743" t="s">
        <v>39</v>
      </c>
      <c r="L743">
        <v>12</v>
      </c>
      <c r="M743">
        <v>3</v>
      </c>
      <c r="N743" t="s">
        <v>64</v>
      </c>
      <c r="O743">
        <v>0</v>
      </c>
      <c r="P743">
        <v>641.78</v>
      </c>
      <c r="Q743">
        <v>73.69</v>
      </c>
      <c r="R743">
        <v>4.28</v>
      </c>
      <c r="S743">
        <v>719.75</v>
      </c>
      <c r="T743" t="s">
        <v>41</v>
      </c>
      <c r="U743" t="s">
        <v>41</v>
      </c>
      <c r="V743" t="s">
        <v>38</v>
      </c>
      <c r="W743" t="s">
        <v>805</v>
      </c>
      <c r="X743">
        <v>213.93</v>
      </c>
      <c r="Y743" s="9">
        <f t="shared" si="56"/>
        <v>213.92666666666665</v>
      </c>
      <c r="Z743" s="9">
        <f t="shared" si="57"/>
        <v>401.11249999999995</v>
      </c>
      <c r="AA743" s="5">
        <f t="shared" si="58"/>
        <v>445.63598749999994</v>
      </c>
      <c r="AB743" s="6">
        <f t="shared" si="59"/>
        <v>649.76213874999985</v>
      </c>
      <c r="AD743" s="10">
        <f t="shared" si="60"/>
        <v>813.54840587499996</v>
      </c>
    </row>
    <row r="744" spans="1:30" x14ac:dyDescent="0.3">
      <c r="A744" t="s">
        <v>30</v>
      </c>
      <c r="B744" s="8" t="s">
        <v>31</v>
      </c>
      <c r="C744" s="8" t="s">
        <v>32</v>
      </c>
      <c r="D744" s="8" t="s">
        <v>69</v>
      </c>
      <c r="E744" s="8" t="s">
        <v>70</v>
      </c>
      <c r="F744" s="8" t="s">
        <v>71</v>
      </c>
      <c r="G744">
        <v>8421999000</v>
      </c>
      <c r="H744" t="s">
        <v>36</v>
      </c>
      <c r="I744" t="s">
        <v>215</v>
      </c>
      <c r="J744" t="s">
        <v>38</v>
      </c>
      <c r="K744" t="s">
        <v>39</v>
      </c>
      <c r="L744">
        <v>8</v>
      </c>
      <c r="M744">
        <v>4</v>
      </c>
      <c r="N744" t="s">
        <v>64</v>
      </c>
      <c r="O744">
        <v>0</v>
      </c>
      <c r="P744">
        <v>831.36</v>
      </c>
      <c r="Q744">
        <v>54.42</v>
      </c>
      <c r="R744">
        <v>5.39</v>
      </c>
      <c r="S744">
        <v>891.17</v>
      </c>
      <c r="T744" t="s">
        <v>41</v>
      </c>
      <c r="U744" t="s">
        <v>41</v>
      </c>
      <c r="V744" t="s">
        <v>38</v>
      </c>
      <c r="W744" t="s">
        <v>805</v>
      </c>
      <c r="X744">
        <v>207.84</v>
      </c>
      <c r="Y744" s="9">
        <f t="shared" si="56"/>
        <v>207.84</v>
      </c>
      <c r="Z744" s="9">
        <f t="shared" si="57"/>
        <v>389.7</v>
      </c>
      <c r="AA744" s="5">
        <f t="shared" si="58"/>
        <v>432.95669999999996</v>
      </c>
      <c r="AB744" s="6">
        <f t="shared" si="59"/>
        <v>631.2750299999999</v>
      </c>
      <c r="AD744" s="10">
        <f t="shared" si="60"/>
        <v>790.40123100000005</v>
      </c>
    </row>
    <row r="745" spans="1:30" x14ac:dyDescent="0.3">
      <c r="A745" t="s">
        <v>168</v>
      </c>
      <c r="B745" s="8" t="s">
        <v>31</v>
      </c>
      <c r="C745" s="8" t="s">
        <v>32</v>
      </c>
      <c r="E745" s="8" t="s">
        <v>70</v>
      </c>
      <c r="F745" s="8" t="s">
        <v>71</v>
      </c>
      <c r="G745">
        <v>8421999000</v>
      </c>
      <c r="H745" t="s">
        <v>36</v>
      </c>
      <c r="I745" t="s">
        <v>215</v>
      </c>
      <c r="J745" t="s">
        <v>38</v>
      </c>
      <c r="K745" t="s">
        <v>39</v>
      </c>
      <c r="L745">
        <v>0</v>
      </c>
      <c r="M745">
        <v>1</v>
      </c>
      <c r="N745" t="s">
        <v>64</v>
      </c>
      <c r="O745">
        <v>0</v>
      </c>
      <c r="P745">
        <v>179.99</v>
      </c>
      <c r="Q745">
        <v>13.82</v>
      </c>
      <c r="R745">
        <v>1.3</v>
      </c>
      <c r="S745">
        <v>195.11</v>
      </c>
      <c r="T745" t="s">
        <v>41</v>
      </c>
      <c r="U745" t="s">
        <v>41</v>
      </c>
      <c r="V745" t="s">
        <v>38</v>
      </c>
      <c r="W745" t="s">
        <v>805</v>
      </c>
      <c r="X745">
        <v>179.99</v>
      </c>
      <c r="Y745" s="9">
        <f t="shared" si="56"/>
        <v>179.99</v>
      </c>
      <c r="Z745" s="9">
        <f t="shared" si="57"/>
        <v>337.48125000000005</v>
      </c>
      <c r="AA745" s="5">
        <f t="shared" si="58"/>
        <v>374.94166875000002</v>
      </c>
      <c r="AB745" s="6">
        <f t="shared" si="59"/>
        <v>546.68587687500008</v>
      </c>
      <c r="AD745" s="10">
        <f t="shared" si="60"/>
        <v>684.48959568750013</v>
      </c>
    </row>
    <row r="746" spans="1:30" x14ac:dyDescent="0.3">
      <c r="A746" t="s">
        <v>168</v>
      </c>
      <c r="B746" s="8" t="s">
        <v>31</v>
      </c>
      <c r="C746" s="8" t="s">
        <v>32</v>
      </c>
      <c r="E746" s="8" t="s">
        <v>70</v>
      </c>
      <c r="F746" s="8" t="s">
        <v>71</v>
      </c>
      <c r="G746">
        <v>8421999000</v>
      </c>
      <c r="H746" t="s">
        <v>36</v>
      </c>
      <c r="I746" t="s">
        <v>215</v>
      </c>
      <c r="J746" t="s">
        <v>38</v>
      </c>
      <c r="K746" t="s">
        <v>39</v>
      </c>
      <c r="L746">
        <v>0</v>
      </c>
      <c r="M746">
        <v>5</v>
      </c>
      <c r="N746" t="s">
        <v>64</v>
      </c>
      <c r="O746">
        <v>0</v>
      </c>
      <c r="P746">
        <v>899.98</v>
      </c>
      <c r="Q746">
        <v>69.09</v>
      </c>
      <c r="R746">
        <v>6.48</v>
      </c>
      <c r="S746">
        <v>975.55</v>
      </c>
      <c r="T746" t="s">
        <v>41</v>
      </c>
      <c r="U746" t="s">
        <v>41</v>
      </c>
      <c r="V746" t="s">
        <v>38</v>
      </c>
      <c r="W746" t="s">
        <v>805</v>
      </c>
      <c r="X746">
        <v>180</v>
      </c>
      <c r="Y746" s="9">
        <f t="shared" si="56"/>
        <v>179.99600000000001</v>
      </c>
      <c r="Z746" s="9">
        <f t="shared" si="57"/>
        <v>337.49250000000001</v>
      </c>
      <c r="AA746" s="5">
        <f t="shared" si="58"/>
        <v>374.95416749999998</v>
      </c>
      <c r="AB746" s="6">
        <f t="shared" si="59"/>
        <v>546.70410074999995</v>
      </c>
      <c r="AD746" s="10">
        <f t="shared" si="60"/>
        <v>684.51241327500009</v>
      </c>
    </row>
    <row r="747" spans="1:30" x14ac:dyDescent="0.3">
      <c r="A747" t="s">
        <v>168</v>
      </c>
      <c r="B747" s="8" t="s">
        <v>31</v>
      </c>
      <c r="C747" s="8" t="s">
        <v>32</v>
      </c>
      <c r="D747" s="8" t="s">
        <v>33</v>
      </c>
      <c r="E747" s="8" t="s">
        <v>34</v>
      </c>
      <c r="F747" s="8" t="s">
        <v>35</v>
      </c>
      <c r="G747">
        <v>8421999000</v>
      </c>
      <c r="H747" t="s">
        <v>36</v>
      </c>
      <c r="I747" t="s">
        <v>215</v>
      </c>
      <c r="J747" t="s">
        <v>38</v>
      </c>
      <c r="K747" t="s">
        <v>39</v>
      </c>
      <c r="L747">
        <v>11</v>
      </c>
      <c r="M747">
        <v>3</v>
      </c>
      <c r="N747" t="s">
        <v>64</v>
      </c>
      <c r="O747">
        <v>0</v>
      </c>
      <c r="P747">
        <v>427.78</v>
      </c>
      <c r="Q747">
        <v>40.97</v>
      </c>
      <c r="R747">
        <v>2.89</v>
      </c>
      <c r="S747">
        <v>471.64</v>
      </c>
      <c r="T747" t="s">
        <v>41</v>
      </c>
      <c r="U747" t="s">
        <v>43</v>
      </c>
      <c r="V747" t="s">
        <v>38</v>
      </c>
      <c r="W747" t="s">
        <v>806</v>
      </c>
      <c r="X747">
        <v>142.59</v>
      </c>
      <c r="Y747" s="9">
        <f t="shared" si="56"/>
        <v>142.59333333333333</v>
      </c>
      <c r="Z747" s="9">
        <f t="shared" si="57"/>
        <v>267.36250000000001</v>
      </c>
      <c r="AA747" s="5">
        <f t="shared" si="58"/>
        <v>297.0397375</v>
      </c>
      <c r="AB747" s="6">
        <f t="shared" si="59"/>
        <v>433.10051375</v>
      </c>
      <c r="AD747" s="10">
        <f t="shared" si="60"/>
        <v>542.27264337500003</v>
      </c>
    </row>
    <row r="748" spans="1:30" x14ac:dyDescent="0.3">
      <c r="A748" t="s">
        <v>30</v>
      </c>
      <c r="B748" s="8" t="s">
        <v>31</v>
      </c>
      <c r="C748" s="8" t="s">
        <v>32</v>
      </c>
      <c r="D748" s="8" t="s">
        <v>33</v>
      </c>
      <c r="E748" s="8" t="s">
        <v>34</v>
      </c>
      <c r="F748" s="8" t="s">
        <v>35</v>
      </c>
      <c r="G748">
        <v>8421999000</v>
      </c>
      <c r="H748" t="s">
        <v>36</v>
      </c>
      <c r="I748" t="s">
        <v>215</v>
      </c>
      <c r="J748" t="s">
        <v>74</v>
      </c>
      <c r="K748" t="s">
        <v>39</v>
      </c>
      <c r="L748">
        <v>7</v>
      </c>
      <c r="M748">
        <v>11</v>
      </c>
      <c r="N748" t="s">
        <v>64</v>
      </c>
      <c r="O748">
        <v>0</v>
      </c>
      <c r="P748">
        <v>1554.96</v>
      </c>
      <c r="Q748">
        <v>87.81</v>
      </c>
      <c r="R748">
        <v>9.91</v>
      </c>
      <c r="S748">
        <v>1652.68</v>
      </c>
      <c r="T748" t="s">
        <v>75</v>
      </c>
      <c r="U748" t="s">
        <v>215</v>
      </c>
      <c r="V748" t="s">
        <v>74</v>
      </c>
      <c r="W748" t="s">
        <v>806</v>
      </c>
      <c r="X748">
        <v>141.36000000000001</v>
      </c>
      <c r="Y748" s="9">
        <f t="shared" si="56"/>
        <v>141.36000000000001</v>
      </c>
      <c r="Z748" s="9">
        <f t="shared" si="57"/>
        <v>265.05</v>
      </c>
      <c r="AA748" s="5">
        <f t="shared" si="58"/>
        <v>294.47055</v>
      </c>
      <c r="AB748" s="6">
        <f t="shared" si="59"/>
        <v>429.35449499999999</v>
      </c>
      <c r="AD748" s="10">
        <f t="shared" si="60"/>
        <v>537.58236150000005</v>
      </c>
    </row>
    <row r="749" spans="1:30" x14ac:dyDescent="0.3">
      <c r="A749" t="s">
        <v>30</v>
      </c>
      <c r="B749" s="8" t="s">
        <v>31</v>
      </c>
      <c r="C749" s="8" t="s">
        <v>32</v>
      </c>
      <c r="D749" s="8" t="s">
        <v>33</v>
      </c>
      <c r="E749" s="8" t="s">
        <v>34</v>
      </c>
      <c r="F749" s="8" t="s">
        <v>35</v>
      </c>
      <c r="G749">
        <v>8421999000</v>
      </c>
      <c r="H749" t="s">
        <v>36</v>
      </c>
      <c r="I749" t="s">
        <v>215</v>
      </c>
      <c r="J749" t="s">
        <v>74</v>
      </c>
      <c r="K749" t="s">
        <v>39</v>
      </c>
      <c r="L749">
        <v>7</v>
      </c>
      <c r="M749">
        <v>3</v>
      </c>
      <c r="N749" t="s">
        <v>64</v>
      </c>
      <c r="O749">
        <v>0</v>
      </c>
      <c r="P749">
        <v>424.08</v>
      </c>
      <c r="Q749">
        <v>23.95</v>
      </c>
      <c r="R749">
        <v>2.7</v>
      </c>
      <c r="S749">
        <v>450.73</v>
      </c>
      <c r="T749" t="s">
        <v>75</v>
      </c>
      <c r="U749" t="s">
        <v>215</v>
      </c>
      <c r="V749" t="s">
        <v>74</v>
      </c>
      <c r="W749" t="s">
        <v>806</v>
      </c>
      <c r="X749">
        <v>141.36000000000001</v>
      </c>
      <c r="Y749" s="9">
        <f t="shared" si="56"/>
        <v>141.35999999999999</v>
      </c>
      <c r="Z749" s="9">
        <f t="shared" si="57"/>
        <v>265.04999999999995</v>
      </c>
      <c r="AA749" s="5">
        <f t="shared" si="58"/>
        <v>294.47054999999995</v>
      </c>
      <c r="AB749" s="6">
        <f t="shared" si="59"/>
        <v>429.35449499999987</v>
      </c>
      <c r="AD749" s="10">
        <f t="shared" si="60"/>
        <v>537.58236149999993</v>
      </c>
    </row>
    <row r="750" spans="1:30" x14ac:dyDescent="0.3">
      <c r="A750" t="s">
        <v>30</v>
      </c>
      <c r="B750" s="8" t="s">
        <v>31</v>
      </c>
      <c r="C750" s="8" t="s">
        <v>32</v>
      </c>
      <c r="D750" s="8" t="s">
        <v>69</v>
      </c>
      <c r="E750" s="8" t="s">
        <v>70</v>
      </c>
      <c r="F750" s="8" t="s">
        <v>71</v>
      </c>
      <c r="G750">
        <v>8421999000</v>
      </c>
      <c r="H750" t="s">
        <v>36</v>
      </c>
      <c r="I750" t="s">
        <v>215</v>
      </c>
      <c r="J750" t="s">
        <v>38</v>
      </c>
      <c r="K750" t="s">
        <v>39</v>
      </c>
      <c r="L750">
        <v>13</v>
      </c>
      <c r="M750">
        <v>5</v>
      </c>
      <c r="N750" t="s">
        <v>64</v>
      </c>
      <c r="O750">
        <v>0</v>
      </c>
      <c r="P750">
        <v>692.95</v>
      </c>
      <c r="Q750">
        <v>37</v>
      </c>
      <c r="R750">
        <v>4.45</v>
      </c>
      <c r="S750">
        <v>734.4</v>
      </c>
      <c r="T750" t="s">
        <v>72</v>
      </c>
      <c r="U750" t="s">
        <v>72</v>
      </c>
      <c r="V750" t="s">
        <v>38</v>
      </c>
      <c r="W750" t="s">
        <v>806</v>
      </c>
      <c r="X750">
        <v>138.59</v>
      </c>
      <c r="Y750" s="9">
        <f t="shared" si="56"/>
        <v>138.59</v>
      </c>
      <c r="Z750" s="9">
        <f t="shared" si="57"/>
        <v>259.85624999999999</v>
      </c>
      <c r="AA750" s="5">
        <f t="shared" si="58"/>
        <v>288.70029374999996</v>
      </c>
      <c r="AB750" s="6">
        <f t="shared" si="59"/>
        <v>420.94113937499998</v>
      </c>
      <c r="AD750" s="10">
        <f t="shared" si="60"/>
        <v>527.04824193750005</v>
      </c>
    </row>
    <row r="751" spans="1:30" x14ac:dyDescent="0.3">
      <c r="A751" t="s">
        <v>30</v>
      </c>
      <c r="B751" s="8" t="s">
        <v>31</v>
      </c>
      <c r="C751" s="8" t="s">
        <v>32</v>
      </c>
      <c r="D751" s="8" t="s">
        <v>69</v>
      </c>
      <c r="E751" s="8" t="s">
        <v>70</v>
      </c>
      <c r="F751" s="8" t="s">
        <v>71</v>
      </c>
      <c r="G751">
        <v>8421999000</v>
      </c>
      <c r="H751" t="s">
        <v>36</v>
      </c>
      <c r="I751" t="s">
        <v>215</v>
      </c>
      <c r="J751" t="s">
        <v>38</v>
      </c>
      <c r="K751" t="s">
        <v>39</v>
      </c>
      <c r="L751">
        <v>8</v>
      </c>
      <c r="M751">
        <v>5</v>
      </c>
      <c r="N751" t="s">
        <v>64</v>
      </c>
      <c r="O751">
        <v>0</v>
      </c>
      <c r="P751">
        <v>692.95</v>
      </c>
      <c r="Q751">
        <v>45.36</v>
      </c>
      <c r="R751">
        <v>4.49</v>
      </c>
      <c r="S751">
        <v>742.81</v>
      </c>
      <c r="T751" t="s">
        <v>41</v>
      </c>
      <c r="U751" t="s">
        <v>41</v>
      </c>
      <c r="V751" t="s">
        <v>38</v>
      </c>
      <c r="W751" t="s">
        <v>806</v>
      </c>
      <c r="X751">
        <v>138.59</v>
      </c>
      <c r="Y751" s="9">
        <f t="shared" si="56"/>
        <v>138.59</v>
      </c>
      <c r="Z751" s="9">
        <f t="shared" si="57"/>
        <v>259.85624999999999</v>
      </c>
      <c r="AA751" s="5">
        <f t="shared" si="58"/>
        <v>288.70029374999996</v>
      </c>
      <c r="AB751" s="6">
        <f t="shared" si="59"/>
        <v>420.94113937499998</v>
      </c>
      <c r="AD751" s="10">
        <f t="shared" si="60"/>
        <v>527.04824193750005</v>
      </c>
    </row>
    <row r="752" spans="1:30" x14ac:dyDescent="0.3">
      <c r="A752" t="s">
        <v>30</v>
      </c>
      <c r="B752" s="8" t="s">
        <v>31</v>
      </c>
      <c r="C752" s="8" t="s">
        <v>32</v>
      </c>
      <c r="D752" s="8" t="s">
        <v>33</v>
      </c>
      <c r="E752" s="8" t="s">
        <v>34</v>
      </c>
      <c r="F752" s="8" t="s">
        <v>35</v>
      </c>
      <c r="G752">
        <v>8421999000</v>
      </c>
      <c r="H752" t="s">
        <v>36</v>
      </c>
      <c r="I752" t="s">
        <v>215</v>
      </c>
      <c r="J752" t="s">
        <v>38</v>
      </c>
      <c r="K752" t="s">
        <v>39</v>
      </c>
      <c r="L752">
        <v>10</v>
      </c>
      <c r="M752">
        <v>2</v>
      </c>
      <c r="N752" t="s">
        <v>64</v>
      </c>
      <c r="O752">
        <v>0</v>
      </c>
      <c r="P752">
        <v>282.8</v>
      </c>
      <c r="Q752">
        <v>23.54</v>
      </c>
      <c r="R752">
        <v>1.85</v>
      </c>
      <c r="S752">
        <v>308.19</v>
      </c>
      <c r="T752" t="s">
        <v>41</v>
      </c>
      <c r="U752" t="s">
        <v>43</v>
      </c>
      <c r="V752" t="s">
        <v>38</v>
      </c>
      <c r="W752" t="s">
        <v>806</v>
      </c>
      <c r="X752">
        <v>141.4</v>
      </c>
      <c r="Y752" s="9">
        <f t="shared" si="56"/>
        <v>141.4</v>
      </c>
      <c r="Z752" s="9">
        <f t="shared" si="57"/>
        <v>265.125</v>
      </c>
      <c r="AA752" s="5">
        <f t="shared" si="58"/>
        <v>294.55387500000001</v>
      </c>
      <c r="AB752" s="6">
        <f t="shared" si="59"/>
        <v>429.47598749999997</v>
      </c>
      <c r="AD752" s="10">
        <f t="shared" si="60"/>
        <v>537.73447875000011</v>
      </c>
    </row>
    <row r="753" spans="1:30" x14ac:dyDescent="0.3">
      <c r="A753" t="s">
        <v>168</v>
      </c>
      <c r="B753" s="8" t="s">
        <v>31</v>
      </c>
      <c r="C753" s="8" t="s">
        <v>32</v>
      </c>
      <c r="E753" s="8" t="s">
        <v>70</v>
      </c>
      <c r="F753" s="8" t="s">
        <v>71</v>
      </c>
      <c r="G753">
        <v>8421999000</v>
      </c>
      <c r="H753" t="s">
        <v>36</v>
      </c>
      <c r="I753" t="s">
        <v>215</v>
      </c>
      <c r="J753" t="s">
        <v>38</v>
      </c>
      <c r="K753" t="s">
        <v>39</v>
      </c>
      <c r="L753">
        <v>0</v>
      </c>
      <c r="M753">
        <v>6</v>
      </c>
      <c r="N753" t="s">
        <v>64</v>
      </c>
      <c r="O753">
        <v>0</v>
      </c>
      <c r="P753">
        <v>720.15</v>
      </c>
      <c r="Q753">
        <v>55.28</v>
      </c>
      <c r="R753">
        <v>5.19</v>
      </c>
      <c r="S753">
        <v>780.62</v>
      </c>
      <c r="T753" t="s">
        <v>41</v>
      </c>
      <c r="U753" t="s">
        <v>41</v>
      </c>
      <c r="V753" t="s">
        <v>38</v>
      </c>
      <c r="W753" t="s">
        <v>806</v>
      </c>
      <c r="X753">
        <v>120.03</v>
      </c>
      <c r="Y753" s="9">
        <f t="shared" si="56"/>
        <v>120.02499999999999</v>
      </c>
      <c r="Z753" s="9">
        <f t="shared" si="57"/>
        <v>225.04687499999997</v>
      </c>
      <c r="AA753" s="5">
        <f t="shared" si="58"/>
        <v>250.02707812499997</v>
      </c>
      <c r="AB753" s="6">
        <f t="shared" si="59"/>
        <v>364.55343281249992</v>
      </c>
      <c r="AD753" s="10">
        <f t="shared" si="60"/>
        <v>456.44682328124998</v>
      </c>
    </row>
    <row r="754" spans="1:30" x14ac:dyDescent="0.3">
      <c r="A754" t="s">
        <v>30</v>
      </c>
      <c r="B754" s="8" t="s">
        <v>31</v>
      </c>
      <c r="C754" s="8" t="s">
        <v>32</v>
      </c>
      <c r="D754" s="8" t="s">
        <v>69</v>
      </c>
      <c r="E754" s="8" t="s">
        <v>70</v>
      </c>
      <c r="F754" s="8" t="s">
        <v>71</v>
      </c>
      <c r="G754">
        <v>8421999000</v>
      </c>
      <c r="H754" t="s">
        <v>36</v>
      </c>
      <c r="I754" t="s">
        <v>215</v>
      </c>
      <c r="J754" t="s">
        <v>38</v>
      </c>
      <c r="K754" t="s">
        <v>39</v>
      </c>
      <c r="L754">
        <v>8</v>
      </c>
      <c r="M754">
        <v>2</v>
      </c>
      <c r="N754" t="s">
        <v>64</v>
      </c>
      <c r="O754">
        <v>0</v>
      </c>
      <c r="P754">
        <v>324.88</v>
      </c>
      <c r="Q754">
        <v>21.27</v>
      </c>
      <c r="R754">
        <v>2.11</v>
      </c>
      <c r="S754">
        <v>348.26</v>
      </c>
      <c r="T754" t="s">
        <v>41</v>
      </c>
      <c r="U754" t="s">
        <v>41</v>
      </c>
      <c r="V754" t="s">
        <v>38</v>
      </c>
      <c r="W754" t="s">
        <v>807</v>
      </c>
      <c r="X754">
        <v>162.44</v>
      </c>
      <c r="Y754" s="9">
        <f t="shared" si="56"/>
        <v>162.44</v>
      </c>
      <c r="Z754" s="9">
        <f t="shared" si="57"/>
        <v>304.57499999999999</v>
      </c>
      <c r="AA754" s="5">
        <f t="shared" si="58"/>
        <v>338.38282499999997</v>
      </c>
      <c r="AB754" s="6">
        <f t="shared" si="59"/>
        <v>493.38104249999992</v>
      </c>
      <c r="AD754" s="10">
        <f t="shared" si="60"/>
        <v>617.74815225000009</v>
      </c>
    </row>
    <row r="755" spans="1:30" x14ac:dyDescent="0.3">
      <c r="A755" t="s">
        <v>30</v>
      </c>
      <c r="B755" s="8" t="s">
        <v>31</v>
      </c>
      <c r="C755" s="8" t="s">
        <v>32</v>
      </c>
      <c r="D755" s="8" t="s">
        <v>69</v>
      </c>
      <c r="E755" s="8" t="s">
        <v>70</v>
      </c>
      <c r="F755" s="8" t="s">
        <v>71</v>
      </c>
      <c r="G755">
        <v>8421999000</v>
      </c>
      <c r="H755" t="s">
        <v>36</v>
      </c>
      <c r="I755" t="s">
        <v>215</v>
      </c>
      <c r="J755" t="s">
        <v>38</v>
      </c>
      <c r="K755" t="s">
        <v>39</v>
      </c>
      <c r="L755">
        <v>8</v>
      </c>
      <c r="M755">
        <v>3</v>
      </c>
      <c r="N755" t="s">
        <v>64</v>
      </c>
      <c r="O755">
        <v>0</v>
      </c>
      <c r="P755">
        <v>487.32</v>
      </c>
      <c r="Q755">
        <v>31.9</v>
      </c>
      <c r="R755">
        <v>3.16</v>
      </c>
      <c r="S755">
        <v>522.38</v>
      </c>
      <c r="T755" t="s">
        <v>41</v>
      </c>
      <c r="U755" t="s">
        <v>41</v>
      </c>
      <c r="V755" t="s">
        <v>38</v>
      </c>
      <c r="W755" t="s">
        <v>807</v>
      </c>
      <c r="X755">
        <v>162.44</v>
      </c>
      <c r="Y755" s="9">
        <f t="shared" si="56"/>
        <v>162.44</v>
      </c>
      <c r="Z755" s="9">
        <f t="shared" si="57"/>
        <v>304.57499999999999</v>
      </c>
      <c r="AA755" s="5">
        <f t="shared" si="58"/>
        <v>338.38282499999997</v>
      </c>
      <c r="AB755" s="6">
        <f t="shared" si="59"/>
        <v>493.38104249999992</v>
      </c>
      <c r="AD755" s="10">
        <f t="shared" si="60"/>
        <v>617.74815225000009</v>
      </c>
    </row>
    <row r="756" spans="1:30" x14ac:dyDescent="0.3">
      <c r="A756" t="s">
        <v>30</v>
      </c>
      <c r="B756" s="8" t="s">
        <v>31</v>
      </c>
      <c r="C756" s="8" t="s">
        <v>32</v>
      </c>
      <c r="D756" s="8" t="s">
        <v>33</v>
      </c>
      <c r="E756" s="8" t="s">
        <v>34</v>
      </c>
      <c r="F756" s="8" t="s">
        <v>35</v>
      </c>
      <c r="G756">
        <v>8421999000</v>
      </c>
      <c r="H756" t="s">
        <v>36</v>
      </c>
      <c r="I756" t="s">
        <v>215</v>
      </c>
      <c r="J756" t="s">
        <v>38</v>
      </c>
      <c r="K756" t="s">
        <v>39</v>
      </c>
      <c r="L756">
        <v>8</v>
      </c>
      <c r="M756">
        <v>2</v>
      </c>
      <c r="N756" t="s">
        <v>64</v>
      </c>
      <c r="O756">
        <v>0</v>
      </c>
      <c r="P756">
        <v>332.26</v>
      </c>
      <c r="Q756">
        <v>35.47</v>
      </c>
      <c r="R756">
        <v>2.23</v>
      </c>
      <c r="S756">
        <v>369.95</v>
      </c>
      <c r="T756" t="s">
        <v>41</v>
      </c>
      <c r="U756" t="s">
        <v>41</v>
      </c>
      <c r="V756" t="s">
        <v>38</v>
      </c>
      <c r="W756" t="s">
        <v>807</v>
      </c>
      <c r="X756">
        <v>166.13</v>
      </c>
      <c r="Y756" s="9">
        <f t="shared" si="56"/>
        <v>166.13</v>
      </c>
      <c r="Z756" s="9">
        <f t="shared" si="57"/>
        <v>311.49374999999998</v>
      </c>
      <c r="AA756" s="5">
        <f t="shared" si="58"/>
        <v>346.06955624999995</v>
      </c>
      <c r="AB756" s="6">
        <f t="shared" si="59"/>
        <v>504.58872562499994</v>
      </c>
      <c r="AD756" s="10">
        <f t="shared" si="60"/>
        <v>631.78096856249999</v>
      </c>
    </row>
    <row r="757" spans="1:30" x14ac:dyDescent="0.3">
      <c r="A757" t="s">
        <v>30</v>
      </c>
      <c r="B757" s="8" t="s">
        <v>31</v>
      </c>
      <c r="C757" s="8" t="s">
        <v>32</v>
      </c>
      <c r="D757" s="8" t="s">
        <v>33</v>
      </c>
      <c r="E757" s="8" t="s">
        <v>34</v>
      </c>
      <c r="F757" s="8" t="s">
        <v>35</v>
      </c>
      <c r="G757">
        <v>8421999000</v>
      </c>
      <c r="H757" t="s">
        <v>36</v>
      </c>
      <c r="I757" t="s">
        <v>215</v>
      </c>
      <c r="J757" t="s">
        <v>38</v>
      </c>
      <c r="K757" t="s">
        <v>39</v>
      </c>
      <c r="L757">
        <v>8</v>
      </c>
      <c r="M757">
        <v>2</v>
      </c>
      <c r="N757" t="s">
        <v>64</v>
      </c>
      <c r="O757">
        <v>0</v>
      </c>
      <c r="P757">
        <v>332.26</v>
      </c>
      <c r="Q757">
        <v>35.47</v>
      </c>
      <c r="R757">
        <v>2.23</v>
      </c>
      <c r="S757">
        <v>369.95</v>
      </c>
      <c r="T757" t="s">
        <v>41</v>
      </c>
      <c r="U757" t="s">
        <v>41</v>
      </c>
      <c r="V757" t="s">
        <v>38</v>
      </c>
      <c r="W757" t="s">
        <v>807</v>
      </c>
      <c r="X757">
        <v>166.13</v>
      </c>
      <c r="Y757" s="9">
        <f t="shared" si="56"/>
        <v>166.13</v>
      </c>
      <c r="Z757" s="9">
        <f t="shared" si="57"/>
        <v>311.49374999999998</v>
      </c>
      <c r="AA757" s="5">
        <f t="shared" si="58"/>
        <v>346.06955624999995</v>
      </c>
      <c r="AB757" s="6">
        <f t="shared" si="59"/>
        <v>504.58872562499994</v>
      </c>
      <c r="AD757" s="10">
        <f t="shared" si="60"/>
        <v>631.78096856249999</v>
      </c>
    </row>
    <row r="758" spans="1:30" x14ac:dyDescent="0.3">
      <c r="A758" t="s">
        <v>168</v>
      </c>
      <c r="B758" s="8" t="s">
        <v>31</v>
      </c>
      <c r="C758" s="8" t="s">
        <v>32</v>
      </c>
      <c r="E758" s="8" t="s">
        <v>70</v>
      </c>
      <c r="F758" s="8" t="s">
        <v>71</v>
      </c>
      <c r="G758">
        <v>8421999000</v>
      </c>
      <c r="H758" t="s">
        <v>36</v>
      </c>
      <c r="I758" t="s">
        <v>215</v>
      </c>
      <c r="J758" t="s">
        <v>38</v>
      </c>
      <c r="K758" t="s">
        <v>39</v>
      </c>
      <c r="L758">
        <v>0</v>
      </c>
      <c r="M758">
        <v>6</v>
      </c>
      <c r="N758" t="s">
        <v>64</v>
      </c>
      <c r="O758">
        <v>0</v>
      </c>
      <c r="P758">
        <v>844.08</v>
      </c>
      <c r="Q758">
        <v>64.8</v>
      </c>
      <c r="R758">
        <v>6.08</v>
      </c>
      <c r="S758">
        <v>914.96</v>
      </c>
      <c r="T758" t="s">
        <v>41</v>
      </c>
      <c r="U758" t="s">
        <v>41</v>
      </c>
      <c r="V758" t="s">
        <v>38</v>
      </c>
      <c r="W758" t="s">
        <v>807</v>
      </c>
      <c r="X758">
        <v>140.68</v>
      </c>
      <c r="Y758" s="9">
        <f t="shared" si="56"/>
        <v>140.68</v>
      </c>
      <c r="Z758" s="9">
        <f t="shared" si="57"/>
        <v>263.77500000000003</v>
      </c>
      <c r="AA758" s="5">
        <f t="shared" si="58"/>
        <v>293.05402500000002</v>
      </c>
      <c r="AB758" s="6">
        <f t="shared" si="59"/>
        <v>427.28912250000002</v>
      </c>
      <c r="AD758" s="10">
        <f t="shared" si="60"/>
        <v>534.99636825000016</v>
      </c>
    </row>
    <row r="759" spans="1:30" x14ac:dyDescent="0.3">
      <c r="A759" t="s">
        <v>30</v>
      </c>
      <c r="B759" s="8" t="s">
        <v>32</v>
      </c>
      <c r="C759" s="8" t="s">
        <v>32</v>
      </c>
      <c r="D759" s="8" t="s">
        <v>33</v>
      </c>
      <c r="E759" s="8" t="s">
        <v>34</v>
      </c>
      <c r="F759" s="8" t="s">
        <v>35</v>
      </c>
      <c r="G759">
        <v>8482500000</v>
      </c>
      <c r="H759" t="s">
        <v>690</v>
      </c>
      <c r="I759" t="s">
        <v>808</v>
      </c>
      <c r="J759" t="s">
        <v>74</v>
      </c>
      <c r="K759" t="s">
        <v>39</v>
      </c>
      <c r="L759">
        <v>7</v>
      </c>
      <c r="M759">
        <v>5</v>
      </c>
      <c r="N759" t="s">
        <v>64</v>
      </c>
      <c r="O759">
        <v>0</v>
      </c>
      <c r="P759">
        <v>3233.1</v>
      </c>
      <c r="Q759">
        <v>182.58</v>
      </c>
      <c r="R759">
        <v>20.6</v>
      </c>
      <c r="S759">
        <v>3436.29</v>
      </c>
      <c r="T759" t="s">
        <v>75</v>
      </c>
      <c r="U759" t="s">
        <v>808</v>
      </c>
      <c r="V759" t="s">
        <v>74</v>
      </c>
      <c r="W759" t="s">
        <v>809</v>
      </c>
      <c r="X759">
        <v>646.62</v>
      </c>
      <c r="Y759" s="9">
        <f t="shared" si="56"/>
        <v>646.62</v>
      </c>
      <c r="Z759" s="9">
        <f t="shared" si="57"/>
        <v>1212.4124999999999</v>
      </c>
      <c r="AA759" s="5">
        <f t="shared" si="58"/>
        <v>1346.9902874999998</v>
      </c>
      <c r="AB759" s="6">
        <f t="shared" si="59"/>
        <v>1963.9870087499996</v>
      </c>
      <c r="AD759" s="10">
        <f t="shared" si="60"/>
        <v>2459.0514048750001</v>
      </c>
    </row>
    <row r="760" spans="1:30" x14ac:dyDescent="0.3">
      <c r="A760" t="s">
        <v>30</v>
      </c>
      <c r="B760" s="8" t="s">
        <v>32</v>
      </c>
      <c r="C760" s="8" t="s">
        <v>32</v>
      </c>
      <c r="D760" s="8" t="s">
        <v>33</v>
      </c>
      <c r="E760" s="8" t="s">
        <v>34</v>
      </c>
      <c r="F760" s="8" t="s">
        <v>35</v>
      </c>
      <c r="G760">
        <v>8482500000</v>
      </c>
      <c r="H760" t="s">
        <v>690</v>
      </c>
      <c r="I760" t="s">
        <v>675</v>
      </c>
      <c r="J760" t="s">
        <v>38</v>
      </c>
      <c r="K760" t="s">
        <v>39</v>
      </c>
      <c r="L760">
        <v>12</v>
      </c>
      <c r="M760">
        <v>1</v>
      </c>
      <c r="N760" t="s">
        <v>64</v>
      </c>
      <c r="O760">
        <v>0</v>
      </c>
      <c r="P760">
        <v>652.52</v>
      </c>
      <c r="Q760">
        <v>74.930000000000007</v>
      </c>
      <c r="R760">
        <v>4.3499999999999996</v>
      </c>
      <c r="S760">
        <v>731.79</v>
      </c>
      <c r="T760" t="s">
        <v>41</v>
      </c>
      <c r="U760" t="s">
        <v>41</v>
      </c>
      <c r="V760" t="s">
        <v>38</v>
      </c>
      <c r="W760" t="s">
        <v>809</v>
      </c>
      <c r="X760">
        <v>652.52</v>
      </c>
      <c r="Y760" s="9">
        <f t="shared" si="56"/>
        <v>652.52</v>
      </c>
      <c r="Z760" s="9">
        <f t="shared" si="57"/>
        <v>1223.4749999999999</v>
      </c>
      <c r="AA760" s="5">
        <f t="shared" si="58"/>
        <v>1359.2807249999998</v>
      </c>
      <c r="AB760" s="6">
        <f t="shared" si="59"/>
        <v>1981.9071524999997</v>
      </c>
      <c r="AD760" s="10">
        <f t="shared" si="60"/>
        <v>2481.4886992500001</v>
      </c>
    </row>
    <row r="761" spans="1:30" x14ac:dyDescent="0.3">
      <c r="A761" t="s">
        <v>30</v>
      </c>
      <c r="B761" s="8" t="s">
        <v>32</v>
      </c>
      <c r="C761" s="8" t="s">
        <v>32</v>
      </c>
      <c r="D761" s="8" t="s">
        <v>33</v>
      </c>
      <c r="E761" s="8" t="s">
        <v>34</v>
      </c>
      <c r="F761" s="8" t="s">
        <v>35</v>
      </c>
      <c r="G761">
        <v>8482500000</v>
      </c>
      <c r="H761" t="s">
        <v>690</v>
      </c>
      <c r="I761" t="s">
        <v>81</v>
      </c>
      <c r="J761" t="s">
        <v>38</v>
      </c>
      <c r="K761" t="s">
        <v>39</v>
      </c>
      <c r="L761">
        <v>10</v>
      </c>
      <c r="M761">
        <v>2</v>
      </c>
      <c r="N761" t="s">
        <v>64</v>
      </c>
      <c r="O761">
        <v>0</v>
      </c>
      <c r="P761">
        <v>1293.5999999999999</v>
      </c>
      <c r="Q761">
        <v>107.67</v>
      </c>
      <c r="R761">
        <v>8.4700000000000006</v>
      </c>
      <c r="S761">
        <v>1409.74</v>
      </c>
      <c r="T761" t="s">
        <v>41</v>
      </c>
      <c r="U761" t="s">
        <v>43</v>
      </c>
      <c r="V761" t="s">
        <v>38</v>
      </c>
      <c r="W761" t="s">
        <v>809</v>
      </c>
      <c r="X761">
        <v>646.79999999999995</v>
      </c>
      <c r="Y761" s="9">
        <f t="shared" si="56"/>
        <v>646.79999999999995</v>
      </c>
      <c r="Z761" s="9">
        <f t="shared" si="57"/>
        <v>1212.75</v>
      </c>
      <c r="AA761" s="5">
        <f t="shared" si="58"/>
        <v>1347.3652500000001</v>
      </c>
      <c r="AB761" s="6">
        <f t="shared" si="59"/>
        <v>1964.5337249999998</v>
      </c>
      <c r="AD761" s="10">
        <f t="shared" si="60"/>
        <v>2459.7359325000002</v>
      </c>
    </row>
    <row r="762" spans="1:30" x14ac:dyDescent="0.3">
      <c r="A762" t="s">
        <v>30</v>
      </c>
      <c r="B762" s="8" t="s">
        <v>32</v>
      </c>
      <c r="C762" s="8" t="s">
        <v>32</v>
      </c>
      <c r="D762" s="8" t="s">
        <v>33</v>
      </c>
      <c r="E762" s="8" t="s">
        <v>34</v>
      </c>
      <c r="F762" s="8" t="s">
        <v>35</v>
      </c>
      <c r="G762">
        <v>8482500000</v>
      </c>
      <c r="H762" t="s">
        <v>690</v>
      </c>
      <c r="I762" t="s">
        <v>81</v>
      </c>
      <c r="J762" t="s">
        <v>38</v>
      </c>
      <c r="K762" t="s">
        <v>39</v>
      </c>
      <c r="L762">
        <v>8</v>
      </c>
      <c r="M762">
        <v>1</v>
      </c>
      <c r="N762" t="s">
        <v>64</v>
      </c>
      <c r="O762">
        <v>0</v>
      </c>
      <c r="P762">
        <v>644.54999999999995</v>
      </c>
      <c r="Q762">
        <v>36.49</v>
      </c>
      <c r="R762">
        <v>4.1100000000000003</v>
      </c>
      <c r="S762">
        <v>685.15</v>
      </c>
      <c r="T762" t="s">
        <v>41</v>
      </c>
      <c r="U762" t="s">
        <v>41</v>
      </c>
      <c r="V762" t="s">
        <v>38</v>
      </c>
      <c r="W762" t="s">
        <v>809</v>
      </c>
      <c r="X762">
        <v>644.54999999999995</v>
      </c>
      <c r="Y762" s="9">
        <f t="shared" si="56"/>
        <v>644.54999999999995</v>
      </c>
      <c r="Z762" s="9">
        <f t="shared" si="57"/>
        <v>1208.53125</v>
      </c>
      <c r="AA762" s="5">
        <f t="shared" si="58"/>
        <v>1342.67821875</v>
      </c>
      <c r="AB762" s="6">
        <f t="shared" si="59"/>
        <v>1957.6997718749999</v>
      </c>
      <c r="AD762" s="10">
        <f t="shared" si="60"/>
        <v>2451.1793371875001</v>
      </c>
    </row>
    <row r="763" spans="1:30" x14ac:dyDescent="0.3">
      <c r="A763" t="s">
        <v>30</v>
      </c>
      <c r="B763" s="8" t="s">
        <v>485</v>
      </c>
      <c r="C763" s="8" t="s">
        <v>32</v>
      </c>
      <c r="D763" s="8" t="s">
        <v>33</v>
      </c>
      <c r="E763" s="8" t="s">
        <v>34</v>
      </c>
      <c r="F763" s="8" t="s">
        <v>35</v>
      </c>
      <c r="G763">
        <v>8482500000</v>
      </c>
      <c r="H763" t="s">
        <v>83</v>
      </c>
      <c r="I763" t="s">
        <v>81</v>
      </c>
      <c r="J763" t="s">
        <v>38</v>
      </c>
      <c r="K763" t="s">
        <v>39</v>
      </c>
      <c r="L763">
        <v>16</v>
      </c>
      <c r="M763">
        <v>2</v>
      </c>
      <c r="N763" t="s">
        <v>64</v>
      </c>
      <c r="O763">
        <v>0</v>
      </c>
      <c r="P763">
        <v>869.31</v>
      </c>
      <c r="Q763">
        <v>119.98</v>
      </c>
      <c r="R763">
        <v>5.8</v>
      </c>
      <c r="S763">
        <v>995.09</v>
      </c>
      <c r="T763" t="s">
        <v>41</v>
      </c>
      <c r="U763" t="s">
        <v>41</v>
      </c>
      <c r="V763" t="s">
        <v>38</v>
      </c>
      <c r="W763" t="s">
        <v>810</v>
      </c>
      <c r="X763">
        <v>434.65</v>
      </c>
      <c r="Y763" s="9">
        <f t="shared" si="56"/>
        <v>434.65499999999997</v>
      </c>
      <c r="Z763" s="9">
        <f t="shared" si="57"/>
        <v>814.97812499999998</v>
      </c>
      <c r="AA763" s="5">
        <f t="shared" si="58"/>
        <v>905.44069687499996</v>
      </c>
      <c r="AB763" s="6">
        <f t="shared" si="59"/>
        <v>1320.1830646874998</v>
      </c>
      <c r="AD763" s="10">
        <f t="shared" si="60"/>
        <v>1652.9630824687501</v>
      </c>
    </row>
    <row r="764" spans="1:30" x14ac:dyDescent="0.3">
      <c r="A764" t="s">
        <v>30</v>
      </c>
      <c r="B764" s="8" t="s">
        <v>485</v>
      </c>
      <c r="C764" s="8" t="s">
        <v>32</v>
      </c>
      <c r="D764" s="8" t="s">
        <v>69</v>
      </c>
      <c r="E764" s="8" t="s">
        <v>70</v>
      </c>
      <c r="F764" s="8" t="s">
        <v>71</v>
      </c>
      <c r="G764">
        <v>8482500000</v>
      </c>
      <c r="H764" t="s">
        <v>690</v>
      </c>
      <c r="I764" t="s">
        <v>675</v>
      </c>
      <c r="J764" t="s">
        <v>38</v>
      </c>
      <c r="K764" t="s">
        <v>39</v>
      </c>
      <c r="L764">
        <v>13</v>
      </c>
      <c r="M764">
        <v>2</v>
      </c>
      <c r="N764" t="s">
        <v>64</v>
      </c>
      <c r="O764">
        <v>0</v>
      </c>
      <c r="P764">
        <v>847.34</v>
      </c>
      <c r="Q764">
        <v>45.24</v>
      </c>
      <c r="R764">
        <v>5.45</v>
      </c>
      <c r="S764">
        <v>898.03</v>
      </c>
      <c r="T764" t="s">
        <v>72</v>
      </c>
      <c r="U764" t="s">
        <v>72</v>
      </c>
      <c r="V764" t="s">
        <v>38</v>
      </c>
      <c r="W764" t="s">
        <v>810</v>
      </c>
      <c r="X764">
        <v>423.67</v>
      </c>
      <c r="Y764" s="9">
        <f t="shared" si="56"/>
        <v>423.67</v>
      </c>
      <c r="Z764" s="9">
        <f t="shared" si="57"/>
        <v>794.38125000000002</v>
      </c>
      <c r="AA764" s="5">
        <f t="shared" si="58"/>
        <v>882.55756874999997</v>
      </c>
      <c r="AB764" s="6">
        <f t="shared" si="59"/>
        <v>1286.818186875</v>
      </c>
      <c r="AD764" s="10">
        <f t="shared" si="60"/>
        <v>1611.1878826875002</v>
      </c>
    </row>
    <row r="765" spans="1:30" x14ac:dyDescent="0.3">
      <c r="A765" t="s">
        <v>30</v>
      </c>
      <c r="B765" s="8" t="s">
        <v>485</v>
      </c>
      <c r="C765" s="8" t="s">
        <v>32</v>
      </c>
      <c r="D765" s="8" t="s">
        <v>33</v>
      </c>
      <c r="E765" s="8" t="s">
        <v>34</v>
      </c>
      <c r="F765" s="8" t="s">
        <v>35</v>
      </c>
      <c r="G765">
        <v>8482500000</v>
      </c>
      <c r="H765" t="s">
        <v>690</v>
      </c>
      <c r="I765" t="s">
        <v>81</v>
      </c>
      <c r="J765" t="s">
        <v>38</v>
      </c>
      <c r="K765" t="s">
        <v>39</v>
      </c>
      <c r="L765">
        <v>8</v>
      </c>
      <c r="M765">
        <v>1</v>
      </c>
      <c r="N765" t="s">
        <v>64</v>
      </c>
      <c r="O765">
        <v>0</v>
      </c>
      <c r="P765">
        <v>430.75</v>
      </c>
      <c r="Q765">
        <v>24.39</v>
      </c>
      <c r="R765">
        <v>2.75</v>
      </c>
      <c r="S765">
        <v>457.89</v>
      </c>
      <c r="T765" t="s">
        <v>41</v>
      </c>
      <c r="U765" t="s">
        <v>41</v>
      </c>
      <c r="V765" t="s">
        <v>38</v>
      </c>
      <c r="W765" t="s">
        <v>810</v>
      </c>
      <c r="X765">
        <v>430.75</v>
      </c>
      <c r="Y765" s="9">
        <f t="shared" si="56"/>
        <v>430.75</v>
      </c>
      <c r="Z765" s="9">
        <f t="shared" si="57"/>
        <v>807.65625</v>
      </c>
      <c r="AA765" s="5">
        <f t="shared" si="58"/>
        <v>897.30609374999995</v>
      </c>
      <c r="AB765" s="6">
        <f t="shared" si="59"/>
        <v>1308.3223593749999</v>
      </c>
      <c r="AD765" s="10">
        <f t="shared" si="60"/>
        <v>1638.1126359375003</v>
      </c>
    </row>
    <row r="766" spans="1:30" x14ac:dyDescent="0.3">
      <c r="A766" t="s">
        <v>30</v>
      </c>
      <c r="B766" s="8" t="s">
        <v>485</v>
      </c>
      <c r="C766" s="8" t="s">
        <v>32</v>
      </c>
      <c r="D766" s="8" t="s">
        <v>33</v>
      </c>
      <c r="E766" s="8" t="s">
        <v>34</v>
      </c>
      <c r="F766" s="8" t="s">
        <v>35</v>
      </c>
      <c r="G766">
        <v>8483309000</v>
      </c>
      <c r="H766" t="s">
        <v>177</v>
      </c>
      <c r="I766" t="s">
        <v>292</v>
      </c>
      <c r="J766" t="s">
        <v>38</v>
      </c>
      <c r="K766" t="s">
        <v>39</v>
      </c>
      <c r="L766">
        <v>4</v>
      </c>
      <c r="M766">
        <v>2</v>
      </c>
      <c r="N766" t="s">
        <v>64</v>
      </c>
      <c r="O766">
        <v>0</v>
      </c>
      <c r="P766">
        <v>979.9</v>
      </c>
      <c r="Q766">
        <v>51.3</v>
      </c>
      <c r="R766">
        <v>6.39</v>
      </c>
      <c r="S766">
        <v>1037.5899999999999</v>
      </c>
      <c r="T766" t="s">
        <v>41</v>
      </c>
      <c r="U766" t="s">
        <v>41</v>
      </c>
      <c r="V766" t="s">
        <v>38</v>
      </c>
      <c r="W766" t="s">
        <v>811</v>
      </c>
      <c r="X766">
        <v>489.95</v>
      </c>
      <c r="Y766" s="9">
        <f t="shared" si="56"/>
        <v>489.95</v>
      </c>
      <c r="Z766" s="9">
        <f t="shared" si="57"/>
        <v>918.65625</v>
      </c>
      <c r="AA766" s="5">
        <f t="shared" si="58"/>
        <v>1020.62709375</v>
      </c>
      <c r="AB766" s="6">
        <f t="shared" si="59"/>
        <v>1488.1312593749999</v>
      </c>
      <c r="AD766" s="10">
        <f t="shared" si="60"/>
        <v>1863.2461659375001</v>
      </c>
    </row>
    <row r="767" spans="1:30" x14ac:dyDescent="0.3">
      <c r="A767" t="s">
        <v>30</v>
      </c>
      <c r="B767" s="8" t="s">
        <v>485</v>
      </c>
      <c r="C767" s="8" t="s">
        <v>32</v>
      </c>
      <c r="D767" s="8" t="s">
        <v>33</v>
      </c>
      <c r="E767" s="8" t="s">
        <v>34</v>
      </c>
      <c r="F767" s="8" t="s">
        <v>35</v>
      </c>
      <c r="G767">
        <v>8483309000</v>
      </c>
      <c r="H767" t="s">
        <v>36</v>
      </c>
      <c r="I767" t="s">
        <v>812</v>
      </c>
      <c r="J767" t="s">
        <v>74</v>
      </c>
      <c r="K767" t="s">
        <v>39</v>
      </c>
      <c r="L767">
        <v>7</v>
      </c>
      <c r="M767">
        <v>8</v>
      </c>
      <c r="N767" t="s">
        <v>64</v>
      </c>
      <c r="O767">
        <v>0</v>
      </c>
      <c r="P767">
        <v>3908.75</v>
      </c>
      <c r="Q767">
        <v>220.73</v>
      </c>
      <c r="R767">
        <v>24.91</v>
      </c>
      <c r="S767">
        <v>4154.3999999999996</v>
      </c>
      <c r="T767" t="s">
        <v>75</v>
      </c>
      <c r="U767" t="s">
        <v>812</v>
      </c>
      <c r="V767" t="s">
        <v>74</v>
      </c>
      <c r="W767" t="s">
        <v>811</v>
      </c>
      <c r="X767">
        <v>488.59</v>
      </c>
      <c r="Y767" s="9">
        <f t="shared" si="56"/>
        <v>488.59375</v>
      </c>
      <c r="Z767" s="9">
        <f t="shared" si="57"/>
        <v>916.11328125</v>
      </c>
      <c r="AA767" s="5">
        <f t="shared" si="58"/>
        <v>1017.80185546875</v>
      </c>
      <c r="AB767" s="6">
        <f t="shared" si="59"/>
        <v>1484.0119042968749</v>
      </c>
      <c r="AD767" s="10">
        <f t="shared" si="60"/>
        <v>1858.0884404296876</v>
      </c>
    </row>
    <row r="768" spans="1:30" x14ac:dyDescent="0.3">
      <c r="A768" t="s">
        <v>30</v>
      </c>
      <c r="B768" s="8" t="s">
        <v>485</v>
      </c>
      <c r="C768" s="8" t="s">
        <v>32</v>
      </c>
      <c r="D768" s="8" t="s">
        <v>69</v>
      </c>
      <c r="E768" s="8" t="s">
        <v>70</v>
      </c>
      <c r="F768" s="8" t="s">
        <v>71</v>
      </c>
      <c r="G768">
        <v>8483309000</v>
      </c>
      <c r="H768" t="s">
        <v>36</v>
      </c>
      <c r="I768" t="s">
        <v>813</v>
      </c>
      <c r="J768" t="s">
        <v>38</v>
      </c>
      <c r="K768" t="s">
        <v>39</v>
      </c>
      <c r="L768">
        <v>8</v>
      </c>
      <c r="M768">
        <v>2</v>
      </c>
      <c r="N768" t="s">
        <v>64</v>
      </c>
      <c r="O768">
        <v>0</v>
      </c>
      <c r="P768">
        <v>958.04</v>
      </c>
      <c r="Q768">
        <v>62.72</v>
      </c>
      <c r="R768">
        <v>6.21</v>
      </c>
      <c r="S768">
        <v>1026.97</v>
      </c>
      <c r="T768" t="s">
        <v>41</v>
      </c>
      <c r="U768" t="s">
        <v>41</v>
      </c>
      <c r="V768" t="s">
        <v>38</v>
      </c>
      <c r="W768" t="s">
        <v>811</v>
      </c>
      <c r="X768">
        <v>479.02</v>
      </c>
      <c r="Y768" s="9">
        <f t="shared" si="56"/>
        <v>479.02</v>
      </c>
      <c r="Z768" s="9">
        <f t="shared" si="57"/>
        <v>898.16249999999991</v>
      </c>
      <c r="AA768" s="5">
        <f t="shared" si="58"/>
        <v>997.8585374999999</v>
      </c>
      <c r="AB768" s="6">
        <f t="shared" si="59"/>
        <v>1454.9334337499997</v>
      </c>
      <c r="AD768" s="10">
        <f t="shared" si="60"/>
        <v>1821.680127375</v>
      </c>
    </row>
    <row r="769" spans="1:30" x14ac:dyDescent="0.3">
      <c r="A769" t="s">
        <v>30</v>
      </c>
      <c r="B769" s="8" t="s">
        <v>485</v>
      </c>
      <c r="C769" s="8" t="s">
        <v>32</v>
      </c>
      <c r="D769" s="8" t="s">
        <v>33</v>
      </c>
      <c r="E769" s="8" t="s">
        <v>34</v>
      </c>
      <c r="F769" s="8" t="s">
        <v>35</v>
      </c>
      <c r="G769">
        <v>8483309000</v>
      </c>
      <c r="H769" t="s">
        <v>36</v>
      </c>
      <c r="I769" t="s">
        <v>813</v>
      </c>
      <c r="J769" t="s">
        <v>38</v>
      </c>
      <c r="K769" t="s">
        <v>39</v>
      </c>
      <c r="L769">
        <v>10</v>
      </c>
      <c r="M769">
        <v>3</v>
      </c>
      <c r="N769" t="s">
        <v>64</v>
      </c>
      <c r="O769">
        <v>0</v>
      </c>
      <c r="P769">
        <v>1466.18</v>
      </c>
      <c r="Q769">
        <v>122.03</v>
      </c>
      <c r="R769">
        <v>9.6</v>
      </c>
      <c r="S769">
        <v>1597.82</v>
      </c>
      <c r="T769" t="s">
        <v>41</v>
      </c>
      <c r="U769" t="s">
        <v>43</v>
      </c>
      <c r="V769" t="s">
        <v>38</v>
      </c>
      <c r="W769" t="s">
        <v>811</v>
      </c>
      <c r="X769">
        <v>488.73</v>
      </c>
      <c r="Y769" s="9">
        <f t="shared" si="56"/>
        <v>488.72666666666669</v>
      </c>
      <c r="Z769" s="9">
        <f t="shared" si="57"/>
        <v>916.36250000000007</v>
      </c>
      <c r="AA769" s="5">
        <f t="shared" si="58"/>
        <v>1018.0787375000001</v>
      </c>
      <c r="AB769" s="6">
        <f t="shared" si="59"/>
        <v>1484.4156137499999</v>
      </c>
      <c r="AD769" s="10">
        <f t="shared" si="60"/>
        <v>1858.5939133750003</v>
      </c>
    </row>
    <row r="770" spans="1:30" x14ac:dyDescent="0.3">
      <c r="A770" t="s">
        <v>30</v>
      </c>
      <c r="B770" s="8" t="s">
        <v>485</v>
      </c>
      <c r="C770" s="8" t="s">
        <v>32</v>
      </c>
      <c r="D770" s="8" t="s">
        <v>33</v>
      </c>
      <c r="E770" s="8" t="s">
        <v>34</v>
      </c>
      <c r="F770" s="8" t="s">
        <v>35</v>
      </c>
      <c r="G770">
        <v>8483309000</v>
      </c>
      <c r="H770" t="s">
        <v>36</v>
      </c>
      <c r="I770" t="s">
        <v>813</v>
      </c>
      <c r="J770" t="s">
        <v>38</v>
      </c>
      <c r="K770" t="s">
        <v>39</v>
      </c>
      <c r="L770">
        <v>8</v>
      </c>
      <c r="M770">
        <v>1</v>
      </c>
      <c r="N770" t="s">
        <v>64</v>
      </c>
      <c r="O770">
        <v>0</v>
      </c>
      <c r="P770">
        <v>487.03</v>
      </c>
      <c r="Q770">
        <v>27.57</v>
      </c>
      <c r="R770">
        <v>3.11</v>
      </c>
      <c r="S770">
        <v>517.71</v>
      </c>
      <c r="T770" t="s">
        <v>41</v>
      </c>
      <c r="U770" t="s">
        <v>41</v>
      </c>
      <c r="V770" t="s">
        <v>38</v>
      </c>
      <c r="W770" t="s">
        <v>811</v>
      </c>
      <c r="X770">
        <v>487.03</v>
      </c>
      <c r="Y770" s="9">
        <f t="shared" si="56"/>
        <v>487.03</v>
      </c>
      <c r="Z770" s="9">
        <f t="shared" si="57"/>
        <v>913.18124999999998</v>
      </c>
      <c r="AA770" s="5">
        <f t="shared" si="58"/>
        <v>1014.54436875</v>
      </c>
      <c r="AB770" s="6">
        <f t="shared" si="59"/>
        <v>1479.2623068749999</v>
      </c>
      <c r="AD770" s="10">
        <f t="shared" si="60"/>
        <v>1852.1416066875001</v>
      </c>
    </row>
    <row r="771" spans="1:30" x14ac:dyDescent="0.3">
      <c r="A771" t="s">
        <v>30</v>
      </c>
      <c r="B771" s="8" t="s">
        <v>32</v>
      </c>
      <c r="C771" s="8" t="s">
        <v>32</v>
      </c>
      <c r="D771" s="8" t="s">
        <v>33</v>
      </c>
      <c r="E771" s="8" t="s">
        <v>34</v>
      </c>
      <c r="F771" s="8" t="s">
        <v>35</v>
      </c>
      <c r="G771">
        <v>8483309000</v>
      </c>
      <c r="H771" t="s">
        <v>36</v>
      </c>
      <c r="I771" t="s">
        <v>814</v>
      </c>
      <c r="J771" t="s">
        <v>38</v>
      </c>
      <c r="K771" t="s">
        <v>39</v>
      </c>
      <c r="L771">
        <v>10</v>
      </c>
      <c r="M771">
        <v>3</v>
      </c>
      <c r="N771" t="s">
        <v>64</v>
      </c>
      <c r="O771">
        <v>0</v>
      </c>
      <c r="P771">
        <v>213.86</v>
      </c>
      <c r="Q771">
        <v>17.8</v>
      </c>
      <c r="R771">
        <v>1.4</v>
      </c>
      <c r="S771">
        <v>233.06</v>
      </c>
      <c r="T771" t="s">
        <v>41</v>
      </c>
      <c r="U771" t="s">
        <v>43</v>
      </c>
      <c r="V771" t="s">
        <v>38</v>
      </c>
      <c r="W771" t="s">
        <v>815</v>
      </c>
      <c r="X771">
        <v>71.290000000000006</v>
      </c>
      <c r="Y771" s="9">
        <f t="shared" ref="Y771:Y834" si="61">SUM(P771)/M771</f>
        <v>71.286666666666676</v>
      </c>
      <c r="Z771" s="9">
        <f t="shared" ref="Z771:Z834" si="62">SUM(Y771)*1.875</f>
        <v>133.66250000000002</v>
      </c>
      <c r="AA771" s="5">
        <f t="shared" ref="AA771:AA834" si="63">SUM(Z771)*1.111</f>
        <v>148.49903750000001</v>
      </c>
      <c r="AB771" s="6">
        <f t="shared" ref="AB771:AB834" si="64">SUM(Z771)*1.6199</f>
        <v>216.51988375000002</v>
      </c>
      <c r="AD771" s="10">
        <f t="shared" ref="AD771:AD834" si="65">SUM(Z771)*2.02823</f>
        <v>271.09829237500009</v>
      </c>
    </row>
    <row r="772" spans="1:30" x14ac:dyDescent="0.3">
      <c r="A772" t="s">
        <v>30</v>
      </c>
      <c r="B772" s="8" t="s">
        <v>32</v>
      </c>
      <c r="C772" s="8" t="s">
        <v>32</v>
      </c>
      <c r="D772" s="8" t="s">
        <v>33</v>
      </c>
      <c r="E772" s="8" t="s">
        <v>34</v>
      </c>
      <c r="F772" s="8" t="s">
        <v>35</v>
      </c>
      <c r="G772">
        <v>8484900000</v>
      </c>
      <c r="H772" t="s">
        <v>177</v>
      </c>
      <c r="I772" t="s">
        <v>816</v>
      </c>
      <c r="J772" t="s">
        <v>38</v>
      </c>
      <c r="K772" t="s">
        <v>39</v>
      </c>
      <c r="L772">
        <v>4</v>
      </c>
      <c r="M772">
        <v>4</v>
      </c>
      <c r="N772" t="s">
        <v>64</v>
      </c>
      <c r="O772">
        <v>0</v>
      </c>
      <c r="P772">
        <v>170.24</v>
      </c>
      <c r="Q772">
        <v>8.91</v>
      </c>
      <c r="R772">
        <v>1.1100000000000001</v>
      </c>
      <c r="S772">
        <v>180.26</v>
      </c>
      <c r="T772" t="s">
        <v>41</v>
      </c>
      <c r="U772" t="s">
        <v>41</v>
      </c>
      <c r="V772" t="s">
        <v>38</v>
      </c>
      <c r="W772" t="s">
        <v>817</v>
      </c>
      <c r="X772">
        <v>42.56</v>
      </c>
      <c r="Y772" s="9">
        <f t="shared" si="61"/>
        <v>42.56</v>
      </c>
      <c r="Z772" s="9">
        <f t="shared" si="62"/>
        <v>79.800000000000011</v>
      </c>
      <c r="AA772" s="5">
        <f t="shared" si="63"/>
        <v>88.657800000000009</v>
      </c>
      <c r="AB772" s="6">
        <f t="shared" si="64"/>
        <v>129.26802000000001</v>
      </c>
      <c r="AD772" s="10">
        <f t="shared" si="65"/>
        <v>161.85275400000003</v>
      </c>
    </row>
    <row r="773" spans="1:30" x14ac:dyDescent="0.3">
      <c r="A773" t="s">
        <v>30</v>
      </c>
      <c r="B773" s="8" t="s">
        <v>32</v>
      </c>
      <c r="C773" s="8" t="s">
        <v>32</v>
      </c>
      <c r="D773" s="8" t="s">
        <v>33</v>
      </c>
      <c r="E773" s="8" t="s">
        <v>34</v>
      </c>
      <c r="F773" s="8" t="s">
        <v>35</v>
      </c>
      <c r="G773">
        <v>8484900000</v>
      </c>
      <c r="H773" t="s">
        <v>36</v>
      </c>
      <c r="I773" t="s">
        <v>816</v>
      </c>
      <c r="J773" t="s">
        <v>38</v>
      </c>
      <c r="K773" t="s">
        <v>39</v>
      </c>
      <c r="L773">
        <v>12</v>
      </c>
      <c r="M773">
        <v>4</v>
      </c>
      <c r="N773" t="s">
        <v>64</v>
      </c>
      <c r="O773">
        <v>0</v>
      </c>
      <c r="P773">
        <v>171.32</v>
      </c>
      <c r="Q773">
        <v>19.670000000000002</v>
      </c>
      <c r="R773">
        <v>1.1399999999999999</v>
      </c>
      <c r="S773">
        <v>192.13</v>
      </c>
      <c r="T773" t="s">
        <v>41</v>
      </c>
      <c r="U773" t="s">
        <v>41</v>
      </c>
      <c r="V773" t="s">
        <v>38</v>
      </c>
      <c r="W773" t="s">
        <v>817</v>
      </c>
      <c r="X773">
        <v>42.83</v>
      </c>
      <c r="Y773" s="9">
        <f t="shared" si="61"/>
        <v>42.83</v>
      </c>
      <c r="Z773" s="9">
        <f t="shared" si="62"/>
        <v>80.306249999999991</v>
      </c>
      <c r="AA773" s="5">
        <f t="shared" si="63"/>
        <v>89.220243749999995</v>
      </c>
      <c r="AB773" s="6">
        <f t="shared" si="64"/>
        <v>130.08809437499997</v>
      </c>
      <c r="AD773" s="10">
        <f t="shared" si="65"/>
        <v>162.87954543749998</v>
      </c>
    </row>
    <row r="774" spans="1:30" x14ac:dyDescent="0.3">
      <c r="A774" t="s">
        <v>30</v>
      </c>
      <c r="B774" s="8" t="s">
        <v>32</v>
      </c>
      <c r="C774" s="8" t="s">
        <v>32</v>
      </c>
      <c r="D774" s="8" t="s">
        <v>69</v>
      </c>
      <c r="E774" s="8" t="s">
        <v>70</v>
      </c>
      <c r="F774" s="8" t="s">
        <v>71</v>
      </c>
      <c r="G774">
        <v>8484900000</v>
      </c>
      <c r="H774" t="s">
        <v>36</v>
      </c>
      <c r="I774" t="s">
        <v>816</v>
      </c>
      <c r="J774" t="s">
        <v>38</v>
      </c>
      <c r="K774" t="s">
        <v>39</v>
      </c>
      <c r="L774">
        <v>13</v>
      </c>
      <c r="M774">
        <v>5</v>
      </c>
      <c r="N774" t="s">
        <v>64</v>
      </c>
      <c r="O774">
        <v>0</v>
      </c>
      <c r="P774">
        <v>208.05</v>
      </c>
      <c r="Q774">
        <v>11.11</v>
      </c>
      <c r="R774">
        <v>1.34</v>
      </c>
      <c r="S774">
        <v>220.49</v>
      </c>
      <c r="T774" t="s">
        <v>72</v>
      </c>
      <c r="U774" t="s">
        <v>72</v>
      </c>
      <c r="V774" t="s">
        <v>38</v>
      </c>
      <c r="W774" t="s">
        <v>817</v>
      </c>
      <c r="X774">
        <v>41.61</v>
      </c>
      <c r="Y774" s="9">
        <f t="shared" si="61"/>
        <v>41.61</v>
      </c>
      <c r="Z774" s="9">
        <f t="shared" si="62"/>
        <v>78.018749999999997</v>
      </c>
      <c r="AA774" s="5">
        <f t="shared" si="63"/>
        <v>86.678831250000002</v>
      </c>
      <c r="AB774" s="6">
        <f t="shared" si="64"/>
        <v>126.38257312499999</v>
      </c>
      <c r="AD774" s="10">
        <f t="shared" si="65"/>
        <v>158.23996931250002</v>
      </c>
    </row>
    <row r="775" spans="1:30" x14ac:dyDescent="0.3">
      <c r="A775" t="s">
        <v>30</v>
      </c>
      <c r="B775" s="8" t="s">
        <v>32</v>
      </c>
      <c r="C775" s="8" t="s">
        <v>32</v>
      </c>
      <c r="D775" s="8" t="s">
        <v>69</v>
      </c>
      <c r="E775" s="8" t="s">
        <v>70</v>
      </c>
      <c r="F775" s="8" t="s">
        <v>71</v>
      </c>
      <c r="G775">
        <v>8484900000</v>
      </c>
      <c r="H775" t="s">
        <v>36</v>
      </c>
      <c r="I775" t="s">
        <v>816</v>
      </c>
      <c r="J775" t="s">
        <v>38</v>
      </c>
      <c r="K775" t="s">
        <v>39</v>
      </c>
      <c r="L775">
        <v>8</v>
      </c>
      <c r="M775">
        <v>8</v>
      </c>
      <c r="N775" t="s">
        <v>64</v>
      </c>
      <c r="O775">
        <v>0</v>
      </c>
      <c r="P775">
        <v>332.88</v>
      </c>
      <c r="Q775">
        <v>21.79</v>
      </c>
      <c r="R775">
        <v>2.16</v>
      </c>
      <c r="S775">
        <v>356.83</v>
      </c>
      <c r="T775" t="s">
        <v>41</v>
      </c>
      <c r="U775" t="s">
        <v>41</v>
      </c>
      <c r="V775" t="s">
        <v>38</v>
      </c>
      <c r="W775" t="s">
        <v>817</v>
      </c>
      <c r="X775">
        <v>41.61</v>
      </c>
      <c r="Y775" s="9">
        <f t="shared" si="61"/>
        <v>41.61</v>
      </c>
      <c r="Z775" s="9">
        <f t="shared" si="62"/>
        <v>78.018749999999997</v>
      </c>
      <c r="AA775" s="5">
        <f t="shared" si="63"/>
        <v>86.678831250000002</v>
      </c>
      <c r="AB775" s="6">
        <f t="shared" si="64"/>
        <v>126.38257312499999</v>
      </c>
      <c r="AD775" s="10">
        <f t="shared" si="65"/>
        <v>158.23996931250002</v>
      </c>
    </row>
    <row r="776" spans="1:30" x14ac:dyDescent="0.3">
      <c r="A776" t="s">
        <v>30</v>
      </c>
      <c r="B776" s="8" t="s">
        <v>32</v>
      </c>
      <c r="C776" s="8" t="s">
        <v>32</v>
      </c>
      <c r="D776" s="8" t="s">
        <v>33</v>
      </c>
      <c r="E776" s="8" t="s">
        <v>34</v>
      </c>
      <c r="F776" s="8" t="s">
        <v>35</v>
      </c>
      <c r="G776">
        <v>8484900000</v>
      </c>
      <c r="H776" t="s">
        <v>36</v>
      </c>
      <c r="I776" t="s">
        <v>816</v>
      </c>
      <c r="J776" t="s">
        <v>38</v>
      </c>
      <c r="K776" t="s">
        <v>39</v>
      </c>
      <c r="L776">
        <v>10</v>
      </c>
      <c r="M776">
        <v>3</v>
      </c>
      <c r="N776" t="s">
        <v>64</v>
      </c>
      <c r="O776">
        <v>0</v>
      </c>
      <c r="P776">
        <v>127.36</v>
      </c>
      <c r="Q776">
        <v>10.6</v>
      </c>
      <c r="R776">
        <v>0.83</v>
      </c>
      <c r="S776">
        <v>138.79</v>
      </c>
      <c r="T776" t="s">
        <v>41</v>
      </c>
      <c r="U776" t="s">
        <v>43</v>
      </c>
      <c r="V776" t="s">
        <v>38</v>
      </c>
      <c r="W776" t="s">
        <v>817</v>
      </c>
      <c r="X776">
        <v>42.45</v>
      </c>
      <c r="Y776" s="9">
        <f t="shared" si="61"/>
        <v>42.453333333333333</v>
      </c>
      <c r="Z776" s="9">
        <f t="shared" si="62"/>
        <v>79.599999999999994</v>
      </c>
      <c r="AA776" s="5">
        <f t="shared" si="63"/>
        <v>88.435599999999994</v>
      </c>
      <c r="AB776" s="6">
        <f t="shared" si="64"/>
        <v>128.94403999999997</v>
      </c>
      <c r="AD776" s="10">
        <f t="shared" si="65"/>
        <v>161.44710800000001</v>
      </c>
    </row>
    <row r="777" spans="1:30" x14ac:dyDescent="0.3">
      <c r="A777" t="s">
        <v>30</v>
      </c>
      <c r="B777" s="8" t="s">
        <v>32</v>
      </c>
      <c r="C777" s="8" t="s">
        <v>32</v>
      </c>
      <c r="D777" s="8" t="s">
        <v>69</v>
      </c>
      <c r="E777" s="8" t="s">
        <v>70</v>
      </c>
      <c r="F777" s="8" t="s">
        <v>71</v>
      </c>
      <c r="G777">
        <v>4016930000</v>
      </c>
      <c r="H777" t="s">
        <v>141</v>
      </c>
      <c r="I777" t="s">
        <v>818</v>
      </c>
      <c r="J777" t="s">
        <v>38</v>
      </c>
      <c r="K777" t="s">
        <v>39</v>
      </c>
      <c r="L777">
        <v>9</v>
      </c>
      <c r="M777">
        <v>3</v>
      </c>
      <c r="N777" t="s">
        <v>64</v>
      </c>
      <c r="O777">
        <v>0</v>
      </c>
      <c r="P777">
        <v>172.38</v>
      </c>
      <c r="Q777">
        <v>8.69</v>
      </c>
      <c r="R777">
        <v>1.1000000000000001</v>
      </c>
      <c r="S777">
        <v>182.16</v>
      </c>
      <c r="T777" t="s">
        <v>41</v>
      </c>
      <c r="U777" t="s">
        <v>43</v>
      </c>
      <c r="V777" t="s">
        <v>38</v>
      </c>
      <c r="W777" t="s">
        <v>819</v>
      </c>
      <c r="X777">
        <v>57.46</v>
      </c>
      <c r="Y777" s="9">
        <f t="shared" si="61"/>
        <v>57.46</v>
      </c>
      <c r="Z777" s="9">
        <f t="shared" si="62"/>
        <v>107.7375</v>
      </c>
      <c r="AA777" s="5">
        <f t="shared" si="63"/>
        <v>119.69636249999999</v>
      </c>
      <c r="AB777" s="6">
        <f t="shared" si="64"/>
        <v>174.52397624999998</v>
      </c>
      <c r="AD777" s="10">
        <f t="shared" si="65"/>
        <v>218.51642962500003</v>
      </c>
    </row>
    <row r="778" spans="1:30" x14ac:dyDescent="0.3">
      <c r="A778" t="s">
        <v>30</v>
      </c>
      <c r="B778" s="8" t="s">
        <v>32</v>
      </c>
      <c r="C778" s="8" t="s">
        <v>32</v>
      </c>
      <c r="D778" s="8" t="s">
        <v>33</v>
      </c>
      <c r="E778" s="8" t="s">
        <v>34</v>
      </c>
      <c r="F778" s="8" t="s">
        <v>35</v>
      </c>
      <c r="G778">
        <v>8482500000</v>
      </c>
      <c r="H778" t="s">
        <v>83</v>
      </c>
      <c r="I778" t="s">
        <v>81</v>
      </c>
      <c r="J778" t="s">
        <v>38</v>
      </c>
      <c r="K778" t="s">
        <v>39</v>
      </c>
      <c r="L778">
        <v>3</v>
      </c>
      <c r="M778">
        <v>3</v>
      </c>
      <c r="N778" t="s">
        <v>64</v>
      </c>
      <c r="O778">
        <v>0</v>
      </c>
      <c r="P778">
        <v>1201.68</v>
      </c>
      <c r="Q778">
        <v>51.43</v>
      </c>
      <c r="R778">
        <v>7.75</v>
      </c>
      <c r="S778">
        <v>1260.8499999999999</v>
      </c>
      <c r="T778" t="s">
        <v>41</v>
      </c>
      <c r="U778" t="s">
        <v>43</v>
      </c>
      <c r="V778" t="s">
        <v>38</v>
      </c>
      <c r="W778" t="s">
        <v>820</v>
      </c>
      <c r="X778">
        <v>400.56</v>
      </c>
      <c r="Y778" s="9">
        <f t="shared" si="61"/>
        <v>400.56</v>
      </c>
      <c r="Z778" s="9">
        <f t="shared" si="62"/>
        <v>751.05</v>
      </c>
      <c r="AA778" s="5">
        <f t="shared" si="63"/>
        <v>834.41654999999992</v>
      </c>
      <c r="AB778" s="6">
        <f t="shared" si="64"/>
        <v>1216.6258949999999</v>
      </c>
      <c r="AD778" s="10">
        <f t="shared" si="65"/>
        <v>1523.3021415000001</v>
      </c>
    </row>
    <row r="779" spans="1:30" x14ac:dyDescent="0.3">
      <c r="A779" t="s">
        <v>30</v>
      </c>
      <c r="B779" s="8" t="s">
        <v>32</v>
      </c>
      <c r="C779" s="8" t="s">
        <v>32</v>
      </c>
      <c r="D779" s="8" t="s">
        <v>33</v>
      </c>
      <c r="E779" s="8" t="s">
        <v>34</v>
      </c>
      <c r="F779" s="8" t="s">
        <v>35</v>
      </c>
      <c r="G779">
        <v>8482500000</v>
      </c>
      <c r="H779" t="s">
        <v>83</v>
      </c>
      <c r="I779" t="s">
        <v>81</v>
      </c>
      <c r="J779" t="s">
        <v>38</v>
      </c>
      <c r="K779" t="s">
        <v>39</v>
      </c>
      <c r="L779">
        <v>4</v>
      </c>
      <c r="M779">
        <v>3</v>
      </c>
      <c r="N779" t="s">
        <v>64</v>
      </c>
      <c r="O779">
        <v>0</v>
      </c>
      <c r="P779">
        <v>1205.71</v>
      </c>
      <c r="Q779">
        <v>63.13</v>
      </c>
      <c r="R779">
        <v>7.86</v>
      </c>
      <c r="S779">
        <v>1276.7</v>
      </c>
      <c r="T779" t="s">
        <v>41</v>
      </c>
      <c r="U779" t="s">
        <v>41</v>
      </c>
      <c r="V779" t="s">
        <v>38</v>
      </c>
      <c r="W779" t="s">
        <v>820</v>
      </c>
      <c r="X779">
        <v>401.9</v>
      </c>
      <c r="Y779" s="9">
        <f t="shared" si="61"/>
        <v>401.90333333333336</v>
      </c>
      <c r="Z779" s="9">
        <f t="shared" si="62"/>
        <v>753.56875000000002</v>
      </c>
      <c r="AA779" s="5">
        <f t="shared" si="63"/>
        <v>837.21488124999996</v>
      </c>
      <c r="AB779" s="6">
        <f t="shared" si="64"/>
        <v>1220.7060181249999</v>
      </c>
      <c r="AD779" s="10">
        <f t="shared" si="65"/>
        <v>1528.4107458125002</v>
      </c>
    </row>
    <row r="780" spans="1:30" x14ac:dyDescent="0.3">
      <c r="A780" t="s">
        <v>30</v>
      </c>
      <c r="B780" s="8" t="s">
        <v>32</v>
      </c>
      <c r="C780" s="8" t="s">
        <v>32</v>
      </c>
      <c r="D780" s="8" t="s">
        <v>33</v>
      </c>
      <c r="E780" s="8" t="s">
        <v>34</v>
      </c>
      <c r="F780" s="8" t="s">
        <v>35</v>
      </c>
      <c r="G780">
        <v>8482500000</v>
      </c>
      <c r="H780" t="s">
        <v>690</v>
      </c>
      <c r="I780" t="s">
        <v>821</v>
      </c>
      <c r="J780" t="s">
        <v>74</v>
      </c>
      <c r="K780" t="s">
        <v>39</v>
      </c>
      <c r="L780">
        <v>7</v>
      </c>
      <c r="M780">
        <v>6</v>
      </c>
      <c r="N780" t="s">
        <v>64</v>
      </c>
      <c r="O780">
        <v>0</v>
      </c>
      <c r="P780">
        <v>2404.7600000000002</v>
      </c>
      <c r="Q780">
        <v>135.80000000000001</v>
      </c>
      <c r="R780">
        <v>15.32</v>
      </c>
      <c r="S780">
        <v>2555.89</v>
      </c>
      <c r="T780" t="s">
        <v>75</v>
      </c>
      <c r="U780" t="s">
        <v>821</v>
      </c>
      <c r="V780" t="s">
        <v>74</v>
      </c>
      <c r="W780" t="s">
        <v>820</v>
      </c>
      <c r="X780">
        <v>400.79</v>
      </c>
      <c r="Y780" s="9">
        <f t="shared" si="61"/>
        <v>400.79333333333335</v>
      </c>
      <c r="Z780" s="9">
        <f t="shared" si="62"/>
        <v>751.48750000000007</v>
      </c>
      <c r="AA780" s="5">
        <f t="shared" si="63"/>
        <v>834.90261250000003</v>
      </c>
      <c r="AB780" s="6">
        <f t="shared" si="64"/>
        <v>1217.3346012500001</v>
      </c>
      <c r="AD780" s="10">
        <f t="shared" si="65"/>
        <v>1524.1894921250002</v>
      </c>
    </row>
    <row r="781" spans="1:30" x14ac:dyDescent="0.3">
      <c r="A781" t="s">
        <v>30</v>
      </c>
      <c r="B781" s="8" t="s">
        <v>32</v>
      </c>
      <c r="C781" s="8" t="s">
        <v>32</v>
      </c>
      <c r="D781" s="8" t="s">
        <v>69</v>
      </c>
      <c r="E781" s="8" t="s">
        <v>70</v>
      </c>
      <c r="F781" s="8" t="s">
        <v>71</v>
      </c>
      <c r="G781">
        <v>8482500000</v>
      </c>
      <c r="H781" t="s">
        <v>690</v>
      </c>
      <c r="I781" t="s">
        <v>675</v>
      </c>
      <c r="J781" t="s">
        <v>38</v>
      </c>
      <c r="K781" t="s">
        <v>39</v>
      </c>
      <c r="L781">
        <v>13</v>
      </c>
      <c r="M781">
        <v>2</v>
      </c>
      <c r="N781" t="s">
        <v>64</v>
      </c>
      <c r="O781">
        <v>0</v>
      </c>
      <c r="P781">
        <v>785.88</v>
      </c>
      <c r="Q781">
        <v>41.96</v>
      </c>
      <c r="R781">
        <v>5.05</v>
      </c>
      <c r="S781">
        <v>832.89</v>
      </c>
      <c r="T781" t="s">
        <v>72</v>
      </c>
      <c r="U781" t="s">
        <v>72</v>
      </c>
      <c r="V781" t="s">
        <v>38</v>
      </c>
      <c r="W781" t="s">
        <v>820</v>
      </c>
      <c r="X781">
        <v>392.94</v>
      </c>
      <c r="Y781" s="9">
        <f t="shared" si="61"/>
        <v>392.94</v>
      </c>
      <c r="Z781" s="9">
        <f t="shared" si="62"/>
        <v>736.76250000000005</v>
      </c>
      <c r="AA781" s="5">
        <f t="shared" si="63"/>
        <v>818.54313750000006</v>
      </c>
      <c r="AB781" s="6">
        <f t="shared" si="64"/>
        <v>1193.4815737500001</v>
      </c>
      <c r="AD781" s="10">
        <f t="shared" si="65"/>
        <v>1494.3238053750003</v>
      </c>
    </row>
    <row r="782" spans="1:30" x14ac:dyDescent="0.3">
      <c r="A782" t="s">
        <v>30</v>
      </c>
      <c r="B782" s="8" t="s">
        <v>32</v>
      </c>
      <c r="C782" s="8" t="s">
        <v>32</v>
      </c>
      <c r="D782" s="8" t="s">
        <v>33</v>
      </c>
      <c r="E782" s="8" t="s">
        <v>34</v>
      </c>
      <c r="F782" s="8" t="s">
        <v>35</v>
      </c>
      <c r="G782">
        <v>8482500000</v>
      </c>
      <c r="H782" t="s">
        <v>690</v>
      </c>
      <c r="I782" t="s">
        <v>81</v>
      </c>
      <c r="J782" t="s">
        <v>38</v>
      </c>
      <c r="K782" t="s">
        <v>39</v>
      </c>
      <c r="L782">
        <v>10</v>
      </c>
      <c r="M782">
        <v>2</v>
      </c>
      <c r="N782" t="s">
        <v>64</v>
      </c>
      <c r="O782">
        <v>0</v>
      </c>
      <c r="P782">
        <v>801.81</v>
      </c>
      <c r="Q782">
        <v>66.739999999999995</v>
      </c>
      <c r="R782">
        <v>5.25</v>
      </c>
      <c r="S782">
        <v>873.79</v>
      </c>
      <c r="T782" t="s">
        <v>41</v>
      </c>
      <c r="U782" t="s">
        <v>43</v>
      </c>
      <c r="V782" t="s">
        <v>38</v>
      </c>
      <c r="W782" t="s">
        <v>820</v>
      </c>
      <c r="X782">
        <v>400.9</v>
      </c>
      <c r="Y782" s="9">
        <f t="shared" si="61"/>
        <v>400.90499999999997</v>
      </c>
      <c r="Z782" s="9">
        <f t="shared" si="62"/>
        <v>751.69687499999998</v>
      </c>
      <c r="AA782" s="5">
        <f t="shared" si="63"/>
        <v>835.13522812499991</v>
      </c>
      <c r="AB782" s="6">
        <f t="shared" si="64"/>
        <v>1217.6737678124998</v>
      </c>
      <c r="AD782" s="10">
        <f t="shared" si="65"/>
        <v>1524.6141527812501</v>
      </c>
    </row>
    <row r="783" spans="1:30" x14ac:dyDescent="0.3">
      <c r="A783" t="s">
        <v>30</v>
      </c>
      <c r="B783" s="8" t="s">
        <v>32</v>
      </c>
      <c r="C783" s="8" t="s">
        <v>32</v>
      </c>
      <c r="D783" s="8" t="s">
        <v>33</v>
      </c>
      <c r="E783" s="8" t="s">
        <v>34</v>
      </c>
      <c r="F783" s="8" t="s">
        <v>35</v>
      </c>
      <c r="G783">
        <v>8482500000</v>
      </c>
      <c r="H783" t="s">
        <v>690</v>
      </c>
      <c r="I783" t="s">
        <v>675</v>
      </c>
      <c r="J783" t="s">
        <v>38</v>
      </c>
      <c r="K783" t="s">
        <v>39</v>
      </c>
      <c r="L783">
        <v>8</v>
      </c>
      <c r="M783">
        <v>1</v>
      </c>
      <c r="N783" t="s">
        <v>64</v>
      </c>
      <c r="O783">
        <v>0</v>
      </c>
      <c r="P783">
        <v>401.86</v>
      </c>
      <c r="Q783">
        <v>42.9</v>
      </c>
      <c r="R783">
        <v>2.69</v>
      </c>
      <c r="S783">
        <v>447.45</v>
      </c>
      <c r="T783" t="s">
        <v>41</v>
      </c>
      <c r="U783" t="s">
        <v>41</v>
      </c>
      <c r="V783" t="s">
        <v>38</v>
      </c>
      <c r="W783" t="s">
        <v>820</v>
      </c>
      <c r="X783">
        <v>401.86</v>
      </c>
      <c r="Y783" s="9">
        <f t="shared" si="61"/>
        <v>401.86</v>
      </c>
      <c r="Z783" s="9">
        <f t="shared" si="62"/>
        <v>753.48750000000007</v>
      </c>
      <c r="AA783" s="5">
        <f t="shared" si="63"/>
        <v>837.12461250000001</v>
      </c>
      <c r="AB783" s="6">
        <f t="shared" si="64"/>
        <v>1220.5744012499999</v>
      </c>
      <c r="AD783" s="10">
        <f t="shared" si="65"/>
        <v>1528.2459521250003</v>
      </c>
    </row>
    <row r="784" spans="1:30" x14ac:dyDescent="0.3">
      <c r="A784" t="s">
        <v>30</v>
      </c>
      <c r="B784" s="8" t="s">
        <v>32</v>
      </c>
      <c r="C784" s="8" t="s">
        <v>32</v>
      </c>
      <c r="D784" s="8" t="s">
        <v>33</v>
      </c>
      <c r="E784" s="8" t="s">
        <v>34</v>
      </c>
      <c r="F784" s="8" t="s">
        <v>35</v>
      </c>
      <c r="G784">
        <v>8482500000</v>
      </c>
      <c r="H784" t="s">
        <v>690</v>
      </c>
      <c r="I784" t="s">
        <v>81</v>
      </c>
      <c r="J784" t="s">
        <v>38</v>
      </c>
      <c r="K784" t="s">
        <v>39</v>
      </c>
      <c r="L784">
        <v>8</v>
      </c>
      <c r="M784">
        <v>2</v>
      </c>
      <c r="N784" t="s">
        <v>64</v>
      </c>
      <c r="O784">
        <v>0</v>
      </c>
      <c r="P784">
        <v>799.02</v>
      </c>
      <c r="Q784">
        <v>45.24</v>
      </c>
      <c r="R784">
        <v>5.0999999999999996</v>
      </c>
      <c r="S784">
        <v>849.35</v>
      </c>
      <c r="T784" t="s">
        <v>41</v>
      </c>
      <c r="U784" t="s">
        <v>41</v>
      </c>
      <c r="V784" t="s">
        <v>38</v>
      </c>
      <c r="W784" t="s">
        <v>820</v>
      </c>
      <c r="X784">
        <v>399.51</v>
      </c>
      <c r="Y784" s="9">
        <f t="shared" si="61"/>
        <v>399.51</v>
      </c>
      <c r="Z784" s="9">
        <f t="shared" si="62"/>
        <v>749.08124999999995</v>
      </c>
      <c r="AA784" s="5">
        <f t="shared" si="63"/>
        <v>832.22926874999996</v>
      </c>
      <c r="AB784" s="6">
        <f t="shared" si="64"/>
        <v>1213.4367168749998</v>
      </c>
      <c r="AD784" s="10">
        <f t="shared" si="65"/>
        <v>1519.3090636875002</v>
      </c>
    </row>
    <row r="785" spans="1:30" x14ac:dyDescent="0.3">
      <c r="A785" t="s">
        <v>30</v>
      </c>
      <c r="B785" s="8" t="s">
        <v>32</v>
      </c>
      <c r="C785" s="8" t="s">
        <v>32</v>
      </c>
      <c r="D785" s="8" t="s">
        <v>33</v>
      </c>
      <c r="E785" s="8" t="s">
        <v>34</v>
      </c>
      <c r="F785" s="8" t="s">
        <v>35</v>
      </c>
      <c r="G785">
        <v>8481909090</v>
      </c>
      <c r="H785" t="s">
        <v>238</v>
      </c>
      <c r="I785" t="s">
        <v>822</v>
      </c>
      <c r="J785" t="s">
        <v>38</v>
      </c>
      <c r="K785" t="s">
        <v>39</v>
      </c>
      <c r="L785">
        <v>6</v>
      </c>
      <c r="M785">
        <v>3</v>
      </c>
      <c r="N785" t="s">
        <v>64</v>
      </c>
      <c r="O785">
        <v>0</v>
      </c>
      <c r="P785">
        <v>562.98</v>
      </c>
      <c r="Q785">
        <v>38.200000000000003</v>
      </c>
      <c r="R785">
        <v>3.66</v>
      </c>
      <c r="S785">
        <v>604.84</v>
      </c>
      <c r="T785" t="s">
        <v>41</v>
      </c>
      <c r="U785" t="s">
        <v>41</v>
      </c>
      <c r="V785" t="s">
        <v>38</v>
      </c>
      <c r="W785" t="s">
        <v>823</v>
      </c>
      <c r="X785">
        <v>187.66</v>
      </c>
      <c r="Y785" s="9">
        <f t="shared" si="61"/>
        <v>187.66</v>
      </c>
      <c r="Z785" s="9">
        <f t="shared" si="62"/>
        <v>351.86250000000001</v>
      </c>
      <c r="AA785" s="5">
        <f t="shared" si="63"/>
        <v>390.91923750000001</v>
      </c>
      <c r="AB785" s="6">
        <f t="shared" si="64"/>
        <v>569.98206374999995</v>
      </c>
      <c r="AD785" s="10">
        <f t="shared" si="65"/>
        <v>713.65807837500006</v>
      </c>
    </row>
    <row r="786" spans="1:30" x14ac:dyDescent="0.3">
      <c r="A786" t="s">
        <v>30</v>
      </c>
      <c r="B786" s="8" t="s">
        <v>32</v>
      </c>
      <c r="C786" s="8" t="s">
        <v>32</v>
      </c>
      <c r="D786" s="8" t="s">
        <v>69</v>
      </c>
      <c r="E786" s="8" t="s">
        <v>70</v>
      </c>
      <c r="F786" s="8" t="s">
        <v>71</v>
      </c>
      <c r="G786">
        <v>8481909090</v>
      </c>
      <c r="H786" t="s">
        <v>238</v>
      </c>
      <c r="I786" t="s">
        <v>824</v>
      </c>
      <c r="J786" t="s">
        <v>38</v>
      </c>
      <c r="K786" t="s">
        <v>39</v>
      </c>
      <c r="L786">
        <v>9</v>
      </c>
      <c r="M786">
        <v>3</v>
      </c>
      <c r="N786" t="s">
        <v>64</v>
      </c>
      <c r="O786">
        <v>0</v>
      </c>
      <c r="P786">
        <v>534.51</v>
      </c>
      <c r="Q786">
        <v>26.94</v>
      </c>
      <c r="R786">
        <v>3.4</v>
      </c>
      <c r="S786">
        <v>564.84</v>
      </c>
      <c r="T786" t="s">
        <v>41</v>
      </c>
      <c r="U786" t="s">
        <v>43</v>
      </c>
      <c r="V786" t="s">
        <v>38</v>
      </c>
      <c r="W786" t="s">
        <v>823</v>
      </c>
      <c r="X786">
        <v>178.17</v>
      </c>
      <c r="Y786" s="9">
        <f t="shared" si="61"/>
        <v>178.17</v>
      </c>
      <c r="Z786" s="9">
        <f t="shared" si="62"/>
        <v>334.06874999999997</v>
      </c>
      <c r="AA786" s="5">
        <f t="shared" si="63"/>
        <v>371.15038124999995</v>
      </c>
      <c r="AB786" s="6">
        <f t="shared" si="64"/>
        <v>541.15796812499991</v>
      </c>
      <c r="AD786" s="10">
        <f t="shared" si="65"/>
        <v>677.56826081249994</v>
      </c>
    </row>
    <row r="787" spans="1:30" x14ac:dyDescent="0.3">
      <c r="A787" t="s">
        <v>30</v>
      </c>
      <c r="B787" s="8" t="s">
        <v>31</v>
      </c>
      <c r="C787" s="8" t="s">
        <v>32</v>
      </c>
      <c r="D787" s="8" t="s">
        <v>33</v>
      </c>
      <c r="E787" s="8" t="s">
        <v>34</v>
      </c>
      <c r="F787" s="8" t="s">
        <v>35</v>
      </c>
      <c r="G787">
        <v>8421999000</v>
      </c>
      <c r="H787" t="s">
        <v>36</v>
      </c>
      <c r="I787" t="s">
        <v>478</v>
      </c>
      <c r="J787" t="s">
        <v>38</v>
      </c>
      <c r="K787" t="s">
        <v>39</v>
      </c>
      <c r="L787">
        <v>12</v>
      </c>
      <c r="M787">
        <v>12</v>
      </c>
      <c r="N787" t="s">
        <v>64</v>
      </c>
      <c r="O787">
        <v>0</v>
      </c>
      <c r="P787">
        <v>825.7</v>
      </c>
      <c r="Q787">
        <v>94.81</v>
      </c>
      <c r="R787">
        <v>5.5</v>
      </c>
      <c r="S787">
        <v>926.01</v>
      </c>
      <c r="T787" t="s">
        <v>41</v>
      </c>
      <c r="U787" t="s">
        <v>41</v>
      </c>
      <c r="V787" t="s">
        <v>38</v>
      </c>
      <c r="W787" t="s">
        <v>825</v>
      </c>
      <c r="X787">
        <v>68.81</v>
      </c>
      <c r="Y787" s="9">
        <f t="shared" si="61"/>
        <v>68.808333333333337</v>
      </c>
      <c r="Z787" s="9">
        <f t="shared" si="62"/>
        <v>129.015625</v>
      </c>
      <c r="AA787" s="5">
        <f t="shared" si="63"/>
        <v>143.336359375</v>
      </c>
      <c r="AB787" s="6">
        <f t="shared" si="64"/>
        <v>208.99241093749998</v>
      </c>
      <c r="AD787" s="10">
        <f t="shared" si="65"/>
        <v>261.67336109375003</v>
      </c>
    </row>
    <row r="788" spans="1:30" x14ac:dyDescent="0.3">
      <c r="A788" t="s">
        <v>30</v>
      </c>
      <c r="B788" s="8" t="s">
        <v>31</v>
      </c>
      <c r="C788" s="8" t="s">
        <v>32</v>
      </c>
      <c r="D788" s="8" t="s">
        <v>33</v>
      </c>
      <c r="E788" s="8" t="s">
        <v>34</v>
      </c>
      <c r="F788" s="8" t="s">
        <v>35</v>
      </c>
      <c r="G788">
        <v>8421999000</v>
      </c>
      <c r="H788" t="s">
        <v>36</v>
      </c>
      <c r="I788" t="s">
        <v>826</v>
      </c>
      <c r="J788" t="s">
        <v>74</v>
      </c>
      <c r="K788" t="s">
        <v>39</v>
      </c>
      <c r="L788">
        <v>7</v>
      </c>
      <c r="M788">
        <v>6</v>
      </c>
      <c r="N788" t="s">
        <v>64</v>
      </c>
      <c r="O788">
        <v>0</v>
      </c>
      <c r="P788">
        <v>893.08</v>
      </c>
      <c r="Q788">
        <v>50.43</v>
      </c>
      <c r="R788">
        <v>5.69</v>
      </c>
      <c r="S788">
        <v>949.21</v>
      </c>
      <c r="T788" t="s">
        <v>75</v>
      </c>
      <c r="U788" t="s">
        <v>826</v>
      </c>
      <c r="V788" t="s">
        <v>74</v>
      </c>
      <c r="W788" t="s">
        <v>827</v>
      </c>
      <c r="X788">
        <v>148.85</v>
      </c>
      <c r="Y788" s="9">
        <f t="shared" si="61"/>
        <v>148.84666666666666</v>
      </c>
      <c r="Z788" s="9">
        <f t="shared" si="62"/>
        <v>279.08749999999998</v>
      </c>
      <c r="AA788" s="5">
        <f t="shared" si="63"/>
        <v>310.06621249999995</v>
      </c>
      <c r="AB788" s="6">
        <f t="shared" si="64"/>
        <v>452.09384124999991</v>
      </c>
      <c r="AD788" s="10">
        <f t="shared" si="65"/>
        <v>566.05364012500002</v>
      </c>
    </row>
    <row r="789" spans="1:30" x14ac:dyDescent="0.3">
      <c r="A789" t="s">
        <v>30</v>
      </c>
      <c r="B789" s="8" t="s">
        <v>31</v>
      </c>
      <c r="C789" s="8" t="s">
        <v>32</v>
      </c>
      <c r="D789" s="8" t="s">
        <v>33</v>
      </c>
      <c r="E789" s="8" t="s">
        <v>34</v>
      </c>
      <c r="F789" s="8" t="s">
        <v>35</v>
      </c>
      <c r="G789">
        <v>8421999000</v>
      </c>
      <c r="H789" t="s">
        <v>36</v>
      </c>
      <c r="I789" t="s">
        <v>661</v>
      </c>
      <c r="J789" t="s">
        <v>38</v>
      </c>
      <c r="K789" t="s">
        <v>39</v>
      </c>
      <c r="L789">
        <v>6</v>
      </c>
      <c r="M789">
        <v>4</v>
      </c>
      <c r="N789" t="s">
        <v>64</v>
      </c>
      <c r="O789">
        <v>0</v>
      </c>
      <c r="P789">
        <v>679.19</v>
      </c>
      <c r="Q789">
        <v>82.14</v>
      </c>
      <c r="R789">
        <v>4.7300000000000004</v>
      </c>
      <c r="S789">
        <v>766.05</v>
      </c>
      <c r="T789" t="s">
        <v>41</v>
      </c>
      <c r="U789" t="s">
        <v>43</v>
      </c>
      <c r="V789" t="s">
        <v>38</v>
      </c>
      <c r="W789" t="s">
        <v>828</v>
      </c>
      <c r="X789">
        <v>169.8</v>
      </c>
      <c r="Y789" s="9">
        <f t="shared" si="61"/>
        <v>169.79750000000001</v>
      </c>
      <c r="Z789" s="9">
        <f t="shared" si="62"/>
        <v>318.37031250000001</v>
      </c>
      <c r="AA789" s="5">
        <f t="shared" si="63"/>
        <v>353.70941718750004</v>
      </c>
      <c r="AB789" s="6">
        <f t="shared" si="64"/>
        <v>515.72806921874997</v>
      </c>
      <c r="AD789" s="10">
        <f t="shared" si="65"/>
        <v>645.72821892187505</v>
      </c>
    </row>
    <row r="790" spans="1:30" x14ac:dyDescent="0.3">
      <c r="A790" t="s">
        <v>30</v>
      </c>
      <c r="B790" s="8" t="s">
        <v>31</v>
      </c>
      <c r="C790" s="8" t="s">
        <v>32</v>
      </c>
      <c r="D790" s="8" t="s">
        <v>33</v>
      </c>
      <c r="E790" s="8" t="s">
        <v>34</v>
      </c>
      <c r="F790" s="8" t="s">
        <v>35</v>
      </c>
      <c r="G790">
        <v>8421999000</v>
      </c>
      <c r="H790" t="s">
        <v>36</v>
      </c>
      <c r="I790" t="s">
        <v>661</v>
      </c>
      <c r="J790" t="s">
        <v>38</v>
      </c>
      <c r="K790" t="s">
        <v>39</v>
      </c>
      <c r="L790">
        <v>8</v>
      </c>
      <c r="M790">
        <v>5</v>
      </c>
      <c r="N790" t="s">
        <v>64</v>
      </c>
      <c r="O790">
        <v>0</v>
      </c>
      <c r="P790">
        <v>931.08</v>
      </c>
      <c r="Q790">
        <v>133.99</v>
      </c>
      <c r="R790">
        <v>6.55</v>
      </c>
      <c r="S790">
        <v>1071.6199999999999</v>
      </c>
      <c r="T790" t="s">
        <v>41</v>
      </c>
      <c r="U790" t="s">
        <v>41</v>
      </c>
      <c r="V790" t="s">
        <v>38</v>
      </c>
      <c r="W790" t="s">
        <v>828</v>
      </c>
      <c r="X790">
        <v>186.22</v>
      </c>
      <c r="Y790" s="9">
        <f t="shared" si="61"/>
        <v>186.21600000000001</v>
      </c>
      <c r="Z790" s="9">
        <f t="shared" si="62"/>
        <v>349.15500000000003</v>
      </c>
      <c r="AA790" s="5">
        <f t="shared" si="63"/>
        <v>387.91120500000005</v>
      </c>
      <c r="AB790" s="6">
        <f t="shared" si="64"/>
        <v>565.59618450000005</v>
      </c>
      <c r="AD790" s="10">
        <f t="shared" si="65"/>
        <v>708.16664565000008</v>
      </c>
    </row>
    <row r="791" spans="1:30" x14ac:dyDescent="0.3">
      <c r="A791" t="s">
        <v>30</v>
      </c>
      <c r="B791" s="8" t="s">
        <v>31</v>
      </c>
      <c r="C791" s="8" t="s">
        <v>32</v>
      </c>
      <c r="D791" s="8" t="s">
        <v>69</v>
      </c>
      <c r="E791" s="8" t="s">
        <v>70</v>
      </c>
      <c r="F791" s="8" t="s">
        <v>71</v>
      </c>
      <c r="G791">
        <v>8421999000</v>
      </c>
      <c r="H791" t="s">
        <v>36</v>
      </c>
      <c r="I791" t="s">
        <v>661</v>
      </c>
      <c r="J791" t="s">
        <v>38</v>
      </c>
      <c r="K791" t="s">
        <v>39</v>
      </c>
      <c r="L791">
        <v>13</v>
      </c>
      <c r="M791">
        <v>8</v>
      </c>
      <c r="N791" t="s">
        <v>64</v>
      </c>
      <c r="O791">
        <v>0</v>
      </c>
      <c r="P791">
        <v>1463.04</v>
      </c>
      <c r="Q791">
        <v>103.88</v>
      </c>
      <c r="R791">
        <v>9.56</v>
      </c>
      <c r="S791">
        <v>1576.48</v>
      </c>
      <c r="T791" t="s">
        <v>41</v>
      </c>
      <c r="U791" t="s">
        <v>41</v>
      </c>
      <c r="V791" t="s">
        <v>38</v>
      </c>
      <c r="W791" t="s">
        <v>828</v>
      </c>
      <c r="X791">
        <v>182.88</v>
      </c>
      <c r="Y791" s="9">
        <f t="shared" si="61"/>
        <v>182.88</v>
      </c>
      <c r="Z791" s="9">
        <f t="shared" si="62"/>
        <v>342.9</v>
      </c>
      <c r="AA791" s="5">
        <f t="shared" si="63"/>
        <v>380.96189999999996</v>
      </c>
      <c r="AB791" s="6">
        <f t="shared" si="64"/>
        <v>555.46370999999988</v>
      </c>
      <c r="AD791" s="10">
        <f t="shared" si="65"/>
        <v>695.48006700000008</v>
      </c>
    </row>
    <row r="792" spans="1:30" x14ac:dyDescent="0.3">
      <c r="A792" t="s">
        <v>30</v>
      </c>
      <c r="B792" s="8" t="s">
        <v>31</v>
      </c>
      <c r="C792" s="8" t="s">
        <v>32</v>
      </c>
      <c r="D792" s="8" t="s">
        <v>69</v>
      </c>
      <c r="E792" s="8" t="s">
        <v>70</v>
      </c>
      <c r="F792" s="8" t="s">
        <v>71</v>
      </c>
      <c r="G792">
        <v>8421999000</v>
      </c>
      <c r="H792" t="s">
        <v>36</v>
      </c>
      <c r="I792" t="s">
        <v>430</v>
      </c>
      <c r="J792" t="s">
        <v>38</v>
      </c>
      <c r="K792" t="s">
        <v>39</v>
      </c>
      <c r="L792">
        <v>9</v>
      </c>
      <c r="M792">
        <v>10</v>
      </c>
      <c r="N792" t="s">
        <v>64</v>
      </c>
      <c r="O792">
        <v>0</v>
      </c>
      <c r="P792">
        <v>1828.8</v>
      </c>
      <c r="Q792">
        <v>92.16</v>
      </c>
      <c r="R792">
        <v>11.62</v>
      </c>
      <c r="S792">
        <v>1932.58</v>
      </c>
      <c r="T792" t="s">
        <v>41</v>
      </c>
      <c r="U792" t="s">
        <v>43</v>
      </c>
      <c r="V792" t="s">
        <v>38</v>
      </c>
      <c r="W792" t="s">
        <v>828</v>
      </c>
      <c r="X792">
        <v>182.88</v>
      </c>
      <c r="Y792" s="9">
        <f t="shared" si="61"/>
        <v>182.88</v>
      </c>
      <c r="Z792" s="9">
        <f t="shared" si="62"/>
        <v>342.9</v>
      </c>
      <c r="AA792" s="5">
        <f t="shared" si="63"/>
        <v>380.96189999999996</v>
      </c>
      <c r="AB792" s="6">
        <f t="shared" si="64"/>
        <v>555.46370999999988</v>
      </c>
      <c r="AD792" s="10">
        <f t="shared" si="65"/>
        <v>695.48006700000008</v>
      </c>
    </row>
    <row r="793" spans="1:30" x14ac:dyDescent="0.3">
      <c r="A793" t="s">
        <v>30</v>
      </c>
      <c r="B793" s="8" t="s">
        <v>31</v>
      </c>
      <c r="C793" s="8" t="s">
        <v>32</v>
      </c>
      <c r="D793" s="8" t="s">
        <v>33</v>
      </c>
      <c r="E793" s="8" t="s">
        <v>34</v>
      </c>
      <c r="F793" s="8" t="s">
        <v>35</v>
      </c>
      <c r="G793">
        <v>8421999000</v>
      </c>
      <c r="H793" t="s">
        <v>36</v>
      </c>
      <c r="I793" t="s">
        <v>829</v>
      </c>
      <c r="J793" t="s">
        <v>74</v>
      </c>
      <c r="K793" t="s">
        <v>39</v>
      </c>
      <c r="L793">
        <v>7</v>
      </c>
      <c r="M793">
        <v>10</v>
      </c>
      <c r="N793" t="s">
        <v>64</v>
      </c>
      <c r="O793">
        <v>0</v>
      </c>
      <c r="P793">
        <v>1925.12</v>
      </c>
      <c r="Q793">
        <v>108.71</v>
      </c>
      <c r="R793">
        <v>12.27</v>
      </c>
      <c r="S793">
        <v>2046.11</v>
      </c>
      <c r="T793" t="s">
        <v>75</v>
      </c>
      <c r="U793" t="s">
        <v>829</v>
      </c>
      <c r="V793" t="s">
        <v>74</v>
      </c>
      <c r="W793" t="s">
        <v>828</v>
      </c>
      <c r="X793">
        <v>192.51</v>
      </c>
      <c r="Y793" s="9">
        <f t="shared" si="61"/>
        <v>192.512</v>
      </c>
      <c r="Z793" s="9">
        <f t="shared" si="62"/>
        <v>360.96</v>
      </c>
      <c r="AA793" s="5">
        <f t="shared" si="63"/>
        <v>401.02655999999996</v>
      </c>
      <c r="AB793" s="6">
        <f t="shared" si="64"/>
        <v>584.7191039999999</v>
      </c>
      <c r="AD793" s="10">
        <f t="shared" si="65"/>
        <v>732.10990079999999</v>
      </c>
    </row>
    <row r="794" spans="1:30" x14ac:dyDescent="0.3">
      <c r="A794" t="s">
        <v>30</v>
      </c>
      <c r="B794" s="8" t="s">
        <v>31</v>
      </c>
      <c r="C794" s="8" t="s">
        <v>32</v>
      </c>
      <c r="D794" s="8" t="s">
        <v>33</v>
      </c>
      <c r="E794" s="8" t="s">
        <v>34</v>
      </c>
      <c r="F794" s="8" t="s">
        <v>35</v>
      </c>
      <c r="G794">
        <v>8421999000</v>
      </c>
      <c r="H794" t="s">
        <v>36</v>
      </c>
      <c r="I794" t="s">
        <v>430</v>
      </c>
      <c r="J794" t="s">
        <v>38</v>
      </c>
      <c r="K794" t="s">
        <v>39</v>
      </c>
      <c r="L794">
        <v>10</v>
      </c>
      <c r="M794">
        <v>3</v>
      </c>
      <c r="N794" t="s">
        <v>64</v>
      </c>
      <c r="O794">
        <v>0</v>
      </c>
      <c r="P794">
        <v>577.70000000000005</v>
      </c>
      <c r="Q794">
        <v>48.08</v>
      </c>
      <c r="R794">
        <v>3.78</v>
      </c>
      <c r="S794">
        <v>629.55999999999995</v>
      </c>
      <c r="T794" t="s">
        <v>41</v>
      </c>
      <c r="U794" t="s">
        <v>43</v>
      </c>
      <c r="V794" t="s">
        <v>38</v>
      </c>
      <c r="W794" t="s">
        <v>828</v>
      </c>
      <c r="X794">
        <v>192.57</v>
      </c>
      <c r="Y794" s="9">
        <f t="shared" si="61"/>
        <v>192.56666666666669</v>
      </c>
      <c r="Z794" s="9">
        <f t="shared" si="62"/>
        <v>361.06250000000006</v>
      </c>
      <c r="AA794" s="5">
        <f t="shared" si="63"/>
        <v>401.14043750000008</v>
      </c>
      <c r="AB794" s="6">
        <f t="shared" si="64"/>
        <v>584.88514375000011</v>
      </c>
      <c r="AD794" s="10">
        <f t="shared" si="65"/>
        <v>732.31779437500018</v>
      </c>
    </row>
    <row r="795" spans="1:30" x14ac:dyDescent="0.3">
      <c r="A795" t="s">
        <v>30</v>
      </c>
      <c r="B795" s="8" t="s">
        <v>31</v>
      </c>
      <c r="C795" s="8" t="s">
        <v>32</v>
      </c>
      <c r="D795" s="8" t="s">
        <v>33</v>
      </c>
      <c r="E795" s="8" t="s">
        <v>34</v>
      </c>
      <c r="F795" s="8" t="s">
        <v>35</v>
      </c>
      <c r="G795">
        <v>8421999000</v>
      </c>
      <c r="H795" t="s">
        <v>36</v>
      </c>
      <c r="I795" t="s">
        <v>430</v>
      </c>
      <c r="J795" t="s">
        <v>38</v>
      </c>
      <c r="K795" t="s">
        <v>39</v>
      </c>
      <c r="L795">
        <v>8</v>
      </c>
      <c r="M795">
        <v>5</v>
      </c>
      <c r="N795" t="s">
        <v>64</v>
      </c>
      <c r="O795">
        <v>0</v>
      </c>
      <c r="P795">
        <v>965.12</v>
      </c>
      <c r="Q795">
        <v>103.03</v>
      </c>
      <c r="R795">
        <v>6.47</v>
      </c>
      <c r="S795">
        <v>1074.6199999999999</v>
      </c>
      <c r="T795" t="s">
        <v>41</v>
      </c>
      <c r="U795" t="s">
        <v>41</v>
      </c>
      <c r="V795" t="s">
        <v>38</v>
      </c>
      <c r="W795" t="s">
        <v>828</v>
      </c>
      <c r="X795">
        <v>193.02</v>
      </c>
      <c r="Y795" s="9">
        <f t="shared" si="61"/>
        <v>193.024</v>
      </c>
      <c r="Z795" s="9">
        <f t="shared" si="62"/>
        <v>361.92</v>
      </c>
      <c r="AA795" s="5">
        <f t="shared" si="63"/>
        <v>402.09312</v>
      </c>
      <c r="AB795" s="6">
        <f t="shared" si="64"/>
        <v>586.27420800000004</v>
      </c>
      <c r="AD795" s="10">
        <f t="shared" si="65"/>
        <v>734.05700160000015</v>
      </c>
    </row>
    <row r="796" spans="1:30" x14ac:dyDescent="0.3">
      <c r="A796" t="s">
        <v>168</v>
      </c>
      <c r="B796" s="8" t="s">
        <v>31</v>
      </c>
      <c r="C796" s="8" t="s">
        <v>32</v>
      </c>
      <c r="E796" s="8" t="s">
        <v>70</v>
      </c>
      <c r="F796" s="8" t="s">
        <v>71</v>
      </c>
      <c r="G796">
        <v>8421999000</v>
      </c>
      <c r="H796" t="s">
        <v>36</v>
      </c>
      <c r="I796" t="s">
        <v>430</v>
      </c>
      <c r="J796" t="s">
        <v>38</v>
      </c>
      <c r="K796" t="s">
        <v>39</v>
      </c>
      <c r="L796">
        <v>0</v>
      </c>
      <c r="M796">
        <v>2</v>
      </c>
      <c r="N796" t="s">
        <v>64</v>
      </c>
      <c r="O796">
        <v>0</v>
      </c>
      <c r="P796">
        <v>326.92</v>
      </c>
      <c r="Q796">
        <v>25.1</v>
      </c>
      <c r="R796">
        <v>2.36</v>
      </c>
      <c r="S796">
        <v>354.37</v>
      </c>
      <c r="T796" t="s">
        <v>41</v>
      </c>
      <c r="U796" t="s">
        <v>41</v>
      </c>
      <c r="V796" t="s">
        <v>38</v>
      </c>
      <c r="W796" t="s">
        <v>828</v>
      </c>
      <c r="X796">
        <v>163.46</v>
      </c>
      <c r="Y796" s="9">
        <f t="shared" si="61"/>
        <v>163.46</v>
      </c>
      <c r="Z796" s="9">
        <f t="shared" si="62"/>
        <v>306.48750000000001</v>
      </c>
      <c r="AA796" s="5">
        <f t="shared" si="63"/>
        <v>340.50761249999999</v>
      </c>
      <c r="AB796" s="6">
        <f t="shared" si="64"/>
        <v>496.47910124999999</v>
      </c>
      <c r="AD796" s="10">
        <f t="shared" si="65"/>
        <v>621.62714212500009</v>
      </c>
    </row>
    <row r="797" spans="1:30" x14ac:dyDescent="0.3">
      <c r="A797" t="s">
        <v>168</v>
      </c>
      <c r="B797" s="8" t="s">
        <v>31</v>
      </c>
      <c r="C797" s="8" t="s">
        <v>32</v>
      </c>
      <c r="E797" s="8" t="s">
        <v>70</v>
      </c>
      <c r="F797" s="8" t="s">
        <v>71</v>
      </c>
      <c r="G797">
        <v>8421999000</v>
      </c>
      <c r="H797" t="s">
        <v>36</v>
      </c>
      <c r="I797" t="s">
        <v>430</v>
      </c>
      <c r="J797" t="s">
        <v>38</v>
      </c>
      <c r="K797" t="s">
        <v>39</v>
      </c>
      <c r="L797">
        <v>0</v>
      </c>
      <c r="M797">
        <v>4</v>
      </c>
      <c r="N797" t="s">
        <v>64</v>
      </c>
      <c r="O797">
        <v>0</v>
      </c>
      <c r="P797">
        <v>653.83000000000004</v>
      </c>
      <c r="Q797">
        <v>50.19</v>
      </c>
      <c r="R797">
        <v>4.71</v>
      </c>
      <c r="S797">
        <v>708.73</v>
      </c>
      <c r="T797" t="s">
        <v>41</v>
      </c>
      <c r="U797" t="s">
        <v>41</v>
      </c>
      <c r="V797" t="s">
        <v>38</v>
      </c>
      <c r="W797" t="s">
        <v>828</v>
      </c>
      <c r="X797">
        <v>163.46</v>
      </c>
      <c r="Y797" s="9">
        <f t="shared" si="61"/>
        <v>163.45750000000001</v>
      </c>
      <c r="Z797" s="9">
        <f t="shared" si="62"/>
        <v>306.48281250000002</v>
      </c>
      <c r="AA797" s="5">
        <f t="shared" si="63"/>
        <v>340.50240468750002</v>
      </c>
      <c r="AB797" s="6">
        <f t="shared" si="64"/>
        <v>496.47150796875002</v>
      </c>
      <c r="AD797" s="10">
        <f t="shared" si="65"/>
        <v>621.61763479687511</v>
      </c>
    </row>
    <row r="798" spans="1:30" x14ac:dyDescent="0.3">
      <c r="A798" t="s">
        <v>30</v>
      </c>
      <c r="B798" s="8" t="s">
        <v>32</v>
      </c>
      <c r="C798" s="8" t="s">
        <v>32</v>
      </c>
      <c r="D798" s="8" t="s">
        <v>33</v>
      </c>
      <c r="E798" s="8" t="s">
        <v>34</v>
      </c>
      <c r="F798" s="8" t="s">
        <v>35</v>
      </c>
      <c r="G798">
        <v>8481809990</v>
      </c>
      <c r="H798" t="s">
        <v>53</v>
      </c>
      <c r="I798" t="s">
        <v>746</v>
      </c>
      <c r="J798" t="s">
        <v>38</v>
      </c>
      <c r="K798" t="s">
        <v>39</v>
      </c>
      <c r="L798">
        <v>12</v>
      </c>
      <c r="M798">
        <v>6</v>
      </c>
      <c r="N798" t="s">
        <v>64</v>
      </c>
      <c r="O798">
        <v>0</v>
      </c>
      <c r="P798">
        <v>3346.4</v>
      </c>
      <c r="Q798">
        <v>384.26</v>
      </c>
      <c r="R798">
        <v>22.3</v>
      </c>
      <c r="S798">
        <v>3752.95</v>
      </c>
      <c r="T798" t="s">
        <v>41</v>
      </c>
      <c r="U798" t="s">
        <v>41</v>
      </c>
      <c r="V798" t="s">
        <v>38</v>
      </c>
      <c r="W798" t="s">
        <v>830</v>
      </c>
      <c r="X798">
        <v>557.73</v>
      </c>
      <c r="Y798" s="9">
        <f t="shared" si="61"/>
        <v>557.73333333333335</v>
      </c>
      <c r="Z798" s="9">
        <f t="shared" si="62"/>
        <v>1045.75</v>
      </c>
      <c r="AA798" s="5">
        <f t="shared" si="63"/>
        <v>1161.82825</v>
      </c>
      <c r="AB798" s="6">
        <f t="shared" si="64"/>
        <v>1694.0104249999999</v>
      </c>
      <c r="AD798" s="10">
        <f t="shared" si="65"/>
        <v>2121.0215225000002</v>
      </c>
    </row>
    <row r="799" spans="1:30" x14ac:dyDescent="0.3">
      <c r="A799" t="s">
        <v>30</v>
      </c>
      <c r="B799" s="8" t="s">
        <v>62</v>
      </c>
      <c r="C799" s="8" t="s">
        <v>32</v>
      </c>
      <c r="D799" s="8" t="s">
        <v>33</v>
      </c>
      <c r="E799" s="8" t="s">
        <v>34</v>
      </c>
      <c r="F799" s="8" t="s">
        <v>35</v>
      </c>
      <c r="G799">
        <v>8421999000</v>
      </c>
      <c r="H799" t="s">
        <v>36</v>
      </c>
      <c r="I799" t="s">
        <v>831</v>
      </c>
      <c r="J799" t="s">
        <v>38</v>
      </c>
      <c r="K799" t="s">
        <v>39</v>
      </c>
      <c r="L799">
        <v>16</v>
      </c>
      <c r="M799">
        <v>2</v>
      </c>
      <c r="N799" t="s">
        <v>64</v>
      </c>
      <c r="O799">
        <v>0</v>
      </c>
      <c r="P799">
        <v>184.63</v>
      </c>
      <c r="Q799">
        <v>25.48</v>
      </c>
      <c r="R799">
        <v>1.23</v>
      </c>
      <c r="S799">
        <v>211.34</v>
      </c>
      <c r="T799" t="s">
        <v>41</v>
      </c>
      <c r="U799" t="s">
        <v>41</v>
      </c>
      <c r="V799" t="s">
        <v>38</v>
      </c>
      <c r="W799" t="s">
        <v>832</v>
      </c>
      <c r="X799">
        <v>92.31</v>
      </c>
      <c r="Y799" s="9">
        <f t="shared" si="61"/>
        <v>92.314999999999998</v>
      </c>
      <c r="Z799" s="9">
        <f t="shared" si="62"/>
        <v>173.09062499999999</v>
      </c>
      <c r="AA799" s="5">
        <f t="shared" si="63"/>
        <v>192.30368437499999</v>
      </c>
      <c r="AB799" s="6">
        <f t="shared" si="64"/>
        <v>280.38950343749997</v>
      </c>
      <c r="AD799" s="10">
        <f t="shared" si="65"/>
        <v>351.06759834375003</v>
      </c>
    </row>
    <row r="800" spans="1:30" x14ac:dyDescent="0.3">
      <c r="A800" t="s">
        <v>168</v>
      </c>
      <c r="B800" s="8" t="s">
        <v>62</v>
      </c>
      <c r="C800" s="8" t="s">
        <v>32</v>
      </c>
      <c r="D800" s="8" t="s">
        <v>33</v>
      </c>
      <c r="E800" s="8" t="s">
        <v>34</v>
      </c>
      <c r="F800" s="8" t="s">
        <v>35</v>
      </c>
      <c r="G800">
        <v>8421999000</v>
      </c>
      <c r="H800" t="s">
        <v>36</v>
      </c>
      <c r="I800" t="s">
        <v>831</v>
      </c>
      <c r="J800" t="s">
        <v>38</v>
      </c>
      <c r="K800" t="s">
        <v>39</v>
      </c>
      <c r="L800">
        <v>11</v>
      </c>
      <c r="M800">
        <v>2</v>
      </c>
      <c r="N800" t="s">
        <v>64</v>
      </c>
      <c r="O800">
        <v>0</v>
      </c>
      <c r="P800">
        <v>185.16</v>
      </c>
      <c r="Q800">
        <v>17.739999999999998</v>
      </c>
      <c r="R800">
        <v>1.25</v>
      </c>
      <c r="S800">
        <v>204.14</v>
      </c>
      <c r="T800" t="s">
        <v>41</v>
      </c>
      <c r="U800" t="s">
        <v>43</v>
      </c>
      <c r="V800" t="s">
        <v>38</v>
      </c>
      <c r="W800" t="s">
        <v>832</v>
      </c>
      <c r="X800">
        <v>92.58</v>
      </c>
      <c r="Y800" s="9">
        <f t="shared" si="61"/>
        <v>92.58</v>
      </c>
      <c r="Z800" s="9">
        <f t="shared" si="62"/>
        <v>173.58750000000001</v>
      </c>
      <c r="AA800" s="5">
        <f t="shared" si="63"/>
        <v>192.85571250000001</v>
      </c>
      <c r="AB800" s="6">
        <f t="shared" si="64"/>
        <v>281.19439124999997</v>
      </c>
      <c r="AD800" s="10">
        <f t="shared" si="65"/>
        <v>352.07537512500005</v>
      </c>
    </row>
    <row r="801" spans="1:30" x14ac:dyDescent="0.3">
      <c r="A801" t="s">
        <v>30</v>
      </c>
      <c r="B801" s="8" t="s">
        <v>62</v>
      </c>
      <c r="C801" s="8" t="s">
        <v>32</v>
      </c>
      <c r="D801" s="8" t="s">
        <v>33</v>
      </c>
      <c r="E801" s="8" t="s">
        <v>34</v>
      </c>
      <c r="F801" s="8" t="s">
        <v>35</v>
      </c>
      <c r="G801">
        <v>8421999000</v>
      </c>
      <c r="H801" t="s">
        <v>36</v>
      </c>
      <c r="I801" t="s">
        <v>215</v>
      </c>
      <c r="J801" t="s">
        <v>38</v>
      </c>
      <c r="K801" t="s">
        <v>39</v>
      </c>
      <c r="L801">
        <v>4</v>
      </c>
      <c r="M801">
        <v>3</v>
      </c>
      <c r="N801" t="s">
        <v>64</v>
      </c>
      <c r="O801">
        <v>0</v>
      </c>
      <c r="P801">
        <v>276.10000000000002</v>
      </c>
      <c r="Q801">
        <v>14.46</v>
      </c>
      <c r="R801">
        <v>1.8</v>
      </c>
      <c r="S801">
        <v>292.35000000000002</v>
      </c>
      <c r="T801" t="s">
        <v>41</v>
      </c>
      <c r="U801" t="s">
        <v>41</v>
      </c>
      <c r="V801" t="s">
        <v>38</v>
      </c>
      <c r="W801" t="s">
        <v>832</v>
      </c>
      <c r="X801">
        <v>92.03</v>
      </c>
      <c r="Y801" s="9">
        <f t="shared" si="61"/>
        <v>92.033333333333346</v>
      </c>
      <c r="Z801" s="9">
        <f t="shared" si="62"/>
        <v>172.56250000000003</v>
      </c>
      <c r="AA801" s="5">
        <f t="shared" si="63"/>
        <v>191.71693750000003</v>
      </c>
      <c r="AB801" s="6">
        <f t="shared" si="64"/>
        <v>279.53399375000004</v>
      </c>
      <c r="AD801" s="10">
        <f t="shared" si="65"/>
        <v>349.99643937500008</v>
      </c>
    </row>
    <row r="802" spans="1:30" x14ac:dyDescent="0.3">
      <c r="A802" t="s">
        <v>30</v>
      </c>
      <c r="B802" s="8" t="s">
        <v>62</v>
      </c>
      <c r="C802" s="8" t="s">
        <v>32</v>
      </c>
      <c r="D802" s="8" t="s">
        <v>69</v>
      </c>
      <c r="E802" s="8" t="s">
        <v>70</v>
      </c>
      <c r="F802" s="8" t="s">
        <v>71</v>
      </c>
      <c r="G802">
        <v>8421999000</v>
      </c>
      <c r="H802" t="s">
        <v>36</v>
      </c>
      <c r="I802" t="s">
        <v>215</v>
      </c>
      <c r="J802" t="s">
        <v>38</v>
      </c>
      <c r="K802" t="s">
        <v>39</v>
      </c>
      <c r="L802">
        <v>13</v>
      </c>
      <c r="M802">
        <v>3</v>
      </c>
      <c r="N802" t="s">
        <v>64</v>
      </c>
      <c r="O802">
        <v>0</v>
      </c>
      <c r="P802">
        <v>317.58</v>
      </c>
      <c r="Q802">
        <v>16.96</v>
      </c>
      <c r="R802">
        <v>2.04</v>
      </c>
      <c r="S802">
        <v>336.58</v>
      </c>
      <c r="T802" t="s">
        <v>72</v>
      </c>
      <c r="U802" t="s">
        <v>72</v>
      </c>
      <c r="V802" t="s">
        <v>38</v>
      </c>
      <c r="W802" t="s">
        <v>832</v>
      </c>
      <c r="X802">
        <v>105.86</v>
      </c>
      <c r="Y802" s="9">
        <f t="shared" si="61"/>
        <v>105.86</v>
      </c>
      <c r="Z802" s="9">
        <f t="shared" si="62"/>
        <v>198.48750000000001</v>
      </c>
      <c r="AA802" s="5">
        <f t="shared" si="63"/>
        <v>220.51961250000002</v>
      </c>
      <c r="AB802" s="6">
        <f t="shared" si="64"/>
        <v>321.52990125000002</v>
      </c>
      <c r="AD802" s="10">
        <f t="shared" si="65"/>
        <v>402.57830212500005</v>
      </c>
    </row>
    <row r="803" spans="1:30" x14ac:dyDescent="0.3">
      <c r="A803" t="s">
        <v>30</v>
      </c>
      <c r="B803" s="8" t="s">
        <v>62</v>
      </c>
      <c r="C803" s="8" t="s">
        <v>32</v>
      </c>
      <c r="D803" s="8" t="s">
        <v>33</v>
      </c>
      <c r="E803" s="8" t="s">
        <v>34</v>
      </c>
      <c r="F803" s="8" t="s">
        <v>35</v>
      </c>
      <c r="G803">
        <v>8421999000</v>
      </c>
      <c r="H803" t="s">
        <v>36</v>
      </c>
      <c r="I803" t="s">
        <v>215</v>
      </c>
      <c r="J803" t="s">
        <v>38</v>
      </c>
      <c r="K803" t="s">
        <v>39</v>
      </c>
      <c r="L803">
        <v>8</v>
      </c>
      <c r="M803">
        <v>3</v>
      </c>
      <c r="N803" t="s">
        <v>64</v>
      </c>
      <c r="O803">
        <v>0</v>
      </c>
      <c r="P803">
        <v>276.07</v>
      </c>
      <c r="Q803">
        <v>29.47</v>
      </c>
      <c r="R803">
        <v>1.85</v>
      </c>
      <c r="S803">
        <v>307.39</v>
      </c>
      <c r="T803" t="s">
        <v>41</v>
      </c>
      <c r="U803" t="s">
        <v>41</v>
      </c>
      <c r="V803" t="s">
        <v>38</v>
      </c>
      <c r="W803" t="s">
        <v>832</v>
      </c>
      <c r="X803">
        <v>92.02</v>
      </c>
      <c r="Y803" s="9">
        <f t="shared" si="61"/>
        <v>92.023333333333326</v>
      </c>
      <c r="Z803" s="9">
        <f t="shared" si="62"/>
        <v>172.54374999999999</v>
      </c>
      <c r="AA803" s="5">
        <f t="shared" si="63"/>
        <v>191.69610624999999</v>
      </c>
      <c r="AB803" s="6">
        <f t="shared" si="64"/>
        <v>279.50362062499994</v>
      </c>
      <c r="AD803" s="10">
        <f t="shared" si="65"/>
        <v>349.95841006250004</v>
      </c>
    </row>
    <row r="804" spans="1:30" x14ac:dyDescent="0.3">
      <c r="A804" t="s">
        <v>30</v>
      </c>
      <c r="B804" s="8" t="s">
        <v>62</v>
      </c>
      <c r="C804" s="8" t="s">
        <v>32</v>
      </c>
      <c r="D804" s="8" t="s">
        <v>33</v>
      </c>
      <c r="E804" s="8" t="s">
        <v>34</v>
      </c>
      <c r="F804" s="8" t="s">
        <v>35</v>
      </c>
      <c r="G804">
        <v>8421999000</v>
      </c>
      <c r="H804" t="s">
        <v>36</v>
      </c>
      <c r="I804" t="s">
        <v>833</v>
      </c>
      <c r="J804" t="s">
        <v>38</v>
      </c>
      <c r="K804" t="s">
        <v>39</v>
      </c>
      <c r="L804">
        <v>16</v>
      </c>
      <c r="M804">
        <v>2</v>
      </c>
      <c r="N804" t="s">
        <v>64</v>
      </c>
      <c r="O804">
        <v>0</v>
      </c>
      <c r="P804">
        <v>223.55</v>
      </c>
      <c r="Q804">
        <v>30.85</v>
      </c>
      <c r="R804">
        <v>1.49</v>
      </c>
      <c r="S804">
        <v>255.9</v>
      </c>
      <c r="T804" t="s">
        <v>41</v>
      </c>
      <c r="U804" t="s">
        <v>41</v>
      </c>
      <c r="V804" t="s">
        <v>38</v>
      </c>
      <c r="W804" t="s">
        <v>834</v>
      </c>
      <c r="X804">
        <v>111.78</v>
      </c>
      <c r="Y804" s="9">
        <f t="shared" si="61"/>
        <v>111.77500000000001</v>
      </c>
      <c r="Z804" s="9">
        <f t="shared" si="62"/>
        <v>209.578125</v>
      </c>
      <c r="AA804" s="5">
        <f t="shared" si="63"/>
        <v>232.84129687499998</v>
      </c>
      <c r="AB804" s="6">
        <f t="shared" si="64"/>
        <v>339.49560468749996</v>
      </c>
      <c r="AD804" s="10">
        <f t="shared" si="65"/>
        <v>425.07264046875002</v>
      </c>
    </row>
    <row r="805" spans="1:30" x14ac:dyDescent="0.3">
      <c r="A805" t="s">
        <v>168</v>
      </c>
      <c r="B805" s="8" t="s">
        <v>62</v>
      </c>
      <c r="C805" s="8" t="s">
        <v>32</v>
      </c>
      <c r="D805" s="8" t="s">
        <v>33</v>
      </c>
      <c r="E805" s="8" t="s">
        <v>34</v>
      </c>
      <c r="F805" s="8" t="s">
        <v>35</v>
      </c>
      <c r="G805">
        <v>8421999000</v>
      </c>
      <c r="H805" t="s">
        <v>36</v>
      </c>
      <c r="I805" t="s">
        <v>833</v>
      </c>
      <c r="J805" t="s">
        <v>38</v>
      </c>
      <c r="K805" t="s">
        <v>39</v>
      </c>
      <c r="L805">
        <v>11</v>
      </c>
      <c r="M805">
        <v>2</v>
      </c>
      <c r="N805" t="s">
        <v>64</v>
      </c>
      <c r="O805">
        <v>0</v>
      </c>
      <c r="P805">
        <v>224.19</v>
      </c>
      <c r="Q805">
        <v>21.47</v>
      </c>
      <c r="R805">
        <v>1.51</v>
      </c>
      <c r="S805">
        <v>247.18</v>
      </c>
      <c r="T805" t="s">
        <v>41</v>
      </c>
      <c r="U805" t="s">
        <v>43</v>
      </c>
      <c r="V805" t="s">
        <v>38</v>
      </c>
      <c r="W805" t="s">
        <v>834</v>
      </c>
      <c r="X805">
        <v>112.09</v>
      </c>
      <c r="Y805" s="9">
        <f t="shared" si="61"/>
        <v>112.095</v>
      </c>
      <c r="Z805" s="9">
        <f t="shared" si="62"/>
        <v>210.17812499999999</v>
      </c>
      <c r="AA805" s="5">
        <f t="shared" si="63"/>
        <v>233.507896875</v>
      </c>
      <c r="AB805" s="6">
        <f t="shared" si="64"/>
        <v>340.46754468749998</v>
      </c>
      <c r="AD805" s="10">
        <f t="shared" si="65"/>
        <v>426.28957846875005</v>
      </c>
    </row>
    <row r="806" spans="1:30" x14ac:dyDescent="0.3">
      <c r="A806" t="s">
        <v>30</v>
      </c>
      <c r="B806" s="8" t="s">
        <v>62</v>
      </c>
      <c r="C806" s="8" t="s">
        <v>32</v>
      </c>
      <c r="D806" s="8" t="s">
        <v>69</v>
      </c>
      <c r="E806" s="8" t="s">
        <v>70</v>
      </c>
      <c r="F806" s="8" t="s">
        <v>71</v>
      </c>
      <c r="G806">
        <v>8421999000</v>
      </c>
      <c r="H806" t="s">
        <v>36</v>
      </c>
      <c r="I806" t="s">
        <v>215</v>
      </c>
      <c r="J806" t="s">
        <v>38</v>
      </c>
      <c r="K806" t="s">
        <v>39</v>
      </c>
      <c r="L806">
        <v>13</v>
      </c>
      <c r="M806">
        <v>2</v>
      </c>
      <c r="N806" t="s">
        <v>64</v>
      </c>
      <c r="O806">
        <v>0</v>
      </c>
      <c r="P806">
        <v>217.9</v>
      </c>
      <c r="Q806">
        <v>11.63</v>
      </c>
      <c r="R806">
        <v>1.4</v>
      </c>
      <c r="S806">
        <v>230.93</v>
      </c>
      <c r="T806" t="s">
        <v>72</v>
      </c>
      <c r="U806" t="s">
        <v>72</v>
      </c>
      <c r="V806" t="s">
        <v>38</v>
      </c>
      <c r="W806" t="s">
        <v>834</v>
      </c>
      <c r="X806">
        <v>108.95</v>
      </c>
      <c r="Y806" s="9">
        <f t="shared" si="61"/>
        <v>108.95</v>
      </c>
      <c r="Z806" s="9">
        <f t="shared" si="62"/>
        <v>204.28125</v>
      </c>
      <c r="AA806" s="5">
        <f t="shared" si="63"/>
        <v>226.95646875</v>
      </c>
      <c r="AB806" s="6">
        <f t="shared" si="64"/>
        <v>330.91519687499999</v>
      </c>
      <c r="AD806" s="10">
        <f t="shared" si="65"/>
        <v>414.32935968750002</v>
      </c>
    </row>
    <row r="807" spans="1:30" x14ac:dyDescent="0.3">
      <c r="A807" t="s">
        <v>30</v>
      </c>
      <c r="B807" s="8" t="s">
        <v>62</v>
      </c>
      <c r="C807" s="8" t="s">
        <v>32</v>
      </c>
      <c r="D807" s="8" t="s">
        <v>33</v>
      </c>
      <c r="E807" s="8" t="s">
        <v>34</v>
      </c>
      <c r="F807" s="8" t="s">
        <v>35</v>
      </c>
      <c r="G807">
        <v>8421999000</v>
      </c>
      <c r="H807" t="s">
        <v>36</v>
      </c>
      <c r="I807" t="s">
        <v>215</v>
      </c>
      <c r="J807" t="s">
        <v>38</v>
      </c>
      <c r="K807" t="s">
        <v>39</v>
      </c>
      <c r="L807">
        <v>3</v>
      </c>
      <c r="M807">
        <v>2</v>
      </c>
      <c r="N807" t="s">
        <v>64</v>
      </c>
      <c r="O807">
        <v>0</v>
      </c>
      <c r="P807">
        <v>273.69</v>
      </c>
      <c r="Q807">
        <v>11.71</v>
      </c>
      <c r="R807">
        <v>1.76</v>
      </c>
      <c r="S807">
        <v>287.16000000000003</v>
      </c>
      <c r="T807" t="s">
        <v>41</v>
      </c>
      <c r="U807" t="s">
        <v>43</v>
      </c>
      <c r="V807" t="s">
        <v>38</v>
      </c>
      <c r="W807" t="s">
        <v>835</v>
      </c>
      <c r="X807">
        <v>136.84</v>
      </c>
      <c r="Y807" s="9">
        <f t="shared" si="61"/>
        <v>136.845</v>
      </c>
      <c r="Z807" s="9">
        <f t="shared" si="62"/>
        <v>256.58437500000002</v>
      </c>
      <c r="AA807" s="5">
        <f t="shared" si="63"/>
        <v>285.065240625</v>
      </c>
      <c r="AB807" s="6">
        <f t="shared" si="64"/>
        <v>415.64102906250002</v>
      </c>
      <c r="AD807" s="10">
        <f t="shared" si="65"/>
        <v>520.41212690625014</v>
      </c>
    </row>
    <row r="808" spans="1:30" x14ac:dyDescent="0.3">
      <c r="A808" t="s">
        <v>30</v>
      </c>
      <c r="B808" s="8" t="s">
        <v>62</v>
      </c>
      <c r="C808" s="8" t="s">
        <v>32</v>
      </c>
      <c r="D808" s="8" t="s">
        <v>69</v>
      </c>
      <c r="E808" s="8" t="s">
        <v>70</v>
      </c>
      <c r="F808" s="8" t="s">
        <v>71</v>
      </c>
      <c r="G808">
        <v>8421999000</v>
      </c>
      <c r="H808" t="s">
        <v>36</v>
      </c>
      <c r="I808" t="s">
        <v>215</v>
      </c>
      <c r="J808" t="s">
        <v>38</v>
      </c>
      <c r="K808" t="s">
        <v>39</v>
      </c>
      <c r="L808">
        <v>13</v>
      </c>
      <c r="M808">
        <v>2</v>
      </c>
      <c r="N808" t="s">
        <v>64</v>
      </c>
      <c r="O808">
        <v>0</v>
      </c>
      <c r="P808">
        <v>315.86</v>
      </c>
      <c r="Q808">
        <v>22.43</v>
      </c>
      <c r="R808">
        <v>2.0699999999999998</v>
      </c>
      <c r="S808">
        <v>340.35</v>
      </c>
      <c r="T808" t="s">
        <v>41</v>
      </c>
      <c r="U808" t="s">
        <v>41</v>
      </c>
      <c r="V808" t="s">
        <v>38</v>
      </c>
      <c r="W808" t="s">
        <v>835</v>
      </c>
      <c r="X808">
        <v>157.93</v>
      </c>
      <c r="Y808" s="9">
        <f t="shared" si="61"/>
        <v>157.93</v>
      </c>
      <c r="Z808" s="9">
        <f t="shared" si="62"/>
        <v>296.11875000000003</v>
      </c>
      <c r="AA808" s="5">
        <f t="shared" si="63"/>
        <v>328.98793125000003</v>
      </c>
      <c r="AB808" s="6">
        <f t="shared" si="64"/>
        <v>479.68276312500001</v>
      </c>
      <c r="AD808" s="10">
        <f t="shared" si="65"/>
        <v>600.59693231250014</v>
      </c>
    </row>
    <row r="809" spans="1:30" x14ac:dyDescent="0.3">
      <c r="A809" t="s">
        <v>30</v>
      </c>
      <c r="B809" s="8" t="s">
        <v>62</v>
      </c>
      <c r="C809" s="8" t="s">
        <v>32</v>
      </c>
      <c r="D809" s="8" t="s">
        <v>69</v>
      </c>
      <c r="E809" s="8" t="s">
        <v>70</v>
      </c>
      <c r="F809" s="8" t="s">
        <v>71</v>
      </c>
      <c r="G809">
        <v>8421999000</v>
      </c>
      <c r="H809" t="s">
        <v>36</v>
      </c>
      <c r="I809" t="s">
        <v>215</v>
      </c>
      <c r="J809" t="s">
        <v>38</v>
      </c>
      <c r="K809" t="s">
        <v>39</v>
      </c>
      <c r="L809">
        <v>8</v>
      </c>
      <c r="M809">
        <v>5</v>
      </c>
      <c r="N809" t="s">
        <v>64</v>
      </c>
      <c r="O809">
        <v>0</v>
      </c>
      <c r="P809">
        <v>671.35</v>
      </c>
      <c r="Q809">
        <v>43.95</v>
      </c>
      <c r="R809">
        <v>4.3499999999999996</v>
      </c>
      <c r="S809">
        <v>719.65</v>
      </c>
      <c r="T809" t="s">
        <v>41</v>
      </c>
      <c r="U809" t="s">
        <v>41</v>
      </c>
      <c r="V809" t="s">
        <v>38</v>
      </c>
      <c r="W809" t="s">
        <v>835</v>
      </c>
      <c r="X809">
        <v>134.27000000000001</v>
      </c>
      <c r="Y809" s="9">
        <f t="shared" si="61"/>
        <v>134.27000000000001</v>
      </c>
      <c r="Z809" s="9">
        <f t="shared" si="62"/>
        <v>251.75625000000002</v>
      </c>
      <c r="AA809" s="5">
        <f t="shared" si="63"/>
        <v>279.70119375000002</v>
      </c>
      <c r="AB809" s="6">
        <f t="shared" si="64"/>
        <v>407.81994937500002</v>
      </c>
      <c r="AD809" s="10">
        <f t="shared" si="65"/>
        <v>510.61957893750008</v>
      </c>
    </row>
    <row r="810" spans="1:30" x14ac:dyDescent="0.3">
      <c r="A810" t="s">
        <v>30</v>
      </c>
      <c r="B810" s="8" t="s">
        <v>62</v>
      </c>
      <c r="C810" s="8" t="s">
        <v>32</v>
      </c>
      <c r="D810" s="8" t="s">
        <v>33</v>
      </c>
      <c r="E810" s="8" t="s">
        <v>34</v>
      </c>
      <c r="F810" s="8" t="s">
        <v>35</v>
      </c>
      <c r="G810">
        <v>8421999000</v>
      </c>
      <c r="H810" t="s">
        <v>36</v>
      </c>
      <c r="I810" t="s">
        <v>550</v>
      </c>
      <c r="J810" t="s">
        <v>38</v>
      </c>
      <c r="K810" t="s">
        <v>39</v>
      </c>
      <c r="L810">
        <v>8</v>
      </c>
      <c r="M810">
        <v>2</v>
      </c>
      <c r="N810" t="s">
        <v>64</v>
      </c>
      <c r="O810">
        <v>0</v>
      </c>
      <c r="P810">
        <v>448.13</v>
      </c>
      <c r="Q810">
        <v>47.84</v>
      </c>
      <c r="R810">
        <v>3</v>
      </c>
      <c r="S810">
        <v>498.97</v>
      </c>
      <c r="T810" t="s">
        <v>41</v>
      </c>
      <c r="U810" t="s">
        <v>41</v>
      </c>
      <c r="V810" t="s">
        <v>38</v>
      </c>
      <c r="W810" t="s">
        <v>836</v>
      </c>
      <c r="X810">
        <v>224.06</v>
      </c>
      <c r="Y810" s="9">
        <f t="shared" si="61"/>
        <v>224.065</v>
      </c>
      <c r="Z810" s="9">
        <f t="shared" si="62"/>
        <v>420.12187499999999</v>
      </c>
      <c r="AA810" s="5">
        <f t="shared" si="63"/>
        <v>466.75540312499999</v>
      </c>
      <c r="AB810" s="6">
        <f t="shared" si="64"/>
        <v>680.55542531249989</v>
      </c>
      <c r="AD810" s="10">
        <f t="shared" si="65"/>
        <v>852.10379053125007</v>
      </c>
    </row>
    <row r="811" spans="1:30" x14ac:dyDescent="0.3">
      <c r="A811" t="s">
        <v>30</v>
      </c>
      <c r="B811" s="8" t="s">
        <v>62</v>
      </c>
      <c r="C811" s="8" t="s">
        <v>32</v>
      </c>
      <c r="D811" s="8" t="s">
        <v>33</v>
      </c>
      <c r="E811" s="8" t="s">
        <v>34</v>
      </c>
      <c r="F811" s="8" t="s">
        <v>35</v>
      </c>
      <c r="G811">
        <v>8421999000</v>
      </c>
      <c r="H811" t="s">
        <v>36</v>
      </c>
      <c r="I811" t="s">
        <v>837</v>
      </c>
      <c r="J811" t="s">
        <v>38</v>
      </c>
      <c r="K811" t="s">
        <v>39</v>
      </c>
      <c r="L811">
        <v>16</v>
      </c>
      <c r="M811">
        <v>1</v>
      </c>
      <c r="N811" t="s">
        <v>64</v>
      </c>
      <c r="O811">
        <v>0</v>
      </c>
      <c r="P811">
        <v>351.1</v>
      </c>
      <c r="Q811">
        <v>48.46</v>
      </c>
      <c r="R811">
        <v>2.34</v>
      </c>
      <c r="S811">
        <v>401.9</v>
      </c>
      <c r="T811" t="s">
        <v>41</v>
      </c>
      <c r="U811" t="s">
        <v>41</v>
      </c>
      <c r="V811" t="s">
        <v>38</v>
      </c>
      <c r="W811" t="s">
        <v>838</v>
      </c>
      <c r="X811">
        <v>351.1</v>
      </c>
      <c r="Y811" s="9">
        <f t="shared" si="61"/>
        <v>351.1</v>
      </c>
      <c r="Z811" s="9">
        <f t="shared" si="62"/>
        <v>658.3125</v>
      </c>
      <c r="AA811" s="5">
        <f t="shared" si="63"/>
        <v>731.38518750000003</v>
      </c>
      <c r="AB811" s="6">
        <f t="shared" si="64"/>
        <v>1066.40041875</v>
      </c>
      <c r="AD811" s="10">
        <f t="shared" si="65"/>
        <v>1335.2091618750001</v>
      </c>
    </row>
    <row r="812" spans="1:30" x14ac:dyDescent="0.3">
      <c r="A812" t="s">
        <v>30</v>
      </c>
      <c r="B812" s="8" t="s">
        <v>62</v>
      </c>
      <c r="C812" s="8" t="s">
        <v>32</v>
      </c>
      <c r="D812" s="8" t="s">
        <v>33</v>
      </c>
      <c r="E812" s="8" t="s">
        <v>34</v>
      </c>
      <c r="F812" s="8" t="s">
        <v>35</v>
      </c>
      <c r="G812">
        <v>8421999000</v>
      </c>
      <c r="H812" t="s">
        <v>36</v>
      </c>
      <c r="I812" t="s">
        <v>215</v>
      </c>
      <c r="J812" t="s">
        <v>38</v>
      </c>
      <c r="K812" t="s">
        <v>39</v>
      </c>
      <c r="L812">
        <v>4</v>
      </c>
      <c r="M812">
        <v>5</v>
      </c>
      <c r="N812" t="s">
        <v>64</v>
      </c>
      <c r="O812">
        <v>0</v>
      </c>
      <c r="P812">
        <v>1750.19</v>
      </c>
      <c r="Q812">
        <v>91.63</v>
      </c>
      <c r="R812">
        <v>11.41</v>
      </c>
      <c r="S812">
        <v>1853.23</v>
      </c>
      <c r="T812" t="s">
        <v>41</v>
      </c>
      <c r="U812" t="s">
        <v>41</v>
      </c>
      <c r="V812" t="s">
        <v>38</v>
      </c>
      <c r="W812" t="s">
        <v>838</v>
      </c>
      <c r="X812">
        <v>350.04</v>
      </c>
      <c r="Y812" s="9">
        <f t="shared" si="61"/>
        <v>350.03800000000001</v>
      </c>
      <c r="Z812" s="9">
        <f t="shared" si="62"/>
        <v>656.32124999999996</v>
      </c>
      <c r="AA812" s="5">
        <f t="shared" si="63"/>
        <v>729.17290874999992</v>
      </c>
      <c r="AB812" s="6">
        <f t="shared" si="64"/>
        <v>1063.1747928749999</v>
      </c>
      <c r="AD812" s="10">
        <f t="shared" si="65"/>
        <v>1331.1704488875</v>
      </c>
    </row>
    <row r="813" spans="1:30" x14ac:dyDescent="0.3">
      <c r="A813" t="s">
        <v>30</v>
      </c>
      <c r="B813" s="8" t="s">
        <v>62</v>
      </c>
      <c r="C813" s="8" t="s">
        <v>32</v>
      </c>
      <c r="D813" s="8" t="s">
        <v>69</v>
      </c>
      <c r="E813" s="8" t="s">
        <v>70</v>
      </c>
      <c r="F813" s="8" t="s">
        <v>71</v>
      </c>
      <c r="G813">
        <v>8421999000</v>
      </c>
      <c r="H813" t="s">
        <v>36</v>
      </c>
      <c r="I813" t="s">
        <v>215</v>
      </c>
      <c r="J813" t="s">
        <v>38</v>
      </c>
      <c r="K813" t="s">
        <v>39</v>
      </c>
      <c r="L813">
        <v>13</v>
      </c>
      <c r="M813">
        <v>1</v>
      </c>
      <c r="N813" t="s">
        <v>64</v>
      </c>
      <c r="O813">
        <v>0</v>
      </c>
      <c r="P813">
        <v>342.23</v>
      </c>
      <c r="Q813">
        <v>18.27</v>
      </c>
      <c r="R813">
        <v>2.2000000000000002</v>
      </c>
      <c r="S813">
        <v>362.7</v>
      </c>
      <c r="T813" t="s">
        <v>72</v>
      </c>
      <c r="U813" t="s">
        <v>72</v>
      </c>
      <c r="V813" t="s">
        <v>38</v>
      </c>
      <c r="W813" t="s">
        <v>838</v>
      </c>
      <c r="X813">
        <v>342.23</v>
      </c>
      <c r="Y813" s="9">
        <f t="shared" si="61"/>
        <v>342.23</v>
      </c>
      <c r="Z813" s="9">
        <f t="shared" si="62"/>
        <v>641.68125000000009</v>
      </c>
      <c r="AA813" s="5">
        <f t="shared" si="63"/>
        <v>712.90786875000015</v>
      </c>
      <c r="AB813" s="6">
        <f t="shared" si="64"/>
        <v>1039.4594568750001</v>
      </c>
      <c r="AD813" s="10">
        <f t="shared" si="65"/>
        <v>1301.4771616875003</v>
      </c>
    </row>
    <row r="814" spans="1:30" x14ac:dyDescent="0.3">
      <c r="A814" t="s">
        <v>30</v>
      </c>
      <c r="B814" s="8" t="s">
        <v>32</v>
      </c>
      <c r="C814" s="8" t="s">
        <v>32</v>
      </c>
      <c r="D814" s="8" t="s">
        <v>69</v>
      </c>
      <c r="E814" s="8" t="s">
        <v>70</v>
      </c>
      <c r="F814" s="8" t="s">
        <v>71</v>
      </c>
      <c r="G814">
        <v>8421999000</v>
      </c>
      <c r="H814" t="s">
        <v>36</v>
      </c>
      <c r="I814" t="s">
        <v>724</v>
      </c>
      <c r="J814" t="s">
        <v>38</v>
      </c>
      <c r="K814" t="s">
        <v>39</v>
      </c>
      <c r="L814">
        <v>13</v>
      </c>
      <c r="M814">
        <v>10</v>
      </c>
      <c r="N814" t="s">
        <v>64</v>
      </c>
      <c r="O814">
        <v>0</v>
      </c>
      <c r="P814">
        <v>2145.6</v>
      </c>
      <c r="Q814">
        <v>114.55</v>
      </c>
      <c r="R814">
        <v>13.79</v>
      </c>
      <c r="S814">
        <v>2273.94</v>
      </c>
      <c r="T814" t="s">
        <v>72</v>
      </c>
      <c r="U814" t="s">
        <v>72</v>
      </c>
      <c r="V814" t="s">
        <v>38</v>
      </c>
      <c r="W814" t="s">
        <v>839</v>
      </c>
      <c r="X814">
        <v>214.56</v>
      </c>
      <c r="Y814" s="9">
        <f t="shared" si="61"/>
        <v>214.56</v>
      </c>
      <c r="Z814" s="9">
        <f t="shared" si="62"/>
        <v>402.3</v>
      </c>
      <c r="AA814" s="5">
        <f t="shared" si="63"/>
        <v>446.95530000000002</v>
      </c>
      <c r="AB814" s="6">
        <f t="shared" si="64"/>
        <v>651.68576999999993</v>
      </c>
      <c r="AD814" s="10">
        <f t="shared" si="65"/>
        <v>815.95692900000006</v>
      </c>
    </row>
    <row r="815" spans="1:30" x14ac:dyDescent="0.3">
      <c r="A815" t="s">
        <v>30</v>
      </c>
      <c r="B815" s="8" t="s">
        <v>31</v>
      </c>
      <c r="C815" s="8" t="s">
        <v>32</v>
      </c>
      <c r="D815" s="8" t="s">
        <v>69</v>
      </c>
      <c r="E815" s="8" t="s">
        <v>70</v>
      </c>
      <c r="F815" s="8" t="s">
        <v>71</v>
      </c>
      <c r="G815">
        <v>8421999000</v>
      </c>
      <c r="H815" t="s">
        <v>36</v>
      </c>
      <c r="I815" t="s">
        <v>215</v>
      </c>
      <c r="J815" t="s">
        <v>38</v>
      </c>
      <c r="K815" t="s">
        <v>39</v>
      </c>
      <c r="L815">
        <v>8</v>
      </c>
      <c r="M815">
        <v>2</v>
      </c>
      <c r="N815" t="s">
        <v>64</v>
      </c>
      <c r="O815">
        <v>0</v>
      </c>
      <c r="P815">
        <v>289.16000000000003</v>
      </c>
      <c r="Q815">
        <v>18.93</v>
      </c>
      <c r="R815">
        <v>1.88</v>
      </c>
      <c r="S815">
        <v>309.95999999999998</v>
      </c>
      <c r="T815" t="s">
        <v>41</v>
      </c>
      <c r="U815" t="s">
        <v>41</v>
      </c>
      <c r="V815" t="s">
        <v>38</v>
      </c>
      <c r="W815" t="s">
        <v>840</v>
      </c>
      <c r="X815">
        <v>144.58000000000001</v>
      </c>
      <c r="Y815" s="9">
        <f t="shared" si="61"/>
        <v>144.58000000000001</v>
      </c>
      <c r="Z815" s="9">
        <f t="shared" si="62"/>
        <v>271.08750000000003</v>
      </c>
      <c r="AA815" s="5">
        <f t="shared" si="63"/>
        <v>301.17821250000003</v>
      </c>
      <c r="AB815" s="6">
        <f t="shared" si="64"/>
        <v>439.13464125000002</v>
      </c>
      <c r="AD815" s="10">
        <f t="shared" si="65"/>
        <v>549.82780012500007</v>
      </c>
    </row>
    <row r="816" spans="1:30" x14ac:dyDescent="0.3">
      <c r="A816" t="s">
        <v>30</v>
      </c>
      <c r="B816" s="8" t="s">
        <v>31</v>
      </c>
      <c r="C816" s="8" t="s">
        <v>32</v>
      </c>
      <c r="D816" s="8" t="s">
        <v>33</v>
      </c>
      <c r="E816" s="8" t="s">
        <v>34</v>
      </c>
      <c r="F816" s="8" t="s">
        <v>35</v>
      </c>
      <c r="G816">
        <v>8421999000</v>
      </c>
      <c r="H816" t="s">
        <v>36</v>
      </c>
      <c r="I816" t="s">
        <v>215</v>
      </c>
      <c r="J816" t="s">
        <v>38</v>
      </c>
      <c r="K816" t="s">
        <v>39</v>
      </c>
      <c r="L816">
        <v>8</v>
      </c>
      <c r="M816">
        <v>2</v>
      </c>
      <c r="N816" t="s">
        <v>64</v>
      </c>
      <c r="O816">
        <v>0</v>
      </c>
      <c r="P816">
        <v>295.72000000000003</v>
      </c>
      <c r="Q816">
        <v>31.57</v>
      </c>
      <c r="R816">
        <v>1.98</v>
      </c>
      <c r="S816">
        <v>329.27</v>
      </c>
      <c r="T816" t="s">
        <v>41</v>
      </c>
      <c r="U816" t="s">
        <v>41</v>
      </c>
      <c r="V816" t="s">
        <v>38</v>
      </c>
      <c r="W816" t="s">
        <v>840</v>
      </c>
      <c r="X816">
        <v>147.86000000000001</v>
      </c>
      <c r="Y816" s="9">
        <f t="shared" si="61"/>
        <v>147.86000000000001</v>
      </c>
      <c r="Z816" s="9">
        <f t="shared" si="62"/>
        <v>277.23750000000001</v>
      </c>
      <c r="AA816" s="5">
        <f t="shared" si="63"/>
        <v>308.01086250000003</v>
      </c>
      <c r="AB816" s="6">
        <f t="shared" si="64"/>
        <v>449.09702625</v>
      </c>
      <c r="AD816" s="10">
        <f t="shared" si="65"/>
        <v>562.30141462500012</v>
      </c>
    </row>
    <row r="817" spans="1:30" x14ac:dyDescent="0.3">
      <c r="A817" t="s">
        <v>30</v>
      </c>
      <c r="B817" s="8" t="s">
        <v>32</v>
      </c>
      <c r="C817" s="8" t="s">
        <v>32</v>
      </c>
      <c r="D817" s="8" t="s">
        <v>69</v>
      </c>
      <c r="E817" s="8" t="s">
        <v>70</v>
      </c>
      <c r="F817" s="8" t="s">
        <v>71</v>
      </c>
      <c r="G817">
        <v>8481300000</v>
      </c>
      <c r="H817" t="s">
        <v>488</v>
      </c>
      <c r="I817" t="s">
        <v>841</v>
      </c>
      <c r="J817" t="s">
        <v>38</v>
      </c>
      <c r="K817" t="s">
        <v>39</v>
      </c>
      <c r="L817">
        <v>13</v>
      </c>
      <c r="M817">
        <v>3</v>
      </c>
      <c r="N817" t="s">
        <v>64</v>
      </c>
      <c r="O817">
        <v>0</v>
      </c>
      <c r="P817">
        <v>91.59</v>
      </c>
      <c r="Q817">
        <v>6.5</v>
      </c>
      <c r="R817">
        <v>0.6</v>
      </c>
      <c r="S817">
        <v>98.69</v>
      </c>
      <c r="T817" t="s">
        <v>41</v>
      </c>
      <c r="U817" t="s">
        <v>41</v>
      </c>
      <c r="V817" t="s">
        <v>38</v>
      </c>
      <c r="W817" t="s">
        <v>842</v>
      </c>
      <c r="X817">
        <v>30.53</v>
      </c>
      <c r="Y817" s="9">
        <f t="shared" si="61"/>
        <v>30.53</v>
      </c>
      <c r="Z817" s="9">
        <f t="shared" si="62"/>
        <v>57.243750000000006</v>
      </c>
      <c r="AA817" s="5">
        <f t="shared" si="63"/>
        <v>63.597806250000005</v>
      </c>
      <c r="AB817" s="6">
        <f t="shared" si="64"/>
        <v>92.729150625000003</v>
      </c>
      <c r="AD817" s="10">
        <f t="shared" si="65"/>
        <v>116.10349106250003</v>
      </c>
    </row>
    <row r="818" spans="1:30" x14ac:dyDescent="0.3">
      <c r="A818" t="s">
        <v>30</v>
      </c>
      <c r="B818" s="8" t="s">
        <v>32</v>
      </c>
      <c r="C818" s="8" t="s">
        <v>32</v>
      </c>
      <c r="D818" s="8" t="s">
        <v>33</v>
      </c>
      <c r="E818" s="8" t="s">
        <v>34</v>
      </c>
      <c r="F818" s="8" t="s">
        <v>35</v>
      </c>
      <c r="G818">
        <v>8481300000</v>
      </c>
      <c r="H818" t="s">
        <v>488</v>
      </c>
      <c r="I818" t="s">
        <v>843</v>
      </c>
      <c r="J818" t="s">
        <v>38</v>
      </c>
      <c r="K818" t="s">
        <v>39</v>
      </c>
      <c r="L818">
        <v>12</v>
      </c>
      <c r="M818">
        <v>5</v>
      </c>
      <c r="N818" t="s">
        <v>64</v>
      </c>
      <c r="O818">
        <v>0</v>
      </c>
      <c r="P818">
        <v>204.21</v>
      </c>
      <c r="Q818">
        <v>23.45</v>
      </c>
      <c r="R818">
        <v>1.36</v>
      </c>
      <c r="S818">
        <v>229.02</v>
      </c>
      <c r="T818" t="s">
        <v>41</v>
      </c>
      <c r="U818" t="s">
        <v>41</v>
      </c>
      <c r="V818" t="s">
        <v>38</v>
      </c>
      <c r="W818" t="s">
        <v>842</v>
      </c>
      <c r="X818">
        <v>40.840000000000003</v>
      </c>
      <c r="Y818" s="9">
        <f t="shared" si="61"/>
        <v>40.841999999999999</v>
      </c>
      <c r="Z818" s="9">
        <f t="shared" si="62"/>
        <v>76.578749999999999</v>
      </c>
      <c r="AA818" s="5">
        <f t="shared" si="63"/>
        <v>85.078991250000001</v>
      </c>
      <c r="AB818" s="6">
        <f t="shared" si="64"/>
        <v>124.04991712499999</v>
      </c>
      <c r="AD818" s="10">
        <f t="shared" si="65"/>
        <v>155.31931811250001</v>
      </c>
    </row>
    <row r="819" spans="1:30" x14ac:dyDescent="0.3">
      <c r="A819" t="s">
        <v>30</v>
      </c>
      <c r="B819" s="8" t="s">
        <v>32</v>
      </c>
      <c r="C819" s="8" t="s">
        <v>32</v>
      </c>
      <c r="D819" s="8" t="s">
        <v>33</v>
      </c>
      <c r="E819" s="8" t="s">
        <v>34</v>
      </c>
      <c r="F819" s="8" t="s">
        <v>35</v>
      </c>
      <c r="G819">
        <v>8421392000</v>
      </c>
      <c r="H819" t="s">
        <v>429</v>
      </c>
      <c r="I819" t="s">
        <v>844</v>
      </c>
      <c r="J819" t="s">
        <v>38</v>
      </c>
      <c r="K819" t="s">
        <v>39</v>
      </c>
      <c r="L819">
        <v>8</v>
      </c>
      <c r="M819">
        <v>1</v>
      </c>
      <c r="N819" t="s">
        <v>64</v>
      </c>
      <c r="O819">
        <v>0</v>
      </c>
      <c r="P819">
        <v>37.159999999999997</v>
      </c>
      <c r="Q819">
        <v>4.66</v>
      </c>
      <c r="R819">
        <v>0.25</v>
      </c>
      <c r="S819">
        <v>42.07</v>
      </c>
      <c r="T819" t="s">
        <v>41</v>
      </c>
      <c r="U819" t="s">
        <v>41</v>
      </c>
      <c r="V819" t="s">
        <v>38</v>
      </c>
      <c r="W819" t="s">
        <v>845</v>
      </c>
      <c r="X819">
        <v>37.159999999999997</v>
      </c>
      <c r="Y819" s="9">
        <f t="shared" si="61"/>
        <v>37.159999999999997</v>
      </c>
      <c r="Z819" s="9">
        <f t="shared" si="62"/>
        <v>69.674999999999997</v>
      </c>
      <c r="AA819" s="5">
        <f t="shared" si="63"/>
        <v>77.408924999999996</v>
      </c>
      <c r="AB819" s="6">
        <f t="shared" si="64"/>
        <v>112.86653249999999</v>
      </c>
      <c r="AD819" s="10">
        <f t="shared" si="65"/>
        <v>141.31692525</v>
      </c>
    </row>
    <row r="820" spans="1:30" x14ac:dyDescent="0.3">
      <c r="A820" t="s">
        <v>30</v>
      </c>
      <c r="B820" s="8" t="s">
        <v>32</v>
      </c>
      <c r="C820" s="8" t="s">
        <v>32</v>
      </c>
      <c r="D820" s="8" t="s">
        <v>33</v>
      </c>
      <c r="E820" s="8" t="s">
        <v>34</v>
      </c>
      <c r="F820" s="8" t="s">
        <v>35</v>
      </c>
      <c r="G820">
        <v>8482100000</v>
      </c>
      <c r="H820" t="s">
        <v>80</v>
      </c>
      <c r="I820" t="s">
        <v>81</v>
      </c>
      <c r="J820" t="s">
        <v>38</v>
      </c>
      <c r="K820" t="s">
        <v>39</v>
      </c>
      <c r="L820">
        <v>3</v>
      </c>
      <c r="M820">
        <v>2</v>
      </c>
      <c r="N820" t="s">
        <v>64</v>
      </c>
      <c r="O820">
        <v>0</v>
      </c>
      <c r="P820">
        <v>117.76</v>
      </c>
      <c r="Q820">
        <v>5.04</v>
      </c>
      <c r="R820">
        <v>0.76</v>
      </c>
      <c r="S820">
        <v>123.56</v>
      </c>
      <c r="T820" t="s">
        <v>41</v>
      </c>
      <c r="U820" t="s">
        <v>43</v>
      </c>
      <c r="V820" t="s">
        <v>38</v>
      </c>
      <c r="W820" t="s">
        <v>846</v>
      </c>
      <c r="X820">
        <v>58.88</v>
      </c>
      <c r="Y820" s="9">
        <f t="shared" si="61"/>
        <v>58.88</v>
      </c>
      <c r="Z820" s="9">
        <f t="shared" si="62"/>
        <v>110.4</v>
      </c>
      <c r="AA820" s="5">
        <f t="shared" si="63"/>
        <v>122.65440000000001</v>
      </c>
      <c r="AB820" s="6">
        <f t="shared" si="64"/>
        <v>178.83696</v>
      </c>
      <c r="AD820" s="10">
        <f t="shared" si="65"/>
        <v>223.91659200000004</v>
      </c>
    </row>
    <row r="821" spans="1:30" x14ac:dyDescent="0.3">
      <c r="A821" t="s">
        <v>30</v>
      </c>
      <c r="B821" s="8" t="s">
        <v>32</v>
      </c>
      <c r="C821" s="8" t="s">
        <v>32</v>
      </c>
      <c r="D821" s="8" t="s">
        <v>33</v>
      </c>
      <c r="E821" s="8" t="s">
        <v>34</v>
      </c>
      <c r="F821" s="8" t="s">
        <v>35</v>
      </c>
      <c r="G821">
        <v>8421999000</v>
      </c>
      <c r="H821" t="s">
        <v>36</v>
      </c>
      <c r="I821" t="s">
        <v>724</v>
      </c>
      <c r="J821" t="s">
        <v>38</v>
      </c>
      <c r="K821" t="s">
        <v>39</v>
      </c>
      <c r="L821">
        <v>16</v>
      </c>
      <c r="M821">
        <v>3</v>
      </c>
      <c r="N821" t="s">
        <v>64</v>
      </c>
      <c r="O821">
        <v>0</v>
      </c>
      <c r="P821">
        <v>660.37</v>
      </c>
      <c r="Q821">
        <v>91.14</v>
      </c>
      <c r="R821">
        <v>4.41</v>
      </c>
      <c r="S821">
        <v>755.92</v>
      </c>
      <c r="T821" t="s">
        <v>41</v>
      </c>
      <c r="U821" t="s">
        <v>41</v>
      </c>
      <c r="V821" t="s">
        <v>38</v>
      </c>
      <c r="W821" t="s">
        <v>847</v>
      </c>
      <c r="X821">
        <v>220.12</v>
      </c>
      <c r="Y821" s="9">
        <f t="shared" si="61"/>
        <v>220.12333333333333</v>
      </c>
      <c r="Z821" s="9">
        <f t="shared" si="62"/>
        <v>412.73124999999999</v>
      </c>
      <c r="AA821" s="5">
        <f t="shared" si="63"/>
        <v>458.54441874999998</v>
      </c>
      <c r="AB821" s="6">
        <f t="shared" si="64"/>
        <v>668.58335187499995</v>
      </c>
      <c r="AD821" s="10">
        <f t="shared" si="65"/>
        <v>837.11390318750011</v>
      </c>
    </row>
    <row r="822" spans="1:30" x14ac:dyDescent="0.3">
      <c r="A822" t="s">
        <v>168</v>
      </c>
      <c r="B822" s="8" t="s">
        <v>32</v>
      </c>
      <c r="C822" s="8" t="s">
        <v>32</v>
      </c>
      <c r="D822" s="8" t="s">
        <v>33</v>
      </c>
      <c r="E822" s="8" t="s">
        <v>34</v>
      </c>
      <c r="F822" s="8" t="s">
        <v>35</v>
      </c>
      <c r="G822">
        <v>8421999000</v>
      </c>
      <c r="H822" t="s">
        <v>36</v>
      </c>
      <c r="I822" t="s">
        <v>724</v>
      </c>
      <c r="J822" t="s">
        <v>38</v>
      </c>
      <c r="K822" t="s">
        <v>39</v>
      </c>
      <c r="L822">
        <v>11</v>
      </c>
      <c r="M822">
        <v>2</v>
      </c>
      <c r="N822" t="s">
        <v>64</v>
      </c>
      <c r="O822">
        <v>0</v>
      </c>
      <c r="P822">
        <v>441.51</v>
      </c>
      <c r="Q822">
        <v>42.29</v>
      </c>
      <c r="R822">
        <v>2.98</v>
      </c>
      <c r="S822">
        <v>486.78</v>
      </c>
      <c r="T822" t="s">
        <v>41</v>
      </c>
      <c r="U822" t="s">
        <v>43</v>
      </c>
      <c r="V822" t="s">
        <v>38</v>
      </c>
      <c r="W822" t="s">
        <v>847</v>
      </c>
      <c r="X822">
        <v>220.75</v>
      </c>
      <c r="Y822" s="9">
        <f t="shared" si="61"/>
        <v>220.755</v>
      </c>
      <c r="Z822" s="9">
        <f t="shared" si="62"/>
        <v>413.91562499999998</v>
      </c>
      <c r="AA822" s="5">
        <f t="shared" si="63"/>
        <v>459.86025937499994</v>
      </c>
      <c r="AB822" s="6">
        <f t="shared" si="64"/>
        <v>670.5019209374999</v>
      </c>
      <c r="AD822" s="10">
        <f t="shared" si="65"/>
        <v>839.51608809375</v>
      </c>
    </row>
    <row r="823" spans="1:30" x14ac:dyDescent="0.3">
      <c r="A823" t="s">
        <v>168</v>
      </c>
      <c r="B823" s="8" t="s">
        <v>32</v>
      </c>
      <c r="C823" s="8" t="s">
        <v>32</v>
      </c>
      <c r="D823" s="8" t="s">
        <v>33</v>
      </c>
      <c r="E823" s="8" t="s">
        <v>34</v>
      </c>
      <c r="F823" s="8" t="s">
        <v>35</v>
      </c>
      <c r="G823">
        <v>8421999000</v>
      </c>
      <c r="H823" t="s">
        <v>36</v>
      </c>
      <c r="I823" t="s">
        <v>724</v>
      </c>
      <c r="J823" t="s">
        <v>38</v>
      </c>
      <c r="K823" t="s">
        <v>39</v>
      </c>
      <c r="L823">
        <v>11</v>
      </c>
      <c r="M823">
        <v>2</v>
      </c>
      <c r="N823" t="s">
        <v>64</v>
      </c>
      <c r="O823">
        <v>0</v>
      </c>
      <c r="P823">
        <v>441.51</v>
      </c>
      <c r="Q823">
        <v>42.29</v>
      </c>
      <c r="R823">
        <v>2.98</v>
      </c>
      <c r="S823">
        <v>486.78</v>
      </c>
      <c r="T823" t="s">
        <v>41</v>
      </c>
      <c r="U823" t="s">
        <v>43</v>
      </c>
      <c r="V823" t="s">
        <v>38</v>
      </c>
      <c r="W823" t="s">
        <v>847</v>
      </c>
      <c r="X823">
        <v>220.75</v>
      </c>
      <c r="Y823" s="9">
        <f t="shared" si="61"/>
        <v>220.755</v>
      </c>
      <c r="Z823" s="9">
        <f t="shared" si="62"/>
        <v>413.91562499999998</v>
      </c>
      <c r="AA823" s="5">
        <f t="shared" si="63"/>
        <v>459.86025937499994</v>
      </c>
      <c r="AB823" s="6">
        <f t="shared" si="64"/>
        <v>670.5019209374999</v>
      </c>
      <c r="AD823" s="10">
        <f t="shared" si="65"/>
        <v>839.51608809375</v>
      </c>
    </row>
    <row r="824" spans="1:30" x14ac:dyDescent="0.3">
      <c r="A824" t="s">
        <v>30</v>
      </c>
      <c r="B824" s="8" t="s">
        <v>32</v>
      </c>
      <c r="C824" s="8" t="s">
        <v>32</v>
      </c>
      <c r="D824" s="8" t="s">
        <v>33</v>
      </c>
      <c r="E824" s="8" t="s">
        <v>34</v>
      </c>
      <c r="F824" s="8" t="s">
        <v>35</v>
      </c>
      <c r="G824">
        <v>8421999000</v>
      </c>
      <c r="H824" t="s">
        <v>36</v>
      </c>
      <c r="I824" t="s">
        <v>848</v>
      </c>
      <c r="J824" t="s">
        <v>38</v>
      </c>
      <c r="K824" t="s">
        <v>39</v>
      </c>
      <c r="L824">
        <v>4</v>
      </c>
      <c r="M824">
        <v>5</v>
      </c>
      <c r="N824" t="s">
        <v>64</v>
      </c>
      <c r="O824">
        <v>0</v>
      </c>
      <c r="P824">
        <v>1097.27</v>
      </c>
      <c r="Q824">
        <v>57.45</v>
      </c>
      <c r="R824">
        <v>7.15</v>
      </c>
      <c r="S824">
        <v>1161.8800000000001</v>
      </c>
      <c r="T824" t="s">
        <v>41</v>
      </c>
      <c r="U824" t="s">
        <v>41</v>
      </c>
      <c r="V824" t="s">
        <v>38</v>
      </c>
      <c r="W824" t="s">
        <v>847</v>
      </c>
      <c r="X824">
        <v>219.45</v>
      </c>
      <c r="Y824" s="9">
        <f t="shared" si="61"/>
        <v>219.45400000000001</v>
      </c>
      <c r="Z824" s="9">
        <f t="shared" si="62"/>
        <v>411.47624999999999</v>
      </c>
      <c r="AA824" s="5">
        <f t="shared" si="63"/>
        <v>457.15011375</v>
      </c>
      <c r="AB824" s="6">
        <f t="shared" si="64"/>
        <v>666.55037737499993</v>
      </c>
      <c r="AD824" s="10">
        <f t="shared" si="65"/>
        <v>834.56847453750004</v>
      </c>
    </row>
    <row r="825" spans="1:30" x14ac:dyDescent="0.3">
      <c r="A825" t="s">
        <v>30</v>
      </c>
      <c r="B825" s="8" t="s">
        <v>32</v>
      </c>
      <c r="C825" s="8" t="s">
        <v>32</v>
      </c>
      <c r="D825" s="8" t="s">
        <v>69</v>
      </c>
      <c r="E825" s="8" t="s">
        <v>70</v>
      </c>
      <c r="F825" s="8" t="s">
        <v>71</v>
      </c>
      <c r="G825">
        <v>8421999000</v>
      </c>
      <c r="H825" t="s">
        <v>36</v>
      </c>
      <c r="I825" t="s">
        <v>724</v>
      </c>
      <c r="J825" t="s">
        <v>38</v>
      </c>
      <c r="K825" t="s">
        <v>39</v>
      </c>
      <c r="L825">
        <v>8</v>
      </c>
      <c r="M825">
        <v>5</v>
      </c>
      <c r="N825" t="s">
        <v>64</v>
      </c>
      <c r="O825">
        <v>0</v>
      </c>
      <c r="P825">
        <v>1072.8</v>
      </c>
      <c r="Q825">
        <v>70.23</v>
      </c>
      <c r="R825">
        <v>6.96</v>
      </c>
      <c r="S825">
        <v>1149.99</v>
      </c>
      <c r="T825" t="s">
        <v>41</v>
      </c>
      <c r="U825" t="s">
        <v>41</v>
      </c>
      <c r="V825" t="s">
        <v>38</v>
      </c>
      <c r="W825" t="s">
        <v>847</v>
      </c>
      <c r="X825">
        <v>214.56</v>
      </c>
      <c r="Y825" s="9">
        <f t="shared" si="61"/>
        <v>214.56</v>
      </c>
      <c r="Z825" s="9">
        <f t="shared" si="62"/>
        <v>402.3</v>
      </c>
      <c r="AA825" s="5">
        <f t="shared" si="63"/>
        <v>446.95530000000002</v>
      </c>
      <c r="AB825" s="6">
        <f t="shared" si="64"/>
        <v>651.68576999999993</v>
      </c>
      <c r="AD825" s="10">
        <f t="shared" si="65"/>
        <v>815.95692900000006</v>
      </c>
    </row>
    <row r="826" spans="1:30" x14ac:dyDescent="0.3">
      <c r="A826" t="s">
        <v>30</v>
      </c>
      <c r="B826" s="8" t="s">
        <v>32</v>
      </c>
      <c r="C826" s="8" t="s">
        <v>32</v>
      </c>
      <c r="D826" s="8" t="s">
        <v>33</v>
      </c>
      <c r="E826" s="8" t="s">
        <v>34</v>
      </c>
      <c r="F826" s="8" t="s">
        <v>35</v>
      </c>
      <c r="G826">
        <v>8421999000</v>
      </c>
      <c r="H826" t="s">
        <v>36</v>
      </c>
      <c r="I826" t="s">
        <v>849</v>
      </c>
      <c r="J826" t="s">
        <v>38</v>
      </c>
      <c r="K826" t="s">
        <v>39</v>
      </c>
      <c r="L826">
        <v>8</v>
      </c>
      <c r="M826">
        <v>5</v>
      </c>
      <c r="N826" t="s">
        <v>64</v>
      </c>
      <c r="O826">
        <v>0</v>
      </c>
      <c r="P826">
        <v>1097.1500000000001</v>
      </c>
      <c r="Q826">
        <v>117.12</v>
      </c>
      <c r="R826">
        <v>7.35</v>
      </c>
      <c r="S826">
        <v>1221.6300000000001</v>
      </c>
      <c r="T826" t="s">
        <v>41</v>
      </c>
      <c r="U826" t="s">
        <v>41</v>
      </c>
      <c r="V826" t="s">
        <v>38</v>
      </c>
      <c r="W826" t="s">
        <v>847</v>
      </c>
      <c r="X826">
        <v>219.43</v>
      </c>
      <c r="Y826" s="9">
        <f t="shared" si="61"/>
        <v>219.43</v>
      </c>
      <c r="Z826" s="9">
        <f t="shared" si="62"/>
        <v>411.43125000000003</v>
      </c>
      <c r="AA826" s="5">
        <f t="shared" si="63"/>
        <v>457.10011875000004</v>
      </c>
      <c r="AB826" s="6">
        <f t="shared" si="64"/>
        <v>666.47748187499997</v>
      </c>
      <c r="AD826" s="10">
        <f t="shared" si="65"/>
        <v>834.47720418750021</v>
      </c>
    </row>
    <row r="827" spans="1:30" x14ac:dyDescent="0.3">
      <c r="A827" t="s">
        <v>168</v>
      </c>
      <c r="B827" s="8" t="s">
        <v>32</v>
      </c>
      <c r="C827" s="8" t="s">
        <v>32</v>
      </c>
      <c r="E827" s="8" t="s">
        <v>70</v>
      </c>
      <c r="F827" s="8" t="s">
        <v>71</v>
      </c>
      <c r="G827">
        <v>8421999000</v>
      </c>
      <c r="H827" t="s">
        <v>36</v>
      </c>
      <c r="I827" t="s">
        <v>724</v>
      </c>
      <c r="J827" t="s">
        <v>38</v>
      </c>
      <c r="K827" t="s">
        <v>39</v>
      </c>
      <c r="L827">
        <v>0</v>
      </c>
      <c r="M827">
        <v>8</v>
      </c>
      <c r="N827" t="s">
        <v>64</v>
      </c>
      <c r="O827">
        <v>0</v>
      </c>
      <c r="P827">
        <v>1486.53</v>
      </c>
      <c r="Q827">
        <v>114.11</v>
      </c>
      <c r="R827">
        <v>10.71</v>
      </c>
      <c r="S827">
        <v>1611.35</v>
      </c>
      <c r="T827" t="s">
        <v>41</v>
      </c>
      <c r="U827" t="s">
        <v>41</v>
      </c>
      <c r="V827" t="s">
        <v>38</v>
      </c>
      <c r="W827" t="s">
        <v>847</v>
      </c>
      <c r="X827">
        <v>185.82</v>
      </c>
      <c r="Y827" s="9">
        <f t="shared" si="61"/>
        <v>185.81625</v>
      </c>
      <c r="Z827" s="9">
        <f t="shared" si="62"/>
        <v>348.40546875000001</v>
      </c>
      <c r="AA827" s="5">
        <f t="shared" si="63"/>
        <v>387.07847578125001</v>
      </c>
      <c r="AB827" s="6">
        <f t="shared" si="64"/>
        <v>564.38201882812496</v>
      </c>
      <c r="AD827" s="10">
        <f t="shared" si="65"/>
        <v>706.64642388281254</v>
      </c>
    </row>
    <row r="828" spans="1:30" x14ac:dyDescent="0.3">
      <c r="A828" t="s">
        <v>30</v>
      </c>
      <c r="B828" s="8" t="s">
        <v>32</v>
      </c>
      <c r="C828" s="8" t="s">
        <v>32</v>
      </c>
      <c r="D828" s="8" t="s">
        <v>33</v>
      </c>
      <c r="E828" s="8" t="s">
        <v>34</v>
      </c>
      <c r="F828" s="8" t="s">
        <v>35</v>
      </c>
      <c r="G828">
        <v>8421999000</v>
      </c>
      <c r="H828" t="s">
        <v>36</v>
      </c>
      <c r="I828" t="s">
        <v>478</v>
      </c>
      <c r="J828" t="s">
        <v>38</v>
      </c>
      <c r="K828" t="s">
        <v>39</v>
      </c>
      <c r="L828">
        <v>12</v>
      </c>
      <c r="M828">
        <v>2</v>
      </c>
      <c r="N828" t="s">
        <v>64</v>
      </c>
      <c r="O828">
        <v>0</v>
      </c>
      <c r="P828">
        <v>817.16</v>
      </c>
      <c r="Q828">
        <v>93.83</v>
      </c>
      <c r="R828">
        <v>5.44</v>
      </c>
      <c r="S828">
        <v>916.43</v>
      </c>
      <c r="T828" t="s">
        <v>41</v>
      </c>
      <c r="U828" t="s">
        <v>41</v>
      </c>
      <c r="V828" t="s">
        <v>38</v>
      </c>
      <c r="W828" t="s">
        <v>850</v>
      </c>
      <c r="X828">
        <v>408.58</v>
      </c>
      <c r="Y828" s="9">
        <f t="shared" si="61"/>
        <v>408.58</v>
      </c>
      <c r="Z828" s="9">
        <f t="shared" si="62"/>
        <v>766.08749999999998</v>
      </c>
      <c r="AA828" s="5">
        <f t="shared" si="63"/>
        <v>851.12321249999991</v>
      </c>
      <c r="AB828" s="6">
        <f t="shared" si="64"/>
        <v>1240.98514125</v>
      </c>
      <c r="AD828" s="10">
        <f t="shared" si="65"/>
        <v>1553.8016501250002</v>
      </c>
    </row>
    <row r="829" spans="1:30" x14ac:dyDescent="0.3">
      <c r="A829" t="s">
        <v>30</v>
      </c>
      <c r="B829" s="8" t="s">
        <v>32</v>
      </c>
      <c r="C829" s="8" t="s">
        <v>32</v>
      </c>
      <c r="D829" s="8" t="s">
        <v>33</v>
      </c>
      <c r="E829" s="8" t="s">
        <v>34</v>
      </c>
      <c r="F829" s="8" t="s">
        <v>35</v>
      </c>
      <c r="G829">
        <v>8481909090</v>
      </c>
      <c r="H829" t="s">
        <v>53</v>
      </c>
      <c r="I829" t="s">
        <v>851</v>
      </c>
      <c r="J829" t="s">
        <v>38</v>
      </c>
      <c r="K829" t="s">
        <v>39</v>
      </c>
      <c r="L829">
        <v>12</v>
      </c>
      <c r="M829">
        <v>2</v>
      </c>
      <c r="N829" t="s">
        <v>64</v>
      </c>
      <c r="O829">
        <v>0</v>
      </c>
      <c r="P829">
        <v>309.73</v>
      </c>
      <c r="Q829">
        <v>35.56</v>
      </c>
      <c r="R829">
        <v>2.06</v>
      </c>
      <c r="S829">
        <v>347.36</v>
      </c>
      <c r="T829" t="s">
        <v>41</v>
      </c>
      <c r="U829" t="s">
        <v>41</v>
      </c>
      <c r="V829" t="s">
        <v>38</v>
      </c>
      <c r="W829" t="s">
        <v>852</v>
      </c>
      <c r="X829">
        <v>154.87</v>
      </c>
      <c r="Y829" s="9">
        <f t="shared" si="61"/>
        <v>154.86500000000001</v>
      </c>
      <c r="Z829" s="9">
        <f t="shared" si="62"/>
        <v>290.37187500000005</v>
      </c>
      <c r="AA829" s="5">
        <f t="shared" si="63"/>
        <v>322.60315312500006</v>
      </c>
      <c r="AB829" s="6">
        <f t="shared" si="64"/>
        <v>470.37340031250005</v>
      </c>
      <c r="AD829" s="10">
        <f t="shared" si="65"/>
        <v>588.94094803125017</v>
      </c>
    </row>
    <row r="830" spans="1:30" x14ac:dyDescent="0.3">
      <c r="A830" t="s">
        <v>30</v>
      </c>
      <c r="B830" s="8" t="s">
        <v>32</v>
      </c>
      <c r="C830" s="8" t="s">
        <v>32</v>
      </c>
      <c r="D830" s="8" t="s">
        <v>33</v>
      </c>
      <c r="E830" s="8" t="s">
        <v>34</v>
      </c>
      <c r="F830" s="8" t="s">
        <v>35</v>
      </c>
      <c r="G830">
        <v>8482100000</v>
      </c>
      <c r="H830" t="s">
        <v>80</v>
      </c>
      <c r="I830" t="s">
        <v>81</v>
      </c>
      <c r="J830" t="s">
        <v>38</v>
      </c>
      <c r="K830" t="s">
        <v>39</v>
      </c>
      <c r="L830">
        <v>8</v>
      </c>
      <c r="M830">
        <v>2</v>
      </c>
      <c r="N830" t="s">
        <v>64</v>
      </c>
      <c r="O830">
        <v>0</v>
      </c>
      <c r="P830">
        <v>354.06</v>
      </c>
      <c r="Q830">
        <v>50.95</v>
      </c>
      <c r="R830">
        <v>2.4900000000000002</v>
      </c>
      <c r="S830">
        <v>407.51</v>
      </c>
      <c r="T830" t="s">
        <v>41</v>
      </c>
      <c r="U830" t="s">
        <v>41</v>
      </c>
      <c r="V830" t="s">
        <v>38</v>
      </c>
      <c r="W830" t="s">
        <v>853</v>
      </c>
      <c r="X830">
        <v>177.03</v>
      </c>
      <c r="Y830" s="9">
        <f t="shared" si="61"/>
        <v>177.03</v>
      </c>
      <c r="Z830" s="9">
        <f t="shared" si="62"/>
        <v>331.93124999999998</v>
      </c>
      <c r="AA830" s="5">
        <f t="shared" si="63"/>
        <v>368.77561874999998</v>
      </c>
      <c r="AB830" s="6">
        <f t="shared" si="64"/>
        <v>537.69543187499994</v>
      </c>
      <c r="AD830" s="10">
        <f t="shared" si="65"/>
        <v>673.23291918749999</v>
      </c>
    </row>
    <row r="831" spans="1:30" x14ac:dyDescent="0.3">
      <c r="A831" t="s">
        <v>30</v>
      </c>
      <c r="B831" s="8" t="s">
        <v>32</v>
      </c>
      <c r="C831" s="8" t="s">
        <v>32</v>
      </c>
      <c r="D831" s="8" t="s">
        <v>33</v>
      </c>
      <c r="E831" s="8" t="s">
        <v>34</v>
      </c>
      <c r="F831" s="8" t="s">
        <v>35</v>
      </c>
      <c r="G831">
        <v>8482100000</v>
      </c>
      <c r="H831" t="s">
        <v>854</v>
      </c>
      <c r="I831" t="s">
        <v>81</v>
      </c>
      <c r="J831" t="s">
        <v>38</v>
      </c>
      <c r="K831" t="s">
        <v>39</v>
      </c>
      <c r="L831">
        <v>8</v>
      </c>
      <c r="M831">
        <v>2</v>
      </c>
      <c r="N831" t="s">
        <v>64</v>
      </c>
      <c r="O831">
        <v>0</v>
      </c>
      <c r="P831">
        <v>353.53</v>
      </c>
      <c r="Q831">
        <v>20.010000000000002</v>
      </c>
      <c r="R831">
        <v>2.2599999999999998</v>
      </c>
      <c r="S831">
        <v>375.8</v>
      </c>
      <c r="T831" t="s">
        <v>41</v>
      </c>
      <c r="U831" t="s">
        <v>41</v>
      </c>
      <c r="V831" t="s">
        <v>38</v>
      </c>
      <c r="W831" t="s">
        <v>853</v>
      </c>
      <c r="X831">
        <v>176.77</v>
      </c>
      <c r="Y831" s="9">
        <f t="shared" si="61"/>
        <v>176.76499999999999</v>
      </c>
      <c r="Z831" s="9">
        <f t="shared" si="62"/>
        <v>331.43437499999999</v>
      </c>
      <c r="AA831" s="5">
        <f t="shared" si="63"/>
        <v>368.22359062499999</v>
      </c>
      <c r="AB831" s="6">
        <f t="shared" si="64"/>
        <v>536.8905440625</v>
      </c>
      <c r="AD831" s="10">
        <f t="shared" si="65"/>
        <v>672.22514240625003</v>
      </c>
    </row>
    <row r="832" spans="1:30" x14ac:dyDescent="0.3">
      <c r="A832" t="s">
        <v>30</v>
      </c>
      <c r="B832" s="8" t="s">
        <v>32</v>
      </c>
      <c r="C832" s="8" t="s">
        <v>32</v>
      </c>
      <c r="D832" s="8" t="s">
        <v>33</v>
      </c>
      <c r="E832" s="8" t="s">
        <v>34</v>
      </c>
      <c r="F832" s="8" t="s">
        <v>35</v>
      </c>
      <c r="G832">
        <v>7307990099</v>
      </c>
      <c r="H832" t="s">
        <v>36</v>
      </c>
      <c r="I832" t="s">
        <v>855</v>
      </c>
      <c r="J832" t="s">
        <v>38</v>
      </c>
      <c r="K832" t="s">
        <v>39</v>
      </c>
      <c r="L832">
        <v>6</v>
      </c>
      <c r="M832">
        <v>4</v>
      </c>
      <c r="N832" t="s">
        <v>40</v>
      </c>
      <c r="O832">
        <v>0</v>
      </c>
      <c r="P832">
        <v>261.7</v>
      </c>
      <c r="Q832">
        <v>17.760000000000002</v>
      </c>
      <c r="R832">
        <v>1.7</v>
      </c>
      <c r="S832">
        <v>281.16000000000003</v>
      </c>
      <c r="T832" t="s">
        <v>41</v>
      </c>
      <c r="U832" t="s">
        <v>41</v>
      </c>
      <c r="V832" t="s">
        <v>38</v>
      </c>
      <c r="W832" t="s">
        <v>856</v>
      </c>
      <c r="X832">
        <v>65.42</v>
      </c>
      <c r="Y832" s="9">
        <f t="shared" si="61"/>
        <v>65.424999999999997</v>
      </c>
      <c r="Z832" s="9">
        <f t="shared" si="62"/>
        <v>122.671875</v>
      </c>
      <c r="AA832" s="5">
        <f t="shared" si="63"/>
        <v>136.28845312499999</v>
      </c>
      <c r="AB832" s="6">
        <f t="shared" si="64"/>
        <v>198.7161703125</v>
      </c>
      <c r="AD832" s="10">
        <f t="shared" si="65"/>
        <v>248.80677703125002</v>
      </c>
    </row>
    <row r="833" spans="1:30" x14ac:dyDescent="0.3">
      <c r="A833" t="s">
        <v>30</v>
      </c>
      <c r="B833" s="8" t="s">
        <v>32</v>
      </c>
      <c r="C833" s="8" t="s">
        <v>32</v>
      </c>
      <c r="D833" s="8" t="s">
        <v>33</v>
      </c>
      <c r="E833" s="8" t="s">
        <v>34</v>
      </c>
      <c r="F833" s="8" t="s">
        <v>35</v>
      </c>
      <c r="G833">
        <v>8481909090</v>
      </c>
      <c r="H833" t="s">
        <v>53</v>
      </c>
      <c r="I833" t="s">
        <v>857</v>
      </c>
      <c r="J833" t="s">
        <v>38</v>
      </c>
      <c r="K833" t="s">
        <v>39</v>
      </c>
      <c r="L833">
        <v>4</v>
      </c>
      <c r="M833">
        <v>1</v>
      </c>
      <c r="N833" t="s">
        <v>64</v>
      </c>
      <c r="O833">
        <v>0</v>
      </c>
      <c r="P833">
        <v>250.72</v>
      </c>
      <c r="Q833">
        <v>13.13</v>
      </c>
      <c r="R833">
        <v>1.63</v>
      </c>
      <c r="S833">
        <v>265.48</v>
      </c>
      <c r="T833" t="s">
        <v>41</v>
      </c>
      <c r="U833" t="s">
        <v>41</v>
      </c>
      <c r="V833" t="s">
        <v>38</v>
      </c>
      <c r="W833" t="s">
        <v>858</v>
      </c>
      <c r="X833">
        <v>250.72</v>
      </c>
      <c r="Y833" s="9">
        <f t="shared" si="61"/>
        <v>250.72</v>
      </c>
      <c r="Z833" s="9">
        <f t="shared" si="62"/>
        <v>470.1</v>
      </c>
      <c r="AA833" s="5">
        <f t="shared" si="63"/>
        <v>522.28110000000004</v>
      </c>
      <c r="AB833" s="6">
        <f t="shared" si="64"/>
        <v>761.51499000000001</v>
      </c>
      <c r="AD833" s="10">
        <f t="shared" si="65"/>
        <v>953.47092300000008</v>
      </c>
    </row>
    <row r="834" spans="1:30" x14ac:dyDescent="0.3">
      <c r="A834" t="s">
        <v>30</v>
      </c>
      <c r="B834" s="8" t="s">
        <v>32</v>
      </c>
      <c r="C834" s="8" t="s">
        <v>32</v>
      </c>
      <c r="D834" s="8" t="s">
        <v>33</v>
      </c>
      <c r="E834" s="8" t="s">
        <v>34</v>
      </c>
      <c r="F834" s="8" t="s">
        <v>35</v>
      </c>
      <c r="G834">
        <v>8481909090</v>
      </c>
      <c r="H834" t="s">
        <v>53</v>
      </c>
      <c r="I834" t="s">
        <v>233</v>
      </c>
      <c r="J834" t="s">
        <v>38</v>
      </c>
      <c r="K834" t="s">
        <v>39</v>
      </c>
      <c r="L834">
        <v>8</v>
      </c>
      <c r="M834">
        <v>3</v>
      </c>
      <c r="N834" t="s">
        <v>64</v>
      </c>
      <c r="O834">
        <v>0</v>
      </c>
      <c r="P834">
        <v>752.08</v>
      </c>
      <c r="Q834">
        <v>80.28</v>
      </c>
      <c r="R834">
        <v>5.04</v>
      </c>
      <c r="S834">
        <v>837.41</v>
      </c>
      <c r="T834" t="s">
        <v>41</v>
      </c>
      <c r="U834" t="s">
        <v>41</v>
      </c>
      <c r="V834" t="s">
        <v>38</v>
      </c>
      <c r="W834" t="s">
        <v>858</v>
      </c>
      <c r="X834">
        <v>250.69</v>
      </c>
      <c r="Y834" s="9">
        <f t="shared" si="61"/>
        <v>250.69333333333336</v>
      </c>
      <c r="Z834" s="9">
        <f t="shared" si="62"/>
        <v>470.05000000000007</v>
      </c>
      <c r="AA834" s="5">
        <f t="shared" si="63"/>
        <v>522.22555000000011</v>
      </c>
      <c r="AB834" s="6">
        <f t="shared" si="64"/>
        <v>761.4339950000001</v>
      </c>
      <c r="AD834" s="10">
        <f t="shared" si="65"/>
        <v>953.36951150000027</v>
      </c>
    </row>
    <row r="835" spans="1:30" x14ac:dyDescent="0.3">
      <c r="A835" t="s">
        <v>30</v>
      </c>
      <c r="B835" s="8" t="s">
        <v>32</v>
      </c>
      <c r="C835" s="8" t="s">
        <v>32</v>
      </c>
      <c r="D835" s="8" t="s">
        <v>33</v>
      </c>
      <c r="E835" s="8" t="s">
        <v>34</v>
      </c>
      <c r="F835" s="8" t="s">
        <v>35</v>
      </c>
      <c r="G835">
        <v>7318290000</v>
      </c>
      <c r="H835" t="s">
        <v>759</v>
      </c>
      <c r="I835" t="s">
        <v>859</v>
      </c>
      <c r="J835" t="s">
        <v>38</v>
      </c>
      <c r="K835" t="s">
        <v>39</v>
      </c>
      <c r="L835">
        <v>3</v>
      </c>
      <c r="M835">
        <v>10</v>
      </c>
      <c r="N835" t="s">
        <v>40</v>
      </c>
      <c r="O835">
        <v>33.71</v>
      </c>
      <c r="P835">
        <v>446.6</v>
      </c>
      <c r="Q835">
        <v>19.11</v>
      </c>
      <c r="R835">
        <v>2.88</v>
      </c>
      <c r="S835">
        <v>468.59</v>
      </c>
      <c r="T835" t="s">
        <v>41</v>
      </c>
      <c r="U835" t="s">
        <v>43</v>
      </c>
      <c r="V835" t="s">
        <v>38</v>
      </c>
      <c r="W835" t="s">
        <v>860</v>
      </c>
      <c r="X835">
        <v>44.66</v>
      </c>
      <c r="Y835" s="9">
        <f t="shared" ref="Y835:Y898" si="66">SUM(P835)/M835</f>
        <v>44.660000000000004</v>
      </c>
      <c r="Z835" s="9">
        <f t="shared" ref="Z835:Z898" si="67">SUM(Y835)*1.875</f>
        <v>83.737500000000011</v>
      </c>
      <c r="AA835" s="5">
        <f t="shared" ref="AA835:AA898" si="68">SUM(Z835)*1.111</f>
        <v>93.032362500000005</v>
      </c>
      <c r="AB835" s="6">
        <f t="shared" ref="AB835:AB898" si="69">SUM(Z835)*1.6199</f>
        <v>135.64637625</v>
      </c>
      <c r="AD835" s="10">
        <f t="shared" ref="AD835:AD898" si="70">SUM(Z835)*2.02823</f>
        <v>169.83890962500004</v>
      </c>
    </row>
    <row r="836" spans="1:30" x14ac:dyDescent="0.3">
      <c r="A836" t="s">
        <v>30</v>
      </c>
      <c r="B836" s="8" t="s">
        <v>32</v>
      </c>
      <c r="C836" s="8" t="s">
        <v>32</v>
      </c>
      <c r="D836" s="8" t="s">
        <v>33</v>
      </c>
      <c r="E836" s="8" t="s">
        <v>34</v>
      </c>
      <c r="F836" s="8" t="s">
        <v>35</v>
      </c>
      <c r="G836">
        <v>7318290000</v>
      </c>
      <c r="H836" t="s">
        <v>759</v>
      </c>
      <c r="I836" t="s">
        <v>816</v>
      </c>
      <c r="J836" t="s">
        <v>38</v>
      </c>
      <c r="K836" t="s">
        <v>39</v>
      </c>
      <c r="L836">
        <v>8</v>
      </c>
      <c r="M836">
        <v>3</v>
      </c>
      <c r="N836" t="s">
        <v>40</v>
      </c>
      <c r="O836">
        <v>10.14</v>
      </c>
      <c r="P836">
        <v>134.29</v>
      </c>
      <c r="Q836">
        <v>16.82</v>
      </c>
      <c r="R836">
        <v>0.92</v>
      </c>
      <c r="S836">
        <v>152.03</v>
      </c>
      <c r="T836" t="s">
        <v>41</v>
      </c>
      <c r="U836" t="s">
        <v>41</v>
      </c>
      <c r="V836" t="s">
        <v>38</v>
      </c>
      <c r="W836" t="s">
        <v>860</v>
      </c>
      <c r="X836">
        <v>44.76</v>
      </c>
      <c r="Y836" s="9">
        <f t="shared" si="66"/>
        <v>44.763333333333328</v>
      </c>
      <c r="Z836" s="9">
        <f t="shared" si="67"/>
        <v>83.931249999999991</v>
      </c>
      <c r="AA836" s="5">
        <f t="shared" si="68"/>
        <v>93.247618749999987</v>
      </c>
      <c r="AB836" s="6">
        <f t="shared" si="69"/>
        <v>135.96023187499998</v>
      </c>
      <c r="AD836" s="10">
        <f t="shared" si="70"/>
        <v>170.2318791875</v>
      </c>
    </row>
    <row r="837" spans="1:30" x14ac:dyDescent="0.3">
      <c r="A837" t="s">
        <v>30</v>
      </c>
      <c r="B837" s="8" t="s">
        <v>32</v>
      </c>
      <c r="C837" s="8" t="s">
        <v>32</v>
      </c>
      <c r="D837" s="8" t="s">
        <v>33</v>
      </c>
      <c r="E837" s="8" t="s">
        <v>34</v>
      </c>
      <c r="F837" s="8" t="s">
        <v>35</v>
      </c>
      <c r="G837">
        <v>8482100000</v>
      </c>
      <c r="H837" t="s">
        <v>80</v>
      </c>
      <c r="I837" t="s">
        <v>81</v>
      </c>
      <c r="J837" t="s">
        <v>38</v>
      </c>
      <c r="K837" t="s">
        <v>39</v>
      </c>
      <c r="L837">
        <v>8</v>
      </c>
      <c r="M837">
        <v>2</v>
      </c>
      <c r="N837" t="s">
        <v>64</v>
      </c>
      <c r="O837">
        <v>0</v>
      </c>
      <c r="P837">
        <v>999.75</v>
      </c>
      <c r="Q837">
        <v>143.87</v>
      </c>
      <c r="R837">
        <v>7.04</v>
      </c>
      <c r="S837">
        <v>1150.6600000000001</v>
      </c>
      <c r="T837" t="s">
        <v>41</v>
      </c>
      <c r="U837" t="s">
        <v>41</v>
      </c>
      <c r="V837" t="s">
        <v>38</v>
      </c>
      <c r="W837" t="s">
        <v>861</v>
      </c>
      <c r="X837">
        <v>499.88</v>
      </c>
      <c r="Y837" s="9">
        <f t="shared" si="66"/>
        <v>499.875</v>
      </c>
      <c r="Z837" s="9">
        <f t="shared" si="67"/>
        <v>937.265625</v>
      </c>
      <c r="AA837" s="5">
        <f t="shared" si="68"/>
        <v>1041.3021093750001</v>
      </c>
      <c r="AB837" s="6">
        <f t="shared" si="69"/>
        <v>1518.2765859374999</v>
      </c>
      <c r="AD837" s="10">
        <f t="shared" si="70"/>
        <v>1900.9902585937502</v>
      </c>
    </row>
    <row r="838" spans="1:30" x14ac:dyDescent="0.3">
      <c r="A838" t="s">
        <v>30</v>
      </c>
      <c r="B838" s="8" t="s">
        <v>32</v>
      </c>
      <c r="C838" s="8" t="s">
        <v>32</v>
      </c>
      <c r="D838" s="8" t="s">
        <v>69</v>
      </c>
      <c r="E838" s="8" t="s">
        <v>70</v>
      </c>
      <c r="F838" s="8" t="s">
        <v>71</v>
      </c>
      <c r="G838">
        <v>8482100000</v>
      </c>
      <c r="H838" t="s">
        <v>80</v>
      </c>
      <c r="I838" t="s">
        <v>81</v>
      </c>
      <c r="J838" t="s">
        <v>38</v>
      </c>
      <c r="K838" t="s">
        <v>39</v>
      </c>
      <c r="L838">
        <v>9</v>
      </c>
      <c r="M838">
        <v>1</v>
      </c>
      <c r="N838" t="s">
        <v>64</v>
      </c>
      <c r="O838">
        <v>0</v>
      </c>
      <c r="P838">
        <v>490.92</v>
      </c>
      <c r="Q838">
        <v>24.74</v>
      </c>
      <c r="R838">
        <v>3.12</v>
      </c>
      <c r="S838">
        <v>518.78</v>
      </c>
      <c r="T838" t="s">
        <v>41</v>
      </c>
      <c r="U838" t="s">
        <v>43</v>
      </c>
      <c r="V838" t="s">
        <v>38</v>
      </c>
      <c r="W838" t="s">
        <v>861</v>
      </c>
      <c r="X838">
        <v>490.92</v>
      </c>
      <c r="Y838" s="9">
        <f t="shared" si="66"/>
        <v>490.92</v>
      </c>
      <c r="Z838" s="9">
        <f t="shared" si="67"/>
        <v>920.47500000000002</v>
      </c>
      <c r="AA838" s="5">
        <f t="shared" si="68"/>
        <v>1022.647725</v>
      </c>
      <c r="AB838" s="6">
        <f t="shared" si="69"/>
        <v>1491.0774524999999</v>
      </c>
      <c r="AD838" s="10">
        <f t="shared" si="70"/>
        <v>1866.9350092500001</v>
      </c>
    </row>
    <row r="839" spans="1:30" x14ac:dyDescent="0.3">
      <c r="A839" t="s">
        <v>30</v>
      </c>
      <c r="B839" s="8" t="s">
        <v>32</v>
      </c>
      <c r="C839" s="8" t="s">
        <v>32</v>
      </c>
      <c r="D839" s="8" t="s">
        <v>33</v>
      </c>
      <c r="E839" s="8" t="s">
        <v>34</v>
      </c>
      <c r="F839" s="8" t="s">
        <v>35</v>
      </c>
      <c r="G839">
        <v>8482100000</v>
      </c>
      <c r="H839" t="s">
        <v>80</v>
      </c>
      <c r="I839" t="s">
        <v>81</v>
      </c>
      <c r="J839" t="s">
        <v>38</v>
      </c>
      <c r="K839" t="s">
        <v>39</v>
      </c>
      <c r="L839">
        <v>16</v>
      </c>
      <c r="M839">
        <v>1</v>
      </c>
      <c r="N839" t="s">
        <v>64</v>
      </c>
      <c r="O839">
        <v>0</v>
      </c>
      <c r="P839">
        <v>507.05</v>
      </c>
      <c r="Q839">
        <v>69.98</v>
      </c>
      <c r="R839">
        <v>3.38</v>
      </c>
      <c r="S839">
        <v>580.41</v>
      </c>
      <c r="T839" t="s">
        <v>41</v>
      </c>
      <c r="U839" t="s">
        <v>41</v>
      </c>
      <c r="V839" t="s">
        <v>38</v>
      </c>
      <c r="W839" t="s">
        <v>861</v>
      </c>
      <c r="X839">
        <v>507.05</v>
      </c>
      <c r="Y839" s="9">
        <f t="shared" si="66"/>
        <v>507.05</v>
      </c>
      <c r="Z839" s="9">
        <f t="shared" si="67"/>
        <v>950.71875</v>
      </c>
      <c r="AA839" s="5">
        <f t="shared" si="68"/>
        <v>1056.24853125</v>
      </c>
      <c r="AB839" s="6">
        <f t="shared" si="69"/>
        <v>1540.0693031249998</v>
      </c>
      <c r="AD839" s="10">
        <f t="shared" si="70"/>
        <v>1928.2762903125001</v>
      </c>
    </row>
    <row r="840" spans="1:30" x14ac:dyDescent="0.3">
      <c r="A840" t="s">
        <v>30</v>
      </c>
      <c r="B840" s="8" t="s">
        <v>32</v>
      </c>
      <c r="C840" s="8" t="s">
        <v>32</v>
      </c>
      <c r="D840" s="8" t="s">
        <v>69</v>
      </c>
      <c r="E840" s="8" t="s">
        <v>70</v>
      </c>
      <c r="F840" s="8" t="s">
        <v>71</v>
      </c>
      <c r="G840">
        <v>8482100000</v>
      </c>
      <c r="H840" t="s">
        <v>854</v>
      </c>
      <c r="I840" t="s">
        <v>675</v>
      </c>
      <c r="J840" t="s">
        <v>38</v>
      </c>
      <c r="K840" t="s">
        <v>39</v>
      </c>
      <c r="L840">
        <v>13</v>
      </c>
      <c r="M840">
        <v>2</v>
      </c>
      <c r="N840" t="s">
        <v>64</v>
      </c>
      <c r="O840">
        <v>0</v>
      </c>
      <c r="P840">
        <v>988.46</v>
      </c>
      <c r="Q840">
        <v>52.77</v>
      </c>
      <c r="R840">
        <v>6.35</v>
      </c>
      <c r="S840">
        <v>1047.58</v>
      </c>
      <c r="T840" t="s">
        <v>72</v>
      </c>
      <c r="U840" t="s">
        <v>72</v>
      </c>
      <c r="V840" t="s">
        <v>38</v>
      </c>
      <c r="W840" t="s">
        <v>861</v>
      </c>
      <c r="X840">
        <v>494.23</v>
      </c>
      <c r="Y840" s="9">
        <f t="shared" si="66"/>
        <v>494.23</v>
      </c>
      <c r="Z840" s="9">
        <f t="shared" si="67"/>
        <v>926.68125000000009</v>
      </c>
      <c r="AA840" s="5">
        <f t="shared" si="68"/>
        <v>1029.54286875</v>
      </c>
      <c r="AB840" s="6">
        <f t="shared" si="69"/>
        <v>1501.130956875</v>
      </c>
      <c r="AD840" s="10">
        <f t="shared" si="70"/>
        <v>1879.5227116875003</v>
      </c>
    </row>
    <row r="841" spans="1:30" x14ac:dyDescent="0.3">
      <c r="A841" t="s">
        <v>30</v>
      </c>
      <c r="B841" s="8" t="s">
        <v>32</v>
      </c>
      <c r="C841" s="8" t="s">
        <v>32</v>
      </c>
      <c r="D841" s="8" t="s">
        <v>69</v>
      </c>
      <c r="E841" s="8" t="s">
        <v>70</v>
      </c>
      <c r="F841" s="8" t="s">
        <v>71</v>
      </c>
      <c r="G841">
        <v>8482500000</v>
      </c>
      <c r="H841" t="s">
        <v>83</v>
      </c>
      <c r="I841" t="s">
        <v>81</v>
      </c>
      <c r="J841" t="s">
        <v>38</v>
      </c>
      <c r="K841" t="s">
        <v>39</v>
      </c>
      <c r="L841">
        <v>9</v>
      </c>
      <c r="M841">
        <v>2</v>
      </c>
      <c r="N841" t="s">
        <v>64</v>
      </c>
      <c r="O841">
        <v>0</v>
      </c>
      <c r="P841">
        <v>913.68</v>
      </c>
      <c r="Q841">
        <v>46.04</v>
      </c>
      <c r="R841">
        <v>5.8</v>
      </c>
      <c r="S841">
        <v>965.53</v>
      </c>
      <c r="T841" t="s">
        <v>41</v>
      </c>
      <c r="U841" t="s">
        <v>43</v>
      </c>
      <c r="V841" t="s">
        <v>38</v>
      </c>
      <c r="W841" t="s">
        <v>862</v>
      </c>
      <c r="X841">
        <v>456.84</v>
      </c>
      <c r="Y841" s="9">
        <f t="shared" si="66"/>
        <v>456.84</v>
      </c>
      <c r="Z841" s="9">
        <f t="shared" si="67"/>
        <v>856.57499999999993</v>
      </c>
      <c r="AA841" s="5">
        <f t="shared" si="68"/>
        <v>951.65482499999996</v>
      </c>
      <c r="AB841" s="6">
        <f t="shared" si="69"/>
        <v>1387.5658424999997</v>
      </c>
      <c r="AD841" s="10">
        <f t="shared" si="70"/>
        <v>1737.3311122499999</v>
      </c>
    </row>
    <row r="842" spans="1:30" x14ac:dyDescent="0.3">
      <c r="A842" t="s">
        <v>30</v>
      </c>
      <c r="B842" s="8" t="s">
        <v>32</v>
      </c>
      <c r="C842" s="8" t="s">
        <v>32</v>
      </c>
      <c r="D842" s="8" t="s">
        <v>33</v>
      </c>
      <c r="E842" s="8" t="s">
        <v>34</v>
      </c>
      <c r="F842" s="8" t="s">
        <v>35</v>
      </c>
      <c r="G842">
        <v>8482500000</v>
      </c>
      <c r="H842" t="s">
        <v>83</v>
      </c>
      <c r="I842" t="s">
        <v>81</v>
      </c>
      <c r="J842" t="s">
        <v>38</v>
      </c>
      <c r="K842" t="s">
        <v>39</v>
      </c>
      <c r="L842">
        <v>16</v>
      </c>
      <c r="M842">
        <v>1</v>
      </c>
      <c r="N842" t="s">
        <v>64</v>
      </c>
      <c r="O842">
        <v>0</v>
      </c>
      <c r="P842">
        <v>472.06</v>
      </c>
      <c r="Q842">
        <v>65.150000000000006</v>
      </c>
      <c r="R842">
        <v>3.15</v>
      </c>
      <c r="S842">
        <v>540.36</v>
      </c>
      <c r="T842" t="s">
        <v>41</v>
      </c>
      <c r="U842" t="s">
        <v>41</v>
      </c>
      <c r="V842" t="s">
        <v>38</v>
      </c>
      <c r="W842" t="s">
        <v>862</v>
      </c>
      <c r="X842">
        <v>472.06</v>
      </c>
      <c r="Y842" s="9">
        <f t="shared" si="66"/>
        <v>472.06</v>
      </c>
      <c r="Z842" s="9">
        <f t="shared" si="67"/>
        <v>885.11249999999995</v>
      </c>
      <c r="AA842" s="5">
        <f t="shared" si="68"/>
        <v>983.35998749999999</v>
      </c>
      <c r="AB842" s="6">
        <f t="shared" si="69"/>
        <v>1433.7937387499999</v>
      </c>
      <c r="AD842" s="10">
        <f t="shared" si="70"/>
        <v>1795.2117258750002</v>
      </c>
    </row>
    <row r="843" spans="1:30" x14ac:dyDescent="0.3">
      <c r="A843" t="s">
        <v>30</v>
      </c>
      <c r="B843" s="8" t="s">
        <v>32</v>
      </c>
      <c r="C843" s="8" t="s">
        <v>32</v>
      </c>
      <c r="D843" s="8" t="s">
        <v>69</v>
      </c>
      <c r="E843" s="8" t="s">
        <v>70</v>
      </c>
      <c r="F843" s="8" t="s">
        <v>71</v>
      </c>
      <c r="G843">
        <v>8482500000</v>
      </c>
      <c r="H843" t="s">
        <v>690</v>
      </c>
      <c r="I843" t="s">
        <v>675</v>
      </c>
      <c r="J843" t="s">
        <v>38</v>
      </c>
      <c r="K843" t="s">
        <v>39</v>
      </c>
      <c r="L843">
        <v>13</v>
      </c>
      <c r="M843">
        <v>1</v>
      </c>
      <c r="N843" t="s">
        <v>64</v>
      </c>
      <c r="O843">
        <v>0</v>
      </c>
      <c r="P843">
        <v>460.13</v>
      </c>
      <c r="Q843">
        <v>24.57</v>
      </c>
      <c r="R843">
        <v>2.96</v>
      </c>
      <c r="S843">
        <v>487.65</v>
      </c>
      <c r="T843" t="s">
        <v>72</v>
      </c>
      <c r="U843" t="s">
        <v>72</v>
      </c>
      <c r="V843" t="s">
        <v>38</v>
      </c>
      <c r="W843" t="s">
        <v>862</v>
      </c>
      <c r="X843">
        <v>460.13</v>
      </c>
      <c r="Y843" s="9">
        <f t="shared" si="66"/>
        <v>460.13</v>
      </c>
      <c r="Z843" s="9">
        <f t="shared" si="67"/>
        <v>862.74374999999998</v>
      </c>
      <c r="AA843" s="5">
        <f t="shared" si="68"/>
        <v>958.50830624999992</v>
      </c>
      <c r="AB843" s="6">
        <f t="shared" si="69"/>
        <v>1397.5586006249998</v>
      </c>
      <c r="AD843" s="10">
        <f t="shared" si="70"/>
        <v>1749.8427560625</v>
      </c>
    </row>
    <row r="844" spans="1:30" x14ac:dyDescent="0.3">
      <c r="A844" t="s">
        <v>30</v>
      </c>
      <c r="B844" s="8" t="s">
        <v>32</v>
      </c>
      <c r="C844" s="8" t="s">
        <v>32</v>
      </c>
      <c r="D844" s="8" t="s">
        <v>33</v>
      </c>
      <c r="E844" s="8" t="s">
        <v>34</v>
      </c>
      <c r="F844" s="8" t="s">
        <v>35</v>
      </c>
      <c r="G844">
        <v>8482500000</v>
      </c>
      <c r="H844" t="s">
        <v>690</v>
      </c>
      <c r="I844" t="s">
        <v>675</v>
      </c>
      <c r="J844" t="s">
        <v>38</v>
      </c>
      <c r="K844" t="s">
        <v>39</v>
      </c>
      <c r="L844">
        <v>8</v>
      </c>
      <c r="M844">
        <v>1</v>
      </c>
      <c r="N844" t="s">
        <v>64</v>
      </c>
      <c r="O844">
        <v>0</v>
      </c>
      <c r="P844">
        <v>470.58</v>
      </c>
      <c r="Q844">
        <v>50.23</v>
      </c>
      <c r="R844">
        <v>3.15</v>
      </c>
      <c r="S844">
        <v>523.96</v>
      </c>
      <c r="T844" t="s">
        <v>41</v>
      </c>
      <c r="U844" t="s">
        <v>41</v>
      </c>
      <c r="V844" t="s">
        <v>38</v>
      </c>
      <c r="W844" t="s">
        <v>862</v>
      </c>
      <c r="X844">
        <v>470.58</v>
      </c>
      <c r="Y844" s="9">
        <f t="shared" si="66"/>
        <v>470.58</v>
      </c>
      <c r="Z844" s="9">
        <f t="shared" si="67"/>
        <v>882.33749999999998</v>
      </c>
      <c r="AA844" s="5">
        <f t="shared" si="68"/>
        <v>980.27696249999997</v>
      </c>
      <c r="AB844" s="6">
        <f t="shared" si="69"/>
        <v>1429.2985162499999</v>
      </c>
      <c r="AD844" s="10">
        <f t="shared" si="70"/>
        <v>1789.5833876250001</v>
      </c>
    </row>
    <row r="845" spans="1:30" x14ac:dyDescent="0.3">
      <c r="A845" t="s">
        <v>30</v>
      </c>
      <c r="B845" s="8" t="s">
        <v>32</v>
      </c>
      <c r="C845" s="8" t="s">
        <v>32</v>
      </c>
      <c r="D845" s="8" t="s">
        <v>33</v>
      </c>
      <c r="E845" s="8" t="s">
        <v>34</v>
      </c>
      <c r="F845" s="8" t="s">
        <v>35</v>
      </c>
      <c r="G845">
        <v>8482500000</v>
      </c>
      <c r="H845" t="s">
        <v>690</v>
      </c>
      <c r="I845" t="s">
        <v>81</v>
      </c>
      <c r="J845" t="s">
        <v>38</v>
      </c>
      <c r="K845" t="s">
        <v>39</v>
      </c>
      <c r="L845">
        <v>8</v>
      </c>
      <c r="M845">
        <v>1</v>
      </c>
      <c r="N845" t="s">
        <v>64</v>
      </c>
      <c r="O845">
        <v>0</v>
      </c>
      <c r="P845">
        <v>467.82</v>
      </c>
      <c r="Q845">
        <v>26.49</v>
      </c>
      <c r="R845">
        <v>2.99</v>
      </c>
      <c r="S845">
        <v>497.3</v>
      </c>
      <c r="T845" t="s">
        <v>41</v>
      </c>
      <c r="U845" t="s">
        <v>41</v>
      </c>
      <c r="V845" t="s">
        <v>38</v>
      </c>
      <c r="W845" t="s">
        <v>862</v>
      </c>
      <c r="X845">
        <v>467.82</v>
      </c>
      <c r="Y845" s="9">
        <f t="shared" si="66"/>
        <v>467.82</v>
      </c>
      <c r="Z845" s="9">
        <f t="shared" si="67"/>
        <v>877.16250000000002</v>
      </c>
      <c r="AA845" s="5">
        <f t="shared" si="68"/>
        <v>974.52753749999999</v>
      </c>
      <c r="AB845" s="6">
        <f t="shared" si="69"/>
        <v>1420.9155337499999</v>
      </c>
      <c r="AD845" s="10">
        <f t="shared" si="70"/>
        <v>1779.0872973750002</v>
      </c>
    </row>
    <row r="846" spans="1:30" x14ac:dyDescent="0.3">
      <c r="A846" t="s">
        <v>30</v>
      </c>
      <c r="B846" s="8" t="s">
        <v>32</v>
      </c>
      <c r="C846" s="8" t="s">
        <v>32</v>
      </c>
      <c r="D846" s="8" t="s">
        <v>33</v>
      </c>
      <c r="E846" s="8" t="s">
        <v>34</v>
      </c>
      <c r="F846" s="8" t="s">
        <v>35</v>
      </c>
      <c r="G846">
        <v>8481909090</v>
      </c>
      <c r="H846" t="s">
        <v>238</v>
      </c>
      <c r="I846" t="s">
        <v>863</v>
      </c>
      <c r="J846" t="s">
        <v>38</v>
      </c>
      <c r="K846" t="s">
        <v>39</v>
      </c>
      <c r="L846">
        <v>6</v>
      </c>
      <c r="M846">
        <v>6</v>
      </c>
      <c r="N846" t="s">
        <v>64</v>
      </c>
      <c r="O846">
        <v>0</v>
      </c>
      <c r="P846">
        <v>1624.42</v>
      </c>
      <c r="Q846">
        <v>196.45</v>
      </c>
      <c r="R846">
        <v>11.32</v>
      </c>
      <c r="S846">
        <v>1832.19</v>
      </c>
      <c r="T846" t="s">
        <v>41</v>
      </c>
      <c r="U846" t="s">
        <v>43</v>
      </c>
      <c r="V846" t="s">
        <v>38</v>
      </c>
      <c r="W846" t="s">
        <v>864</v>
      </c>
      <c r="X846">
        <v>270.74</v>
      </c>
      <c r="Y846" s="9">
        <f t="shared" si="66"/>
        <v>270.73666666666668</v>
      </c>
      <c r="Z846" s="9">
        <f t="shared" si="67"/>
        <v>507.63125000000002</v>
      </c>
      <c r="AA846" s="5">
        <f t="shared" si="68"/>
        <v>563.97831874999997</v>
      </c>
      <c r="AB846" s="6">
        <f t="shared" si="69"/>
        <v>822.31186187499998</v>
      </c>
      <c r="AD846" s="10">
        <f t="shared" si="70"/>
        <v>1029.5929301875001</v>
      </c>
    </row>
    <row r="847" spans="1:30" x14ac:dyDescent="0.3">
      <c r="A847" t="s">
        <v>30</v>
      </c>
      <c r="B847" s="8" t="s">
        <v>32</v>
      </c>
      <c r="C847" s="8" t="s">
        <v>32</v>
      </c>
      <c r="D847" s="8" t="s">
        <v>33</v>
      </c>
      <c r="E847" s="8" t="s">
        <v>34</v>
      </c>
      <c r="F847" s="8" t="s">
        <v>35</v>
      </c>
      <c r="G847">
        <v>8481909090</v>
      </c>
      <c r="H847" t="s">
        <v>238</v>
      </c>
      <c r="I847" t="s">
        <v>863</v>
      </c>
      <c r="J847" t="s">
        <v>38</v>
      </c>
      <c r="K847" t="s">
        <v>39</v>
      </c>
      <c r="L847">
        <v>8</v>
      </c>
      <c r="M847">
        <v>5</v>
      </c>
      <c r="N847" t="s">
        <v>64</v>
      </c>
      <c r="O847">
        <v>0</v>
      </c>
      <c r="P847">
        <v>1337</v>
      </c>
      <c r="Q847">
        <v>192.41</v>
      </c>
      <c r="R847">
        <v>9.41</v>
      </c>
      <c r="S847">
        <v>1538.81</v>
      </c>
      <c r="T847" t="s">
        <v>41</v>
      </c>
      <c r="U847" t="s">
        <v>41</v>
      </c>
      <c r="V847" t="s">
        <v>38</v>
      </c>
      <c r="W847" t="s">
        <v>864</v>
      </c>
      <c r="X847">
        <v>267.39999999999998</v>
      </c>
      <c r="Y847" s="9">
        <f t="shared" si="66"/>
        <v>267.39999999999998</v>
      </c>
      <c r="Z847" s="9">
        <f t="shared" si="67"/>
        <v>501.37499999999994</v>
      </c>
      <c r="AA847" s="5">
        <f t="shared" si="68"/>
        <v>557.02762499999994</v>
      </c>
      <c r="AB847" s="6">
        <f t="shared" si="69"/>
        <v>812.17736249999984</v>
      </c>
      <c r="AD847" s="10">
        <f t="shared" si="70"/>
        <v>1016.90381625</v>
      </c>
    </row>
    <row r="848" spans="1:30" x14ac:dyDescent="0.3">
      <c r="A848" t="s">
        <v>30</v>
      </c>
      <c r="B848" s="8" t="s">
        <v>32</v>
      </c>
      <c r="C848" s="8" t="s">
        <v>32</v>
      </c>
      <c r="D848" s="8" t="s">
        <v>69</v>
      </c>
      <c r="E848" s="8" t="s">
        <v>70</v>
      </c>
      <c r="F848" s="8" t="s">
        <v>71</v>
      </c>
      <c r="G848">
        <v>8481909090</v>
      </c>
      <c r="H848" t="s">
        <v>238</v>
      </c>
      <c r="I848" t="s">
        <v>750</v>
      </c>
      <c r="J848" t="s">
        <v>38</v>
      </c>
      <c r="K848" t="s">
        <v>39</v>
      </c>
      <c r="L848">
        <v>13</v>
      </c>
      <c r="M848">
        <v>3</v>
      </c>
      <c r="N848" t="s">
        <v>64</v>
      </c>
      <c r="O848">
        <v>0</v>
      </c>
      <c r="P848">
        <v>787.83</v>
      </c>
      <c r="Q848">
        <v>55.94</v>
      </c>
      <c r="R848">
        <v>5.15</v>
      </c>
      <c r="S848">
        <v>848.92</v>
      </c>
      <c r="T848" t="s">
        <v>41</v>
      </c>
      <c r="U848" t="s">
        <v>41</v>
      </c>
      <c r="V848" t="s">
        <v>38</v>
      </c>
      <c r="W848" t="s">
        <v>864</v>
      </c>
      <c r="X848">
        <v>262.61</v>
      </c>
      <c r="Y848" s="9">
        <f t="shared" si="66"/>
        <v>262.61</v>
      </c>
      <c r="Z848" s="9">
        <f t="shared" si="67"/>
        <v>492.39375000000001</v>
      </c>
      <c r="AA848" s="5">
        <f t="shared" si="68"/>
        <v>547.04945625000005</v>
      </c>
      <c r="AB848" s="6">
        <f t="shared" si="69"/>
        <v>797.62863562500002</v>
      </c>
      <c r="AD848" s="10">
        <f t="shared" si="70"/>
        <v>998.68777556250006</v>
      </c>
    </row>
    <row r="849" spans="1:30" x14ac:dyDescent="0.3">
      <c r="A849" t="s">
        <v>30</v>
      </c>
      <c r="B849" s="8" t="s">
        <v>32</v>
      </c>
      <c r="C849" s="8" t="s">
        <v>32</v>
      </c>
      <c r="D849" s="8" t="s">
        <v>69</v>
      </c>
      <c r="E849" s="8" t="s">
        <v>70</v>
      </c>
      <c r="F849" s="8" t="s">
        <v>71</v>
      </c>
      <c r="G849">
        <v>8481909090</v>
      </c>
      <c r="H849" t="s">
        <v>238</v>
      </c>
      <c r="I849" t="s">
        <v>824</v>
      </c>
      <c r="J849" t="s">
        <v>38</v>
      </c>
      <c r="K849" t="s">
        <v>39</v>
      </c>
      <c r="L849">
        <v>9</v>
      </c>
      <c r="M849">
        <v>4</v>
      </c>
      <c r="N849" t="s">
        <v>64</v>
      </c>
      <c r="O849">
        <v>0</v>
      </c>
      <c r="P849">
        <v>1050.44</v>
      </c>
      <c r="Q849">
        <v>52.94</v>
      </c>
      <c r="R849">
        <v>6.67</v>
      </c>
      <c r="S849">
        <v>1110.05</v>
      </c>
      <c r="T849" t="s">
        <v>41</v>
      </c>
      <c r="U849" t="s">
        <v>43</v>
      </c>
      <c r="V849" t="s">
        <v>38</v>
      </c>
      <c r="W849" t="s">
        <v>864</v>
      </c>
      <c r="X849">
        <v>262.61</v>
      </c>
      <c r="Y849" s="9">
        <f t="shared" si="66"/>
        <v>262.61</v>
      </c>
      <c r="Z849" s="9">
        <f t="shared" si="67"/>
        <v>492.39375000000001</v>
      </c>
      <c r="AA849" s="5">
        <f t="shared" si="68"/>
        <v>547.04945625000005</v>
      </c>
      <c r="AB849" s="6">
        <f t="shared" si="69"/>
        <v>797.62863562500002</v>
      </c>
      <c r="AD849" s="10">
        <f t="shared" si="70"/>
        <v>998.68777556250006</v>
      </c>
    </row>
    <row r="850" spans="1:30" x14ac:dyDescent="0.3">
      <c r="A850" t="s">
        <v>30</v>
      </c>
      <c r="B850" s="8" t="s">
        <v>32</v>
      </c>
      <c r="C850" s="8" t="s">
        <v>32</v>
      </c>
      <c r="D850" s="8" t="s">
        <v>69</v>
      </c>
      <c r="E850" s="8" t="s">
        <v>70</v>
      </c>
      <c r="F850" s="8" t="s">
        <v>71</v>
      </c>
      <c r="G850">
        <v>8481909090</v>
      </c>
      <c r="H850" t="s">
        <v>238</v>
      </c>
      <c r="I850" t="s">
        <v>824</v>
      </c>
      <c r="J850" t="s">
        <v>38</v>
      </c>
      <c r="K850" t="s">
        <v>39</v>
      </c>
      <c r="L850">
        <v>9</v>
      </c>
      <c r="M850">
        <v>3</v>
      </c>
      <c r="N850" t="s">
        <v>64</v>
      </c>
      <c r="O850">
        <v>0</v>
      </c>
      <c r="P850">
        <v>668.31</v>
      </c>
      <c r="Q850">
        <v>33.68</v>
      </c>
      <c r="R850">
        <v>4.25</v>
      </c>
      <c r="S850">
        <v>706.23</v>
      </c>
      <c r="T850" t="s">
        <v>41</v>
      </c>
      <c r="U850" t="s">
        <v>43</v>
      </c>
      <c r="V850" t="s">
        <v>38</v>
      </c>
      <c r="W850" t="s">
        <v>865</v>
      </c>
      <c r="X850">
        <v>222.77</v>
      </c>
      <c r="Y850" s="9">
        <f t="shared" si="66"/>
        <v>222.76999999999998</v>
      </c>
      <c r="Z850" s="9">
        <f t="shared" si="67"/>
        <v>417.69374999999997</v>
      </c>
      <c r="AA850" s="5">
        <f t="shared" si="68"/>
        <v>464.05775624999995</v>
      </c>
      <c r="AB850" s="6">
        <f t="shared" si="69"/>
        <v>676.6221056249999</v>
      </c>
      <c r="AD850" s="10">
        <f t="shared" si="70"/>
        <v>847.17899456250007</v>
      </c>
    </row>
    <row r="851" spans="1:30" x14ac:dyDescent="0.3">
      <c r="A851" t="s">
        <v>30</v>
      </c>
      <c r="B851" s="8" t="s">
        <v>32</v>
      </c>
      <c r="C851" s="8" t="s">
        <v>32</v>
      </c>
      <c r="D851" s="8" t="s">
        <v>33</v>
      </c>
      <c r="E851" s="8" t="s">
        <v>34</v>
      </c>
      <c r="F851" s="8" t="s">
        <v>35</v>
      </c>
      <c r="G851">
        <v>8482500000</v>
      </c>
      <c r="H851" t="s">
        <v>83</v>
      </c>
      <c r="I851" t="s">
        <v>81</v>
      </c>
      <c r="J851" t="s">
        <v>38</v>
      </c>
      <c r="K851" t="s">
        <v>39</v>
      </c>
      <c r="L851">
        <v>8</v>
      </c>
      <c r="M851">
        <v>1</v>
      </c>
      <c r="N851" t="s">
        <v>64</v>
      </c>
      <c r="O851">
        <v>0</v>
      </c>
      <c r="P851">
        <v>539.95000000000005</v>
      </c>
      <c r="Q851">
        <v>77.7</v>
      </c>
      <c r="R851">
        <v>3.8</v>
      </c>
      <c r="S851">
        <v>621.46</v>
      </c>
      <c r="T851" t="s">
        <v>41</v>
      </c>
      <c r="U851" t="s">
        <v>41</v>
      </c>
      <c r="V851" t="s">
        <v>38</v>
      </c>
      <c r="W851" t="s">
        <v>866</v>
      </c>
      <c r="X851">
        <v>539.95000000000005</v>
      </c>
      <c r="Y851" s="9">
        <f t="shared" si="66"/>
        <v>539.95000000000005</v>
      </c>
      <c r="Z851" s="9">
        <f t="shared" si="67"/>
        <v>1012.4062500000001</v>
      </c>
      <c r="AA851" s="5">
        <f t="shared" si="68"/>
        <v>1124.7833437500001</v>
      </c>
      <c r="AB851" s="6">
        <f t="shared" si="69"/>
        <v>1639.996884375</v>
      </c>
      <c r="AD851" s="10">
        <f t="shared" si="70"/>
        <v>2053.3927284375004</v>
      </c>
    </row>
    <row r="852" spans="1:30" x14ac:dyDescent="0.3">
      <c r="A852" t="s">
        <v>30</v>
      </c>
      <c r="B852" s="8" t="s">
        <v>32</v>
      </c>
      <c r="C852" s="8" t="s">
        <v>32</v>
      </c>
      <c r="D852" s="8" t="s">
        <v>69</v>
      </c>
      <c r="E852" s="8" t="s">
        <v>70</v>
      </c>
      <c r="F852" s="8" t="s">
        <v>71</v>
      </c>
      <c r="G852">
        <v>8482500000</v>
      </c>
      <c r="H852" t="s">
        <v>83</v>
      </c>
      <c r="I852" t="s">
        <v>81</v>
      </c>
      <c r="J852" t="s">
        <v>38</v>
      </c>
      <c r="K852" t="s">
        <v>39</v>
      </c>
      <c r="L852">
        <v>13</v>
      </c>
      <c r="M852">
        <v>1</v>
      </c>
      <c r="N852" t="s">
        <v>64</v>
      </c>
      <c r="O852">
        <v>0</v>
      </c>
      <c r="P852">
        <v>490.25</v>
      </c>
      <c r="Q852">
        <v>34.81</v>
      </c>
      <c r="R852">
        <v>3.2</v>
      </c>
      <c r="S852">
        <v>528.26</v>
      </c>
      <c r="T852" t="s">
        <v>41</v>
      </c>
      <c r="U852" t="s">
        <v>41</v>
      </c>
      <c r="V852" t="s">
        <v>38</v>
      </c>
      <c r="W852" t="s">
        <v>866</v>
      </c>
      <c r="X852">
        <v>490.25</v>
      </c>
      <c r="Y852" s="9">
        <f t="shared" si="66"/>
        <v>490.25</v>
      </c>
      <c r="Z852" s="9">
        <f t="shared" si="67"/>
        <v>919.21875</v>
      </c>
      <c r="AA852" s="5">
        <f t="shared" si="68"/>
        <v>1021.25203125</v>
      </c>
      <c r="AB852" s="6">
        <f t="shared" si="69"/>
        <v>1489.0424531249998</v>
      </c>
      <c r="AD852" s="10">
        <f t="shared" si="70"/>
        <v>1864.3870453125003</v>
      </c>
    </row>
    <row r="853" spans="1:30" x14ac:dyDescent="0.3">
      <c r="A853" t="s">
        <v>30</v>
      </c>
      <c r="B853" s="8" t="s">
        <v>32</v>
      </c>
      <c r="C853" s="8" t="s">
        <v>32</v>
      </c>
      <c r="D853" s="8" t="s">
        <v>69</v>
      </c>
      <c r="E853" s="8" t="s">
        <v>70</v>
      </c>
      <c r="F853" s="8" t="s">
        <v>71</v>
      </c>
      <c r="G853">
        <v>8482500000</v>
      </c>
      <c r="H853" t="s">
        <v>83</v>
      </c>
      <c r="I853" t="s">
        <v>81</v>
      </c>
      <c r="J853" t="s">
        <v>38</v>
      </c>
      <c r="K853" t="s">
        <v>39</v>
      </c>
      <c r="L853">
        <v>9</v>
      </c>
      <c r="M853">
        <v>1</v>
      </c>
      <c r="N853" t="s">
        <v>64</v>
      </c>
      <c r="O853">
        <v>0</v>
      </c>
      <c r="P853">
        <v>530.28</v>
      </c>
      <c r="Q853">
        <v>26.72</v>
      </c>
      <c r="R853">
        <v>3.37</v>
      </c>
      <c r="S853">
        <v>560.37</v>
      </c>
      <c r="T853" t="s">
        <v>41</v>
      </c>
      <c r="U853" t="s">
        <v>43</v>
      </c>
      <c r="V853" t="s">
        <v>38</v>
      </c>
      <c r="W853" t="s">
        <v>866</v>
      </c>
      <c r="X853">
        <v>530.28</v>
      </c>
      <c r="Y853" s="9">
        <f t="shared" si="66"/>
        <v>530.28</v>
      </c>
      <c r="Z853" s="9">
        <f t="shared" si="67"/>
        <v>994.27499999999998</v>
      </c>
      <c r="AA853" s="5">
        <f t="shared" si="68"/>
        <v>1104.639525</v>
      </c>
      <c r="AB853" s="6">
        <f t="shared" si="69"/>
        <v>1610.6260725</v>
      </c>
      <c r="AD853" s="10">
        <f t="shared" si="70"/>
        <v>2016.6183832500001</v>
      </c>
    </row>
    <row r="854" spans="1:30" x14ac:dyDescent="0.3">
      <c r="A854" t="s">
        <v>30</v>
      </c>
      <c r="B854" s="8" t="s">
        <v>32</v>
      </c>
      <c r="C854" s="8" t="s">
        <v>32</v>
      </c>
      <c r="D854" s="8" t="s">
        <v>69</v>
      </c>
      <c r="E854" s="8" t="s">
        <v>70</v>
      </c>
      <c r="F854" s="8" t="s">
        <v>71</v>
      </c>
      <c r="G854">
        <v>8482500000</v>
      </c>
      <c r="H854" t="s">
        <v>690</v>
      </c>
      <c r="I854" t="s">
        <v>675</v>
      </c>
      <c r="J854" t="s">
        <v>38</v>
      </c>
      <c r="K854" t="s">
        <v>39</v>
      </c>
      <c r="L854">
        <v>8</v>
      </c>
      <c r="M854">
        <v>1</v>
      </c>
      <c r="N854" t="s">
        <v>64</v>
      </c>
      <c r="O854">
        <v>0</v>
      </c>
      <c r="P854">
        <v>546.83000000000004</v>
      </c>
      <c r="Q854">
        <v>35.799999999999997</v>
      </c>
      <c r="R854">
        <v>3.55</v>
      </c>
      <c r="S854">
        <v>586.16999999999996</v>
      </c>
      <c r="T854" t="s">
        <v>41</v>
      </c>
      <c r="U854" t="s">
        <v>41</v>
      </c>
      <c r="V854" t="s">
        <v>38</v>
      </c>
      <c r="W854" t="s">
        <v>866</v>
      </c>
      <c r="X854">
        <v>546.83000000000004</v>
      </c>
      <c r="Y854" s="9">
        <f t="shared" si="66"/>
        <v>546.83000000000004</v>
      </c>
      <c r="Z854" s="9">
        <f t="shared" si="67"/>
        <v>1025.3062500000001</v>
      </c>
      <c r="AA854" s="5">
        <f t="shared" si="68"/>
        <v>1139.11524375</v>
      </c>
      <c r="AB854" s="6">
        <f t="shared" si="69"/>
        <v>1660.893594375</v>
      </c>
      <c r="AD854" s="10">
        <f t="shared" si="70"/>
        <v>2079.5568954375003</v>
      </c>
    </row>
    <row r="855" spans="1:30" x14ac:dyDescent="0.3">
      <c r="A855" t="s">
        <v>30</v>
      </c>
      <c r="B855" s="8" t="s">
        <v>32</v>
      </c>
      <c r="C855" s="8" t="s">
        <v>32</v>
      </c>
      <c r="D855" s="8" t="s">
        <v>33</v>
      </c>
      <c r="E855" s="8" t="s">
        <v>34</v>
      </c>
      <c r="F855" s="8" t="s">
        <v>35</v>
      </c>
      <c r="G855">
        <v>8482500000</v>
      </c>
      <c r="H855" t="s">
        <v>83</v>
      </c>
      <c r="I855" t="s">
        <v>81</v>
      </c>
      <c r="J855" t="s">
        <v>38</v>
      </c>
      <c r="K855" t="s">
        <v>39</v>
      </c>
      <c r="L855">
        <v>8</v>
      </c>
      <c r="M855">
        <v>1</v>
      </c>
      <c r="N855" t="s">
        <v>64</v>
      </c>
      <c r="O855">
        <v>0</v>
      </c>
      <c r="P855">
        <v>642.46</v>
      </c>
      <c r="Q855">
        <v>92.46</v>
      </c>
      <c r="R855">
        <v>4.5199999999999996</v>
      </c>
      <c r="S855">
        <v>739.43</v>
      </c>
      <c r="T855" t="s">
        <v>41</v>
      </c>
      <c r="U855" t="s">
        <v>41</v>
      </c>
      <c r="V855" t="s">
        <v>38</v>
      </c>
      <c r="W855" t="s">
        <v>867</v>
      </c>
      <c r="X855">
        <v>642.46</v>
      </c>
      <c r="Y855" s="9">
        <f t="shared" si="66"/>
        <v>642.46</v>
      </c>
      <c r="Z855" s="9">
        <f t="shared" si="67"/>
        <v>1204.6125000000002</v>
      </c>
      <c r="AA855" s="5">
        <f t="shared" si="68"/>
        <v>1338.3244875000003</v>
      </c>
      <c r="AB855" s="6">
        <f t="shared" si="69"/>
        <v>1951.3517887500002</v>
      </c>
      <c r="AD855" s="10">
        <f t="shared" si="70"/>
        <v>2443.2312108750007</v>
      </c>
    </row>
    <row r="856" spans="1:30" x14ac:dyDescent="0.3">
      <c r="A856" t="s">
        <v>30</v>
      </c>
      <c r="B856" s="8" t="s">
        <v>32</v>
      </c>
      <c r="C856" s="8" t="s">
        <v>32</v>
      </c>
      <c r="D856" s="8" t="s">
        <v>69</v>
      </c>
      <c r="E856" s="8" t="s">
        <v>70</v>
      </c>
      <c r="F856" s="8" t="s">
        <v>71</v>
      </c>
      <c r="G856">
        <v>8482500000</v>
      </c>
      <c r="H856" t="s">
        <v>83</v>
      </c>
      <c r="I856" t="s">
        <v>81</v>
      </c>
      <c r="J856" t="s">
        <v>38</v>
      </c>
      <c r="K856" t="s">
        <v>39</v>
      </c>
      <c r="L856">
        <v>13</v>
      </c>
      <c r="M856">
        <v>1</v>
      </c>
      <c r="N856" t="s">
        <v>64</v>
      </c>
      <c r="O856">
        <v>0</v>
      </c>
      <c r="P856">
        <v>497.15</v>
      </c>
      <c r="Q856">
        <v>35.299999999999997</v>
      </c>
      <c r="R856">
        <v>3.25</v>
      </c>
      <c r="S856">
        <v>535.70000000000005</v>
      </c>
      <c r="T856" t="s">
        <v>41</v>
      </c>
      <c r="U856" t="s">
        <v>41</v>
      </c>
      <c r="V856" t="s">
        <v>38</v>
      </c>
      <c r="W856" t="s">
        <v>867</v>
      </c>
      <c r="X856">
        <v>497.15</v>
      </c>
      <c r="Y856" s="9">
        <f t="shared" si="66"/>
        <v>497.15</v>
      </c>
      <c r="Z856" s="9">
        <f t="shared" si="67"/>
        <v>932.15625</v>
      </c>
      <c r="AA856" s="5">
        <f t="shared" si="68"/>
        <v>1035.62559375</v>
      </c>
      <c r="AB856" s="6">
        <f t="shared" si="69"/>
        <v>1509.999909375</v>
      </c>
      <c r="AD856" s="10">
        <f t="shared" si="70"/>
        <v>1890.6272709375003</v>
      </c>
    </row>
    <row r="857" spans="1:30" x14ac:dyDescent="0.3">
      <c r="A857" t="s">
        <v>30</v>
      </c>
      <c r="B857" s="8" t="s">
        <v>32</v>
      </c>
      <c r="C857" s="8" t="s">
        <v>32</v>
      </c>
      <c r="D857" s="8" t="s">
        <v>69</v>
      </c>
      <c r="E857" s="8" t="s">
        <v>70</v>
      </c>
      <c r="F857" s="8" t="s">
        <v>71</v>
      </c>
      <c r="G857">
        <v>8482500000</v>
      </c>
      <c r="H857" t="s">
        <v>83</v>
      </c>
      <c r="I857" t="s">
        <v>81</v>
      </c>
      <c r="J857" t="s">
        <v>38</v>
      </c>
      <c r="K857" t="s">
        <v>39</v>
      </c>
      <c r="L857">
        <v>9</v>
      </c>
      <c r="M857">
        <v>1</v>
      </c>
      <c r="N857" t="s">
        <v>64</v>
      </c>
      <c r="O857">
        <v>0</v>
      </c>
      <c r="P857">
        <v>630.95000000000005</v>
      </c>
      <c r="Q857">
        <v>31.8</v>
      </c>
      <c r="R857">
        <v>4.01</v>
      </c>
      <c r="S857">
        <v>666.76</v>
      </c>
      <c r="T857" t="s">
        <v>41</v>
      </c>
      <c r="U857" t="s">
        <v>43</v>
      </c>
      <c r="V857" t="s">
        <v>38</v>
      </c>
      <c r="W857" t="s">
        <v>867</v>
      </c>
      <c r="X857">
        <v>630.95000000000005</v>
      </c>
      <c r="Y857" s="9">
        <f t="shared" si="66"/>
        <v>630.95000000000005</v>
      </c>
      <c r="Z857" s="9">
        <f t="shared" si="67"/>
        <v>1183.03125</v>
      </c>
      <c r="AA857" s="5">
        <f t="shared" si="68"/>
        <v>1314.34771875</v>
      </c>
      <c r="AB857" s="6">
        <f t="shared" si="69"/>
        <v>1916.3923218749999</v>
      </c>
      <c r="AD857" s="10">
        <f t="shared" si="70"/>
        <v>2399.4594721875001</v>
      </c>
    </row>
    <row r="858" spans="1:30" x14ac:dyDescent="0.3">
      <c r="A858" t="s">
        <v>30</v>
      </c>
      <c r="B858" s="8" t="s">
        <v>32</v>
      </c>
      <c r="C858" s="8" t="s">
        <v>32</v>
      </c>
      <c r="D858" s="8" t="s">
        <v>69</v>
      </c>
      <c r="E858" s="8" t="s">
        <v>70</v>
      </c>
      <c r="F858" s="8" t="s">
        <v>71</v>
      </c>
      <c r="G858">
        <v>8482500000</v>
      </c>
      <c r="H858" t="s">
        <v>690</v>
      </c>
      <c r="I858" t="s">
        <v>675</v>
      </c>
      <c r="J858" t="s">
        <v>38</v>
      </c>
      <c r="K858" t="s">
        <v>39</v>
      </c>
      <c r="L858">
        <v>8</v>
      </c>
      <c r="M858">
        <v>1</v>
      </c>
      <c r="N858" t="s">
        <v>64</v>
      </c>
      <c r="O858">
        <v>0</v>
      </c>
      <c r="P858">
        <v>630.95000000000005</v>
      </c>
      <c r="Q858">
        <v>41.3</v>
      </c>
      <c r="R858">
        <v>4.09</v>
      </c>
      <c r="S858">
        <v>676.35</v>
      </c>
      <c r="T858" t="s">
        <v>41</v>
      </c>
      <c r="U858" t="s">
        <v>41</v>
      </c>
      <c r="V858" t="s">
        <v>38</v>
      </c>
      <c r="W858" t="s">
        <v>867</v>
      </c>
      <c r="X858">
        <v>630.95000000000005</v>
      </c>
      <c r="Y858" s="9">
        <f t="shared" si="66"/>
        <v>630.95000000000005</v>
      </c>
      <c r="Z858" s="9">
        <f t="shared" si="67"/>
        <v>1183.03125</v>
      </c>
      <c r="AA858" s="5">
        <f t="shared" si="68"/>
        <v>1314.34771875</v>
      </c>
      <c r="AB858" s="6">
        <f t="shared" si="69"/>
        <v>1916.3923218749999</v>
      </c>
      <c r="AD858" s="10">
        <f t="shared" si="70"/>
        <v>2399.4594721875001</v>
      </c>
    </row>
    <row r="859" spans="1:30" x14ac:dyDescent="0.3">
      <c r="A859" t="s">
        <v>30</v>
      </c>
      <c r="B859" s="8" t="s">
        <v>32</v>
      </c>
      <c r="C859" s="8" t="s">
        <v>32</v>
      </c>
      <c r="D859" s="8" t="s">
        <v>33</v>
      </c>
      <c r="E859" s="8" t="s">
        <v>34</v>
      </c>
      <c r="F859" s="8" t="s">
        <v>35</v>
      </c>
      <c r="G859">
        <v>8482500000</v>
      </c>
      <c r="H859" t="s">
        <v>690</v>
      </c>
      <c r="I859" t="s">
        <v>81</v>
      </c>
      <c r="J859" t="s">
        <v>38</v>
      </c>
      <c r="K859" t="s">
        <v>39</v>
      </c>
      <c r="L859">
        <v>8</v>
      </c>
      <c r="M859">
        <v>1</v>
      </c>
      <c r="N859" t="s">
        <v>64</v>
      </c>
      <c r="O859">
        <v>0</v>
      </c>
      <c r="P859">
        <v>641.5</v>
      </c>
      <c r="Q859">
        <v>36.32</v>
      </c>
      <c r="R859">
        <v>4.09</v>
      </c>
      <c r="S859">
        <v>681.91</v>
      </c>
      <c r="T859" t="s">
        <v>41</v>
      </c>
      <c r="U859" t="s">
        <v>41</v>
      </c>
      <c r="V859" t="s">
        <v>38</v>
      </c>
      <c r="W859" t="s">
        <v>867</v>
      </c>
      <c r="X859">
        <v>641.5</v>
      </c>
      <c r="Y859" s="9">
        <f t="shared" si="66"/>
        <v>641.5</v>
      </c>
      <c r="Z859" s="9">
        <f t="shared" si="67"/>
        <v>1202.8125</v>
      </c>
      <c r="AA859" s="5">
        <f t="shared" si="68"/>
        <v>1336.3246875</v>
      </c>
      <c r="AB859" s="6">
        <f t="shared" si="69"/>
        <v>1948.4359687499998</v>
      </c>
      <c r="AD859" s="10">
        <f t="shared" si="70"/>
        <v>2439.5803968750001</v>
      </c>
    </row>
    <row r="860" spans="1:30" x14ac:dyDescent="0.3">
      <c r="A860" t="s">
        <v>30</v>
      </c>
      <c r="B860" s="8" t="s">
        <v>32</v>
      </c>
      <c r="C860" s="8" t="s">
        <v>32</v>
      </c>
      <c r="D860" s="8" t="s">
        <v>69</v>
      </c>
      <c r="E860" s="8" t="s">
        <v>70</v>
      </c>
      <c r="F860" s="8" t="s">
        <v>71</v>
      </c>
      <c r="G860">
        <v>8483309000</v>
      </c>
      <c r="H860" t="s">
        <v>36</v>
      </c>
      <c r="I860" t="s">
        <v>813</v>
      </c>
      <c r="J860" t="s">
        <v>38</v>
      </c>
      <c r="K860" t="s">
        <v>39</v>
      </c>
      <c r="L860">
        <v>13</v>
      </c>
      <c r="M860">
        <v>1</v>
      </c>
      <c r="N860" t="s">
        <v>64</v>
      </c>
      <c r="O860">
        <v>0</v>
      </c>
      <c r="P860">
        <v>635.97</v>
      </c>
      <c r="Q860">
        <v>33.96</v>
      </c>
      <c r="R860">
        <v>4.09</v>
      </c>
      <c r="S860">
        <v>674.01</v>
      </c>
      <c r="T860" t="s">
        <v>72</v>
      </c>
      <c r="U860" t="s">
        <v>72</v>
      </c>
      <c r="V860" t="s">
        <v>38</v>
      </c>
      <c r="W860" t="s">
        <v>868</v>
      </c>
      <c r="X860">
        <v>635.97</v>
      </c>
      <c r="Y860" s="9">
        <f t="shared" si="66"/>
        <v>635.97</v>
      </c>
      <c r="Z860" s="9">
        <f t="shared" si="67"/>
        <v>1192.4437500000001</v>
      </c>
      <c r="AA860" s="5">
        <f t="shared" si="68"/>
        <v>1324.8050062500001</v>
      </c>
      <c r="AB860" s="6">
        <f t="shared" si="69"/>
        <v>1931.6396306250001</v>
      </c>
      <c r="AD860" s="10">
        <f t="shared" si="70"/>
        <v>2418.5501870625003</v>
      </c>
    </row>
    <row r="861" spans="1:30" x14ac:dyDescent="0.3">
      <c r="A861" t="s">
        <v>30</v>
      </c>
      <c r="B861" s="8" t="s">
        <v>32</v>
      </c>
      <c r="C861" s="8" t="s">
        <v>32</v>
      </c>
      <c r="D861" s="8" t="s">
        <v>69</v>
      </c>
      <c r="E861" s="8" t="s">
        <v>70</v>
      </c>
      <c r="F861" s="8" t="s">
        <v>71</v>
      </c>
      <c r="G861">
        <v>8483309000</v>
      </c>
      <c r="H861" t="s">
        <v>36</v>
      </c>
      <c r="I861" t="s">
        <v>813</v>
      </c>
      <c r="J861" t="s">
        <v>38</v>
      </c>
      <c r="K861" t="s">
        <v>39</v>
      </c>
      <c r="L861">
        <v>8</v>
      </c>
      <c r="M861">
        <v>1</v>
      </c>
      <c r="N861" t="s">
        <v>64</v>
      </c>
      <c r="O861">
        <v>0</v>
      </c>
      <c r="P861">
        <v>635.97</v>
      </c>
      <c r="Q861">
        <v>41.63</v>
      </c>
      <c r="R861">
        <v>4.12</v>
      </c>
      <c r="S861">
        <v>681.73</v>
      </c>
      <c r="T861" t="s">
        <v>41</v>
      </c>
      <c r="U861" t="s">
        <v>41</v>
      </c>
      <c r="V861" t="s">
        <v>38</v>
      </c>
      <c r="W861" t="s">
        <v>868</v>
      </c>
      <c r="X861">
        <v>635.97</v>
      </c>
      <c r="Y861" s="9">
        <f t="shared" si="66"/>
        <v>635.97</v>
      </c>
      <c r="Z861" s="9">
        <f t="shared" si="67"/>
        <v>1192.4437500000001</v>
      </c>
      <c r="AA861" s="5">
        <f t="shared" si="68"/>
        <v>1324.8050062500001</v>
      </c>
      <c r="AB861" s="6">
        <f t="shared" si="69"/>
        <v>1931.6396306250001</v>
      </c>
      <c r="AD861" s="10">
        <f t="shared" si="70"/>
        <v>2418.5501870625003</v>
      </c>
    </row>
    <row r="862" spans="1:30" x14ac:dyDescent="0.3">
      <c r="A862" t="s">
        <v>30</v>
      </c>
      <c r="B862" s="8" t="s">
        <v>32</v>
      </c>
      <c r="C862" s="8" t="s">
        <v>32</v>
      </c>
      <c r="D862" s="8" t="s">
        <v>33</v>
      </c>
      <c r="E862" s="8" t="s">
        <v>34</v>
      </c>
      <c r="F862" s="8" t="s">
        <v>35</v>
      </c>
      <c r="G862">
        <v>8483309000</v>
      </c>
      <c r="H862" t="s">
        <v>36</v>
      </c>
      <c r="I862" t="s">
        <v>869</v>
      </c>
      <c r="J862" t="s">
        <v>38</v>
      </c>
      <c r="K862" t="s">
        <v>39</v>
      </c>
      <c r="L862">
        <v>8</v>
      </c>
      <c r="M862">
        <v>3</v>
      </c>
      <c r="N862" t="s">
        <v>64</v>
      </c>
      <c r="O862">
        <v>0</v>
      </c>
      <c r="P862">
        <v>1949.43</v>
      </c>
      <c r="Q862">
        <v>244.21</v>
      </c>
      <c r="R862">
        <v>13.32</v>
      </c>
      <c r="S862">
        <v>2206.96</v>
      </c>
      <c r="T862" t="s">
        <v>41</v>
      </c>
      <c r="U862" t="s">
        <v>41</v>
      </c>
      <c r="V862" t="s">
        <v>38</v>
      </c>
      <c r="W862" t="s">
        <v>868</v>
      </c>
      <c r="X862">
        <v>649.80999999999995</v>
      </c>
      <c r="Y862" s="9">
        <f t="shared" si="66"/>
        <v>649.81000000000006</v>
      </c>
      <c r="Z862" s="9">
        <f t="shared" si="67"/>
        <v>1218.3937500000002</v>
      </c>
      <c r="AA862" s="5">
        <f t="shared" si="68"/>
        <v>1353.6354562500003</v>
      </c>
      <c r="AB862" s="6">
        <f t="shared" si="69"/>
        <v>1973.6760356250002</v>
      </c>
      <c r="AD862" s="10">
        <f t="shared" si="70"/>
        <v>2471.1827555625005</v>
      </c>
    </row>
    <row r="863" spans="1:30" x14ac:dyDescent="0.3">
      <c r="A863" t="s">
        <v>30</v>
      </c>
      <c r="B863" s="8" t="s">
        <v>32</v>
      </c>
      <c r="C863" s="8" t="s">
        <v>32</v>
      </c>
      <c r="D863" s="8" t="s">
        <v>69</v>
      </c>
      <c r="E863" s="8" t="s">
        <v>70</v>
      </c>
      <c r="F863" s="8" t="s">
        <v>71</v>
      </c>
      <c r="G863">
        <v>4016930000</v>
      </c>
      <c r="H863" t="s">
        <v>141</v>
      </c>
      <c r="I863" t="s">
        <v>726</v>
      </c>
      <c r="J863" t="s">
        <v>38</v>
      </c>
      <c r="K863" t="s">
        <v>39</v>
      </c>
      <c r="L863">
        <v>13</v>
      </c>
      <c r="M863">
        <v>2</v>
      </c>
      <c r="N863" t="s">
        <v>64</v>
      </c>
      <c r="O863">
        <v>0</v>
      </c>
      <c r="P863">
        <v>106.54</v>
      </c>
      <c r="Q863">
        <v>7.56</v>
      </c>
      <c r="R863">
        <v>0.7</v>
      </c>
      <c r="S863">
        <v>114.8</v>
      </c>
      <c r="T863" t="s">
        <v>41</v>
      </c>
      <c r="U863" t="s">
        <v>41</v>
      </c>
      <c r="V863" t="s">
        <v>38</v>
      </c>
      <c r="W863" t="s">
        <v>870</v>
      </c>
      <c r="X863">
        <v>53.27</v>
      </c>
      <c r="Y863" s="9">
        <f t="shared" si="66"/>
        <v>53.27</v>
      </c>
      <c r="Z863" s="9">
        <f t="shared" si="67"/>
        <v>99.881250000000009</v>
      </c>
      <c r="AA863" s="5">
        <f t="shared" si="68"/>
        <v>110.96806875000001</v>
      </c>
      <c r="AB863" s="6">
        <f t="shared" si="69"/>
        <v>161.79763687499999</v>
      </c>
      <c r="AD863" s="10">
        <f t="shared" si="70"/>
        <v>202.58214768750003</v>
      </c>
    </row>
    <row r="864" spans="1:30" x14ac:dyDescent="0.3">
      <c r="A864" t="s">
        <v>30</v>
      </c>
      <c r="B864" s="8" t="s">
        <v>32</v>
      </c>
      <c r="C864" s="8" t="s">
        <v>32</v>
      </c>
      <c r="D864" s="8" t="s">
        <v>33</v>
      </c>
      <c r="E864" s="8" t="s">
        <v>34</v>
      </c>
      <c r="F864" s="8" t="s">
        <v>35</v>
      </c>
      <c r="G864">
        <v>4016930000</v>
      </c>
      <c r="H864" t="s">
        <v>141</v>
      </c>
      <c r="I864" t="s">
        <v>726</v>
      </c>
      <c r="J864" t="s">
        <v>38</v>
      </c>
      <c r="K864" t="s">
        <v>39</v>
      </c>
      <c r="L864">
        <v>4</v>
      </c>
      <c r="M864">
        <v>2</v>
      </c>
      <c r="N864" t="s">
        <v>64</v>
      </c>
      <c r="O864">
        <v>0</v>
      </c>
      <c r="P864">
        <v>131.19</v>
      </c>
      <c r="Q864">
        <v>6.87</v>
      </c>
      <c r="R864">
        <v>0.86</v>
      </c>
      <c r="S864">
        <v>138.91</v>
      </c>
      <c r="T864" t="s">
        <v>41</v>
      </c>
      <c r="U864" t="s">
        <v>41</v>
      </c>
      <c r="V864" t="s">
        <v>38</v>
      </c>
      <c r="W864" t="s">
        <v>870</v>
      </c>
      <c r="X864">
        <v>65.59</v>
      </c>
      <c r="Y864" s="9">
        <f t="shared" si="66"/>
        <v>65.594999999999999</v>
      </c>
      <c r="Z864" s="9">
        <f t="shared" si="67"/>
        <v>122.99062499999999</v>
      </c>
      <c r="AA864" s="5">
        <f t="shared" si="68"/>
        <v>136.64258437499998</v>
      </c>
      <c r="AB864" s="6">
        <f t="shared" si="69"/>
        <v>199.23251343749999</v>
      </c>
      <c r="AD864" s="10">
        <f t="shared" si="70"/>
        <v>249.45327534375002</v>
      </c>
    </row>
    <row r="865" spans="1:30" x14ac:dyDescent="0.3">
      <c r="A865" t="s">
        <v>30</v>
      </c>
      <c r="B865" s="8" t="s">
        <v>32</v>
      </c>
      <c r="C865" s="8" t="s">
        <v>32</v>
      </c>
      <c r="D865" s="8" t="s">
        <v>69</v>
      </c>
      <c r="E865" s="8" t="s">
        <v>70</v>
      </c>
      <c r="F865" s="8" t="s">
        <v>71</v>
      </c>
      <c r="G865">
        <v>4016930000</v>
      </c>
      <c r="H865" t="s">
        <v>141</v>
      </c>
      <c r="I865" t="s">
        <v>789</v>
      </c>
      <c r="J865" t="s">
        <v>38</v>
      </c>
      <c r="K865" t="s">
        <v>39</v>
      </c>
      <c r="L865">
        <v>13</v>
      </c>
      <c r="M865">
        <v>3</v>
      </c>
      <c r="N865" t="s">
        <v>64</v>
      </c>
      <c r="O865">
        <v>0</v>
      </c>
      <c r="P865">
        <v>192.39</v>
      </c>
      <c r="Q865">
        <v>10.27</v>
      </c>
      <c r="R865">
        <v>1.24</v>
      </c>
      <c r="S865">
        <v>203.9</v>
      </c>
      <c r="T865" t="s">
        <v>72</v>
      </c>
      <c r="U865" t="s">
        <v>72</v>
      </c>
      <c r="V865" t="s">
        <v>38</v>
      </c>
      <c r="W865" t="s">
        <v>870</v>
      </c>
      <c r="X865">
        <v>64.13</v>
      </c>
      <c r="Y865" s="9">
        <f t="shared" si="66"/>
        <v>64.13</v>
      </c>
      <c r="Z865" s="9">
        <f t="shared" si="67"/>
        <v>120.24374999999999</v>
      </c>
      <c r="AA865" s="5">
        <f t="shared" si="68"/>
        <v>133.59080624999999</v>
      </c>
      <c r="AB865" s="6">
        <f t="shared" si="69"/>
        <v>194.78285062499998</v>
      </c>
      <c r="AD865" s="10">
        <f t="shared" si="70"/>
        <v>243.88198106250002</v>
      </c>
    </row>
    <row r="866" spans="1:30" x14ac:dyDescent="0.3">
      <c r="A866" t="s">
        <v>30</v>
      </c>
      <c r="B866" s="8" t="s">
        <v>32</v>
      </c>
      <c r="C866" s="8" t="s">
        <v>32</v>
      </c>
      <c r="D866" s="8" t="s">
        <v>33</v>
      </c>
      <c r="E866" s="8" t="s">
        <v>34</v>
      </c>
      <c r="F866" s="8" t="s">
        <v>35</v>
      </c>
      <c r="G866">
        <v>4016930000</v>
      </c>
      <c r="H866" t="s">
        <v>141</v>
      </c>
      <c r="I866" t="s">
        <v>791</v>
      </c>
      <c r="J866" t="s">
        <v>38</v>
      </c>
      <c r="K866" t="s">
        <v>39</v>
      </c>
      <c r="L866">
        <v>8</v>
      </c>
      <c r="M866">
        <v>3</v>
      </c>
      <c r="N866" t="s">
        <v>64</v>
      </c>
      <c r="O866">
        <v>0</v>
      </c>
      <c r="P866">
        <v>195.61</v>
      </c>
      <c r="Q866">
        <v>11.07</v>
      </c>
      <c r="R866">
        <v>1.25</v>
      </c>
      <c r="S866">
        <v>207.93</v>
      </c>
      <c r="T866" t="s">
        <v>41</v>
      </c>
      <c r="U866" t="s">
        <v>41</v>
      </c>
      <c r="V866" t="s">
        <v>38</v>
      </c>
      <c r="W866" t="s">
        <v>870</v>
      </c>
      <c r="X866">
        <v>65.2</v>
      </c>
      <c r="Y866" s="9">
        <f t="shared" si="66"/>
        <v>65.203333333333333</v>
      </c>
      <c r="Z866" s="9">
        <f t="shared" si="67"/>
        <v>122.25624999999999</v>
      </c>
      <c r="AA866" s="5">
        <f t="shared" si="68"/>
        <v>135.82669375</v>
      </c>
      <c r="AB866" s="6">
        <f t="shared" si="69"/>
        <v>198.04289937499999</v>
      </c>
      <c r="AD866" s="10">
        <f t="shared" si="70"/>
        <v>247.96379393750001</v>
      </c>
    </row>
    <row r="867" spans="1:30" x14ac:dyDescent="0.3">
      <c r="A867" t="s">
        <v>30</v>
      </c>
      <c r="B867" s="8" t="s">
        <v>32</v>
      </c>
      <c r="C867" s="8" t="s">
        <v>32</v>
      </c>
      <c r="D867" s="8" t="s">
        <v>33</v>
      </c>
      <c r="E867" s="8" t="s">
        <v>34</v>
      </c>
      <c r="F867" s="8" t="s">
        <v>35</v>
      </c>
      <c r="G867">
        <v>7318290000</v>
      </c>
      <c r="H867" t="s">
        <v>759</v>
      </c>
      <c r="I867" t="s">
        <v>871</v>
      </c>
      <c r="J867" t="s">
        <v>38</v>
      </c>
      <c r="K867" t="s">
        <v>39</v>
      </c>
      <c r="L867">
        <v>8</v>
      </c>
      <c r="M867">
        <v>1</v>
      </c>
      <c r="N867" t="s">
        <v>40</v>
      </c>
      <c r="O867">
        <v>4.75</v>
      </c>
      <c r="P867">
        <v>62.86</v>
      </c>
      <c r="Q867">
        <v>9.0500000000000007</v>
      </c>
      <c r="R867">
        <v>0.44</v>
      </c>
      <c r="S867">
        <v>72.34</v>
      </c>
      <c r="T867" t="s">
        <v>41</v>
      </c>
      <c r="U867" t="s">
        <v>41</v>
      </c>
      <c r="V867" t="s">
        <v>38</v>
      </c>
      <c r="W867" t="s">
        <v>872</v>
      </c>
      <c r="X867">
        <v>62.86</v>
      </c>
      <c r="Y867" s="9">
        <f t="shared" si="66"/>
        <v>62.86</v>
      </c>
      <c r="Z867" s="9">
        <f t="shared" si="67"/>
        <v>117.8625</v>
      </c>
      <c r="AA867" s="5">
        <f t="shared" si="68"/>
        <v>130.94523749999999</v>
      </c>
      <c r="AB867" s="6">
        <f t="shared" si="69"/>
        <v>190.92546374999998</v>
      </c>
      <c r="AD867" s="10">
        <f t="shared" si="70"/>
        <v>239.05225837500001</v>
      </c>
    </row>
    <row r="868" spans="1:30" x14ac:dyDescent="0.3">
      <c r="A868" t="s">
        <v>30</v>
      </c>
      <c r="B868" s="8" t="s">
        <v>32</v>
      </c>
      <c r="C868" s="8" t="s">
        <v>32</v>
      </c>
      <c r="D868" s="8" t="s">
        <v>69</v>
      </c>
      <c r="E868" s="8" t="s">
        <v>70</v>
      </c>
      <c r="F868" s="8" t="s">
        <v>71</v>
      </c>
      <c r="G868">
        <v>7318290000</v>
      </c>
      <c r="H868" t="s">
        <v>759</v>
      </c>
      <c r="I868" t="s">
        <v>726</v>
      </c>
      <c r="J868" t="s">
        <v>38</v>
      </c>
      <c r="K868" t="s">
        <v>39</v>
      </c>
      <c r="L868">
        <v>13</v>
      </c>
      <c r="M868">
        <v>1</v>
      </c>
      <c r="N868" t="s">
        <v>40</v>
      </c>
      <c r="O868">
        <v>3.88</v>
      </c>
      <c r="P868">
        <v>51.45</v>
      </c>
      <c r="Q868">
        <v>3.65</v>
      </c>
      <c r="R868">
        <v>0.34</v>
      </c>
      <c r="S868">
        <v>55.44</v>
      </c>
      <c r="T868" t="s">
        <v>41</v>
      </c>
      <c r="U868" t="s">
        <v>41</v>
      </c>
      <c r="V868" t="s">
        <v>38</v>
      </c>
      <c r="W868" t="s">
        <v>872</v>
      </c>
      <c r="X868">
        <v>51.45</v>
      </c>
      <c r="Y868" s="9">
        <f t="shared" si="66"/>
        <v>51.45</v>
      </c>
      <c r="Z868" s="9">
        <f t="shared" si="67"/>
        <v>96.46875</v>
      </c>
      <c r="AA868" s="5">
        <f t="shared" si="68"/>
        <v>107.17678125</v>
      </c>
      <c r="AB868" s="6">
        <f t="shared" si="69"/>
        <v>156.269728125</v>
      </c>
      <c r="AD868" s="10">
        <f t="shared" si="70"/>
        <v>195.66081281250001</v>
      </c>
    </row>
    <row r="869" spans="1:30" x14ac:dyDescent="0.3">
      <c r="A869" t="s">
        <v>30</v>
      </c>
      <c r="B869" s="8" t="s">
        <v>32</v>
      </c>
      <c r="C869" s="8" t="s">
        <v>32</v>
      </c>
      <c r="D869" s="8" t="s">
        <v>69</v>
      </c>
      <c r="E869" s="8" t="s">
        <v>70</v>
      </c>
      <c r="F869" s="8" t="s">
        <v>71</v>
      </c>
      <c r="G869">
        <v>7318290000</v>
      </c>
      <c r="H869" t="s">
        <v>759</v>
      </c>
      <c r="I869" t="s">
        <v>873</v>
      </c>
      <c r="J869" t="s">
        <v>38</v>
      </c>
      <c r="K869" t="s">
        <v>39</v>
      </c>
      <c r="L869">
        <v>9</v>
      </c>
      <c r="M869">
        <v>2</v>
      </c>
      <c r="N869" t="s">
        <v>40</v>
      </c>
      <c r="O869">
        <v>9.32</v>
      </c>
      <c r="P869">
        <v>123.46</v>
      </c>
      <c r="Q869">
        <v>6.22</v>
      </c>
      <c r="R869">
        <v>0.78</v>
      </c>
      <c r="S869">
        <v>130.47</v>
      </c>
      <c r="T869" t="s">
        <v>41</v>
      </c>
      <c r="U869" t="s">
        <v>43</v>
      </c>
      <c r="V869" t="s">
        <v>38</v>
      </c>
      <c r="W869" t="s">
        <v>872</v>
      </c>
      <c r="X869">
        <v>61.73</v>
      </c>
      <c r="Y869" s="9">
        <f t="shared" si="66"/>
        <v>61.73</v>
      </c>
      <c r="Z869" s="9">
        <f t="shared" si="67"/>
        <v>115.74374999999999</v>
      </c>
      <c r="AA869" s="5">
        <f t="shared" si="68"/>
        <v>128.59130625</v>
      </c>
      <c r="AB869" s="6">
        <f t="shared" si="69"/>
        <v>187.49330062499996</v>
      </c>
      <c r="AD869" s="10">
        <f t="shared" si="70"/>
        <v>234.75494606250001</v>
      </c>
    </row>
    <row r="870" spans="1:30" x14ac:dyDescent="0.3">
      <c r="A870" t="s">
        <v>30</v>
      </c>
      <c r="B870" s="8" t="s">
        <v>32</v>
      </c>
      <c r="C870" s="8" t="s">
        <v>32</v>
      </c>
      <c r="D870" s="8" t="s">
        <v>69</v>
      </c>
      <c r="E870" s="8" t="s">
        <v>70</v>
      </c>
      <c r="F870" s="8" t="s">
        <v>71</v>
      </c>
      <c r="G870">
        <v>7318290000</v>
      </c>
      <c r="H870" t="s">
        <v>759</v>
      </c>
      <c r="I870" t="s">
        <v>789</v>
      </c>
      <c r="J870" t="s">
        <v>38</v>
      </c>
      <c r="K870" t="s">
        <v>39</v>
      </c>
      <c r="L870">
        <v>8</v>
      </c>
      <c r="M870">
        <v>2</v>
      </c>
      <c r="N870" t="s">
        <v>40</v>
      </c>
      <c r="O870">
        <v>9.61</v>
      </c>
      <c r="P870">
        <v>127.32</v>
      </c>
      <c r="Q870">
        <v>8.34</v>
      </c>
      <c r="R870">
        <v>0.83</v>
      </c>
      <c r="S870">
        <v>136.47999999999999</v>
      </c>
      <c r="T870" t="s">
        <v>41</v>
      </c>
      <c r="U870" t="s">
        <v>41</v>
      </c>
      <c r="V870" t="s">
        <v>38</v>
      </c>
      <c r="W870" t="s">
        <v>872</v>
      </c>
      <c r="X870">
        <v>63.66</v>
      </c>
      <c r="Y870" s="9">
        <f t="shared" si="66"/>
        <v>63.66</v>
      </c>
      <c r="Z870" s="9">
        <f t="shared" si="67"/>
        <v>119.3625</v>
      </c>
      <c r="AA870" s="5">
        <f t="shared" si="68"/>
        <v>132.6117375</v>
      </c>
      <c r="AB870" s="6">
        <f t="shared" si="69"/>
        <v>193.35531374999999</v>
      </c>
      <c r="AD870" s="10">
        <f t="shared" si="70"/>
        <v>242.09460337500002</v>
      </c>
    </row>
    <row r="871" spans="1:30" x14ac:dyDescent="0.3">
      <c r="A871" t="s">
        <v>30</v>
      </c>
      <c r="B871" s="8" t="s">
        <v>32</v>
      </c>
      <c r="C871" s="8" t="s">
        <v>32</v>
      </c>
      <c r="D871" s="8" t="s">
        <v>33</v>
      </c>
      <c r="E871" s="8" t="s">
        <v>34</v>
      </c>
      <c r="F871" s="8" t="s">
        <v>35</v>
      </c>
      <c r="G871">
        <v>7318290000</v>
      </c>
      <c r="H871" t="s">
        <v>759</v>
      </c>
      <c r="I871" t="s">
        <v>791</v>
      </c>
      <c r="J871" t="s">
        <v>38</v>
      </c>
      <c r="K871" t="s">
        <v>39</v>
      </c>
      <c r="L871">
        <v>8</v>
      </c>
      <c r="M871">
        <v>3</v>
      </c>
      <c r="N871" t="s">
        <v>40</v>
      </c>
      <c r="O871">
        <v>14.66</v>
      </c>
      <c r="P871">
        <v>194.17</v>
      </c>
      <c r="Q871">
        <v>10.99</v>
      </c>
      <c r="R871">
        <v>1.24</v>
      </c>
      <c r="S871">
        <v>206.4</v>
      </c>
      <c r="T871" t="s">
        <v>41</v>
      </c>
      <c r="U871" t="s">
        <v>41</v>
      </c>
      <c r="V871" t="s">
        <v>38</v>
      </c>
      <c r="W871" t="s">
        <v>872</v>
      </c>
      <c r="X871">
        <v>64.72</v>
      </c>
      <c r="Y871" s="9">
        <f t="shared" si="66"/>
        <v>64.723333333333329</v>
      </c>
      <c r="Z871" s="9">
        <f t="shared" si="67"/>
        <v>121.35624999999999</v>
      </c>
      <c r="AA871" s="5">
        <f t="shared" si="68"/>
        <v>134.82679374999998</v>
      </c>
      <c r="AB871" s="6">
        <f t="shared" si="69"/>
        <v>196.58498937499996</v>
      </c>
      <c r="AD871" s="10">
        <f t="shared" si="70"/>
        <v>246.1383869375</v>
      </c>
    </row>
    <row r="872" spans="1:30" x14ac:dyDescent="0.3">
      <c r="A872" t="s">
        <v>30</v>
      </c>
      <c r="B872" s="8" t="s">
        <v>31</v>
      </c>
      <c r="C872" s="8" t="s">
        <v>32</v>
      </c>
      <c r="D872" s="8" t="s">
        <v>33</v>
      </c>
      <c r="E872" s="8" t="s">
        <v>34</v>
      </c>
      <c r="F872" s="8" t="s">
        <v>35</v>
      </c>
      <c r="G872">
        <v>8421999000</v>
      </c>
      <c r="H872" t="s">
        <v>36</v>
      </c>
      <c r="I872" t="s">
        <v>478</v>
      </c>
      <c r="J872" t="s">
        <v>38</v>
      </c>
      <c r="K872" t="s">
        <v>39</v>
      </c>
      <c r="L872">
        <v>8</v>
      </c>
      <c r="M872">
        <v>3</v>
      </c>
      <c r="N872" t="s">
        <v>64</v>
      </c>
      <c r="O872">
        <v>0</v>
      </c>
      <c r="P872">
        <v>331.89</v>
      </c>
      <c r="Q872">
        <v>47.76</v>
      </c>
      <c r="R872">
        <v>2.34</v>
      </c>
      <c r="S872">
        <v>381.99</v>
      </c>
      <c r="T872" t="s">
        <v>41</v>
      </c>
      <c r="U872" t="s">
        <v>41</v>
      </c>
      <c r="V872" t="s">
        <v>38</v>
      </c>
      <c r="W872" t="s">
        <v>874</v>
      </c>
      <c r="X872">
        <v>110.63</v>
      </c>
      <c r="Y872" s="9">
        <f t="shared" si="66"/>
        <v>110.63</v>
      </c>
      <c r="Z872" s="9">
        <f t="shared" si="67"/>
        <v>207.43124999999998</v>
      </c>
      <c r="AA872" s="5">
        <f t="shared" si="68"/>
        <v>230.45611874999997</v>
      </c>
      <c r="AB872" s="6">
        <f t="shared" si="69"/>
        <v>336.01788187499994</v>
      </c>
      <c r="AD872" s="10">
        <f t="shared" si="70"/>
        <v>420.71828418749999</v>
      </c>
    </row>
    <row r="873" spans="1:30" x14ac:dyDescent="0.3">
      <c r="A873" t="s">
        <v>30</v>
      </c>
      <c r="B873" s="8" t="s">
        <v>31</v>
      </c>
      <c r="C873" s="8" t="s">
        <v>32</v>
      </c>
      <c r="D873" s="8" t="s">
        <v>69</v>
      </c>
      <c r="E873" s="8" t="s">
        <v>70</v>
      </c>
      <c r="F873" s="8" t="s">
        <v>71</v>
      </c>
      <c r="G873">
        <v>8421999000</v>
      </c>
      <c r="H873" t="s">
        <v>36</v>
      </c>
      <c r="I873" t="s">
        <v>478</v>
      </c>
      <c r="J873" t="s">
        <v>38</v>
      </c>
      <c r="K873" t="s">
        <v>39</v>
      </c>
      <c r="L873">
        <v>9</v>
      </c>
      <c r="M873">
        <v>5</v>
      </c>
      <c r="N873" t="s">
        <v>64</v>
      </c>
      <c r="O873">
        <v>0</v>
      </c>
      <c r="P873">
        <v>543.25</v>
      </c>
      <c r="Q873">
        <v>27.38</v>
      </c>
      <c r="R873">
        <v>3.45</v>
      </c>
      <c r="S873">
        <v>574.08000000000004</v>
      </c>
      <c r="T873" t="s">
        <v>41</v>
      </c>
      <c r="U873" t="s">
        <v>43</v>
      </c>
      <c r="V873" t="s">
        <v>38</v>
      </c>
      <c r="W873" t="s">
        <v>874</v>
      </c>
      <c r="X873">
        <v>108.65</v>
      </c>
      <c r="Y873" s="9">
        <f t="shared" si="66"/>
        <v>108.65</v>
      </c>
      <c r="Z873" s="9">
        <f t="shared" si="67"/>
        <v>203.71875</v>
      </c>
      <c r="AA873" s="5">
        <f t="shared" si="68"/>
        <v>226.33153124999998</v>
      </c>
      <c r="AB873" s="6">
        <f t="shared" si="69"/>
        <v>330.004003125</v>
      </c>
      <c r="AD873" s="10">
        <f t="shared" si="70"/>
        <v>413.18848031250002</v>
      </c>
    </row>
    <row r="874" spans="1:30" x14ac:dyDescent="0.3">
      <c r="A874" t="s">
        <v>30</v>
      </c>
      <c r="B874" s="8" t="s">
        <v>31</v>
      </c>
      <c r="C874" s="8" t="s">
        <v>32</v>
      </c>
      <c r="D874" s="8" t="s">
        <v>69</v>
      </c>
      <c r="E874" s="8" t="s">
        <v>70</v>
      </c>
      <c r="F874" s="8" t="s">
        <v>71</v>
      </c>
      <c r="G874">
        <v>8421999000</v>
      </c>
      <c r="H874" t="s">
        <v>36</v>
      </c>
      <c r="I874" t="s">
        <v>478</v>
      </c>
      <c r="J874" t="s">
        <v>38</v>
      </c>
      <c r="K874" t="s">
        <v>39</v>
      </c>
      <c r="L874">
        <v>13</v>
      </c>
      <c r="M874">
        <v>2</v>
      </c>
      <c r="N874" t="s">
        <v>64</v>
      </c>
      <c r="O874">
        <v>0</v>
      </c>
      <c r="P874">
        <v>224.18</v>
      </c>
      <c r="Q874">
        <v>11.97</v>
      </c>
      <c r="R874">
        <v>1.44</v>
      </c>
      <c r="S874">
        <v>237.59</v>
      </c>
      <c r="T874" t="s">
        <v>72</v>
      </c>
      <c r="U874" t="s">
        <v>72</v>
      </c>
      <c r="V874" t="s">
        <v>38</v>
      </c>
      <c r="W874" t="s">
        <v>874</v>
      </c>
      <c r="X874">
        <v>112.09</v>
      </c>
      <c r="Y874" s="9">
        <f t="shared" si="66"/>
        <v>112.09</v>
      </c>
      <c r="Z874" s="9">
        <f t="shared" si="67"/>
        <v>210.16875000000002</v>
      </c>
      <c r="AA874" s="5">
        <f t="shared" si="68"/>
        <v>233.49748125000002</v>
      </c>
      <c r="AB874" s="6">
        <f t="shared" si="69"/>
        <v>340.45235812499999</v>
      </c>
      <c r="AD874" s="10">
        <f t="shared" si="70"/>
        <v>426.27056381250009</v>
      </c>
    </row>
    <row r="875" spans="1:30" x14ac:dyDescent="0.3">
      <c r="A875" t="s">
        <v>30</v>
      </c>
      <c r="B875" s="8" t="s">
        <v>31</v>
      </c>
      <c r="C875" s="8" t="s">
        <v>32</v>
      </c>
      <c r="D875" s="8" t="s">
        <v>33</v>
      </c>
      <c r="E875" s="8" t="s">
        <v>34</v>
      </c>
      <c r="F875" s="8" t="s">
        <v>35</v>
      </c>
      <c r="G875">
        <v>8421999000</v>
      </c>
      <c r="H875" t="s">
        <v>36</v>
      </c>
      <c r="I875" t="s">
        <v>478</v>
      </c>
      <c r="J875" t="s">
        <v>38</v>
      </c>
      <c r="K875" t="s">
        <v>39</v>
      </c>
      <c r="L875">
        <v>8</v>
      </c>
      <c r="M875">
        <v>4</v>
      </c>
      <c r="N875" t="s">
        <v>64</v>
      </c>
      <c r="O875">
        <v>0</v>
      </c>
      <c r="P875">
        <v>458.54</v>
      </c>
      <c r="Q875">
        <v>48.95</v>
      </c>
      <c r="R875">
        <v>3.07</v>
      </c>
      <c r="S875">
        <v>510.56</v>
      </c>
      <c r="T875" t="s">
        <v>41</v>
      </c>
      <c r="U875" t="s">
        <v>41</v>
      </c>
      <c r="V875" t="s">
        <v>38</v>
      </c>
      <c r="W875" t="s">
        <v>874</v>
      </c>
      <c r="X875">
        <v>114.63</v>
      </c>
      <c r="Y875" s="9">
        <f t="shared" si="66"/>
        <v>114.63500000000001</v>
      </c>
      <c r="Z875" s="9">
        <f t="shared" si="67"/>
        <v>214.94062500000001</v>
      </c>
      <c r="AA875" s="5">
        <f t="shared" si="68"/>
        <v>238.79903437500002</v>
      </c>
      <c r="AB875" s="6">
        <f t="shared" si="69"/>
        <v>348.18231843749999</v>
      </c>
      <c r="AD875" s="10">
        <f t="shared" si="70"/>
        <v>435.94902384375007</v>
      </c>
    </row>
    <row r="876" spans="1:30" x14ac:dyDescent="0.3">
      <c r="A876" t="s">
        <v>30</v>
      </c>
      <c r="B876" s="8" t="s">
        <v>31</v>
      </c>
      <c r="C876" s="8" t="s">
        <v>32</v>
      </c>
      <c r="D876" s="8" t="s">
        <v>33</v>
      </c>
      <c r="E876" s="8" t="s">
        <v>34</v>
      </c>
      <c r="F876" s="8" t="s">
        <v>35</v>
      </c>
      <c r="G876">
        <v>8421999000</v>
      </c>
      <c r="H876" t="s">
        <v>36</v>
      </c>
      <c r="I876" t="s">
        <v>478</v>
      </c>
      <c r="J876" t="s">
        <v>38</v>
      </c>
      <c r="K876" t="s">
        <v>39</v>
      </c>
      <c r="L876">
        <v>6</v>
      </c>
      <c r="M876">
        <v>2</v>
      </c>
      <c r="N876" t="s">
        <v>64</v>
      </c>
      <c r="O876">
        <v>0</v>
      </c>
      <c r="P876">
        <v>274.08999999999997</v>
      </c>
      <c r="Q876">
        <v>33.15</v>
      </c>
      <c r="R876">
        <v>1.91</v>
      </c>
      <c r="S876">
        <v>309.14</v>
      </c>
      <c r="T876" t="s">
        <v>41</v>
      </c>
      <c r="U876" t="s">
        <v>43</v>
      </c>
      <c r="V876" t="s">
        <v>38</v>
      </c>
      <c r="W876" t="s">
        <v>875</v>
      </c>
      <c r="X876">
        <v>137.04</v>
      </c>
      <c r="Y876" s="9">
        <f t="shared" si="66"/>
        <v>137.04499999999999</v>
      </c>
      <c r="Z876" s="9">
        <f t="shared" si="67"/>
        <v>256.95937499999997</v>
      </c>
      <c r="AA876" s="5">
        <f t="shared" si="68"/>
        <v>285.48186562499995</v>
      </c>
      <c r="AB876" s="6">
        <f t="shared" si="69"/>
        <v>416.24849156249991</v>
      </c>
      <c r="AD876" s="10">
        <f t="shared" si="70"/>
        <v>521.17271315624998</v>
      </c>
    </row>
    <row r="877" spans="1:30" x14ac:dyDescent="0.3">
      <c r="A877" t="s">
        <v>30</v>
      </c>
      <c r="B877" s="8" t="s">
        <v>31</v>
      </c>
      <c r="C877" s="8" t="s">
        <v>32</v>
      </c>
      <c r="D877" s="8" t="s">
        <v>33</v>
      </c>
      <c r="E877" s="8" t="s">
        <v>34</v>
      </c>
      <c r="F877" s="8" t="s">
        <v>35</v>
      </c>
      <c r="G877">
        <v>8421999000</v>
      </c>
      <c r="H877" t="s">
        <v>36</v>
      </c>
      <c r="I877" t="s">
        <v>478</v>
      </c>
      <c r="J877" t="s">
        <v>38</v>
      </c>
      <c r="K877" t="s">
        <v>39</v>
      </c>
      <c r="L877">
        <v>6</v>
      </c>
      <c r="M877">
        <v>3</v>
      </c>
      <c r="N877" t="s">
        <v>64</v>
      </c>
      <c r="O877">
        <v>0</v>
      </c>
      <c r="P877">
        <v>452.16</v>
      </c>
      <c r="Q877">
        <v>30.68</v>
      </c>
      <c r="R877">
        <v>2.94</v>
      </c>
      <c r="S877">
        <v>485.78</v>
      </c>
      <c r="T877" t="s">
        <v>41</v>
      </c>
      <c r="U877" t="s">
        <v>41</v>
      </c>
      <c r="V877" t="s">
        <v>38</v>
      </c>
      <c r="W877" t="s">
        <v>875</v>
      </c>
      <c r="X877">
        <v>150.72</v>
      </c>
      <c r="Y877" s="9">
        <f t="shared" si="66"/>
        <v>150.72</v>
      </c>
      <c r="Z877" s="9">
        <f t="shared" si="67"/>
        <v>282.60000000000002</v>
      </c>
      <c r="AA877" s="5">
        <f t="shared" si="68"/>
        <v>313.96860000000004</v>
      </c>
      <c r="AB877" s="6">
        <f t="shared" si="69"/>
        <v>457.78374000000002</v>
      </c>
      <c r="AD877" s="10">
        <f t="shared" si="70"/>
        <v>573.17779800000005</v>
      </c>
    </row>
    <row r="878" spans="1:30" x14ac:dyDescent="0.3">
      <c r="A878" t="s">
        <v>30</v>
      </c>
      <c r="B878" s="8" t="s">
        <v>31</v>
      </c>
      <c r="C878" s="8" t="s">
        <v>32</v>
      </c>
      <c r="D878" s="8" t="s">
        <v>33</v>
      </c>
      <c r="E878" s="8" t="s">
        <v>34</v>
      </c>
      <c r="F878" s="8" t="s">
        <v>35</v>
      </c>
      <c r="G878">
        <v>8421999000</v>
      </c>
      <c r="H878" t="s">
        <v>36</v>
      </c>
      <c r="I878" t="s">
        <v>478</v>
      </c>
      <c r="J878" t="s">
        <v>38</v>
      </c>
      <c r="K878" t="s">
        <v>39</v>
      </c>
      <c r="L878">
        <v>16</v>
      </c>
      <c r="M878">
        <v>2</v>
      </c>
      <c r="N878" t="s">
        <v>64</v>
      </c>
      <c r="O878">
        <v>0</v>
      </c>
      <c r="P878">
        <v>302.57</v>
      </c>
      <c r="Q878">
        <v>41.76</v>
      </c>
      <c r="R878">
        <v>2.02</v>
      </c>
      <c r="S878">
        <v>346.35</v>
      </c>
      <c r="T878" t="s">
        <v>41</v>
      </c>
      <c r="U878" t="s">
        <v>41</v>
      </c>
      <c r="V878" t="s">
        <v>38</v>
      </c>
      <c r="W878" t="s">
        <v>875</v>
      </c>
      <c r="X878">
        <v>151.28</v>
      </c>
      <c r="Y878" s="9">
        <f t="shared" si="66"/>
        <v>151.285</v>
      </c>
      <c r="Z878" s="9">
        <f t="shared" si="67"/>
        <v>283.65937500000001</v>
      </c>
      <c r="AA878" s="5">
        <f t="shared" si="68"/>
        <v>315.14556562500002</v>
      </c>
      <c r="AB878" s="6">
        <f t="shared" si="69"/>
        <v>459.49982156250002</v>
      </c>
      <c r="AD878" s="10">
        <f t="shared" si="70"/>
        <v>575.32645415625007</v>
      </c>
    </row>
    <row r="879" spans="1:30" x14ac:dyDescent="0.3">
      <c r="A879" t="s">
        <v>168</v>
      </c>
      <c r="B879" s="8" t="s">
        <v>31</v>
      </c>
      <c r="C879" s="8" t="s">
        <v>32</v>
      </c>
      <c r="D879" s="8" t="s">
        <v>33</v>
      </c>
      <c r="E879" s="8" t="s">
        <v>34</v>
      </c>
      <c r="F879" s="8" t="s">
        <v>35</v>
      </c>
      <c r="G879">
        <v>8421999000</v>
      </c>
      <c r="H879" t="s">
        <v>36</v>
      </c>
      <c r="I879" t="s">
        <v>478</v>
      </c>
      <c r="J879" t="s">
        <v>38</v>
      </c>
      <c r="K879" t="s">
        <v>39</v>
      </c>
      <c r="L879">
        <v>11</v>
      </c>
      <c r="M879">
        <v>1</v>
      </c>
      <c r="N879" t="s">
        <v>64</v>
      </c>
      <c r="O879">
        <v>0</v>
      </c>
      <c r="P879">
        <v>151.72</v>
      </c>
      <c r="Q879">
        <v>14.53</v>
      </c>
      <c r="R879">
        <v>1.02</v>
      </c>
      <c r="S879">
        <v>167.27</v>
      </c>
      <c r="T879" t="s">
        <v>41</v>
      </c>
      <c r="U879" t="s">
        <v>43</v>
      </c>
      <c r="V879" t="s">
        <v>38</v>
      </c>
      <c r="W879" t="s">
        <v>875</v>
      </c>
      <c r="X879">
        <v>151.72</v>
      </c>
      <c r="Y879" s="9">
        <f t="shared" si="66"/>
        <v>151.72</v>
      </c>
      <c r="Z879" s="9">
        <f t="shared" si="67"/>
        <v>284.47500000000002</v>
      </c>
      <c r="AA879" s="5">
        <f t="shared" si="68"/>
        <v>316.05172500000003</v>
      </c>
      <c r="AB879" s="6">
        <f t="shared" si="69"/>
        <v>460.82105250000001</v>
      </c>
      <c r="AD879" s="10">
        <f t="shared" si="70"/>
        <v>576.98072925000008</v>
      </c>
    </row>
    <row r="880" spans="1:30" x14ac:dyDescent="0.3">
      <c r="A880" t="s">
        <v>168</v>
      </c>
      <c r="B880" s="8" t="s">
        <v>31</v>
      </c>
      <c r="C880" s="8" t="s">
        <v>32</v>
      </c>
      <c r="D880" s="8" t="s">
        <v>33</v>
      </c>
      <c r="E880" s="8" t="s">
        <v>34</v>
      </c>
      <c r="F880" s="8" t="s">
        <v>35</v>
      </c>
      <c r="G880">
        <v>8421999000</v>
      </c>
      <c r="H880" t="s">
        <v>36</v>
      </c>
      <c r="I880" t="s">
        <v>478</v>
      </c>
      <c r="J880" t="s">
        <v>38</v>
      </c>
      <c r="K880" t="s">
        <v>39</v>
      </c>
      <c r="L880">
        <v>11</v>
      </c>
      <c r="M880">
        <v>7</v>
      </c>
      <c r="N880" t="s">
        <v>64</v>
      </c>
      <c r="O880">
        <v>0</v>
      </c>
      <c r="P880">
        <v>1062.03</v>
      </c>
      <c r="Q880">
        <v>101.72</v>
      </c>
      <c r="R880">
        <v>7.17</v>
      </c>
      <c r="S880">
        <v>1170.92</v>
      </c>
      <c r="T880" t="s">
        <v>41</v>
      </c>
      <c r="U880" t="s">
        <v>43</v>
      </c>
      <c r="V880" t="s">
        <v>38</v>
      </c>
      <c r="W880" t="s">
        <v>875</v>
      </c>
      <c r="X880">
        <v>151.72</v>
      </c>
      <c r="Y880" s="9">
        <f t="shared" si="66"/>
        <v>151.71857142857144</v>
      </c>
      <c r="Z880" s="9">
        <f t="shared" si="67"/>
        <v>284.47232142857143</v>
      </c>
      <c r="AA880" s="5">
        <f t="shared" si="68"/>
        <v>316.04874910714284</v>
      </c>
      <c r="AB880" s="6">
        <f t="shared" si="69"/>
        <v>460.81671348214286</v>
      </c>
      <c r="AD880" s="10">
        <f t="shared" si="70"/>
        <v>576.9752964910715</v>
      </c>
    </row>
    <row r="881" spans="1:30" x14ac:dyDescent="0.3">
      <c r="A881" t="s">
        <v>30</v>
      </c>
      <c r="B881" s="8" t="s">
        <v>31</v>
      </c>
      <c r="C881" s="8" t="s">
        <v>32</v>
      </c>
      <c r="D881" s="8" t="s">
        <v>69</v>
      </c>
      <c r="E881" s="8" t="s">
        <v>70</v>
      </c>
      <c r="F881" s="8" t="s">
        <v>71</v>
      </c>
      <c r="G881">
        <v>8421999000</v>
      </c>
      <c r="H881" t="s">
        <v>36</v>
      </c>
      <c r="I881" t="s">
        <v>478</v>
      </c>
      <c r="J881" t="s">
        <v>38</v>
      </c>
      <c r="K881" t="s">
        <v>39</v>
      </c>
      <c r="L881">
        <v>8</v>
      </c>
      <c r="M881">
        <v>2</v>
      </c>
      <c r="N881" t="s">
        <v>64</v>
      </c>
      <c r="O881">
        <v>0</v>
      </c>
      <c r="P881">
        <v>294.92</v>
      </c>
      <c r="Q881">
        <v>19.309999999999999</v>
      </c>
      <c r="R881">
        <v>1.91</v>
      </c>
      <c r="S881">
        <v>316.14</v>
      </c>
      <c r="T881" t="s">
        <v>41</v>
      </c>
      <c r="U881" t="s">
        <v>41</v>
      </c>
      <c r="V881" t="s">
        <v>38</v>
      </c>
      <c r="W881" t="s">
        <v>875</v>
      </c>
      <c r="X881">
        <v>147.46</v>
      </c>
      <c r="Y881" s="9">
        <f t="shared" si="66"/>
        <v>147.46</v>
      </c>
      <c r="Z881" s="9">
        <f t="shared" si="67"/>
        <v>276.48750000000001</v>
      </c>
      <c r="AA881" s="5">
        <f t="shared" si="68"/>
        <v>307.17761250000001</v>
      </c>
      <c r="AB881" s="6">
        <f t="shared" si="69"/>
        <v>447.88210125000001</v>
      </c>
      <c r="AD881" s="10">
        <f t="shared" si="70"/>
        <v>560.78024212500009</v>
      </c>
    </row>
    <row r="882" spans="1:30" x14ac:dyDescent="0.3">
      <c r="A882" t="s">
        <v>30</v>
      </c>
      <c r="B882" s="8" t="s">
        <v>31</v>
      </c>
      <c r="C882" s="8" t="s">
        <v>32</v>
      </c>
      <c r="D882" s="8" t="s">
        <v>69</v>
      </c>
      <c r="E882" s="8" t="s">
        <v>70</v>
      </c>
      <c r="F882" s="8" t="s">
        <v>71</v>
      </c>
      <c r="G882">
        <v>8421999000</v>
      </c>
      <c r="H882" t="s">
        <v>36</v>
      </c>
      <c r="I882" t="s">
        <v>478</v>
      </c>
      <c r="J882" t="s">
        <v>38</v>
      </c>
      <c r="K882" t="s">
        <v>39</v>
      </c>
      <c r="L882">
        <v>8</v>
      </c>
      <c r="M882">
        <v>4</v>
      </c>
      <c r="N882" t="s">
        <v>64</v>
      </c>
      <c r="O882">
        <v>0</v>
      </c>
      <c r="P882">
        <v>589.84</v>
      </c>
      <c r="Q882">
        <v>38.61</v>
      </c>
      <c r="R882">
        <v>3.83</v>
      </c>
      <c r="S882">
        <v>632.28</v>
      </c>
      <c r="T882" t="s">
        <v>41</v>
      </c>
      <c r="U882" t="s">
        <v>41</v>
      </c>
      <c r="V882" t="s">
        <v>38</v>
      </c>
      <c r="W882" t="s">
        <v>875</v>
      </c>
      <c r="X882">
        <v>147.46</v>
      </c>
      <c r="Y882" s="9">
        <f t="shared" si="66"/>
        <v>147.46</v>
      </c>
      <c r="Z882" s="9">
        <f t="shared" si="67"/>
        <v>276.48750000000001</v>
      </c>
      <c r="AA882" s="5">
        <f t="shared" si="68"/>
        <v>307.17761250000001</v>
      </c>
      <c r="AB882" s="6">
        <f t="shared" si="69"/>
        <v>447.88210125000001</v>
      </c>
      <c r="AD882" s="10">
        <f t="shared" si="70"/>
        <v>560.78024212500009</v>
      </c>
    </row>
    <row r="883" spans="1:30" x14ac:dyDescent="0.3">
      <c r="A883" t="s">
        <v>30</v>
      </c>
      <c r="B883" s="8" t="s">
        <v>31</v>
      </c>
      <c r="C883" s="8" t="s">
        <v>32</v>
      </c>
      <c r="D883" s="8" t="s">
        <v>33</v>
      </c>
      <c r="E883" s="8" t="s">
        <v>34</v>
      </c>
      <c r="F883" s="8" t="s">
        <v>35</v>
      </c>
      <c r="G883">
        <v>8421999000</v>
      </c>
      <c r="H883" t="s">
        <v>36</v>
      </c>
      <c r="I883" t="s">
        <v>478</v>
      </c>
      <c r="J883" t="s">
        <v>38</v>
      </c>
      <c r="K883" t="s">
        <v>39</v>
      </c>
      <c r="L883">
        <v>8</v>
      </c>
      <c r="M883">
        <v>3</v>
      </c>
      <c r="N883" t="s">
        <v>64</v>
      </c>
      <c r="O883">
        <v>0</v>
      </c>
      <c r="P883">
        <v>452.42</v>
      </c>
      <c r="Q883">
        <v>48.3</v>
      </c>
      <c r="R883">
        <v>3.03</v>
      </c>
      <c r="S883">
        <v>503.75</v>
      </c>
      <c r="T883" t="s">
        <v>41</v>
      </c>
      <c r="U883" t="s">
        <v>41</v>
      </c>
      <c r="V883" t="s">
        <v>38</v>
      </c>
      <c r="W883" t="s">
        <v>875</v>
      </c>
      <c r="X883">
        <v>150.81</v>
      </c>
      <c r="Y883" s="9">
        <f t="shared" si="66"/>
        <v>150.80666666666667</v>
      </c>
      <c r="Z883" s="9">
        <f t="shared" si="67"/>
        <v>282.76249999999999</v>
      </c>
      <c r="AA883" s="5">
        <f t="shared" si="68"/>
        <v>314.14913749999999</v>
      </c>
      <c r="AB883" s="6">
        <f t="shared" si="69"/>
        <v>458.04697374999995</v>
      </c>
      <c r="AD883" s="10">
        <f t="shared" si="70"/>
        <v>573.50738537500001</v>
      </c>
    </row>
    <row r="884" spans="1:30" x14ac:dyDescent="0.3">
      <c r="A884" t="s">
        <v>168</v>
      </c>
      <c r="B884" s="8" t="s">
        <v>31</v>
      </c>
      <c r="C884" s="8" t="s">
        <v>32</v>
      </c>
      <c r="E884" s="8" t="s">
        <v>70</v>
      </c>
      <c r="F884" s="8" t="s">
        <v>71</v>
      </c>
      <c r="G884">
        <v>8421999000</v>
      </c>
      <c r="H884" t="s">
        <v>36</v>
      </c>
      <c r="I884" t="s">
        <v>478</v>
      </c>
      <c r="J884" t="s">
        <v>38</v>
      </c>
      <c r="K884" t="s">
        <v>39</v>
      </c>
      <c r="L884">
        <v>0</v>
      </c>
      <c r="M884">
        <v>6</v>
      </c>
      <c r="N884" t="s">
        <v>64</v>
      </c>
      <c r="O884">
        <v>0</v>
      </c>
      <c r="P884">
        <v>1521.21</v>
      </c>
      <c r="Q884">
        <v>116.78</v>
      </c>
      <c r="R884">
        <v>10.96</v>
      </c>
      <c r="S884">
        <v>1648.94</v>
      </c>
      <c r="T884" t="s">
        <v>41</v>
      </c>
      <c r="U884" t="s">
        <v>41</v>
      </c>
      <c r="V884" t="s">
        <v>38</v>
      </c>
      <c r="W884" t="s">
        <v>875</v>
      </c>
      <c r="X884">
        <v>253.53</v>
      </c>
      <c r="Y884" s="9">
        <f t="shared" si="66"/>
        <v>253.535</v>
      </c>
      <c r="Z884" s="9">
        <f t="shared" si="67"/>
        <v>475.37812500000001</v>
      </c>
      <c r="AA884" s="5">
        <f t="shared" si="68"/>
        <v>528.14509687500004</v>
      </c>
      <c r="AB884" s="6">
        <f t="shared" si="69"/>
        <v>770.0650246875</v>
      </c>
      <c r="AD884" s="10">
        <f t="shared" si="70"/>
        <v>964.17617446875011</v>
      </c>
    </row>
    <row r="885" spans="1:30" x14ac:dyDescent="0.3">
      <c r="A885" t="s">
        <v>30</v>
      </c>
      <c r="B885" s="8" t="s">
        <v>31</v>
      </c>
      <c r="C885" s="8" t="s">
        <v>32</v>
      </c>
      <c r="D885" s="8" t="s">
        <v>33</v>
      </c>
      <c r="E885" s="8" t="s">
        <v>34</v>
      </c>
      <c r="F885" s="8" t="s">
        <v>35</v>
      </c>
      <c r="G885">
        <v>8421999000</v>
      </c>
      <c r="H885" t="s">
        <v>36</v>
      </c>
      <c r="I885" t="s">
        <v>478</v>
      </c>
      <c r="J885" t="s">
        <v>38</v>
      </c>
      <c r="K885" t="s">
        <v>39</v>
      </c>
      <c r="L885">
        <v>12</v>
      </c>
      <c r="M885">
        <v>2</v>
      </c>
      <c r="N885" t="s">
        <v>64</v>
      </c>
      <c r="O885">
        <v>0</v>
      </c>
      <c r="P885">
        <v>386.58</v>
      </c>
      <c r="Q885">
        <v>44.39</v>
      </c>
      <c r="R885">
        <v>2.58</v>
      </c>
      <c r="S885">
        <v>433.55</v>
      </c>
      <c r="T885" t="s">
        <v>41</v>
      </c>
      <c r="U885" t="s">
        <v>41</v>
      </c>
      <c r="V885" t="s">
        <v>38</v>
      </c>
      <c r="W885" t="s">
        <v>876</v>
      </c>
      <c r="X885">
        <v>193.29</v>
      </c>
      <c r="Y885" s="9">
        <f t="shared" si="66"/>
        <v>193.29</v>
      </c>
      <c r="Z885" s="9">
        <f t="shared" si="67"/>
        <v>362.41874999999999</v>
      </c>
      <c r="AA885" s="5">
        <f t="shared" si="68"/>
        <v>402.64723125</v>
      </c>
      <c r="AB885" s="6">
        <f t="shared" si="69"/>
        <v>587.08213312499993</v>
      </c>
      <c r="AD885" s="10">
        <f t="shared" si="70"/>
        <v>735.0685813125001</v>
      </c>
    </row>
    <row r="886" spans="1:30" x14ac:dyDescent="0.3">
      <c r="A886" t="s">
        <v>30</v>
      </c>
      <c r="B886" s="8" t="s">
        <v>31</v>
      </c>
      <c r="C886" s="8" t="s">
        <v>32</v>
      </c>
      <c r="D886" s="8" t="s">
        <v>69</v>
      </c>
      <c r="E886" s="8" t="s">
        <v>70</v>
      </c>
      <c r="F886" s="8" t="s">
        <v>71</v>
      </c>
      <c r="G886">
        <v>8421999000</v>
      </c>
      <c r="H886" t="s">
        <v>36</v>
      </c>
      <c r="I886" t="s">
        <v>478</v>
      </c>
      <c r="J886" t="s">
        <v>38</v>
      </c>
      <c r="K886" t="s">
        <v>39</v>
      </c>
      <c r="L886">
        <v>13</v>
      </c>
      <c r="M886">
        <v>1</v>
      </c>
      <c r="N886" t="s">
        <v>64</v>
      </c>
      <c r="O886">
        <v>0</v>
      </c>
      <c r="P886">
        <v>187.79</v>
      </c>
      <c r="Q886">
        <v>10.029999999999999</v>
      </c>
      <c r="R886">
        <v>1.21</v>
      </c>
      <c r="S886">
        <v>199.02</v>
      </c>
      <c r="T886" t="s">
        <v>72</v>
      </c>
      <c r="U886" t="s">
        <v>72</v>
      </c>
      <c r="V886" t="s">
        <v>38</v>
      </c>
      <c r="W886" t="s">
        <v>876</v>
      </c>
      <c r="X886">
        <v>187.79</v>
      </c>
      <c r="Y886" s="9">
        <f t="shared" si="66"/>
        <v>187.79</v>
      </c>
      <c r="Z886" s="9">
        <f t="shared" si="67"/>
        <v>352.10624999999999</v>
      </c>
      <c r="AA886" s="5">
        <f t="shared" si="68"/>
        <v>391.19004374999997</v>
      </c>
      <c r="AB886" s="6">
        <f t="shared" si="69"/>
        <v>570.37691437499996</v>
      </c>
      <c r="AD886" s="10">
        <f t="shared" si="70"/>
        <v>714.15245943750006</v>
      </c>
    </row>
    <row r="887" spans="1:30" x14ac:dyDescent="0.3">
      <c r="A887" t="s">
        <v>30</v>
      </c>
      <c r="B887" s="8" t="s">
        <v>31</v>
      </c>
      <c r="C887" s="8" t="s">
        <v>32</v>
      </c>
      <c r="D887" s="8" t="s">
        <v>33</v>
      </c>
      <c r="E887" s="8" t="s">
        <v>34</v>
      </c>
      <c r="F887" s="8" t="s">
        <v>35</v>
      </c>
      <c r="G887">
        <v>8421999000</v>
      </c>
      <c r="H887" t="s">
        <v>36</v>
      </c>
      <c r="I887" t="s">
        <v>602</v>
      </c>
      <c r="J887" t="s">
        <v>38</v>
      </c>
      <c r="K887" t="s">
        <v>39</v>
      </c>
      <c r="L887">
        <v>7</v>
      </c>
      <c r="M887">
        <v>6</v>
      </c>
      <c r="N887" t="s">
        <v>64</v>
      </c>
      <c r="O887">
        <v>0</v>
      </c>
      <c r="P887">
        <v>1825.25</v>
      </c>
      <c r="Q887">
        <v>288.36</v>
      </c>
      <c r="R887">
        <v>11.25</v>
      </c>
      <c r="S887">
        <v>2124.87</v>
      </c>
      <c r="T887" t="s">
        <v>41</v>
      </c>
      <c r="U887" t="s">
        <v>41</v>
      </c>
      <c r="V887" t="s">
        <v>38</v>
      </c>
      <c r="W887" t="s">
        <v>877</v>
      </c>
      <c r="X887">
        <v>304.20999999999998</v>
      </c>
      <c r="Y887" s="9">
        <f t="shared" si="66"/>
        <v>304.20833333333331</v>
      </c>
      <c r="Z887" s="9">
        <f t="shared" si="67"/>
        <v>570.390625</v>
      </c>
      <c r="AA887" s="5">
        <f t="shared" si="68"/>
        <v>633.703984375</v>
      </c>
      <c r="AB887" s="6">
        <f t="shared" si="69"/>
        <v>923.97577343749992</v>
      </c>
      <c r="AD887" s="10">
        <f t="shared" si="70"/>
        <v>1156.8833773437502</v>
      </c>
    </row>
    <row r="888" spans="1:30" x14ac:dyDescent="0.3">
      <c r="A888" t="s">
        <v>30</v>
      </c>
      <c r="B888" s="8" t="s">
        <v>31</v>
      </c>
      <c r="C888" s="8" t="s">
        <v>32</v>
      </c>
      <c r="D888" s="8" t="s">
        <v>33</v>
      </c>
      <c r="E888" s="8" t="s">
        <v>34</v>
      </c>
      <c r="F888" s="8" t="s">
        <v>35</v>
      </c>
      <c r="G888">
        <v>8421999000</v>
      </c>
      <c r="H888" t="s">
        <v>36</v>
      </c>
      <c r="I888" t="s">
        <v>661</v>
      </c>
      <c r="J888" t="s">
        <v>38</v>
      </c>
      <c r="K888" t="s">
        <v>39</v>
      </c>
      <c r="L888">
        <v>6</v>
      </c>
      <c r="M888">
        <v>2</v>
      </c>
      <c r="N888" t="s">
        <v>64</v>
      </c>
      <c r="O888">
        <v>0</v>
      </c>
      <c r="P888">
        <v>595.15</v>
      </c>
      <c r="Q888">
        <v>71.97</v>
      </c>
      <c r="R888">
        <v>4.1500000000000004</v>
      </c>
      <c r="S888">
        <v>671.27</v>
      </c>
      <c r="T888" t="s">
        <v>41</v>
      </c>
      <c r="U888" t="s">
        <v>43</v>
      </c>
      <c r="V888" t="s">
        <v>38</v>
      </c>
      <c r="W888" t="s">
        <v>877</v>
      </c>
      <c r="X888">
        <v>297.57</v>
      </c>
      <c r="Y888" s="9">
        <f t="shared" si="66"/>
        <v>297.57499999999999</v>
      </c>
      <c r="Z888" s="9">
        <f t="shared" si="67"/>
        <v>557.953125</v>
      </c>
      <c r="AA888" s="5">
        <f t="shared" si="68"/>
        <v>619.88592187500001</v>
      </c>
      <c r="AB888" s="6">
        <f t="shared" si="69"/>
        <v>903.82826718749993</v>
      </c>
      <c r="AD888" s="10">
        <f t="shared" si="70"/>
        <v>1131.6572667187502</v>
      </c>
    </row>
    <row r="889" spans="1:30" x14ac:dyDescent="0.3">
      <c r="A889" t="s">
        <v>30</v>
      </c>
      <c r="B889" s="8" t="s">
        <v>31</v>
      </c>
      <c r="C889" s="8" t="s">
        <v>32</v>
      </c>
      <c r="D889" s="8" t="s">
        <v>69</v>
      </c>
      <c r="E889" s="8" t="s">
        <v>70</v>
      </c>
      <c r="F889" s="8" t="s">
        <v>71</v>
      </c>
      <c r="G889">
        <v>8421999000</v>
      </c>
      <c r="H889" t="s">
        <v>36</v>
      </c>
      <c r="I889" t="s">
        <v>678</v>
      </c>
      <c r="J889" t="s">
        <v>38</v>
      </c>
      <c r="K889" t="s">
        <v>39</v>
      </c>
      <c r="L889">
        <v>13</v>
      </c>
      <c r="M889">
        <v>10</v>
      </c>
      <c r="N889" t="s">
        <v>64</v>
      </c>
      <c r="O889">
        <v>0</v>
      </c>
      <c r="P889">
        <v>2886.4</v>
      </c>
      <c r="Q889">
        <v>204.94</v>
      </c>
      <c r="R889">
        <v>18.87</v>
      </c>
      <c r="S889">
        <v>3110.21</v>
      </c>
      <c r="T889" t="s">
        <v>41</v>
      </c>
      <c r="U889" t="s">
        <v>41</v>
      </c>
      <c r="V889" t="s">
        <v>38</v>
      </c>
      <c r="W889" t="s">
        <v>877</v>
      </c>
      <c r="X889">
        <v>288.64</v>
      </c>
      <c r="Y889" s="9">
        <f t="shared" si="66"/>
        <v>288.64</v>
      </c>
      <c r="Z889" s="9">
        <f t="shared" si="67"/>
        <v>541.19999999999993</v>
      </c>
      <c r="AA889" s="5">
        <f t="shared" si="68"/>
        <v>601.27319999999986</v>
      </c>
      <c r="AB889" s="6">
        <f t="shared" si="69"/>
        <v>876.68987999999979</v>
      </c>
      <c r="AD889" s="10">
        <f t="shared" si="70"/>
        <v>1097.6780759999999</v>
      </c>
    </row>
    <row r="890" spans="1:30" x14ac:dyDescent="0.3">
      <c r="A890" t="s">
        <v>30</v>
      </c>
      <c r="B890" s="8" t="s">
        <v>31</v>
      </c>
      <c r="C890" s="8" t="s">
        <v>32</v>
      </c>
      <c r="D890" s="8" t="s">
        <v>69</v>
      </c>
      <c r="E890" s="8" t="s">
        <v>70</v>
      </c>
      <c r="F890" s="8" t="s">
        <v>71</v>
      </c>
      <c r="G890">
        <v>8421999000</v>
      </c>
      <c r="H890" t="s">
        <v>36</v>
      </c>
      <c r="I890" t="s">
        <v>878</v>
      </c>
      <c r="J890" t="s">
        <v>38</v>
      </c>
      <c r="K890" t="s">
        <v>39</v>
      </c>
      <c r="L890">
        <v>9</v>
      </c>
      <c r="M890">
        <v>5</v>
      </c>
      <c r="N890" t="s">
        <v>64</v>
      </c>
      <c r="O890">
        <v>0</v>
      </c>
      <c r="P890">
        <v>1443.2</v>
      </c>
      <c r="Q890">
        <v>72.73</v>
      </c>
      <c r="R890">
        <v>9.17</v>
      </c>
      <c r="S890">
        <v>1525.1</v>
      </c>
      <c r="T890" t="s">
        <v>41</v>
      </c>
      <c r="U890" t="s">
        <v>43</v>
      </c>
      <c r="V890" t="s">
        <v>38</v>
      </c>
      <c r="W890" t="s">
        <v>877</v>
      </c>
      <c r="X890">
        <v>288.64</v>
      </c>
      <c r="Y890" s="9">
        <f t="shared" si="66"/>
        <v>288.64</v>
      </c>
      <c r="Z890" s="9">
        <f t="shared" si="67"/>
        <v>541.19999999999993</v>
      </c>
      <c r="AA890" s="5">
        <f t="shared" si="68"/>
        <v>601.27319999999986</v>
      </c>
      <c r="AB890" s="6">
        <f t="shared" si="69"/>
        <v>876.68987999999979</v>
      </c>
      <c r="AD890" s="10">
        <f t="shared" si="70"/>
        <v>1097.6780759999999</v>
      </c>
    </row>
    <row r="891" spans="1:30" x14ac:dyDescent="0.3">
      <c r="A891" t="s">
        <v>30</v>
      </c>
      <c r="B891" s="8" t="s">
        <v>31</v>
      </c>
      <c r="C891" s="8" t="s">
        <v>32</v>
      </c>
      <c r="D891" s="8" t="s">
        <v>69</v>
      </c>
      <c r="E891" s="8" t="s">
        <v>70</v>
      </c>
      <c r="F891" s="8" t="s">
        <v>71</v>
      </c>
      <c r="G891">
        <v>8421999000</v>
      </c>
      <c r="H891" t="s">
        <v>36</v>
      </c>
      <c r="I891" t="s">
        <v>670</v>
      </c>
      <c r="J891" t="s">
        <v>38</v>
      </c>
      <c r="K891" t="s">
        <v>39</v>
      </c>
      <c r="L891">
        <v>8</v>
      </c>
      <c r="M891">
        <v>6</v>
      </c>
      <c r="N891" t="s">
        <v>64</v>
      </c>
      <c r="O891">
        <v>0</v>
      </c>
      <c r="P891">
        <v>1787.28</v>
      </c>
      <c r="Q891">
        <v>117</v>
      </c>
      <c r="R891">
        <v>11.59</v>
      </c>
      <c r="S891">
        <v>1915.87</v>
      </c>
      <c r="T891" t="s">
        <v>41</v>
      </c>
      <c r="U891" t="s">
        <v>41</v>
      </c>
      <c r="V891" t="s">
        <v>38</v>
      </c>
      <c r="W891" t="s">
        <v>877</v>
      </c>
      <c r="X891">
        <v>297.88</v>
      </c>
      <c r="Y891" s="9">
        <f t="shared" si="66"/>
        <v>297.88</v>
      </c>
      <c r="Z891" s="9">
        <f t="shared" si="67"/>
        <v>558.52499999999998</v>
      </c>
      <c r="AA891" s="5">
        <f t="shared" si="68"/>
        <v>620.52127499999995</v>
      </c>
      <c r="AB891" s="6">
        <f t="shared" si="69"/>
        <v>904.75464749999992</v>
      </c>
      <c r="AD891" s="10">
        <f t="shared" si="70"/>
        <v>1132.8171607500001</v>
      </c>
    </row>
    <row r="892" spans="1:30" x14ac:dyDescent="0.3">
      <c r="A892" t="s">
        <v>30</v>
      </c>
      <c r="B892" s="8" t="s">
        <v>31</v>
      </c>
      <c r="C892" s="8" t="s">
        <v>32</v>
      </c>
      <c r="D892" s="8" t="s">
        <v>33</v>
      </c>
      <c r="E892" s="8" t="s">
        <v>34</v>
      </c>
      <c r="F892" s="8" t="s">
        <v>35</v>
      </c>
      <c r="G892">
        <v>8421999000</v>
      </c>
      <c r="H892" t="s">
        <v>36</v>
      </c>
      <c r="I892" t="s">
        <v>670</v>
      </c>
      <c r="J892" t="s">
        <v>38</v>
      </c>
      <c r="K892" t="s">
        <v>39</v>
      </c>
      <c r="L892">
        <v>8</v>
      </c>
      <c r="M892">
        <v>3</v>
      </c>
      <c r="N892" t="s">
        <v>64</v>
      </c>
      <c r="O892">
        <v>0</v>
      </c>
      <c r="P892">
        <v>913.93</v>
      </c>
      <c r="Q892">
        <v>97.56</v>
      </c>
      <c r="R892">
        <v>6.13</v>
      </c>
      <c r="S892">
        <v>1017.61</v>
      </c>
      <c r="T892" t="s">
        <v>41</v>
      </c>
      <c r="U892" t="s">
        <v>41</v>
      </c>
      <c r="V892" t="s">
        <v>38</v>
      </c>
      <c r="W892" t="s">
        <v>877</v>
      </c>
      <c r="X892">
        <v>304.64</v>
      </c>
      <c r="Y892" s="9">
        <f t="shared" si="66"/>
        <v>304.64333333333332</v>
      </c>
      <c r="Z892" s="9">
        <f t="shared" si="67"/>
        <v>571.20624999999995</v>
      </c>
      <c r="AA892" s="5">
        <f t="shared" si="68"/>
        <v>634.61014374999991</v>
      </c>
      <c r="AB892" s="6">
        <f t="shared" si="69"/>
        <v>925.29700437499991</v>
      </c>
      <c r="AD892" s="10">
        <f t="shared" si="70"/>
        <v>1158.5376524375001</v>
      </c>
    </row>
    <row r="893" spans="1:30" x14ac:dyDescent="0.3">
      <c r="A893" t="s">
        <v>168</v>
      </c>
      <c r="B893" s="8" t="s">
        <v>31</v>
      </c>
      <c r="C893" s="8" t="s">
        <v>32</v>
      </c>
      <c r="E893" s="8" t="s">
        <v>70</v>
      </c>
      <c r="F893" s="8" t="s">
        <v>71</v>
      </c>
      <c r="G893">
        <v>8421999000</v>
      </c>
      <c r="H893" t="s">
        <v>36</v>
      </c>
      <c r="I893" t="s">
        <v>680</v>
      </c>
      <c r="J893" t="s">
        <v>38</v>
      </c>
      <c r="K893" t="s">
        <v>39</v>
      </c>
      <c r="L893">
        <v>0</v>
      </c>
      <c r="M893">
        <v>5</v>
      </c>
      <c r="N893" t="s">
        <v>64</v>
      </c>
      <c r="O893">
        <v>0</v>
      </c>
      <c r="P893">
        <v>1289.8800000000001</v>
      </c>
      <c r="Q893">
        <v>99.02</v>
      </c>
      <c r="R893">
        <v>9.2899999999999991</v>
      </c>
      <c r="S893">
        <v>1398.19</v>
      </c>
      <c r="T893" t="s">
        <v>41</v>
      </c>
      <c r="U893" t="s">
        <v>41</v>
      </c>
      <c r="V893" t="s">
        <v>38</v>
      </c>
      <c r="W893" t="s">
        <v>877</v>
      </c>
      <c r="X893">
        <v>257.98</v>
      </c>
      <c r="Y893" s="9">
        <f t="shared" si="66"/>
        <v>257.976</v>
      </c>
      <c r="Z893" s="9">
        <f t="shared" si="67"/>
        <v>483.70499999999998</v>
      </c>
      <c r="AA893" s="5">
        <f t="shared" si="68"/>
        <v>537.396255</v>
      </c>
      <c r="AB893" s="6">
        <f t="shared" si="69"/>
        <v>783.55372949999992</v>
      </c>
      <c r="AD893" s="10">
        <f t="shared" si="70"/>
        <v>981.06499215000008</v>
      </c>
    </row>
    <row r="894" spans="1:30" x14ac:dyDescent="0.3">
      <c r="A894" t="s">
        <v>30</v>
      </c>
      <c r="B894" s="8" t="s">
        <v>249</v>
      </c>
      <c r="C894" s="8" t="s">
        <v>32</v>
      </c>
      <c r="D894" s="8" t="s">
        <v>33</v>
      </c>
      <c r="E894" s="8" t="s">
        <v>34</v>
      </c>
      <c r="F894" s="8" t="s">
        <v>35</v>
      </c>
      <c r="G894">
        <v>8421999000</v>
      </c>
      <c r="H894" t="s">
        <v>36</v>
      </c>
      <c r="I894" t="s">
        <v>215</v>
      </c>
      <c r="J894" t="s">
        <v>38</v>
      </c>
      <c r="K894" t="s">
        <v>39</v>
      </c>
      <c r="L894">
        <v>8</v>
      </c>
      <c r="M894">
        <v>3</v>
      </c>
      <c r="N894" t="s">
        <v>64</v>
      </c>
      <c r="O894">
        <v>0</v>
      </c>
      <c r="P894">
        <v>197.93</v>
      </c>
      <c r="Q894">
        <v>11.2</v>
      </c>
      <c r="R894">
        <v>1.26</v>
      </c>
      <c r="S894">
        <v>210.39</v>
      </c>
      <c r="T894" t="s">
        <v>41</v>
      </c>
      <c r="U894" t="s">
        <v>41</v>
      </c>
      <c r="V894" t="s">
        <v>38</v>
      </c>
      <c r="W894" t="s">
        <v>879</v>
      </c>
      <c r="X894">
        <v>65.97</v>
      </c>
      <c r="Y894" s="9">
        <f t="shared" si="66"/>
        <v>65.976666666666674</v>
      </c>
      <c r="Z894" s="9">
        <f t="shared" si="67"/>
        <v>123.70625000000001</v>
      </c>
      <c r="AA894" s="5">
        <f t="shared" si="68"/>
        <v>137.43764375000001</v>
      </c>
      <c r="AB894" s="6">
        <f t="shared" si="69"/>
        <v>200.391754375</v>
      </c>
      <c r="AD894" s="10">
        <f t="shared" si="70"/>
        <v>250.90472743750004</v>
      </c>
    </row>
    <row r="895" spans="1:30" x14ac:dyDescent="0.3">
      <c r="A895" t="s">
        <v>30</v>
      </c>
      <c r="B895" s="8" t="s">
        <v>249</v>
      </c>
      <c r="C895" s="8" t="s">
        <v>32</v>
      </c>
      <c r="D895" s="8" t="s">
        <v>33</v>
      </c>
      <c r="E895" s="8" t="s">
        <v>34</v>
      </c>
      <c r="F895" s="8" t="s">
        <v>35</v>
      </c>
      <c r="G895">
        <v>8421999000</v>
      </c>
      <c r="H895" t="s">
        <v>36</v>
      </c>
      <c r="I895" t="s">
        <v>215</v>
      </c>
      <c r="J895" t="s">
        <v>38</v>
      </c>
      <c r="K895" t="s">
        <v>39</v>
      </c>
      <c r="L895">
        <v>8</v>
      </c>
      <c r="M895">
        <v>1</v>
      </c>
      <c r="N895" t="s">
        <v>64</v>
      </c>
      <c r="O895">
        <v>0</v>
      </c>
      <c r="P895">
        <v>78.63</v>
      </c>
      <c r="Q895">
        <v>4.45</v>
      </c>
      <c r="R895">
        <v>0.5</v>
      </c>
      <c r="S895">
        <v>83.59</v>
      </c>
      <c r="T895" t="s">
        <v>41</v>
      </c>
      <c r="U895" t="s">
        <v>41</v>
      </c>
      <c r="V895" t="s">
        <v>38</v>
      </c>
      <c r="W895" t="s">
        <v>880</v>
      </c>
      <c r="X895">
        <v>78.63</v>
      </c>
      <c r="Y895" s="9">
        <f t="shared" si="66"/>
        <v>78.63</v>
      </c>
      <c r="Z895" s="9">
        <f t="shared" si="67"/>
        <v>147.43124999999998</v>
      </c>
      <c r="AA895" s="5">
        <f t="shared" si="68"/>
        <v>163.79611874999998</v>
      </c>
      <c r="AB895" s="6">
        <f t="shared" si="69"/>
        <v>238.82388187499996</v>
      </c>
      <c r="AD895" s="10">
        <f t="shared" si="70"/>
        <v>299.02448418749998</v>
      </c>
    </row>
    <row r="896" spans="1:30" x14ac:dyDescent="0.3">
      <c r="A896" t="s">
        <v>30</v>
      </c>
      <c r="B896" s="8" t="s">
        <v>249</v>
      </c>
      <c r="C896" s="8" t="s">
        <v>32</v>
      </c>
      <c r="D896" s="8" t="s">
        <v>33</v>
      </c>
      <c r="E896" s="8" t="s">
        <v>34</v>
      </c>
      <c r="F896" s="8" t="s">
        <v>35</v>
      </c>
      <c r="G896">
        <v>8421999000</v>
      </c>
      <c r="H896" t="s">
        <v>36</v>
      </c>
      <c r="I896" t="s">
        <v>215</v>
      </c>
      <c r="J896" t="s">
        <v>38</v>
      </c>
      <c r="K896" t="s">
        <v>39</v>
      </c>
      <c r="L896">
        <v>8</v>
      </c>
      <c r="M896">
        <v>1</v>
      </c>
      <c r="N896" t="s">
        <v>64</v>
      </c>
      <c r="O896">
        <v>0</v>
      </c>
      <c r="P896">
        <v>104.35</v>
      </c>
      <c r="Q896">
        <v>5.91</v>
      </c>
      <c r="R896">
        <v>0.67</v>
      </c>
      <c r="S896">
        <v>110.92</v>
      </c>
      <c r="T896" t="s">
        <v>41</v>
      </c>
      <c r="U896" t="s">
        <v>41</v>
      </c>
      <c r="V896" t="s">
        <v>38</v>
      </c>
      <c r="W896" t="s">
        <v>881</v>
      </c>
      <c r="X896">
        <v>104.35</v>
      </c>
      <c r="Y896" s="9">
        <f t="shared" si="66"/>
        <v>104.35</v>
      </c>
      <c r="Z896" s="9">
        <f t="shared" si="67"/>
        <v>195.65625</v>
      </c>
      <c r="AA896" s="5">
        <f t="shared" si="68"/>
        <v>217.37409374999999</v>
      </c>
      <c r="AB896" s="6">
        <f t="shared" si="69"/>
        <v>316.94355937500001</v>
      </c>
      <c r="AD896" s="10">
        <f t="shared" si="70"/>
        <v>396.83587593750002</v>
      </c>
    </row>
    <row r="897" spans="1:30" x14ac:dyDescent="0.3">
      <c r="A897" t="s">
        <v>30</v>
      </c>
      <c r="B897" s="8" t="s">
        <v>249</v>
      </c>
      <c r="C897" s="8" t="s">
        <v>32</v>
      </c>
      <c r="D897" s="8" t="s">
        <v>33</v>
      </c>
      <c r="E897" s="8" t="s">
        <v>34</v>
      </c>
      <c r="F897" s="8" t="s">
        <v>35</v>
      </c>
      <c r="G897">
        <v>8421999000</v>
      </c>
      <c r="H897" t="s">
        <v>36</v>
      </c>
      <c r="I897" t="s">
        <v>215</v>
      </c>
      <c r="J897" t="s">
        <v>38</v>
      </c>
      <c r="K897" t="s">
        <v>39</v>
      </c>
      <c r="L897">
        <v>8</v>
      </c>
      <c r="M897">
        <v>1</v>
      </c>
      <c r="N897" t="s">
        <v>64</v>
      </c>
      <c r="O897">
        <v>0</v>
      </c>
      <c r="P897">
        <v>142.91</v>
      </c>
      <c r="Q897">
        <v>8.09</v>
      </c>
      <c r="R897">
        <v>0.91</v>
      </c>
      <c r="S897">
        <v>151.91</v>
      </c>
      <c r="T897" t="s">
        <v>41</v>
      </c>
      <c r="U897" t="s">
        <v>41</v>
      </c>
      <c r="V897" t="s">
        <v>38</v>
      </c>
      <c r="W897" t="s">
        <v>882</v>
      </c>
      <c r="X897">
        <v>142.91</v>
      </c>
      <c r="Y897" s="9">
        <f t="shared" si="66"/>
        <v>142.91</v>
      </c>
      <c r="Z897" s="9">
        <f t="shared" si="67"/>
        <v>267.95625000000001</v>
      </c>
      <c r="AA897" s="5">
        <f t="shared" si="68"/>
        <v>297.69939375000001</v>
      </c>
      <c r="AB897" s="6">
        <f t="shared" si="69"/>
        <v>434.06232937499999</v>
      </c>
      <c r="AD897" s="10">
        <f t="shared" si="70"/>
        <v>543.47690493750008</v>
      </c>
    </row>
    <row r="898" spans="1:30" x14ac:dyDescent="0.3">
      <c r="A898" t="s">
        <v>30</v>
      </c>
      <c r="B898" s="8" t="s">
        <v>249</v>
      </c>
      <c r="C898" s="8" t="s">
        <v>32</v>
      </c>
      <c r="D898" s="8" t="s">
        <v>33</v>
      </c>
      <c r="E898" s="8" t="s">
        <v>34</v>
      </c>
      <c r="F898" s="8" t="s">
        <v>35</v>
      </c>
      <c r="G898">
        <v>8421999000</v>
      </c>
      <c r="H898" t="s">
        <v>36</v>
      </c>
      <c r="I898" t="s">
        <v>215</v>
      </c>
      <c r="J898" t="s">
        <v>38</v>
      </c>
      <c r="K898" t="s">
        <v>39</v>
      </c>
      <c r="L898">
        <v>4</v>
      </c>
      <c r="M898">
        <v>1</v>
      </c>
      <c r="N898" t="s">
        <v>64</v>
      </c>
      <c r="O898">
        <v>0</v>
      </c>
      <c r="P898">
        <v>189.04</v>
      </c>
      <c r="Q898">
        <v>9.9</v>
      </c>
      <c r="R898">
        <v>1.23</v>
      </c>
      <c r="S898">
        <v>200.16</v>
      </c>
      <c r="T898" t="s">
        <v>41</v>
      </c>
      <c r="U898" t="s">
        <v>41</v>
      </c>
      <c r="V898" t="s">
        <v>38</v>
      </c>
      <c r="W898" t="s">
        <v>883</v>
      </c>
      <c r="X898">
        <v>189.04</v>
      </c>
      <c r="Y898" s="9">
        <f t="shared" si="66"/>
        <v>189.04</v>
      </c>
      <c r="Z898" s="9">
        <f t="shared" si="67"/>
        <v>354.45</v>
      </c>
      <c r="AA898" s="5">
        <f t="shared" si="68"/>
        <v>393.79395</v>
      </c>
      <c r="AB898" s="6">
        <f t="shared" si="69"/>
        <v>574.17355499999996</v>
      </c>
      <c r="AD898" s="10">
        <f t="shared" si="70"/>
        <v>718.90612350000004</v>
      </c>
    </row>
    <row r="899" spans="1:30" x14ac:dyDescent="0.3">
      <c r="A899" t="s">
        <v>30</v>
      </c>
      <c r="B899" s="8" t="s">
        <v>249</v>
      </c>
      <c r="C899" s="8" t="s">
        <v>32</v>
      </c>
      <c r="D899" s="8" t="s">
        <v>33</v>
      </c>
      <c r="E899" s="8" t="s">
        <v>34</v>
      </c>
      <c r="F899" s="8" t="s">
        <v>35</v>
      </c>
      <c r="G899">
        <v>8421999000</v>
      </c>
      <c r="H899" t="s">
        <v>36</v>
      </c>
      <c r="I899" t="s">
        <v>215</v>
      </c>
      <c r="J899" t="s">
        <v>38</v>
      </c>
      <c r="K899" t="s">
        <v>39</v>
      </c>
      <c r="L899">
        <v>8</v>
      </c>
      <c r="M899">
        <v>1</v>
      </c>
      <c r="N899" t="s">
        <v>64</v>
      </c>
      <c r="O899">
        <v>0</v>
      </c>
      <c r="P899">
        <v>232.91</v>
      </c>
      <c r="Q899">
        <v>13.19</v>
      </c>
      <c r="R899">
        <v>1.49</v>
      </c>
      <c r="S899">
        <v>247.58</v>
      </c>
      <c r="T899" t="s">
        <v>41</v>
      </c>
      <c r="U899" t="s">
        <v>41</v>
      </c>
      <c r="V899" t="s">
        <v>38</v>
      </c>
      <c r="W899" t="s">
        <v>884</v>
      </c>
      <c r="X899">
        <v>232.91</v>
      </c>
      <c r="Y899" s="9">
        <f t="shared" ref="Y899:Y962" si="71">SUM(P899)/M899</f>
        <v>232.91</v>
      </c>
      <c r="Z899" s="9">
        <f t="shared" ref="Z899:Z962" si="72">SUM(Y899)*1.875</f>
        <v>436.70625000000001</v>
      </c>
      <c r="AA899" s="5">
        <f t="shared" ref="AA899:AA962" si="73">SUM(Z899)*1.111</f>
        <v>485.18064375</v>
      </c>
      <c r="AB899" s="6">
        <f t="shared" ref="AB899:AB962" si="74">SUM(Z899)*1.6199</f>
        <v>707.42045437499996</v>
      </c>
      <c r="AD899" s="10">
        <f t="shared" ref="AD899:AD962" si="75">SUM(Z899)*2.02823</f>
        <v>885.74071743750017</v>
      </c>
    </row>
    <row r="900" spans="1:30" x14ac:dyDescent="0.3">
      <c r="A900" t="s">
        <v>30</v>
      </c>
      <c r="B900" s="8" t="s">
        <v>249</v>
      </c>
      <c r="C900" s="8" t="s">
        <v>32</v>
      </c>
      <c r="D900" s="8" t="s">
        <v>33</v>
      </c>
      <c r="E900" s="8" t="s">
        <v>34</v>
      </c>
      <c r="F900" s="8" t="s">
        <v>35</v>
      </c>
      <c r="G900">
        <v>8421999000</v>
      </c>
      <c r="H900" t="s">
        <v>36</v>
      </c>
      <c r="I900" t="s">
        <v>215</v>
      </c>
      <c r="J900" t="s">
        <v>38</v>
      </c>
      <c r="K900" t="s">
        <v>39</v>
      </c>
      <c r="L900">
        <v>8</v>
      </c>
      <c r="M900">
        <v>1</v>
      </c>
      <c r="N900" t="s">
        <v>64</v>
      </c>
      <c r="O900">
        <v>0</v>
      </c>
      <c r="P900">
        <v>259.31</v>
      </c>
      <c r="Q900">
        <v>14.68</v>
      </c>
      <c r="R900">
        <v>1.65</v>
      </c>
      <c r="S900">
        <v>275.64999999999998</v>
      </c>
      <c r="T900" t="s">
        <v>41</v>
      </c>
      <c r="U900" t="s">
        <v>41</v>
      </c>
      <c r="V900" t="s">
        <v>38</v>
      </c>
      <c r="W900" t="s">
        <v>885</v>
      </c>
      <c r="X900">
        <v>259.31</v>
      </c>
      <c r="Y900" s="9">
        <f t="shared" si="71"/>
        <v>259.31</v>
      </c>
      <c r="Z900" s="9">
        <f t="shared" si="72"/>
        <v>486.20625000000001</v>
      </c>
      <c r="AA900" s="5">
        <f t="shared" si="73"/>
        <v>540.17514374999996</v>
      </c>
      <c r="AB900" s="6">
        <f t="shared" si="74"/>
        <v>787.60550437500001</v>
      </c>
      <c r="AD900" s="10">
        <f t="shared" si="75"/>
        <v>986.13810243750015</v>
      </c>
    </row>
    <row r="901" spans="1:30" x14ac:dyDescent="0.3">
      <c r="A901" t="s">
        <v>30</v>
      </c>
      <c r="B901" s="8" t="s">
        <v>249</v>
      </c>
      <c r="C901" s="8" t="s">
        <v>32</v>
      </c>
      <c r="D901" s="8" t="s">
        <v>33</v>
      </c>
      <c r="E901" s="8" t="s">
        <v>34</v>
      </c>
      <c r="F901" s="8" t="s">
        <v>35</v>
      </c>
      <c r="G901">
        <v>8421999000</v>
      </c>
      <c r="H901" t="s">
        <v>36</v>
      </c>
      <c r="I901" t="s">
        <v>215</v>
      </c>
      <c r="J901" t="s">
        <v>38</v>
      </c>
      <c r="K901" t="s">
        <v>39</v>
      </c>
      <c r="L901">
        <v>8</v>
      </c>
      <c r="M901">
        <v>1</v>
      </c>
      <c r="N901" t="s">
        <v>64</v>
      </c>
      <c r="O901">
        <v>0</v>
      </c>
      <c r="P901">
        <v>78.63</v>
      </c>
      <c r="Q901">
        <v>4.45</v>
      </c>
      <c r="R901">
        <v>0.5</v>
      </c>
      <c r="S901">
        <v>83.59</v>
      </c>
      <c r="T901" t="s">
        <v>41</v>
      </c>
      <c r="U901" t="s">
        <v>41</v>
      </c>
      <c r="V901" t="s">
        <v>38</v>
      </c>
      <c r="W901" t="s">
        <v>886</v>
      </c>
      <c r="X901">
        <v>78.63</v>
      </c>
      <c r="Y901" s="9">
        <f t="shared" si="71"/>
        <v>78.63</v>
      </c>
      <c r="Z901" s="9">
        <f t="shared" si="72"/>
        <v>147.43124999999998</v>
      </c>
      <c r="AA901" s="5">
        <f t="shared" si="73"/>
        <v>163.79611874999998</v>
      </c>
      <c r="AB901" s="6">
        <f t="shared" si="74"/>
        <v>238.82388187499996</v>
      </c>
      <c r="AD901" s="10">
        <f t="shared" si="75"/>
        <v>299.02448418749998</v>
      </c>
    </row>
    <row r="902" spans="1:30" x14ac:dyDescent="0.3">
      <c r="A902" t="s">
        <v>30</v>
      </c>
      <c r="B902" s="8" t="s">
        <v>249</v>
      </c>
      <c r="C902" s="8" t="s">
        <v>32</v>
      </c>
      <c r="D902" s="8" t="s">
        <v>33</v>
      </c>
      <c r="E902" s="8" t="s">
        <v>34</v>
      </c>
      <c r="F902" s="8" t="s">
        <v>35</v>
      </c>
      <c r="G902">
        <v>8421999000</v>
      </c>
      <c r="H902" t="s">
        <v>36</v>
      </c>
      <c r="I902" t="s">
        <v>215</v>
      </c>
      <c r="J902" t="s">
        <v>38</v>
      </c>
      <c r="K902" t="s">
        <v>39</v>
      </c>
      <c r="L902">
        <v>8</v>
      </c>
      <c r="M902">
        <v>1</v>
      </c>
      <c r="N902" t="s">
        <v>64</v>
      </c>
      <c r="O902">
        <v>0</v>
      </c>
      <c r="P902">
        <v>104.35</v>
      </c>
      <c r="Q902">
        <v>5.91</v>
      </c>
      <c r="R902">
        <v>0.67</v>
      </c>
      <c r="S902">
        <v>110.92</v>
      </c>
      <c r="T902" t="s">
        <v>41</v>
      </c>
      <c r="U902" t="s">
        <v>41</v>
      </c>
      <c r="V902" t="s">
        <v>38</v>
      </c>
      <c r="W902" t="s">
        <v>887</v>
      </c>
      <c r="X902">
        <v>104.35</v>
      </c>
      <c r="Y902" s="9">
        <f t="shared" si="71"/>
        <v>104.35</v>
      </c>
      <c r="Z902" s="9">
        <f t="shared" si="72"/>
        <v>195.65625</v>
      </c>
      <c r="AA902" s="5">
        <f t="shared" si="73"/>
        <v>217.37409374999999</v>
      </c>
      <c r="AB902" s="6">
        <f t="shared" si="74"/>
        <v>316.94355937500001</v>
      </c>
      <c r="AD902" s="10">
        <f t="shared" si="75"/>
        <v>396.83587593750002</v>
      </c>
    </row>
    <row r="903" spans="1:30" x14ac:dyDescent="0.3">
      <c r="A903" t="s">
        <v>30</v>
      </c>
      <c r="B903" s="8" t="s">
        <v>249</v>
      </c>
      <c r="C903" s="8" t="s">
        <v>32</v>
      </c>
      <c r="D903" s="8" t="s">
        <v>33</v>
      </c>
      <c r="E903" s="8" t="s">
        <v>34</v>
      </c>
      <c r="F903" s="8" t="s">
        <v>35</v>
      </c>
      <c r="G903">
        <v>8421999000</v>
      </c>
      <c r="H903" t="s">
        <v>36</v>
      </c>
      <c r="I903" t="s">
        <v>215</v>
      </c>
      <c r="J903" t="s">
        <v>38</v>
      </c>
      <c r="K903" t="s">
        <v>39</v>
      </c>
      <c r="L903">
        <v>8</v>
      </c>
      <c r="M903">
        <v>2</v>
      </c>
      <c r="N903" t="s">
        <v>64</v>
      </c>
      <c r="O903">
        <v>0</v>
      </c>
      <c r="P903">
        <v>285.82</v>
      </c>
      <c r="Q903">
        <v>16.18</v>
      </c>
      <c r="R903">
        <v>1.82</v>
      </c>
      <c r="S903">
        <v>303.83</v>
      </c>
      <c r="T903" t="s">
        <v>41</v>
      </c>
      <c r="U903" t="s">
        <v>41</v>
      </c>
      <c r="V903" t="s">
        <v>38</v>
      </c>
      <c r="W903" t="s">
        <v>888</v>
      </c>
      <c r="X903">
        <v>142.91</v>
      </c>
      <c r="Y903" s="9">
        <f t="shared" si="71"/>
        <v>142.91</v>
      </c>
      <c r="Z903" s="9">
        <f t="shared" si="72"/>
        <v>267.95625000000001</v>
      </c>
      <c r="AA903" s="5">
        <f t="shared" si="73"/>
        <v>297.69939375000001</v>
      </c>
      <c r="AB903" s="6">
        <f t="shared" si="74"/>
        <v>434.06232937499999</v>
      </c>
      <c r="AD903" s="10">
        <f t="shared" si="75"/>
        <v>543.47690493750008</v>
      </c>
    </row>
    <row r="904" spans="1:30" x14ac:dyDescent="0.3">
      <c r="A904" t="s">
        <v>30</v>
      </c>
      <c r="B904" s="8" t="s">
        <v>249</v>
      </c>
      <c r="C904" s="8" t="s">
        <v>32</v>
      </c>
      <c r="D904" s="8" t="s">
        <v>33</v>
      </c>
      <c r="E904" s="8" t="s">
        <v>34</v>
      </c>
      <c r="F904" s="8" t="s">
        <v>35</v>
      </c>
      <c r="G904">
        <v>8421999000</v>
      </c>
      <c r="H904" t="s">
        <v>36</v>
      </c>
      <c r="I904" t="s">
        <v>215</v>
      </c>
      <c r="J904" t="s">
        <v>38</v>
      </c>
      <c r="K904" t="s">
        <v>39</v>
      </c>
      <c r="L904">
        <v>8</v>
      </c>
      <c r="M904">
        <v>1</v>
      </c>
      <c r="N904" t="s">
        <v>64</v>
      </c>
      <c r="O904">
        <v>0</v>
      </c>
      <c r="P904">
        <v>187.91</v>
      </c>
      <c r="Q904">
        <v>10.64</v>
      </c>
      <c r="R904">
        <v>1.2</v>
      </c>
      <c r="S904">
        <v>199.75</v>
      </c>
      <c r="T904" t="s">
        <v>41</v>
      </c>
      <c r="U904" t="s">
        <v>41</v>
      </c>
      <c r="V904" t="s">
        <v>38</v>
      </c>
      <c r="W904" t="s">
        <v>889</v>
      </c>
      <c r="X904">
        <v>187.91</v>
      </c>
      <c r="Y904" s="9">
        <f t="shared" si="71"/>
        <v>187.91</v>
      </c>
      <c r="Z904" s="9">
        <f t="shared" si="72"/>
        <v>352.33125000000001</v>
      </c>
      <c r="AA904" s="5">
        <f t="shared" si="73"/>
        <v>391.44001875000004</v>
      </c>
      <c r="AB904" s="6">
        <f t="shared" si="74"/>
        <v>570.74139187499998</v>
      </c>
      <c r="AD904" s="10">
        <f t="shared" si="75"/>
        <v>714.60881118750012</v>
      </c>
    </row>
    <row r="905" spans="1:30" x14ac:dyDescent="0.3">
      <c r="A905" t="s">
        <v>30</v>
      </c>
      <c r="B905" s="8" t="s">
        <v>249</v>
      </c>
      <c r="C905" s="8" t="s">
        <v>32</v>
      </c>
      <c r="D905" s="8" t="s">
        <v>33</v>
      </c>
      <c r="E905" s="8" t="s">
        <v>34</v>
      </c>
      <c r="F905" s="8" t="s">
        <v>35</v>
      </c>
      <c r="G905">
        <v>8421999000</v>
      </c>
      <c r="H905" t="s">
        <v>36</v>
      </c>
      <c r="I905" t="s">
        <v>215</v>
      </c>
      <c r="J905" t="s">
        <v>38</v>
      </c>
      <c r="K905" t="s">
        <v>39</v>
      </c>
      <c r="L905">
        <v>4</v>
      </c>
      <c r="M905">
        <v>1</v>
      </c>
      <c r="N905" t="s">
        <v>64</v>
      </c>
      <c r="O905">
        <v>0</v>
      </c>
      <c r="P905">
        <v>234.31</v>
      </c>
      <c r="Q905">
        <v>12.27</v>
      </c>
      <c r="R905">
        <v>1.53</v>
      </c>
      <c r="S905">
        <v>248.1</v>
      </c>
      <c r="T905" t="s">
        <v>41</v>
      </c>
      <c r="U905" t="s">
        <v>41</v>
      </c>
      <c r="V905" t="s">
        <v>38</v>
      </c>
      <c r="W905" t="s">
        <v>890</v>
      </c>
      <c r="X905">
        <v>234.31</v>
      </c>
      <c r="Y905" s="9">
        <f t="shared" si="71"/>
        <v>234.31</v>
      </c>
      <c r="Z905" s="9">
        <f t="shared" si="72"/>
        <v>439.33125000000001</v>
      </c>
      <c r="AA905" s="5">
        <f t="shared" si="73"/>
        <v>488.09701875000002</v>
      </c>
      <c r="AB905" s="6">
        <f t="shared" si="74"/>
        <v>711.67269187499994</v>
      </c>
      <c r="AD905" s="10">
        <f t="shared" si="75"/>
        <v>891.06482118750012</v>
      </c>
    </row>
    <row r="906" spans="1:30" x14ac:dyDescent="0.3">
      <c r="A906" t="s">
        <v>30</v>
      </c>
      <c r="B906" s="8" t="s">
        <v>249</v>
      </c>
      <c r="C906" s="8" t="s">
        <v>32</v>
      </c>
      <c r="D906" s="8" t="s">
        <v>33</v>
      </c>
      <c r="E906" s="8" t="s">
        <v>34</v>
      </c>
      <c r="F906" s="8" t="s">
        <v>35</v>
      </c>
      <c r="G906">
        <v>8421999000</v>
      </c>
      <c r="H906" t="s">
        <v>36</v>
      </c>
      <c r="I906" t="s">
        <v>215</v>
      </c>
      <c r="J906" t="s">
        <v>38</v>
      </c>
      <c r="K906" t="s">
        <v>39</v>
      </c>
      <c r="L906">
        <v>8</v>
      </c>
      <c r="M906">
        <v>1</v>
      </c>
      <c r="N906" t="s">
        <v>64</v>
      </c>
      <c r="O906">
        <v>0</v>
      </c>
      <c r="P906">
        <v>259.31</v>
      </c>
      <c r="Q906">
        <v>14.68</v>
      </c>
      <c r="R906">
        <v>1.65</v>
      </c>
      <c r="S906">
        <v>275.64999999999998</v>
      </c>
      <c r="T906" t="s">
        <v>41</v>
      </c>
      <c r="U906" t="s">
        <v>41</v>
      </c>
      <c r="V906" t="s">
        <v>38</v>
      </c>
      <c r="W906" t="s">
        <v>891</v>
      </c>
      <c r="X906">
        <v>259.31</v>
      </c>
      <c r="Y906" s="9">
        <f t="shared" si="71"/>
        <v>259.31</v>
      </c>
      <c r="Z906" s="9">
        <f t="shared" si="72"/>
        <v>486.20625000000001</v>
      </c>
      <c r="AA906" s="5">
        <f t="shared" si="73"/>
        <v>540.17514374999996</v>
      </c>
      <c r="AB906" s="6">
        <f t="shared" si="74"/>
        <v>787.60550437500001</v>
      </c>
      <c r="AD906" s="10">
        <f t="shared" si="75"/>
        <v>986.13810243750015</v>
      </c>
    </row>
    <row r="907" spans="1:30" x14ac:dyDescent="0.3">
      <c r="A907" t="s">
        <v>30</v>
      </c>
      <c r="B907" s="8" t="s">
        <v>249</v>
      </c>
      <c r="C907" s="8" t="s">
        <v>32</v>
      </c>
      <c r="D907" s="8" t="s">
        <v>33</v>
      </c>
      <c r="E907" s="8" t="s">
        <v>34</v>
      </c>
      <c r="F907" s="8" t="s">
        <v>35</v>
      </c>
      <c r="G907">
        <v>8421999000</v>
      </c>
      <c r="H907" t="s">
        <v>36</v>
      </c>
      <c r="I907" t="s">
        <v>215</v>
      </c>
      <c r="J907" t="s">
        <v>38</v>
      </c>
      <c r="K907" t="s">
        <v>39</v>
      </c>
      <c r="L907">
        <v>12</v>
      </c>
      <c r="M907">
        <v>2</v>
      </c>
      <c r="N907" t="s">
        <v>64</v>
      </c>
      <c r="O907">
        <v>0</v>
      </c>
      <c r="P907">
        <v>140.97</v>
      </c>
      <c r="Q907">
        <v>16.190000000000001</v>
      </c>
      <c r="R907">
        <v>0.94</v>
      </c>
      <c r="S907">
        <v>158.1</v>
      </c>
      <c r="T907" t="s">
        <v>41</v>
      </c>
      <c r="U907" t="s">
        <v>41</v>
      </c>
      <c r="V907" t="s">
        <v>38</v>
      </c>
      <c r="W907" t="s">
        <v>892</v>
      </c>
      <c r="X907">
        <v>70.489999999999995</v>
      </c>
      <c r="Y907" s="9">
        <f t="shared" si="71"/>
        <v>70.484999999999999</v>
      </c>
      <c r="Z907" s="9">
        <f t="shared" si="72"/>
        <v>132.15937500000001</v>
      </c>
      <c r="AA907" s="5">
        <f t="shared" si="73"/>
        <v>146.829065625</v>
      </c>
      <c r="AB907" s="6">
        <f t="shared" si="74"/>
        <v>214.08497156250002</v>
      </c>
      <c r="AD907" s="10">
        <f t="shared" si="75"/>
        <v>268.04960915625003</v>
      </c>
    </row>
    <row r="908" spans="1:30" x14ac:dyDescent="0.3">
      <c r="A908" t="s">
        <v>168</v>
      </c>
      <c r="B908" s="8" t="s">
        <v>249</v>
      </c>
      <c r="C908" s="8" t="s">
        <v>32</v>
      </c>
      <c r="D908" s="8" t="s">
        <v>33</v>
      </c>
      <c r="E908" s="8" t="s">
        <v>34</v>
      </c>
      <c r="F908" s="8" t="s">
        <v>35</v>
      </c>
      <c r="G908">
        <v>8421999000</v>
      </c>
      <c r="H908" t="s">
        <v>36</v>
      </c>
      <c r="I908" t="s">
        <v>893</v>
      </c>
      <c r="J908" t="s">
        <v>38</v>
      </c>
      <c r="K908" t="s">
        <v>39</v>
      </c>
      <c r="L908">
        <v>11</v>
      </c>
      <c r="M908">
        <v>4</v>
      </c>
      <c r="N908" t="s">
        <v>64</v>
      </c>
      <c r="O908">
        <v>0</v>
      </c>
      <c r="P908">
        <v>549.79</v>
      </c>
      <c r="Q908">
        <v>52.66</v>
      </c>
      <c r="R908">
        <v>3.71</v>
      </c>
      <c r="S908">
        <v>606.16</v>
      </c>
      <c r="T908" t="s">
        <v>41</v>
      </c>
      <c r="U908" t="s">
        <v>43</v>
      </c>
      <c r="V908" t="s">
        <v>38</v>
      </c>
      <c r="W908" t="s">
        <v>894</v>
      </c>
      <c r="X908">
        <v>137.44999999999999</v>
      </c>
      <c r="Y908" s="9">
        <f t="shared" si="71"/>
        <v>137.44749999999999</v>
      </c>
      <c r="Z908" s="9">
        <f t="shared" si="72"/>
        <v>257.71406249999995</v>
      </c>
      <c r="AA908" s="5">
        <f t="shared" si="73"/>
        <v>286.32032343749995</v>
      </c>
      <c r="AB908" s="6">
        <f t="shared" si="74"/>
        <v>417.47100984374993</v>
      </c>
      <c r="AD908" s="10">
        <f t="shared" si="75"/>
        <v>522.703392984375</v>
      </c>
    </row>
    <row r="909" spans="1:30" x14ac:dyDescent="0.3">
      <c r="A909" t="s">
        <v>30</v>
      </c>
      <c r="B909" s="8" t="s">
        <v>249</v>
      </c>
      <c r="C909" s="8" t="s">
        <v>32</v>
      </c>
      <c r="D909" s="8" t="s">
        <v>33</v>
      </c>
      <c r="E909" s="8" t="s">
        <v>34</v>
      </c>
      <c r="F909" s="8" t="s">
        <v>35</v>
      </c>
      <c r="G909">
        <v>8421999000</v>
      </c>
      <c r="H909" t="s">
        <v>36</v>
      </c>
      <c r="I909" t="s">
        <v>215</v>
      </c>
      <c r="J909" t="s">
        <v>38</v>
      </c>
      <c r="K909" t="s">
        <v>39</v>
      </c>
      <c r="L909">
        <v>6</v>
      </c>
      <c r="M909">
        <v>1</v>
      </c>
      <c r="N909" t="s">
        <v>64</v>
      </c>
      <c r="O909">
        <v>0</v>
      </c>
      <c r="P909">
        <v>217.83</v>
      </c>
      <c r="Q909">
        <v>26.34</v>
      </c>
      <c r="R909">
        <v>1.52</v>
      </c>
      <c r="S909">
        <v>245.69</v>
      </c>
      <c r="T909" t="s">
        <v>41</v>
      </c>
      <c r="U909" t="s">
        <v>43</v>
      </c>
      <c r="V909" t="s">
        <v>38</v>
      </c>
      <c r="W909" t="s">
        <v>895</v>
      </c>
      <c r="X909">
        <v>217.83</v>
      </c>
      <c r="Y909" s="9">
        <f t="shared" si="71"/>
        <v>217.83</v>
      </c>
      <c r="Z909" s="9">
        <f t="shared" si="72"/>
        <v>408.43125000000003</v>
      </c>
      <c r="AA909" s="5">
        <f t="shared" si="73"/>
        <v>453.76711875000001</v>
      </c>
      <c r="AB909" s="6">
        <f t="shared" si="74"/>
        <v>661.61778187499999</v>
      </c>
      <c r="AD909" s="10">
        <f t="shared" si="75"/>
        <v>828.39251418750018</v>
      </c>
    </row>
    <row r="910" spans="1:30" x14ac:dyDescent="0.3">
      <c r="A910" t="s">
        <v>30</v>
      </c>
      <c r="B910" s="8" t="s">
        <v>249</v>
      </c>
      <c r="C910" s="8" t="s">
        <v>32</v>
      </c>
      <c r="D910" s="8" t="s">
        <v>33</v>
      </c>
      <c r="E910" s="8" t="s">
        <v>34</v>
      </c>
      <c r="F910" s="8" t="s">
        <v>35</v>
      </c>
      <c r="G910">
        <v>8421999000</v>
      </c>
      <c r="H910" t="s">
        <v>36</v>
      </c>
      <c r="I910" t="s">
        <v>896</v>
      </c>
      <c r="J910" t="s">
        <v>38</v>
      </c>
      <c r="K910" t="s">
        <v>39</v>
      </c>
      <c r="L910">
        <v>6</v>
      </c>
      <c r="M910">
        <v>1</v>
      </c>
      <c r="N910" t="s">
        <v>64</v>
      </c>
      <c r="O910">
        <v>0</v>
      </c>
      <c r="P910">
        <v>251.42</v>
      </c>
      <c r="Q910">
        <v>17.059999999999999</v>
      </c>
      <c r="R910">
        <v>1.63</v>
      </c>
      <c r="S910">
        <v>270.11</v>
      </c>
      <c r="T910" t="s">
        <v>41</v>
      </c>
      <c r="U910" t="s">
        <v>41</v>
      </c>
      <c r="V910" t="s">
        <v>38</v>
      </c>
      <c r="W910" t="s">
        <v>897</v>
      </c>
      <c r="X910">
        <v>251.42</v>
      </c>
      <c r="Y910" s="9">
        <f t="shared" si="71"/>
        <v>251.42</v>
      </c>
      <c r="Z910" s="9">
        <f t="shared" si="72"/>
        <v>471.41249999999997</v>
      </c>
      <c r="AA910" s="5">
        <f t="shared" si="73"/>
        <v>523.73928749999993</v>
      </c>
      <c r="AB910" s="6">
        <f t="shared" si="74"/>
        <v>763.64110874999994</v>
      </c>
      <c r="AD910" s="10">
        <f t="shared" si="75"/>
        <v>956.13297487500006</v>
      </c>
    </row>
    <row r="911" spans="1:30" x14ac:dyDescent="0.3">
      <c r="A911" t="s">
        <v>30</v>
      </c>
      <c r="B911" s="8" t="s">
        <v>249</v>
      </c>
      <c r="C911" s="8" t="s">
        <v>32</v>
      </c>
      <c r="D911" s="8" t="s">
        <v>33</v>
      </c>
      <c r="E911" s="8" t="s">
        <v>34</v>
      </c>
      <c r="F911" s="8" t="s">
        <v>35</v>
      </c>
      <c r="G911">
        <v>8421999000</v>
      </c>
      <c r="H911" t="s">
        <v>36</v>
      </c>
      <c r="I911" t="s">
        <v>215</v>
      </c>
      <c r="J911" t="s">
        <v>38</v>
      </c>
      <c r="K911" t="s">
        <v>39</v>
      </c>
      <c r="L911">
        <v>4</v>
      </c>
      <c r="M911">
        <v>1</v>
      </c>
      <c r="N911" t="s">
        <v>64</v>
      </c>
      <c r="O911">
        <v>0</v>
      </c>
      <c r="P911">
        <v>251.59</v>
      </c>
      <c r="Q911">
        <v>13.17</v>
      </c>
      <c r="R911">
        <v>1.64</v>
      </c>
      <c r="S911">
        <v>266.39999999999998</v>
      </c>
      <c r="T911" t="s">
        <v>41</v>
      </c>
      <c r="U911" t="s">
        <v>41</v>
      </c>
      <c r="V911" t="s">
        <v>38</v>
      </c>
      <c r="W911" t="s">
        <v>897</v>
      </c>
      <c r="X911">
        <v>251.59</v>
      </c>
      <c r="Y911" s="9">
        <f t="shared" si="71"/>
        <v>251.59</v>
      </c>
      <c r="Z911" s="9">
        <f t="shared" si="72"/>
        <v>471.73124999999999</v>
      </c>
      <c r="AA911" s="5">
        <f t="shared" si="73"/>
        <v>524.09341874999996</v>
      </c>
      <c r="AB911" s="6">
        <f t="shared" si="74"/>
        <v>764.15745187499988</v>
      </c>
      <c r="AD911" s="10">
        <f t="shared" si="75"/>
        <v>956.77947318750012</v>
      </c>
    </row>
    <row r="912" spans="1:30" x14ac:dyDescent="0.3">
      <c r="A912" t="s">
        <v>30</v>
      </c>
      <c r="B912" s="8" t="s">
        <v>249</v>
      </c>
      <c r="C912" s="8" t="s">
        <v>32</v>
      </c>
      <c r="D912" s="8" t="s">
        <v>69</v>
      </c>
      <c r="E912" s="8" t="s">
        <v>70</v>
      </c>
      <c r="F912" s="8" t="s">
        <v>71</v>
      </c>
      <c r="G912">
        <v>8421999000</v>
      </c>
      <c r="H912" t="s">
        <v>36</v>
      </c>
      <c r="I912" t="s">
        <v>215</v>
      </c>
      <c r="J912" t="s">
        <v>38</v>
      </c>
      <c r="K912" t="s">
        <v>39</v>
      </c>
      <c r="L912">
        <v>13</v>
      </c>
      <c r="M912">
        <v>1</v>
      </c>
      <c r="N912" t="s">
        <v>64</v>
      </c>
      <c r="O912">
        <v>0</v>
      </c>
      <c r="P912">
        <v>245.98</v>
      </c>
      <c r="Q912">
        <v>13.13</v>
      </c>
      <c r="R912">
        <v>1.58</v>
      </c>
      <c r="S912">
        <v>260.69</v>
      </c>
      <c r="T912" t="s">
        <v>72</v>
      </c>
      <c r="U912" t="s">
        <v>72</v>
      </c>
      <c r="V912" t="s">
        <v>38</v>
      </c>
      <c r="W912" t="s">
        <v>897</v>
      </c>
      <c r="X912">
        <v>245.98</v>
      </c>
      <c r="Y912" s="9">
        <f t="shared" si="71"/>
        <v>245.98</v>
      </c>
      <c r="Z912" s="9">
        <f t="shared" si="72"/>
        <v>461.21249999999998</v>
      </c>
      <c r="AA912" s="5">
        <f t="shared" si="73"/>
        <v>512.40708749999999</v>
      </c>
      <c r="AB912" s="6">
        <f t="shared" si="74"/>
        <v>747.11812874999987</v>
      </c>
      <c r="AD912" s="10">
        <f t="shared" si="75"/>
        <v>935.44502887500005</v>
      </c>
    </row>
    <row r="913" spans="1:30" x14ac:dyDescent="0.3">
      <c r="A913" t="s">
        <v>30</v>
      </c>
      <c r="B913" s="8" t="s">
        <v>249</v>
      </c>
      <c r="C913" s="8" t="s">
        <v>32</v>
      </c>
      <c r="D913" s="8" t="s">
        <v>33</v>
      </c>
      <c r="E913" s="8" t="s">
        <v>34</v>
      </c>
      <c r="F913" s="8" t="s">
        <v>35</v>
      </c>
      <c r="G913">
        <v>8421999000</v>
      </c>
      <c r="H913" t="s">
        <v>36</v>
      </c>
      <c r="I913" t="s">
        <v>215</v>
      </c>
      <c r="J913" t="s">
        <v>38</v>
      </c>
      <c r="K913" t="s">
        <v>39</v>
      </c>
      <c r="L913">
        <v>12</v>
      </c>
      <c r="M913">
        <v>2</v>
      </c>
      <c r="N913" t="s">
        <v>64</v>
      </c>
      <c r="O913">
        <v>0</v>
      </c>
      <c r="P913">
        <v>80.55</v>
      </c>
      <c r="Q913">
        <v>9.25</v>
      </c>
      <c r="R913">
        <v>0.54</v>
      </c>
      <c r="S913">
        <v>90.34</v>
      </c>
      <c r="T913" t="s">
        <v>41</v>
      </c>
      <c r="U913" t="s">
        <v>41</v>
      </c>
      <c r="V913" t="s">
        <v>38</v>
      </c>
      <c r="W913" t="s">
        <v>898</v>
      </c>
      <c r="X913">
        <v>40.28</v>
      </c>
      <c r="Y913" s="9">
        <f t="shared" si="71"/>
        <v>40.274999999999999</v>
      </c>
      <c r="Z913" s="9">
        <f t="shared" si="72"/>
        <v>75.515625</v>
      </c>
      <c r="AA913" s="5">
        <f t="shared" si="73"/>
        <v>83.897859374999996</v>
      </c>
      <c r="AB913" s="6">
        <f t="shared" si="74"/>
        <v>122.32776093749999</v>
      </c>
      <c r="AD913" s="10">
        <f t="shared" si="75"/>
        <v>153.16305609375001</v>
      </c>
    </row>
    <row r="914" spans="1:30" x14ac:dyDescent="0.3">
      <c r="A914" t="s">
        <v>30</v>
      </c>
      <c r="B914" s="8" t="s">
        <v>249</v>
      </c>
      <c r="C914" s="8" t="s">
        <v>32</v>
      </c>
      <c r="D914" s="8" t="s">
        <v>33</v>
      </c>
      <c r="E914" s="8" t="s">
        <v>34</v>
      </c>
      <c r="F914" s="8" t="s">
        <v>35</v>
      </c>
      <c r="G914">
        <v>8421999000</v>
      </c>
      <c r="H914" t="s">
        <v>36</v>
      </c>
      <c r="I914" t="s">
        <v>215</v>
      </c>
      <c r="J914" t="s">
        <v>38</v>
      </c>
      <c r="K914" t="s">
        <v>39</v>
      </c>
      <c r="L914">
        <v>8</v>
      </c>
      <c r="M914">
        <v>1</v>
      </c>
      <c r="N914" t="s">
        <v>64</v>
      </c>
      <c r="O914">
        <v>0</v>
      </c>
      <c r="P914">
        <v>92.65</v>
      </c>
      <c r="Q914">
        <v>13.33</v>
      </c>
      <c r="R914">
        <v>0.65</v>
      </c>
      <c r="S914">
        <v>106.63</v>
      </c>
      <c r="T914" t="s">
        <v>41</v>
      </c>
      <c r="U914" t="s">
        <v>41</v>
      </c>
      <c r="V914" t="s">
        <v>38</v>
      </c>
      <c r="W914" t="s">
        <v>899</v>
      </c>
      <c r="X914">
        <v>92.65</v>
      </c>
      <c r="Y914" s="9">
        <f t="shared" si="71"/>
        <v>92.65</v>
      </c>
      <c r="Z914" s="9">
        <f t="shared" si="72"/>
        <v>173.71875</v>
      </c>
      <c r="AA914" s="5">
        <f t="shared" si="73"/>
        <v>193.00153125</v>
      </c>
      <c r="AB914" s="6">
        <f t="shared" si="74"/>
        <v>281.40700312499996</v>
      </c>
      <c r="AD914" s="10">
        <f t="shared" si="75"/>
        <v>352.34158031250001</v>
      </c>
    </row>
    <row r="915" spans="1:30" x14ac:dyDescent="0.3">
      <c r="A915" t="s">
        <v>30</v>
      </c>
      <c r="B915" s="8" t="s">
        <v>249</v>
      </c>
      <c r="C915" s="8" t="s">
        <v>32</v>
      </c>
      <c r="D915" s="8" t="s">
        <v>33</v>
      </c>
      <c r="E915" s="8" t="s">
        <v>34</v>
      </c>
      <c r="F915" s="8" t="s">
        <v>35</v>
      </c>
      <c r="G915">
        <v>8421999000</v>
      </c>
      <c r="H915" t="s">
        <v>36</v>
      </c>
      <c r="I915" t="s">
        <v>215</v>
      </c>
      <c r="J915" t="s">
        <v>38</v>
      </c>
      <c r="K915" t="s">
        <v>39</v>
      </c>
      <c r="L915">
        <v>4</v>
      </c>
      <c r="M915">
        <v>1</v>
      </c>
      <c r="N915" t="s">
        <v>64</v>
      </c>
      <c r="O915">
        <v>0</v>
      </c>
      <c r="P915">
        <v>79.099999999999994</v>
      </c>
      <c r="Q915">
        <v>4.1399999999999997</v>
      </c>
      <c r="R915">
        <v>0.52</v>
      </c>
      <c r="S915">
        <v>83.76</v>
      </c>
      <c r="T915" t="s">
        <v>41</v>
      </c>
      <c r="U915" t="s">
        <v>41</v>
      </c>
      <c r="V915" t="s">
        <v>38</v>
      </c>
      <c r="W915" t="s">
        <v>899</v>
      </c>
      <c r="X915">
        <v>79.099999999999994</v>
      </c>
      <c r="Y915" s="9">
        <f t="shared" si="71"/>
        <v>79.099999999999994</v>
      </c>
      <c r="Z915" s="9">
        <f t="shared" si="72"/>
        <v>148.3125</v>
      </c>
      <c r="AA915" s="5">
        <f t="shared" si="73"/>
        <v>164.77518749999999</v>
      </c>
      <c r="AB915" s="6">
        <f t="shared" si="74"/>
        <v>240.25141874999997</v>
      </c>
      <c r="AD915" s="10">
        <f t="shared" si="75"/>
        <v>300.81186187500003</v>
      </c>
    </row>
    <row r="916" spans="1:30" x14ac:dyDescent="0.3">
      <c r="A916" t="s">
        <v>30</v>
      </c>
      <c r="B916" s="8" t="s">
        <v>249</v>
      </c>
      <c r="C916" s="8" t="s">
        <v>32</v>
      </c>
      <c r="D916" s="8" t="s">
        <v>33</v>
      </c>
      <c r="E916" s="8" t="s">
        <v>34</v>
      </c>
      <c r="F916" s="8" t="s">
        <v>35</v>
      </c>
      <c r="G916">
        <v>8421999000</v>
      </c>
      <c r="H916" t="s">
        <v>36</v>
      </c>
      <c r="I916" t="s">
        <v>215</v>
      </c>
      <c r="J916" t="s">
        <v>38</v>
      </c>
      <c r="K916" t="s">
        <v>39</v>
      </c>
      <c r="L916">
        <v>8</v>
      </c>
      <c r="M916">
        <v>1</v>
      </c>
      <c r="N916" t="s">
        <v>64</v>
      </c>
      <c r="O916">
        <v>0</v>
      </c>
      <c r="P916">
        <v>79.02</v>
      </c>
      <c r="Q916">
        <v>9.9</v>
      </c>
      <c r="R916">
        <v>0.54</v>
      </c>
      <c r="S916">
        <v>89.46</v>
      </c>
      <c r="T916" t="s">
        <v>41</v>
      </c>
      <c r="U916" t="s">
        <v>41</v>
      </c>
      <c r="V916" t="s">
        <v>38</v>
      </c>
      <c r="W916" t="s">
        <v>899</v>
      </c>
      <c r="X916">
        <v>79.02</v>
      </c>
      <c r="Y916" s="9">
        <f t="shared" si="71"/>
        <v>79.02</v>
      </c>
      <c r="Z916" s="9">
        <f t="shared" si="72"/>
        <v>148.16249999999999</v>
      </c>
      <c r="AA916" s="5">
        <f t="shared" si="73"/>
        <v>164.60853749999998</v>
      </c>
      <c r="AB916" s="6">
        <f t="shared" si="74"/>
        <v>240.00843374999997</v>
      </c>
      <c r="AD916" s="10">
        <f t="shared" si="75"/>
        <v>300.50762737500003</v>
      </c>
    </row>
    <row r="917" spans="1:30" x14ac:dyDescent="0.3">
      <c r="A917" t="s">
        <v>30</v>
      </c>
      <c r="B917" s="8" t="s">
        <v>249</v>
      </c>
      <c r="C917" s="8" t="s">
        <v>32</v>
      </c>
      <c r="D917" s="8" t="s">
        <v>33</v>
      </c>
      <c r="E917" s="8" t="s">
        <v>34</v>
      </c>
      <c r="F917" s="8" t="s">
        <v>35</v>
      </c>
      <c r="G917">
        <v>8421999000</v>
      </c>
      <c r="H917" t="s">
        <v>36</v>
      </c>
      <c r="I917" t="s">
        <v>215</v>
      </c>
      <c r="J917" t="s">
        <v>38</v>
      </c>
      <c r="K917" t="s">
        <v>39</v>
      </c>
      <c r="L917">
        <v>8</v>
      </c>
      <c r="M917">
        <v>1</v>
      </c>
      <c r="N917" t="s">
        <v>64</v>
      </c>
      <c r="O917">
        <v>0</v>
      </c>
      <c r="P917">
        <v>142.91</v>
      </c>
      <c r="Q917">
        <v>8.09</v>
      </c>
      <c r="R917">
        <v>0.91</v>
      </c>
      <c r="S917">
        <v>151.91</v>
      </c>
      <c r="T917" t="s">
        <v>41</v>
      </c>
      <c r="U917" t="s">
        <v>41</v>
      </c>
      <c r="V917" t="s">
        <v>38</v>
      </c>
      <c r="W917" t="s">
        <v>900</v>
      </c>
      <c r="X917">
        <v>142.91</v>
      </c>
      <c r="Y917" s="9">
        <f t="shared" si="71"/>
        <v>142.91</v>
      </c>
      <c r="Z917" s="9">
        <f t="shared" si="72"/>
        <v>267.95625000000001</v>
      </c>
      <c r="AA917" s="5">
        <f t="shared" si="73"/>
        <v>297.69939375000001</v>
      </c>
      <c r="AB917" s="6">
        <f t="shared" si="74"/>
        <v>434.06232937499999</v>
      </c>
      <c r="AD917" s="10">
        <f t="shared" si="75"/>
        <v>543.47690493750008</v>
      </c>
    </row>
    <row r="918" spans="1:30" x14ac:dyDescent="0.3">
      <c r="A918" t="s">
        <v>30</v>
      </c>
      <c r="B918" s="8" t="s">
        <v>66</v>
      </c>
      <c r="C918" s="8" t="s">
        <v>32</v>
      </c>
      <c r="D918" s="8" t="s">
        <v>69</v>
      </c>
      <c r="E918" s="8" t="s">
        <v>70</v>
      </c>
      <c r="F918" s="8" t="s">
        <v>71</v>
      </c>
      <c r="G918">
        <v>8421999000</v>
      </c>
      <c r="H918" t="s">
        <v>36</v>
      </c>
      <c r="I918" t="s">
        <v>550</v>
      </c>
      <c r="J918" t="s">
        <v>38</v>
      </c>
      <c r="K918" t="s">
        <v>39</v>
      </c>
      <c r="L918">
        <v>13</v>
      </c>
      <c r="M918">
        <v>3</v>
      </c>
      <c r="N918" t="s">
        <v>64</v>
      </c>
      <c r="O918">
        <v>0</v>
      </c>
      <c r="P918">
        <v>1058.25</v>
      </c>
      <c r="Q918">
        <v>75.14</v>
      </c>
      <c r="R918">
        <v>6.92</v>
      </c>
      <c r="S918">
        <v>1140.3</v>
      </c>
      <c r="T918" t="s">
        <v>41</v>
      </c>
      <c r="U918" t="s">
        <v>41</v>
      </c>
      <c r="V918" t="s">
        <v>38</v>
      </c>
      <c r="W918" t="s">
        <v>901</v>
      </c>
      <c r="X918">
        <v>352.75</v>
      </c>
      <c r="Y918" s="9">
        <f t="shared" si="71"/>
        <v>352.75</v>
      </c>
      <c r="Z918" s="9">
        <f t="shared" si="72"/>
        <v>661.40625</v>
      </c>
      <c r="AA918" s="5">
        <f t="shared" si="73"/>
        <v>734.82234374999996</v>
      </c>
      <c r="AB918" s="6">
        <f t="shared" si="74"/>
        <v>1071.411984375</v>
      </c>
      <c r="AD918" s="10">
        <f t="shared" si="75"/>
        <v>1341.4839984375001</v>
      </c>
    </row>
    <row r="919" spans="1:30" x14ac:dyDescent="0.3">
      <c r="A919" t="s">
        <v>30</v>
      </c>
      <c r="B919" s="8" t="s">
        <v>66</v>
      </c>
      <c r="C919" s="8" t="s">
        <v>32</v>
      </c>
      <c r="D919" s="8" t="s">
        <v>33</v>
      </c>
      <c r="E919" s="8" t="s">
        <v>34</v>
      </c>
      <c r="F919" s="8" t="s">
        <v>35</v>
      </c>
      <c r="G919">
        <v>8421999000</v>
      </c>
      <c r="H919" t="s">
        <v>36</v>
      </c>
      <c r="I919" t="s">
        <v>550</v>
      </c>
      <c r="J919" t="s">
        <v>38</v>
      </c>
      <c r="K919" t="s">
        <v>39</v>
      </c>
      <c r="L919">
        <v>8</v>
      </c>
      <c r="M919">
        <v>2</v>
      </c>
      <c r="N919" t="s">
        <v>64</v>
      </c>
      <c r="O919">
        <v>0</v>
      </c>
      <c r="P919">
        <v>105.13</v>
      </c>
      <c r="Q919">
        <v>11.22</v>
      </c>
      <c r="R919">
        <v>0.7</v>
      </c>
      <c r="S919">
        <v>117.06</v>
      </c>
      <c r="T919" t="s">
        <v>41</v>
      </c>
      <c r="U919" t="s">
        <v>41</v>
      </c>
      <c r="V919" t="s">
        <v>38</v>
      </c>
      <c r="W919" t="s">
        <v>902</v>
      </c>
      <c r="X919">
        <v>52.57</v>
      </c>
      <c r="Y919" s="9">
        <f t="shared" si="71"/>
        <v>52.564999999999998</v>
      </c>
      <c r="Z919" s="9">
        <f t="shared" si="72"/>
        <v>98.559374999999989</v>
      </c>
      <c r="AA919" s="5">
        <f t="shared" si="73"/>
        <v>109.49946562499998</v>
      </c>
      <c r="AB919" s="6">
        <f t="shared" si="74"/>
        <v>159.65633156249996</v>
      </c>
      <c r="AD919" s="10">
        <f t="shared" si="75"/>
        <v>199.90108115625</v>
      </c>
    </row>
    <row r="920" spans="1:30" x14ac:dyDescent="0.3">
      <c r="A920" t="s">
        <v>30</v>
      </c>
      <c r="B920" s="8" t="s">
        <v>66</v>
      </c>
      <c r="C920" s="8" t="s">
        <v>32</v>
      </c>
      <c r="D920" s="8" t="s">
        <v>33</v>
      </c>
      <c r="E920" s="8" t="s">
        <v>34</v>
      </c>
      <c r="F920" s="8" t="s">
        <v>35</v>
      </c>
      <c r="G920">
        <v>8421999000</v>
      </c>
      <c r="H920" t="s">
        <v>36</v>
      </c>
      <c r="I920" t="s">
        <v>550</v>
      </c>
      <c r="J920" t="s">
        <v>38</v>
      </c>
      <c r="K920" t="s">
        <v>39</v>
      </c>
      <c r="L920">
        <v>8</v>
      </c>
      <c r="M920">
        <v>3</v>
      </c>
      <c r="N920" t="s">
        <v>64</v>
      </c>
      <c r="O920">
        <v>0</v>
      </c>
      <c r="P920">
        <v>255.22</v>
      </c>
      <c r="Q920">
        <v>36.729999999999997</v>
      </c>
      <c r="R920">
        <v>1.8</v>
      </c>
      <c r="S920">
        <v>293.75</v>
      </c>
      <c r="T920" t="s">
        <v>41</v>
      </c>
      <c r="U920" t="s">
        <v>41</v>
      </c>
      <c r="V920" t="s">
        <v>38</v>
      </c>
      <c r="W920" t="s">
        <v>903</v>
      </c>
      <c r="X920">
        <v>85.07</v>
      </c>
      <c r="Y920" s="9">
        <f t="shared" si="71"/>
        <v>85.073333333333338</v>
      </c>
      <c r="Z920" s="9">
        <f t="shared" si="72"/>
        <v>159.51250000000002</v>
      </c>
      <c r="AA920" s="5">
        <f t="shared" si="73"/>
        <v>177.21838750000001</v>
      </c>
      <c r="AB920" s="6">
        <f t="shared" si="74"/>
        <v>258.39429875000002</v>
      </c>
      <c r="AD920" s="10">
        <f t="shared" si="75"/>
        <v>323.52803787500005</v>
      </c>
    </row>
    <row r="921" spans="1:30" x14ac:dyDescent="0.3">
      <c r="A921" t="s">
        <v>30</v>
      </c>
      <c r="B921" s="8" t="s">
        <v>66</v>
      </c>
      <c r="C921" s="8" t="s">
        <v>32</v>
      </c>
      <c r="D921" s="8" t="s">
        <v>33</v>
      </c>
      <c r="E921" s="8" t="s">
        <v>34</v>
      </c>
      <c r="F921" s="8" t="s">
        <v>35</v>
      </c>
      <c r="G921">
        <v>8421999000</v>
      </c>
      <c r="H921" t="s">
        <v>36</v>
      </c>
      <c r="I921" t="s">
        <v>904</v>
      </c>
      <c r="J921" t="s">
        <v>38</v>
      </c>
      <c r="K921" t="s">
        <v>39</v>
      </c>
      <c r="L921">
        <v>16</v>
      </c>
      <c r="M921">
        <v>1</v>
      </c>
      <c r="N921" t="s">
        <v>64</v>
      </c>
      <c r="O921">
        <v>0</v>
      </c>
      <c r="P921">
        <v>72.86</v>
      </c>
      <c r="Q921">
        <v>10.06</v>
      </c>
      <c r="R921">
        <v>0.49</v>
      </c>
      <c r="S921">
        <v>83.4</v>
      </c>
      <c r="T921" t="s">
        <v>41</v>
      </c>
      <c r="U921" t="s">
        <v>41</v>
      </c>
      <c r="V921" t="s">
        <v>38</v>
      </c>
      <c r="W921" t="s">
        <v>903</v>
      </c>
      <c r="X921">
        <v>72.86</v>
      </c>
      <c r="Y921" s="9">
        <f t="shared" si="71"/>
        <v>72.86</v>
      </c>
      <c r="Z921" s="9">
        <f t="shared" si="72"/>
        <v>136.61250000000001</v>
      </c>
      <c r="AA921" s="5">
        <f t="shared" si="73"/>
        <v>151.7764875</v>
      </c>
      <c r="AB921" s="6">
        <f t="shared" si="74"/>
        <v>221.29858874999999</v>
      </c>
      <c r="AD921" s="10">
        <f t="shared" si="75"/>
        <v>277.08157087500007</v>
      </c>
    </row>
    <row r="922" spans="1:30" x14ac:dyDescent="0.3">
      <c r="A922" t="s">
        <v>168</v>
      </c>
      <c r="B922" s="8" t="s">
        <v>66</v>
      </c>
      <c r="C922" s="8" t="s">
        <v>32</v>
      </c>
      <c r="D922" s="8" t="s">
        <v>33</v>
      </c>
      <c r="E922" s="8" t="s">
        <v>34</v>
      </c>
      <c r="F922" s="8" t="s">
        <v>35</v>
      </c>
      <c r="G922">
        <v>8421999000</v>
      </c>
      <c r="H922" t="s">
        <v>36</v>
      </c>
      <c r="I922" t="s">
        <v>904</v>
      </c>
      <c r="J922" t="s">
        <v>38</v>
      </c>
      <c r="K922" t="s">
        <v>39</v>
      </c>
      <c r="L922">
        <v>11</v>
      </c>
      <c r="M922">
        <v>2</v>
      </c>
      <c r="N922" t="s">
        <v>64</v>
      </c>
      <c r="O922">
        <v>0</v>
      </c>
      <c r="P922">
        <v>171.93</v>
      </c>
      <c r="Q922">
        <v>16.47</v>
      </c>
      <c r="R922">
        <v>1.1599999999999999</v>
      </c>
      <c r="S922">
        <v>189.55</v>
      </c>
      <c r="T922" t="s">
        <v>41</v>
      </c>
      <c r="U922" t="s">
        <v>43</v>
      </c>
      <c r="V922" t="s">
        <v>38</v>
      </c>
      <c r="W922" t="s">
        <v>903</v>
      </c>
      <c r="X922">
        <v>85.97</v>
      </c>
      <c r="Y922" s="9">
        <f t="shared" si="71"/>
        <v>85.965000000000003</v>
      </c>
      <c r="Z922" s="9">
        <f t="shared" si="72"/>
        <v>161.18437500000002</v>
      </c>
      <c r="AA922" s="5">
        <f t="shared" si="73"/>
        <v>179.07584062500001</v>
      </c>
      <c r="AB922" s="6">
        <f t="shared" si="74"/>
        <v>261.10256906250004</v>
      </c>
      <c r="AD922" s="10">
        <f t="shared" si="75"/>
        <v>326.91898490625005</v>
      </c>
    </row>
    <row r="923" spans="1:30" x14ac:dyDescent="0.3">
      <c r="A923" t="s">
        <v>30</v>
      </c>
      <c r="B923" s="8" t="s">
        <v>66</v>
      </c>
      <c r="C923" s="8" t="s">
        <v>32</v>
      </c>
      <c r="D923" s="8" t="s">
        <v>33</v>
      </c>
      <c r="E923" s="8" t="s">
        <v>34</v>
      </c>
      <c r="F923" s="8" t="s">
        <v>35</v>
      </c>
      <c r="G923">
        <v>8421999000</v>
      </c>
      <c r="H923" t="s">
        <v>36</v>
      </c>
      <c r="I923" t="s">
        <v>550</v>
      </c>
      <c r="J923" t="s">
        <v>38</v>
      </c>
      <c r="K923" t="s">
        <v>39</v>
      </c>
      <c r="L923">
        <v>8</v>
      </c>
      <c r="M923">
        <v>2</v>
      </c>
      <c r="N923" t="s">
        <v>64</v>
      </c>
      <c r="O923">
        <v>0</v>
      </c>
      <c r="P923">
        <v>145.26</v>
      </c>
      <c r="Q923">
        <v>15.51</v>
      </c>
      <c r="R923">
        <v>0.97</v>
      </c>
      <c r="S923">
        <v>161.74</v>
      </c>
      <c r="T923" t="s">
        <v>41</v>
      </c>
      <c r="U923" t="s">
        <v>41</v>
      </c>
      <c r="V923" t="s">
        <v>38</v>
      </c>
      <c r="W923" t="s">
        <v>903</v>
      </c>
      <c r="X923">
        <v>72.63</v>
      </c>
      <c r="Y923" s="9">
        <f t="shared" si="71"/>
        <v>72.63</v>
      </c>
      <c r="Z923" s="9">
        <f t="shared" si="72"/>
        <v>136.18124999999998</v>
      </c>
      <c r="AA923" s="5">
        <f t="shared" si="73"/>
        <v>151.29736874999998</v>
      </c>
      <c r="AB923" s="6">
        <f t="shared" si="74"/>
        <v>220.60000687499996</v>
      </c>
      <c r="AD923" s="10">
        <f t="shared" si="75"/>
        <v>276.20689668749998</v>
      </c>
    </row>
    <row r="924" spans="1:30" x14ac:dyDescent="0.3">
      <c r="A924" t="s">
        <v>30</v>
      </c>
      <c r="B924" s="8" t="s">
        <v>66</v>
      </c>
      <c r="C924" s="8" t="s">
        <v>32</v>
      </c>
      <c r="D924" s="8" t="s">
        <v>33</v>
      </c>
      <c r="E924" s="8" t="s">
        <v>34</v>
      </c>
      <c r="F924" s="8" t="s">
        <v>35</v>
      </c>
      <c r="G924">
        <v>8421999000</v>
      </c>
      <c r="H924" t="s">
        <v>36</v>
      </c>
      <c r="I924" t="s">
        <v>550</v>
      </c>
      <c r="J924" t="s">
        <v>38</v>
      </c>
      <c r="K924" t="s">
        <v>39</v>
      </c>
      <c r="L924">
        <v>8</v>
      </c>
      <c r="M924">
        <v>1</v>
      </c>
      <c r="N924" t="s">
        <v>64</v>
      </c>
      <c r="O924">
        <v>0</v>
      </c>
      <c r="P924">
        <v>72.569999999999993</v>
      </c>
      <c r="Q924">
        <v>9.09</v>
      </c>
      <c r="R924">
        <v>0.5</v>
      </c>
      <c r="S924">
        <v>82.15</v>
      </c>
      <c r="T924" t="s">
        <v>41</v>
      </c>
      <c r="U924" t="s">
        <v>41</v>
      </c>
      <c r="V924" t="s">
        <v>38</v>
      </c>
      <c r="W924" t="s">
        <v>903</v>
      </c>
      <c r="X924">
        <v>72.569999999999993</v>
      </c>
      <c r="Y924" s="9">
        <f t="shared" si="71"/>
        <v>72.569999999999993</v>
      </c>
      <c r="Z924" s="9">
        <f t="shared" si="72"/>
        <v>136.06874999999999</v>
      </c>
      <c r="AA924" s="5">
        <f t="shared" si="73"/>
        <v>151.17238125</v>
      </c>
      <c r="AB924" s="6">
        <f t="shared" si="74"/>
        <v>220.41776812499998</v>
      </c>
      <c r="AD924" s="10">
        <f t="shared" si="75"/>
        <v>275.9787208125</v>
      </c>
    </row>
    <row r="925" spans="1:30" x14ac:dyDescent="0.3">
      <c r="A925" t="s">
        <v>30</v>
      </c>
      <c r="B925" s="8" t="s">
        <v>66</v>
      </c>
      <c r="C925" s="8" t="s">
        <v>32</v>
      </c>
      <c r="D925" s="8" t="s">
        <v>33</v>
      </c>
      <c r="E925" s="8" t="s">
        <v>34</v>
      </c>
      <c r="F925" s="8" t="s">
        <v>35</v>
      </c>
      <c r="G925">
        <v>8421999000</v>
      </c>
      <c r="H925" t="s">
        <v>36</v>
      </c>
      <c r="I925" t="s">
        <v>550</v>
      </c>
      <c r="J925" t="s">
        <v>38</v>
      </c>
      <c r="K925" t="s">
        <v>39</v>
      </c>
      <c r="L925">
        <v>3</v>
      </c>
      <c r="M925">
        <v>3</v>
      </c>
      <c r="N925" t="s">
        <v>64</v>
      </c>
      <c r="O925">
        <v>0</v>
      </c>
      <c r="P925">
        <v>275.17</v>
      </c>
      <c r="Q925">
        <v>11.78</v>
      </c>
      <c r="R925">
        <v>1.77</v>
      </c>
      <c r="S925">
        <v>288.73</v>
      </c>
      <c r="T925" t="s">
        <v>41</v>
      </c>
      <c r="U925" t="s">
        <v>43</v>
      </c>
      <c r="V925" t="s">
        <v>38</v>
      </c>
      <c r="W925" t="s">
        <v>905</v>
      </c>
      <c r="X925">
        <v>91.72</v>
      </c>
      <c r="Y925" s="9">
        <f t="shared" si="71"/>
        <v>91.723333333333343</v>
      </c>
      <c r="Z925" s="9">
        <f t="shared" si="72"/>
        <v>171.98125000000002</v>
      </c>
      <c r="AA925" s="5">
        <f t="shared" si="73"/>
        <v>191.07116875000003</v>
      </c>
      <c r="AB925" s="6">
        <f t="shared" si="74"/>
        <v>278.592426875</v>
      </c>
      <c r="AD925" s="10">
        <f t="shared" si="75"/>
        <v>348.8175306875001</v>
      </c>
    </row>
    <row r="926" spans="1:30" x14ac:dyDescent="0.3">
      <c r="A926" t="s">
        <v>30</v>
      </c>
      <c r="B926" s="8" t="s">
        <v>66</v>
      </c>
      <c r="C926" s="8" t="s">
        <v>32</v>
      </c>
      <c r="D926" s="8" t="s">
        <v>33</v>
      </c>
      <c r="E926" s="8" t="s">
        <v>34</v>
      </c>
      <c r="F926" s="8" t="s">
        <v>35</v>
      </c>
      <c r="G926">
        <v>8421999000</v>
      </c>
      <c r="H926" t="s">
        <v>36</v>
      </c>
      <c r="I926" t="s">
        <v>904</v>
      </c>
      <c r="J926" t="s">
        <v>38</v>
      </c>
      <c r="K926" t="s">
        <v>39</v>
      </c>
      <c r="L926">
        <v>16</v>
      </c>
      <c r="M926">
        <v>1</v>
      </c>
      <c r="N926" t="s">
        <v>64</v>
      </c>
      <c r="O926">
        <v>0</v>
      </c>
      <c r="P926">
        <v>92.31</v>
      </c>
      <c r="Q926">
        <v>12.74</v>
      </c>
      <c r="R926">
        <v>0.62</v>
      </c>
      <c r="S926">
        <v>105.67</v>
      </c>
      <c r="T926" t="s">
        <v>41</v>
      </c>
      <c r="U926" t="s">
        <v>41</v>
      </c>
      <c r="V926" t="s">
        <v>38</v>
      </c>
      <c r="W926" t="s">
        <v>905</v>
      </c>
      <c r="X926">
        <v>92.31</v>
      </c>
      <c r="Y926" s="9">
        <f t="shared" si="71"/>
        <v>92.31</v>
      </c>
      <c r="Z926" s="9">
        <f t="shared" si="72"/>
        <v>173.08125000000001</v>
      </c>
      <c r="AA926" s="5">
        <f t="shared" si="73"/>
        <v>192.29326875000001</v>
      </c>
      <c r="AB926" s="6">
        <f t="shared" si="74"/>
        <v>280.37431687499998</v>
      </c>
      <c r="AD926" s="10">
        <f t="shared" si="75"/>
        <v>351.04858368750007</v>
      </c>
    </row>
    <row r="927" spans="1:30" x14ac:dyDescent="0.3">
      <c r="A927" t="s">
        <v>168</v>
      </c>
      <c r="B927" s="8" t="s">
        <v>66</v>
      </c>
      <c r="C927" s="8" t="s">
        <v>32</v>
      </c>
      <c r="D927" s="8" t="s">
        <v>33</v>
      </c>
      <c r="E927" s="8" t="s">
        <v>34</v>
      </c>
      <c r="F927" s="8" t="s">
        <v>35</v>
      </c>
      <c r="G927">
        <v>8421999000</v>
      </c>
      <c r="H927" t="s">
        <v>36</v>
      </c>
      <c r="I927" t="s">
        <v>904</v>
      </c>
      <c r="J927" t="s">
        <v>38</v>
      </c>
      <c r="K927" t="s">
        <v>39</v>
      </c>
      <c r="L927">
        <v>11</v>
      </c>
      <c r="M927">
        <v>2</v>
      </c>
      <c r="N927" t="s">
        <v>64</v>
      </c>
      <c r="O927">
        <v>0</v>
      </c>
      <c r="P927">
        <v>185.16</v>
      </c>
      <c r="Q927">
        <v>17.739999999999998</v>
      </c>
      <c r="R927">
        <v>1.25</v>
      </c>
      <c r="S927">
        <v>204.14</v>
      </c>
      <c r="T927" t="s">
        <v>41</v>
      </c>
      <c r="U927" t="s">
        <v>43</v>
      </c>
      <c r="V927" t="s">
        <v>38</v>
      </c>
      <c r="W927" t="s">
        <v>905</v>
      </c>
      <c r="X927">
        <v>92.58</v>
      </c>
      <c r="Y927" s="9">
        <f t="shared" si="71"/>
        <v>92.58</v>
      </c>
      <c r="Z927" s="9">
        <f t="shared" si="72"/>
        <v>173.58750000000001</v>
      </c>
      <c r="AA927" s="5">
        <f t="shared" si="73"/>
        <v>192.85571250000001</v>
      </c>
      <c r="AB927" s="6">
        <f t="shared" si="74"/>
        <v>281.19439124999997</v>
      </c>
      <c r="AD927" s="10">
        <f t="shared" si="75"/>
        <v>352.07537512500005</v>
      </c>
    </row>
    <row r="928" spans="1:30" x14ac:dyDescent="0.3">
      <c r="A928" t="s">
        <v>30</v>
      </c>
      <c r="B928" s="8" t="s">
        <v>66</v>
      </c>
      <c r="C928" s="8" t="s">
        <v>32</v>
      </c>
      <c r="D928" s="8" t="s">
        <v>33</v>
      </c>
      <c r="E928" s="8" t="s">
        <v>34</v>
      </c>
      <c r="F928" s="8" t="s">
        <v>35</v>
      </c>
      <c r="G928">
        <v>8421999000</v>
      </c>
      <c r="H928" t="s">
        <v>36</v>
      </c>
      <c r="I928" t="s">
        <v>550</v>
      </c>
      <c r="J928" t="s">
        <v>38</v>
      </c>
      <c r="K928" t="s">
        <v>39</v>
      </c>
      <c r="L928">
        <v>4</v>
      </c>
      <c r="M928">
        <v>3</v>
      </c>
      <c r="N928" t="s">
        <v>64</v>
      </c>
      <c r="O928">
        <v>0</v>
      </c>
      <c r="P928">
        <v>276.10000000000002</v>
      </c>
      <c r="Q928">
        <v>14.46</v>
      </c>
      <c r="R928">
        <v>1.8</v>
      </c>
      <c r="S928">
        <v>292.35000000000002</v>
      </c>
      <c r="T928" t="s">
        <v>41</v>
      </c>
      <c r="U928" t="s">
        <v>41</v>
      </c>
      <c r="V928" t="s">
        <v>38</v>
      </c>
      <c r="W928" t="s">
        <v>905</v>
      </c>
      <c r="X928">
        <v>92.03</v>
      </c>
      <c r="Y928" s="9">
        <f t="shared" si="71"/>
        <v>92.033333333333346</v>
      </c>
      <c r="Z928" s="9">
        <f t="shared" si="72"/>
        <v>172.56250000000003</v>
      </c>
      <c r="AA928" s="5">
        <f t="shared" si="73"/>
        <v>191.71693750000003</v>
      </c>
      <c r="AB928" s="6">
        <f t="shared" si="74"/>
        <v>279.53399375000004</v>
      </c>
      <c r="AD928" s="10">
        <f t="shared" si="75"/>
        <v>349.99643937500008</v>
      </c>
    </row>
    <row r="929" spans="1:30" x14ac:dyDescent="0.3">
      <c r="A929" t="s">
        <v>30</v>
      </c>
      <c r="B929" s="8" t="s">
        <v>66</v>
      </c>
      <c r="C929" s="8" t="s">
        <v>32</v>
      </c>
      <c r="D929" s="8" t="s">
        <v>33</v>
      </c>
      <c r="E929" s="8" t="s">
        <v>34</v>
      </c>
      <c r="F929" s="8" t="s">
        <v>35</v>
      </c>
      <c r="G929">
        <v>8421999000</v>
      </c>
      <c r="H929" t="s">
        <v>36</v>
      </c>
      <c r="I929" t="s">
        <v>550</v>
      </c>
      <c r="J929" t="s">
        <v>38</v>
      </c>
      <c r="K929" t="s">
        <v>39</v>
      </c>
      <c r="L929">
        <v>12</v>
      </c>
      <c r="M929">
        <v>4</v>
      </c>
      <c r="N929" t="s">
        <v>64</v>
      </c>
      <c r="O929">
        <v>0</v>
      </c>
      <c r="P929">
        <v>370.46</v>
      </c>
      <c r="Q929">
        <v>42.54</v>
      </c>
      <c r="R929">
        <v>2.4700000000000002</v>
      </c>
      <c r="S929">
        <v>415.47</v>
      </c>
      <c r="T929" t="s">
        <v>41</v>
      </c>
      <c r="U929" t="s">
        <v>41</v>
      </c>
      <c r="V929" t="s">
        <v>38</v>
      </c>
      <c r="W929" t="s">
        <v>905</v>
      </c>
      <c r="X929">
        <v>92.62</v>
      </c>
      <c r="Y929" s="9">
        <f t="shared" si="71"/>
        <v>92.614999999999995</v>
      </c>
      <c r="Z929" s="9">
        <f t="shared" si="72"/>
        <v>173.65312499999999</v>
      </c>
      <c r="AA929" s="5">
        <f t="shared" si="73"/>
        <v>192.92862187499998</v>
      </c>
      <c r="AB929" s="6">
        <f t="shared" si="74"/>
        <v>281.30069718749996</v>
      </c>
      <c r="AD929" s="10">
        <f t="shared" si="75"/>
        <v>352.20847771875003</v>
      </c>
    </row>
    <row r="930" spans="1:30" x14ac:dyDescent="0.3">
      <c r="A930" t="s">
        <v>30</v>
      </c>
      <c r="B930" s="8" t="s">
        <v>66</v>
      </c>
      <c r="C930" s="8" t="s">
        <v>32</v>
      </c>
      <c r="D930" s="8" t="s">
        <v>33</v>
      </c>
      <c r="E930" s="8" t="s">
        <v>34</v>
      </c>
      <c r="F930" s="8" t="s">
        <v>35</v>
      </c>
      <c r="G930">
        <v>8421999000</v>
      </c>
      <c r="H930" t="s">
        <v>36</v>
      </c>
      <c r="I930" t="s">
        <v>550</v>
      </c>
      <c r="J930" t="s">
        <v>38</v>
      </c>
      <c r="K930" t="s">
        <v>39</v>
      </c>
      <c r="L930">
        <v>10</v>
      </c>
      <c r="M930">
        <v>2</v>
      </c>
      <c r="N930" t="s">
        <v>64</v>
      </c>
      <c r="O930">
        <v>0</v>
      </c>
      <c r="P930">
        <v>183.61</v>
      </c>
      <c r="Q930">
        <v>15.28</v>
      </c>
      <c r="R930">
        <v>1.2</v>
      </c>
      <c r="S930">
        <v>200.09</v>
      </c>
      <c r="T930" t="s">
        <v>41</v>
      </c>
      <c r="U930" t="s">
        <v>43</v>
      </c>
      <c r="V930" t="s">
        <v>38</v>
      </c>
      <c r="W930" t="s">
        <v>905</v>
      </c>
      <c r="X930">
        <v>91.8</v>
      </c>
      <c r="Y930" s="9">
        <f t="shared" si="71"/>
        <v>91.805000000000007</v>
      </c>
      <c r="Z930" s="9">
        <f t="shared" si="72"/>
        <v>172.13437500000001</v>
      </c>
      <c r="AA930" s="5">
        <f t="shared" si="73"/>
        <v>191.241290625</v>
      </c>
      <c r="AB930" s="6">
        <f t="shared" si="74"/>
        <v>278.84047406249999</v>
      </c>
      <c r="AD930" s="10">
        <f t="shared" si="75"/>
        <v>349.12810340625003</v>
      </c>
    </row>
    <row r="931" spans="1:30" x14ac:dyDescent="0.3">
      <c r="A931" t="s">
        <v>30</v>
      </c>
      <c r="B931" s="8" t="s">
        <v>66</v>
      </c>
      <c r="C931" s="8" t="s">
        <v>32</v>
      </c>
      <c r="D931" s="8" t="s">
        <v>33</v>
      </c>
      <c r="E931" s="8" t="s">
        <v>34</v>
      </c>
      <c r="F931" s="8" t="s">
        <v>35</v>
      </c>
      <c r="G931">
        <v>8421999000</v>
      </c>
      <c r="H931" t="s">
        <v>36</v>
      </c>
      <c r="I931" t="s">
        <v>550</v>
      </c>
      <c r="J931" t="s">
        <v>38</v>
      </c>
      <c r="K931" t="s">
        <v>39</v>
      </c>
      <c r="L931">
        <v>8</v>
      </c>
      <c r="M931">
        <v>3</v>
      </c>
      <c r="N931" t="s">
        <v>64</v>
      </c>
      <c r="O931">
        <v>0</v>
      </c>
      <c r="P931">
        <v>276.07</v>
      </c>
      <c r="Q931">
        <v>29.47</v>
      </c>
      <c r="R931">
        <v>1.85</v>
      </c>
      <c r="S931">
        <v>307.39</v>
      </c>
      <c r="T931" t="s">
        <v>41</v>
      </c>
      <c r="U931" t="s">
        <v>41</v>
      </c>
      <c r="V931" t="s">
        <v>38</v>
      </c>
      <c r="W931" t="s">
        <v>905</v>
      </c>
      <c r="X931">
        <v>92.02</v>
      </c>
      <c r="Y931" s="9">
        <f t="shared" si="71"/>
        <v>92.023333333333326</v>
      </c>
      <c r="Z931" s="9">
        <f t="shared" si="72"/>
        <v>172.54374999999999</v>
      </c>
      <c r="AA931" s="5">
        <f t="shared" si="73"/>
        <v>191.69610624999999</v>
      </c>
      <c r="AB931" s="6">
        <f t="shared" si="74"/>
        <v>279.50362062499994</v>
      </c>
      <c r="AD931" s="10">
        <f t="shared" si="75"/>
        <v>349.95841006250004</v>
      </c>
    </row>
    <row r="932" spans="1:30" x14ac:dyDescent="0.3">
      <c r="A932" t="s">
        <v>30</v>
      </c>
      <c r="B932" s="8" t="s">
        <v>66</v>
      </c>
      <c r="C932" s="8" t="s">
        <v>32</v>
      </c>
      <c r="D932" s="8" t="s">
        <v>33</v>
      </c>
      <c r="E932" s="8" t="s">
        <v>34</v>
      </c>
      <c r="F932" s="8" t="s">
        <v>35</v>
      </c>
      <c r="G932">
        <v>8421999000</v>
      </c>
      <c r="H932" t="s">
        <v>36</v>
      </c>
      <c r="I932" t="s">
        <v>904</v>
      </c>
      <c r="J932" t="s">
        <v>38</v>
      </c>
      <c r="K932" t="s">
        <v>39</v>
      </c>
      <c r="L932">
        <v>16</v>
      </c>
      <c r="M932">
        <v>2</v>
      </c>
      <c r="N932" t="s">
        <v>64</v>
      </c>
      <c r="O932">
        <v>0</v>
      </c>
      <c r="P932">
        <v>223.55</v>
      </c>
      <c r="Q932">
        <v>30.85</v>
      </c>
      <c r="R932">
        <v>1.49</v>
      </c>
      <c r="S932">
        <v>255.9</v>
      </c>
      <c r="T932" t="s">
        <v>41</v>
      </c>
      <c r="U932" t="s">
        <v>41</v>
      </c>
      <c r="V932" t="s">
        <v>38</v>
      </c>
      <c r="W932" t="s">
        <v>906</v>
      </c>
      <c r="X932">
        <v>111.78</v>
      </c>
      <c r="Y932" s="9">
        <f t="shared" si="71"/>
        <v>111.77500000000001</v>
      </c>
      <c r="Z932" s="9">
        <f t="shared" si="72"/>
        <v>209.578125</v>
      </c>
      <c r="AA932" s="5">
        <f t="shared" si="73"/>
        <v>232.84129687499998</v>
      </c>
      <c r="AB932" s="6">
        <f t="shared" si="74"/>
        <v>339.49560468749996</v>
      </c>
      <c r="AD932" s="10">
        <f t="shared" si="75"/>
        <v>425.07264046875002</v>
      </c>
    </row>
    <row r="933" spans="1:30" x14ac:dyDescent="0.3">
      <c r="A933" t="s">
        <v>168</v>
      </c>
      <c r="B933" s="8" t="s">
        <v>66</v>
      </c>
      <c r="C933" s="8" t="s">
        <v>32</v>
      </c>
      <c r="D933" s="8" t="s">
        <v>33</v>
      </c>
      <c r="E933" s="8" t="s">
        <v>34</v>
      </c>
      <c r="F933" s="8" t="s">
        <v>35</v>
      </c>
      <c r="G933">
        <v>8421999000</v>
      </c>
      <c r="H933" t="s">
        <v>36</v>
      </c>
      <c r="I933" t="s">
        <v>904</v>
      </c>
      <c r="J933" t="s">
        <v>38</v>
      </c>
      <c r="K933" t="s">
        <v>39</v>
      </c>
      <c r="L933">
        <v>11</v>
      </c>
      <c r="M933">
        <v>3</v>
      </c>
      <c r="N933" t="s">
        <v>64</v>
      </c>
      <c r="O933">
        <v>0</v>
      </c>
      <c r="P933">
        <v>336.29</v>
      </c>
      <c r="Q933">
        <v>32.21</v>
      </c>
      <c r="R933">
        <v>2.27</v>
      </c>
      <c r="S933">
        <v>370.77</v>
      </c>
      <c r="T933" t="s">
        <v>41</v>
      </c>
      <c r="U933" t="s">
        <v>43</v>
      </c>
      <c r="V933" t="s">
        <v>38</v>
      </c>
      <c r="W933" t="s">
        <v>906</v>
      </c>
      <c r="X933">
        <v>112.1</v>
      </c>
      <c r="Y933" s="9">
        <f t="shared" si="71"/>
        <v>112.09666666666668</v>
      </c>
      <c r="Z933" s="9">
        <f t="shared" si="72"/>
        <v>210.18125000000003</v>
      </c>
      <c r="AA933" s="5">
        <f t="shared" si="73"/>
        <v>233.51136875000003</v>
      </c>
      <c r="AB933" s="6">
        <f t="shared" si="74"/>
        <v>340.47260687500005</v>
      </c>
      <c r="AD933" s="10">
        <f t="shared" si="75"/>
        <v>426.2959166875001</v>
      </c>
    </row>
    <row r="934" spans="1:30" x14ac:dyDescent="0.3">
      <c r="A934" t="s">
        <v>30</v>
      </c>
      <c r="B934" s="8" t="s">
        <v>66</v>
      </c>
      <c r="C934" s="8" t="s">
        <v>32</v>
      </c>
      <c r="D934" s="8" t="s">
        <v>33</v>
      </c>
      <c r="E934" s="8" t="s">
        <v>34</v>
      </c>
      <c r="F934" s="8" t="s">
        <v>35</v>
      </c>
      <c r="G934">
        <v>8421999000</v>
      </c>
      <c r="H934" t="s">
        <v>36</v>
      </c>
      <c r="I934" t="s">
        <v>215</v>
      </c>
      <c r="J934" t="s">
        <v>38</v>
      </c>
      <c r="K934" t="s">
        <v>39</v>
      </c>
      <c r="L934">
        <v>6</v>
      </c>
      <c r="M934">
        <v>3</v>
      </c>
      <c r="N934" t="s">
        <v>64</v>
      </c>
      <c r="O934">
        <v>0</v>
      </c>
      <c r="P934">
        <v>488.45</v>
      </c>
      <c r="Q934">
        <v>59.07</v>
      </c>
      <c r="R934">
        <v>3.4</v>
      </c>
      <c r="S934">
        <v>550.92999999999995</v>
      </c>
      <c r="T934" t="s">
        <v>41</v>
      </c>
      <c r="U934" t="s">
        <v>43</v>
      </c>
      <c r="V934" t="s">
        <v>38</v>
      </c>
      <c r="W934" t="s">
        <v>907</v>
      </c>
      <c r="X934">
        <v>162.82</v>
      </c>
      <c r="Y934" s="9">
        <f t="shared" si="71"/>
        <v>162.81666666666666</v>
      </c>
      <c r="Z934" s="9">
        <f t="shared" si="72"/>
        <v>305.28125</v>
      </c>
      <c r="AA934" s="5">
        <f t="shared" si="73"/>
        <v>339.16746875000001</v>
      </c>
      <c r="AB934" s="6">
        <f t="shared" si="74"/>
        <v>494.52509687499997</v>
      </c>
      <c r="AD934" s="10">
        <f t="shared" si="75"/>
        <v>619.18058968750006</v>
      </c>
    </row>
    <row r="935" spans="1:30" x14ac:dyDescent="0.3">
      <c r="A935" t="s">
        <v>30</v>
      </c>
      <c r="B935" s="8" t="s">
        <v>66</v>
      </c>
      <c r="C935" s="8" t="s">
        <v>32</v>
      </c>
      <c r="D935" s="8" t="s">
        <v>69</v>
      </c>
      <c r="E935" s="8" t="s">
        <v>70</v>
      </c>
      <c r="F935" s="8" t="s">
        <v>71</v>
      </c>
      <c r="G935">
        <v>8421999000</v>
      </c>
      <c r="H935" t="s">
        <v>36</v>
      </c>
      <c r="I935" t="s">
        <v>904</v>
      </c>
      <c r="J935" t="s">
        <v>38</v>
      </c>
      <c r="K935" t="s">
        <v>39</v>
      </c>
      <c r="L935">
        <v>9</v>
      </c>
      <c r="M935">
        <v>3</v>
      </c>
      <c r="N935" t="s">
        <v>64</v>
      </c>
      <c r="O935">
        <v>0</v>
      </c>
      <c r="P935">
        <v>473.79</v>
      </c>
      <c r="Q935">
        <v>23.88</v>
      </c>
      <c r="R935">
        <v>3.01</v>
      </c>
      <c r="S935">
        <v>500.68</v>
      </c>
      <c r="T935" t="s">
        <v>41</v>
      </c>
      <c r="U935" t="s">
        <v>43</v>
      </c>
      <c r="V935" t="s">
        <v>38</v>
      </c>
      <c r="W935" t="s">
        <v>907</v>
      </c>
      <c r="X935">
        <v>157.93</v>
      </c>
      <c r="Y935" s="9">
        <f t="shared" si="71"/>
        <v>157.93</v>
      </c>
      <c r="Z935" s="9">
        <f t="shared" si="72"/>
        <v>296.11875000000003</v>
      </c>
      <c r="AA935" s="5">
        <f t="shared" si="73"/>
        <v>328.98793125000003</v>
      </c>
      <c r="AB935" s="6">
        <f t="shared" si="74"/>
        <v>479.68276312500001</v>
      </c>
      <c r="AD935" s="10">
        <f t="shared" si="75"/>
        <v>600.59693231250014</v>
      </c>
    </row>
    <row r="936" spans="1:30" x14ac:dyDescent="0.3">
      <c r="A936" t="s">
        <v>30</v>
      </c>
      <c r="B936" s="8" t="s">
        <v>66</v>
      </c>
      <c r="C936" s="8" t="s">
        <v>32</v>
      </c>
      <c r="D936" s="8" t="s">
        <v>33</v>
      </c>
      <c r="E936" s="8" t="s">
        <v>34</v>
      </c>
      <c r="F936" s="8" t="s">
        <v>35</v>
      </c>
      <c r="G936">
        <v>8421999000</v>
      </c>
      <c r="H936" t="s">
        <v>36</v>
      </c>
      <c r="I936" t="s">
        <v>904</v>
      </c>
      <c r="J936" t="s">
        <v>38</v>
      </c>
      <c r="K936" t="s">
        <v>39</v>
      </c>
      <c r="L936">
        <v>16</v>
      </c>
      <c r="M936">
        <v>3</v>
      </c>
      <c r="N936" t="s">
        <v>64</v>
      </c>
      <c r="O936">
        <v>0</v>
      </c>
      <c r="P936">
        <v>413.16</v>
      </c>
      <c r="Q936">
        <v>57.02</v>
      </c>
      <c r="R936">
        <v>2.76</v>
      </c>
      <c r="S936">
        <v>472.94</v>
      </c>
      <c r="T936" t="s">
        <v>41</v>
      </c>
      <c r="U936" t="s">
        <v>41</v>
      </c>
      <c r="V936" t="s">
        <v>38</v>
      </c>
      <c r="W936" t="s">
        <v>907</v>
      </c>
      <c r="X936">
        <v>137.72</v>
      </c>
      <c r="Y936" s="9">
        <f t="shared" si="71"/>
        <v>137.72</v>
      </c>
      <c r="Z936" s="9">
        <f t="shared" si="72"/>
        <v>258.22500000000002</v>
      </c>
      <c r="AA936" s="5">
        <f t="shared" si="73"/>
        <v>286.88797500000004</v>
      </c>
      <c r="AB936" s="6">
        <f t="shared" si="74"/>
        <v>418.2986775</v>
      </c>
      <c r="AD936" s="10">
        <f t="shared" si="75"/>
        <v>523.73969175000013</v>
      </c>
    </row>
    <row r="937" spans="1:30" x14ac:dyDescent="0.3">
      <c r="A937" t="s">
        <v>30</v>
      </c>
      <c r="B937" s="8" t="s">
        <v>66</v>
      </c>
      <c r="C937" s="8" t="s">
        <v>32</v>
      </c>
      <c r="D937" s="8" t="s">
        <v>33</v>
      </c>
      <c r="E937" s="8" t="s">
        <v>34</v>
      </c>
      <c r="F937" s="8" t="s">
        <v>35</v>
      </c>
      <c r="G937">
        <v>8421999000</v>
      </c>
      <c r="H937" t="s">
        <v>36</v>
      </c>
      <c r="I937" t="s">
        <v>908</v>
      </c>
      <c r="J937" t="s">
        <v>74</v>
      </c>
      <c r="K937" t="s">
        <v>39</v>
      </c>
      <c r="L937">
        <v>7</v>
      </c>
      <c r="M937">
        <v>6</v>
      </c>
      <c r="N937" t="s">
        <v>64</v>
      </c>
      <c r="O937">
        <v>0</v>
      </c>
      <c r="P937">
        <v>821.54</v>
      </c>
      <c r="Q937">
        <v>46.39</v>
      </c>
      <c r="R937">
        <v>5.24</v>
      </c>
      <c r="S937">
        <v>873.17</v>
      </c>
      <c r="T937" t="s">
        <v>75</v>
      </c>
      <c r="U937" t="s">
        <v>908</v>
      </c>
      <c r="V937" t="s">
        <v>74</v>
      </c>
      <c r="W937" t="s">
        <v>907</v>
      </c>
      <c r="X937">
        <v>136.91999999999999</v>
      </c>
      <c r="Y937" s="9">
        <f t="shared" si="71"/>
        <v>136.92333333333332</v>
      </c>
      <c r="Z937" s="9">
        <f t="shared" si="72"/>
        <v>256.73124999999999</v>
      </c>
      <c r="AA937" s="5">
        <f t="shared" si="73"/>
        <v>285.22841875</v>
      </c>
      <c r="AB937" s="6">
        <f t="shared" si="74"/>
        <v>415.87895187499993</v>
      </c>
      <c r="AD937" s="10">
        <f t="shared" si="75"/>
        <v>520.71002318750004</v>
      </c>
    </row>
    <row r="938" spans="1:30" x14ac:dyDescent="0.3">
      <c r="A938" t="s">
        <v>30</v>
      </c>
      <c r="B938" s="8" t="s">
        <v>66</v>
      </c>
      <c r="C938" s="8" t="s">
        <v>32</v>
      </c>
      <c r="D938" s="8" t="s">
        <v>69</v>
      </c>
      <c r="E938" s="8" t="s">
        <v>70</v>
      </c>
      <c r="F938" s="8" t="s">
        <v>71</v>
      </c>
      <c r="G938">
        <v>8421999000</v>
      </c>
      <c r="H938" t="s">
        <v>36</v>
      </c>
      <c r="I938" t="s">
        <v>550</v>
      </c>
      <c r="J938" t="s">
        <v>38</v>
      </c>
      <c r="K938" t="s">
        <v>39</v>
      </c>
      <c r="L938">
        <v>13</v>
      </c>
      <c r="M938">
        <v>2</v>
      </c>
      <c r="N938" t="s">
        <v>64</v>
      </c>
      <c r="O938">
        <v>0</v>
      </c>
      <c r="P938">
        <v>268.48</v>
      </c>
      <c r="Q938">
        <v>14.33</v>
      </c>
      <c r="R938">
        <v>1.73</v>
      </c>
      <c r="S938">
        <v>284.54000000000002</v>
      </c>
      <c r="T938" t="s">
        <v>72</v>
      </c>
      <c r="U938" t="s">
        <v>72</v>
      </c>
      <c r="V938" t="s">
        <v>38</v>
      </c>
      <c r="W938" t="s">
        <v>907</v>
      </c>
      <c r="X938">
        <v>134.24</v>
      </c>
      <c r="Y938" s="9">
        <f t="shared" si="71"/>
        <v>134.24</v>
      </c>
      <c r="Z938" s="9">
        <f t="shared" si="72"/>
        <v>251.70000000000002</v>
      </c>
      <c r="AA938" s="5">
        <f t="shared" si="73"/>
        <v>279.63870000000003</v>
      </c>
      <c r="AB938" s="6">
        <f t="shared" si="74"/>
        <v>407.72883000000002</v>
      </c>
      <c r="AD938" s="10">
        <f t="shared" si="75"/>
        <v>510.50549100000006</v>
      </c>
    </row>
    <row r="939" spans="1:30" x14ac:dyDescent="0.3">
      <c r="A939" t="s">
        <v>30</v>
      </c>
      <c r="B939" s="8" t="s">
        <v>66</v>
      </c>
      <c r="C939" s="8" t="s">
        <v>32</v>
      </c>
      <c r="D939" s="8" t="s">
        <v>33</v>
      </c>
      <c r="E939" s="8" t="s">
        <v>34</v>
      </c>
      <c r="F939" s="8" t="s">
        <v>35</v>
      </c>
      <c r="G939">
        <v>8421999000</v>
      </c>
      <c r="H939" t="s">
        <v>36</v>
      </c>
      <c r="I939" t="s">
        <v>550</v>
      </c>
      <c r="J939" t="s">
        <v>38</v>
      </c>
      <c r="K939" t="s">
        <v>39</v>
      </c>
      <c r="L939">
        <v>10</v>
      </c>
      <c r="M939">
        <v>4</v>
      </c>
      <c r="N939" t="s">
        <v>64</v>
      </c>
      <c r="O939">
        <v>0</v>
      </c>
      <c r="P939">
        <v>547.84</v>
      </c>
      <c r="Q939">
        <v>45.6</v>
      </c>
      <c r="R939">
        <v>3.59</v>
      </c>
      <c r="S939">
        <v>597.03</v>
      </c>
      <c r="T939" t="s">
        <v>41</v>
      </c>
      <c r="U939" t="s">
        <v>43</v>
      </c>
      <c r="V939" t="s">
        <v>38</v>
      </c>
      <c r="W939" t="s">
        <v>907</v>
      </c>
      <c r="X939">
        <v>136.96</v>
      </c>
      <c r="Y939" s="9">
        <f t="shared" si="71"/>
        <v>136.96</v>
      </c>
      <c r="Z939" s="9">
        <f t="shared" si="72"/>
        <v>256.8</v>
      </c>
      <c r="AA939" s="5">
        <f t="shared" si="73"/>
        <v>285.3048</v>
      </c>
      <c r="AB939" s="6">
        <f t="shared" si="74"/>
        <v>415.99032</v>
      </c>
      <c r="AD939" s="10">
        <f t="shared" si="75"/>
        <v>520.84946400000013</v>
      </c>
    </row>
    <row r="940" spans="1:30" x14ac:dyDescent="0.3">
      <c r="A940" t="s">
        <v>30</v>
      </c>
      <c r="B940" s="8" t="s">
        <v>66</v>
      </c>
      <c r="C940" s="8" t="s">
        <v>32</v>
      </c>
      <c r="D940" s="8" t="s">
        <v>33</v>
      </c>
      <c r="E940" s="8" t="s">
        <v>34</v>
      </c>
      <c r="F940" s="8" t="s">
        <v>35</v>
      </c>
      <c r="G940">
        <v>8421999000</v>
      </c>
      <c r="H940" t="s">
        <v>36</v>
      </c>
      <c r="I940" t="s">
        <v>550</v>
      </c>
      <c r="J940" t="s">
        <v>38</v>
      </c>
      <c r="K940" t="s">
        <v>39</v>
      </c>
      <c r="L940">
        <v>8</v>
      </c>
      <c r="M940">
        <v>2</v>
      </c>
      <c r="N940" t="s">
        <v>64</v>
      </c>
      <c r="O940">
        <v>0</v>
      </c>
      <c r="P940">
        <v>274.58</v>
      </c>
      <c r="Q940">
        <v>29.31</v>
      </c>
      <c r="R940">
        <v>1.84</v>
      </c>
      <c r="S940">
        <v>305.73</v>
      </c>
      <c r="T940" t="s">
        <v>41</v>
      </c>
      <c r="U940" t="s">
        <v>41</v>
      </c>
      <c r="V940" t="s">
        <v>38</v>
      </c>
      <c r="W940" t="s">
        <v>907</v>
      </c>
      <c r="X940">
        <v>137.29</v>
      </c>
      <c r="Y940" s="9">
        <f t="shared" si="71"/>
        <v>137.29</v>
      </c>
      <c r="Z940" s="9">
        <f t="shared" si="72"/>
        <v>257.41874999999999</v>
      </c>
      <c r="AA940" s="5">
        <f t="shared" si="73"/>
        <v>285.99223124999997</v>
      </c>
      <c r="AB940" s="6">
        <f t="shared" si="74"/>
        <v>416.99263312499994</v>
      </c>
      <c r="AD940" s="10">
        <f t="shared" si="75"/>
        <v>522.10443131250008</v>
      </c>
    </row>
    <row r="941" spans="1:30" x14ac:dyDescent="0.3">
      <c r="A941" t="s">
        <v>30</v>
      </c>
      <c r="B941" s="8" t="s">
        <v>66</v>
      </c>
      <c r="C941" s="8" t="s">
        <v>32</v>
      </c>
      <c r="D941" s="8" t="s">
        <v>33</v>
      </c>
      <c r="E941" s="8" t="s">
        <v>34</v>
      </c>
      <c r="F941" s="8" t="s">
        <v>35</v>
      </c>
      <c r="G941">
        <v>8421999000</v>
      </c>
      <c r="H941" t="s">
        <v>36</v>
      </c>
      <c r="I941" t="s">
        <v>550</v>
      </c>
      <c r="J941" t="s">
        <v>38</v>
      </c>
      <c r="K941" t="s">
        <v>39</v>
      </c>
      <c r="L941">
        <v>3</v>
      </c>
      <c r="M941">
        <v>2</v>
      </c>
      <c r="N941" t="s">
        <v>64</v>
      </c>
      <c r="O941">
        <v>0</v>
      </c>
      <c r="P941">
        <v>445.39</v>
      </c>
      <c r="Q941">
        <v>19.059999999999999</v>
      </c>
      <c r="R941">
        <v>2.87</v>
      </c>
      <c r="S941">
        <v>467.33</v>
      </c>
      <c r="T941" t="s">
        <v>41</v>
      </c>
      <c r="U941" t="s">
        <v>43</v>
      </c>
      <c r="V941" t="s">
        <v>38</v>
      </c>
      <c r="W941" t="s">
        <v>909</v>
      </c>
      <c r="X941">
        <v>222.69</v>
      </c>
      <c r="Y941" s="9">
        <f t="shared" si="71"/>
        <v>222.69499999999999</v>
      </c>
      <c r="Z941" s="9">
        <f t="shared" si="72"/>
        <v>417.55312499999997</v>
      </c>
      <c r="AA941" s="5">
        <f t="shared" si="73"/>
        <v>463.90152187499996</v>
      </c>
      <c r="AB941" s="6">
        <f t="shared" si="74"/>
        <v>676.39430718749986</v>
      </c>
      <c r="AD941" s="10">
        <f t="shared" si="75"/>
        <v>846.89377471875002</v>
      </c>
    </row>
    <row r="942" spans="1:30" x14ac:dyDescent="0.3">
      <c r="A942" t="s">
        <v>168</v>
      </c>
      <c r="B942" s="8" t="s">
        <v>66</v>
      </c>
      <c r="C942" s="8" t="s">
        <v>32</v>
      </c>
      <c r="D942" s="8" t="s">
        <v>33</v>
      </c>
      <c r="E942" s="8" t="s">
        <v>34</v>
      </c>
      <c r="F942" s="8" t="s">
        <v>35</v>
      </c>
      <c r="G942">
        <v>8421999000</v>
      </c>
      <c r="H942" t="s">
        <v>36</v>
      </c>
      <c r="I942" t="s">
        <v>904</v>
      </c>
      <c r="J942" t="s">
        <v>38</v>
      </c>
      <c r="K942" t="s">
        <v>39</v>
      </c>
      <c r="L942">
        <v>11</v>
      </c>
      <c r="M942">
        <v>3</v>
      </c>
      <c r="N942" t="s">
        <v>64</v>
      </c>
      <c r="O942">
        <v>0</v>
      </c>
      <c r="P942">
        <v>674.31</v>
      </c>
      <c r="Q942">
        <v>64.59</v>
      </c>
      <c r="R942">
        <v>4.55</v>
      </c>
      <c r="S942">
        <v>743.44</v>
      </c>
      <c r="T942" t="s">
        <v>41</v>
      </c>
      <c r="U942" t="s">
        <v>43</v>
      </c>
      <c r="V942" t="s">
        <v>38</v>
      </c>
      <c r="W942" t="s">
        <v>909</v>
      </c>
      <c r="X942">
        <v>224.77</v>
      </c>
      <c r="Y942" s="9">
        <f t="shared" si="71"/>
        <v>224.76999999999998</v>
      </c>
      <c r="Z942" s="9">
        <f t="shared" si="72"/>
        <v>421.44374999999997</v>
      </c>
      <c r="AA942" s="5">
        <f t="shared" si="73"/>
        <v>468.22400624999995</v>
      </c>
      <c r="AB942" s="6">
        <f t="shared" si="74"/>
        <v>682.69673062499987</v>
      </c>
      <c r="AD942" s="10">
        <f t="shared" si="75"/>
        <v>854.78485706250001</v>
      </c>
    </row>
    <row r="943" spans="1:30" x14ac:dyDescent="0.3">
      <c r="A943" t="s">
        <v>30</v>
      </c>
      <c r="B943" s="8" t="s">
        <v>66</v>
      </c>
      <c r="C943" s="8" t="s">
        <v>32</v>
      </c>
      <c r="D943" s="8" t="s">
        <v>33</v>
      </c>
      <c r="E943" s="8" t="s">
        <v>34</v>
      </c>
      <c r="F943" s="8" t="s">
        <v>35</v>
      </c>
      <c r="G943">
        <v>8421999000</v>
      </c>
      <c r="H943" t="s">
        <v>36</v>
      </c>
      <c r="I943" t="s">
        <v>550</v>
      </c>
      <c r="J943" t="s">
        <v>38</v>
      </c>
      <c r="K943" t="s">
        <v>39</v>
      </c>
      <c r="L943">
        <v>8</v>
      </c>
      <c r="M943">
        <v>4</v>
      </c>
      <c r="N943" t="s">
        <v>64</v>
      </c>
      <c r="O943">
        <v>0</v>
      </c>
      <c r="P943">
        <v>893.64</v>
      </c>
      <c r="Q943">
        <v>95.39</v>
      </c>
      <c r="R943">
        <v>5.99</v>
      </c>
      <c r="S943">
        <v>995.02</v>
      </c>
      <c r="T943" t="s">
        <v>41</v>
      </c>
      <c r="U943" t="s">
        <v>41</v>
      </c>
      <c r="V943" t="s">
        <v>38</v>
      </c>
      <c r="W943" t="s">
        <v>909</v>
      </c>
      <c r="X943">
        <v>223.41</v>
      </c>
      <c r="Y943" s="9">
        <f t="shared" si="71"/>
        <v>223.41</v>
      </c>
      <c r="Z943" s="9">
        <f t="shared" si="72"/>
        <v>418.89375000000001</v>
      </c>
      <c r="AA943" s="5">
        <f t="shared" si="73"/>
        <v>465.39095624999999</v>
      </c>
      <c r="AB943" s="6">
        <f t="shared" si="74"/>
        <v>678.56598562499994</v>
      </c>
      <c r="AD943" s="10">
        <f t="shared" si="75"/>
        <v>849.61287056250012</v>
      </c>
    </row>
    <row r="944" spans="1:30" x14ac:dyDescent="0.3">
      <c r="A944" t="s">
        <v>30</v>
      </c>
      <c r="B944" s="8" t="s">
        <v>66</v>
      </c>
      <c r="C944" s="8" t="s">
        <v>32</v>
      </c>
      <c r="D944" s="8" t="s">
        <v>33</v>
      </c>
      <c r="E944" s="8" t="s">
        <v>34</v>
      </c>
      <c r="F944" s="8" t="s">
        <v>35</v>
      </c>
      <c r="G944">
        <v>8421999000</v>
      </c>
      <c r="H944" t="s">
        <v>36</v>
      </c>
      <c r="I944" t="s">
        <v>550</v>
      </c>
      <c r="J944" t="s">
        <v>38</v>
      </c>
      <c r="K944" t="s">
        <v>39</v>
      </c>
      <c r="L944">
        <v>7</v>
      </c>
      <c r="M944">
        <v>2</v>
      </c>
      <c r="N944" t="s">
        <v>64</v>
      </c>
      <c r="O944">
        <v>0</v>
      </c>
      <c r="P944">
        <v>611.20000000000005</v>
      </c>
      <c r="Q944">
        <v>96.56</v>
      </c>
      <c r="R944">
        <v>3.77</v>
      </c>
      <c r="S944">
        <v>711.53</v>
      </c>
      <c r="T944" t="s">
        <v>41</v>
      </c>
      <c r="U944" t="s">
        <v>41</v>
      </c>
      <c r="V944" t="s">
        <v>38</v>
      </c>
      <c r="W944" t="s">
        <v>910</v>
      </c>
      <c r="X944">
        <v>305.60000000000002</v>
      </c>
      <c r="Y944" s="9">
        <f t="shared" si="71"/>
        <v>305.60000000000002</v>
      </c>
      <c r="Z944" s="9">
        <f t="shared" si="72"/>
        <v>573</v>
      </c>
      <c r="AA944" s="5">
        <f t="shared" si="73"/>
        <v>636.60299999999995</v>
      </c>
      <c r="AB944" s="6">
        <f t="shared" si="74"/>
        <v>928.20269999999994</v>
      </c>
      <c r="AD944" s="10">
        <f t="shared" si="75"/>
        <v>1162.17579</v>
      </c>
    </row>
    <row r="945" spans="1:30" x14ac:dyDescent="0.3">
      <c r="A945" t="s">
        <v>30</v>
      </c>
      <c r="B945" s="8" t="s">
        <v>66</v>
      </c>
      <c r="C945" s="8" t="s">
        <v>32</v>
      </c>
      <c r="D945" s="8" t="s">
        <v>33</v>
      </c>
      <c r="E945" s="8" t="s">
        <v>34</v>
      </c>
      <c r="F945" s="8" t="s">
        <v>35</v>
      </c>
      <c r="G945">
        <v>8421999000</v>
      </c>
      <c r="H945" t="s">
        <v>36</v>
      </c>
      <c r="I945" t="s">
        <v>904</v>
      </c>
      <c r="J945" t="s">
        <v>38</v>
      </c>
      <c r="K945" t="s">
        <v>39</v>
      </c>
      <c r="L945">
        <v>6</v>
      </c>
      <c r="M945">
        <v>2</v>
      </c>
      <c r="N945" t="s">
        <v>64</v>
      </c>
      <c r="O945">
        <v>0</v>
      </c>
      <c r="P945">
        <v>503.84</v>
      </c>
      <c r="Q945">
        <v>34.19</v>
      </c>
      <c r="R945">
        <v>3.28</v>
      </c>
      <c r="S945">
        <v>541.29999999999995</v>
      </c>
      <c r="T945" t="s">
        <v>41</v>
      </c>
      <c r="U945" t="s">
        <v>41</v>
      </c>
      <c r="V945" t="s">
        <v>38</v>
      </c>
      <c r="W945" t="s">
        <v>910</v>
      </c>
      <c r="X945">
        <v>251.92</v>
      </c>
      <c r="Y945" s="9">
        <f t="shared" si="71"/>
        <v>251.92</v>
      </c>
      <c r="Z945" s="9">
        <f t="shared" si="72"/>
        <v>472.34999999999997</v>
      </c>
      <c r="AA945" s="5">
        <f t="shared" si="73"/>
        <v>524.78084999999999</v>
      </c>
      <c r="AB945" s="6">
        <f t="shared" si="74"/>
        <v>765.15976499999988</v>
      </c>
      <c r="AD945" s="10">
        <f t="shared" si="75"/>
        <v>958.03444050000007</v>
      </c>
    </row>
    <row r="946" spans="1:30" x14ac:dyDescent="0.3">
      <c r="A946" t="s">
        <v>30</v>
      </c>
      <c r="B946" s="8" t="s">
        <v>66</v>
      </c>
      <c r="C946" s="8" t="s">
        <v>32</v>
      </c>
      <c r="D946" s="8" t="s">
        <v>69</v>
      </c>
      <c r="E946" s="8" t="s">
        <v>70</v>
      </c>
      <c r="F946" s="8" t="s">
        <v>71</v>
      </c>
      <c r="G946">
        <v>8421999000</v>
      </c>
      <c r="H946" t="s">
        <v>36</v>
      </c>
      <c r="I946" t="s">
        <v>904</v>
      </c>
      <c r="J946" t="s">
        <v>38</v>
      </c>
      <c r="K946" t="s">
        <v>39</v>
      </c>
      <c r="L946">
        <v>9</v>
      </c>
      <c r="M946">
        <v>2</v>
      </c>
      <c r="N946" t="s">
        <v>64</v>
      </c>
      <c r="O946">
        <v>0</v>
      </c>
      <c r="P946">
        <v>579.91999999999996</v>
      </c>
      <c r="Q946">
        <v>29.23</v>
      </c>
      <c r="R946">
        <v>3.68</v>
      </c>
      <c r="S946">
        <v>612.83000000000004</v>
      </c>
      <c r="T946" t="s">
        <v>41</v>
      </c>
      <c r="U946" t="s">
        <v>43</v>
      </c>
      <c r="V946" t="s">
        <v>38</v>
      </c>
      <c r="W946" t="s">
        <v>910</v>
      </c>
      <c r="X946">
        <v>289.95999999999998</v>
      </c>
      <c r="Y946" s="9">
        <f t="shared" si="71"/>
        <v>289.95999999999998</v>
      </c>
      <c r="Z946" s="9">
        <f t="shared" si="72"/>
        <v>543.67499999999995</v>
      </c>
      <c r="AA946" s="5">
        <f t="shared" si="73"/>
        <v>604.02292499999999</v>
      </c>
      <c r="AB946" s="6">
        <f t="shared" si="74"/>
        <v>880.69913249999991</v>
      </c>
      <c r="AD946" s="10">
        <f t="shared" si="75"/>
        <v>1102.69794525</v>
      </c>
    </row>
    <row r="947" spans="1:30" x14ac:dyDescent="0.3">
      <c r="A947" t="s">
        <v>30</v>
      </c>
      <c r="B947" s="8" t="s">
        <v>66</v>
      </c>
      <c r="C947" s="8" t="s">
        <v>32</v>
      </c>
      <c r="D947" s="8" t="s">
        <v>33</v>
      </c>
      <c r="E947" s="8" t="s">
        <v>34</v>
      </c>
      <c r="F947" s="8" t="s">
        <v>35</v>
      </c>
      <c r="G947">
        <v>8421999000</v>
      </c>
      <c r="H947" t="s">
        <v>36</v>
      </c>
      <c r="I947" t="s">
        <v>904</v>
      </c>
      <c r="J947" t="s">
        <v>38</v>
      </c>
      <c r="K947" t="s">
        <v>39</v>
      </c>
      <c r="L947">
        <v>16</v>
      </c>
      <c r="M947">
        <v>1</v>
      </c>
      <c r="N947" t="s">
        <v>64</v>
      </c>
      <c r="O947">
        <v>0</v>
      </c>
      <c r="P947">
        <v>280.92</v>
      </c>
      <c r="Q947">
        <v>38.770000000000003</v>
      </c>
      <c r="R947">
        <v>1.87</v>
      </c>
      <c r="S947">
        <v>321.57</v>
      </c>
      <c r="T947" t="s">
        <v>41</v>
      </c>
      <c r="U947" t="s">
        <v>41</v>
      </c>
      <c r="V947" t="s">
        <v>38</v>
      </c>
      <c r="W947" t="s">
        <v>911</v>
      </c>
      <c r="X947">
        <v>280.92</v>
      </c>
      <c r="Y947" s="9">
        <f t="shared" si="71"/>
        <v>280.92</v>
      </c>
      <c r="Z947" s="9">
        <f t="shared" si="72"/>
        <v>526.72500000000002</v>
      </c>
      <c r="AA947" s="5">
        <f t="shared" si="73"/>
        <v>585.19147499999997</v>
      </c>
      <c r="AB947" s="6">
        <f t="shared" si="74"/>
        <v>853.2418275</v>
      </c>
      <c r="AD947" s="10">
        <f t="shared" si="75"/>
        <v>1068.3194467500002</v>
      </c>
    </row>
    <row r="948" spans="1:30" x14ac:dyDescent="0.3">
      <c r="A948" t="s">
        <v>30</v>
      </c>
      <c r="B948" s="8" t="s">
        <v>66</v>
      </c>
      <c r="C948" s="8" t="s">
        <v>32</v>
      </c>
      <c r="D948" s="8" t="s">
        <v>69</v>
      </c>
      <c r="E948" s="8" t="s">
        <v>70</v>
      </c>
      <c r="F948" s="8" t="s">
        <v>71</v>
      </c>
      <c r="G948">
        <v>8421999000</v>
      </c>
      <c r="H948" t="s">
        <v>36</v>
      </c>
      <c r="I948" t="s">
        <v>550</v>
      </c>
      <c r="J948" t="s">
        <v>38</v>
      </c>
      <c r="K948" t="s">
        <v>39</v>
      </c>
      <c r="L948">
        <v>13</v>
      </c>
      <c r="M948">
        <v>1</v>
      </c>
      <c r="N948" t="s">
        <v>64</v>
      </c>
      <c r="O948">
        <v>0</v>
      </c>
      <c r="P948">
        <v>273.82</v>
      </c>
      <c r="Q948">
        <v>14.62</v>
      </c>
      <c r="R948">
        <v>1.76</v>
      </c>
      <c r="S948">
        <v>290.2</v>
      </c>
      <c r="T948" t="s">
        <v>72</v>
      </c>
      <c r="U948" t="s">
        <v>72</v>
      </c>
      <c r="V948" t="s">
        <v>38</v>
      </c>
      <c r="W948" t="s">
        <v>911</v>
      </c>
      <c r="X948">
        <v>273.82</v>
      </c>
      <c r="Y948" s="9">
        <f t="shared" si="71"/>
        <v>273.82</v>
      </c>
      <c r="Z948" s="9">
        <f t="shared" si="72"/>
        <v>513.41250000000002</v>
      </c>
      <c r="AA948" s="5">
        <f t="shared" si="73"/>
        <v>570.40128749999997</v>
      </c>
      <c r="AB948" s="6">
        <f t="shared" si="74"/>
        <v>831.67690874999994</v>
      </c>
      <c r="AD948" s="10">
        <f t="shared" si="75"/>
        <v>1041.318634875</v>
      </c>
    </row>
    <row r="949" spans="1:30" x14ac:dyDescent="0.3">
      <c r="A949" t="s">
        <v>30</v>
      </c>
      <c r="B949" s="8" t="s">
        <v>66</v>
      </c>
      <c r="C949" s="8" t="s">
        <v>32</v>
      </c>
      <c r="D949" s="8" t="s">
        <v>33</v>
      </c>
      <c r="E949" s="8" t="s">
        <v>34</v>
      </c>
      <c r="F949" s="8" t="s">
        <v>35</v>
      </c>
      <c r="G949">
        <v>8421999000</v>
      </c>
      <c r="H949" t="s">
        <v>36</v>
      </c>
      <c r="I949" t="s">
        <v>550</v>
      </c>
      <c r="J949" t="s">
        <v>38</v>
      </c>
      <c r="K949" t="s">
        <v>39</v>
      </c>
      <c r="L949">
        <v>8</v>
      </c>
      <c r="M949">
        <v>2</v>
      </c>
      <c r="N949" t="s">
        <v>64</v>
      </c>
      <c r="O949">
        <v>0</v>
      </c>
      <c r="P949">
        <v>560.07000000000005</v>
      </c>
      <c r="Q949">
        <v>59.79</v>
      </c>
      <c r="R949">
        <v>3.75</v>
      </c>
      <c r="S949">
        <v>623.61</v>
      </c>
      <c r="T949" t="s">
        <v>41</v>
      </c>
      <c r="U949" t="s">
        <v>41</v>
      </c>
      <c r="V949" t="s">
        <v>38</v>
      </c>
      <c r="W949" t="s">
        <v>911</v>
      </c>
      <c r="X949">
        <v>280.04000000000002</v>
      </c>
      <c r="Y949" s="9">
        <f t="shared" si="71"/>
        <v>280.03500000000003</v>
      </c>
      <c r="Z949" s="9">
        <f t="shared" si="72"/>
        <v>525.06562500000007</v>
      </c>
      <c r="AA949" s="5">
        <f t="shared" si="73"/>
        <v>583.34790937500009</v>
      </c>
      <c r="AB949" s="6">
        <f t="shared" si="74"/>
        <v>850.5538059375001</v>
      </c>
      <c r="AD949" s="10">
        <f t="shared" si="75"/>
        <v>1064.9538525937503</v>
      </c>
    </row>
    <row r="950" spans="1:30" x14ac:dyDescent="0.3">
      <c r="A950" t="s">
        <v>30</v>
      </c>
      <c r="B950" s="8" t="s">
        <v>66</v>
      </c>
      <c r="C950" s="8" t="s">
        <v>32</v>
      </c>
      <c r="D950" s="8" t="s">
        <v>33</v>
      </c>
      <c r="E950" s="8" t="s">
        <v>34</v>
      </c>
      <c r="F950" s="8" t="s">
        <v>35</v>
      </c>
      <c r="G950">
        <v>8421999000</v>
      </c>
      <c r="H950" t="s">
        <v>36</v>
      </c>
      <c r="I950" t="s">
        <v>550</v>
      </c>
      <c r="J950" t="s">
        <v>38</v>
      </c>
      <c r="K950" t="s">
        <v>39</v>
      </c>
      <c r="L950">
        <v>3</v>
      </c>
      <c r="M950">
        <v>1</v>
      </c>
      <c r="N950" t="s">
        <v>64</v>
      </c>
      <c r="O950">
        <v>0</v>
      </c>
      <c r="P950">
        <v>359.59</v>
      </c>
      <c r="Q950">
        <v>15.39</v>
      </c>
      <c r="R950">
        <v>2.3199999999999998</v>
      </c>
      <c r="S950">
        <v>377.3</v>
      </c>
      <c r="T950" t="s">
        <v>41</v>
      </c>
      <c r="U950" t="s">
        <v>43</v>
      </c>
      <c r="V950" t="s">
        <v>38</v>
      </c>
      <c r="W950" t="s">
        <v>912</v>
      </c>
      <c r="X950">
        <v>359.59</v>
      </c>
      <c r="Y950" s="9">
        <f t="shared" si="71"/>
        <v>359.59</v>
      </c>
      <c r="Z950" s="9">
        <f t="shared" si="72"/>
        <v>674.23124999999993</v>
      </c>
      <c r="AA950" s="5">
        <f t="shared" si="73"/>
        <v>749.07091874999992</v>
      </c>
      <c r="AB950" s="6">
        <f t="shared" si="74"/>
        <v>1092.1872018749998</v>
      </c>
      <c r="AD950" s="10">
        <f t="shared" si="75"/>
        <v>1367.4960481875</v>
      </c>
    </row>
    <row r="951" spans="1:30" x14ac:dyDescent="0.3">
      <c r="A951" t="s">
        <v>30</v>
      </c>
      <c r="B951" s="8" t="s">
        <v>66</v>
      </c>
      <c r="C951" s="8" t="s">
        <v>32</v>
      </c>
      <c r="D951" s="8" t="s">
        <v>33</v>
      </c>
      <c r="E951" s="8" t="s">
        <v>34</v>
      </c>
      <c r="F951" s="8" t="s">
        <v>35</v>
      </c>
      <c r="G951">
        <v>8421999000</v>
      </c>
      <c r="H951" t="s">
        <v>36</v>
      </c>
      <c r="I951" t="s">
        <v>904</v>
      </c>
      <c r="J951" t="s">
        <v>38</v>
      </c>
      <c r="K951" t="s">
        <v>39</v>
      </c>
      <c r="L951">
        <v>6</v>
      </c>
      <c r="M951">
        <v>3</v>
      </c>
      <c r="N951" t="s">
        <v>64</v>
      </c>
      <c r="O951">
        <v>0</v>
      </c>
      <c r="P951">
        <v>1081.6500000000001</v>
      </c>
      <c r="Q951">
        <v>73.400000000000006</v>
      </c>
      <c r="R951">
        <v>7.03</v>
      </c>
      <c r="S951">
        <v>1162.08</v>
      </c>
      <c r="T951" t="s">
        <v>41</v>
      </c>
      <c r="U951" t="s">
        <v>41</v>
      </c>
      <c r="V951" t="s">
        <v>38</v>
      </c>
      <c r="W951" t="s">
        <v>912</v>
      </c>
      <c r="X951">
        <v>360.55</v>
      </c>
      <c r="Y951" s="9">
        <f t="shared" si="71"/>
        <v>360.55</v>
      </c>
      <c r="Z951" s="9">
        <f t="shared" si="72"/>
        <v>676.03125</v>
      </c>
      <c r="AA951" s="5">
        <f t="shared" si="73"/>
        <v>751.07071874999997</v>
      </c>
      <c r="AB951" s="6">
        <f t="shared" si="74"/>
        <v>1095.103021875</v>
      </c>
      <c r="AD951" s="10">
        <f t="shared" si="75"/>
        <v>1371.1468621875001</v>
      </c>
    </row>
    <row r="952" spans="1:30" x14ac:dyDescent="0.3">
      <c r="A952" t="s">
        <v>30</v>
      </c>
      <c r="B952" s="8" t="s">
        <v>66</v>
      </c>
      <c r="C952" s="8" t="s">
        <v>32</v>
      </c>
      <c r="D952" s="8" t="s">
        <v>33</v>
      </c>
      <c r="E952" s="8" t="s">
        <v>34</v>
      </c>
      <c r="F952" s="8" t="s">
        <v>35</v>
      </c>
      <c r="G952">
        <v>8421999000</v>
      </c>
      <c r="H952" t="s">
        <v>36</v>
      </c>
      <c r="I952" t="s">
        <v>904</v>
      </c>
      <c r="J952" t="s">
        <v>38</v>
      </c>
      <c r="K952" t="s">
        <v>39</v>
      </c>
      <c r="L952">
        <v>16</v>
      </c>
      <c r="M952">
        <v>2</v>
      </c>
      <c r="N952" t="s">
        <v>64</v>
      </c>
      <c r="O952">
        <v>0</v>
      </c>
      <c r="P952">
        <v>723.79</v>
      </c>
      <c r="Q952">
        <v>99.9</v>
      </c>
      <c r="R952">
        <v>4.83</v>
      </c>
      <c r="S952">
        <v>828.52</v>
      </c>
      <c r="T952" t="s">
        <v>41</v>
      </c>
      <c r="U952" t="s">
        <v>41</v>
      </c>
      <c r="V952" t="s">
        <v>38</v>
      </c>
      <c r="W952" t="s">
        <v>912</v>
      </c>
      <c r="X952">
        <v>361.89</v>
      </c>
      <c r="Y952" s="9">
        <f t="shared" si="71"/>
        <v>361.89499999999998</v>
      </c>
      <c r="Z952" s="9">
        <f t="shared" si="72"/>
        <v>678.55312499999991</v>
      </c>
      <c r="AA952" s="5">
        <f t="shared" si="73"/>
        <v>753.87252187499985</v>
      </c>
      <c r="AB952" s="6">
        <f t="shared" si="74"/>
        <v>1099.1882071874998</v>
      </c>
      <c r="AD952" s="10">
        <f t="shared" si="75"/>
        <v>1376.26180471875</v>
      </c>
    </row>
    <row r="953" spans="1:30" x14ac:dyDescent="0.3">
      <c r="A953" t="s">
        <v>30</v>
      </c>
      <c r="B953" s="8" t="s">
        <v>66</v>
      </c>
      <c r="C953" s="8" t="s">
        <v>32</v>
      </c>
      <c r="D953" s="8" t="s">
        <v>33</v>
      </c>
      <c r="E953" s="8" t="s">
        <v>34</v>
      </c>
      <c r="F953" s="8" t="s">
        <v>35</v>
      </c>
      <c r="G953">
        <v>8421999000</v>
      </c>
      <c r="H953" t="s">
        <v>36</v>
      </c>
      <c r="I953" t="s">
        <v>550</v>
      </c>
      <c r="J953" t="s">
        <v>38</v>
      </c>
      <c r="K953" t="s">
        <v>39</v>
      </c>
      <c r="L953">
        <v>4</v>
      </c>
      <c r="M953">
        <v>3</v>
      </c>
      <c r="N953" t="s">
        <v>64</v>
      </c>
      <c r="O953">
        <v>0</v>
      </c>
      <c r="P953">
        <v>1082.3900000000001</v>
      </c>
      <c r="Q953">
        <v>56.67</v>
      </c>
      <c r="R953">
        <v>7.06</v>
      </c>
      <c r="S953">
        <v>1146.1199999999999</v>
      </c>
      <c r="T953" t="s">
        <v>41</v>
      </c>
      <c r="U953" t="s">
        <v>41</v>
      </c>
      <c r="V953" t="s">
        <v>38</v>
      </c>
      <c r="W953" t="s">
        <v>912</v>
      </c>
      <c r="X953">
        <v>360.8</v>
      </c>
      <c r="Y953" s="9">
        <f t="shared" si="71"/>
        <v>360.79666666666668</v>
      </c>
      <c r="Z953" s="9">
        <f t="shared" si="72"/>
        <v>676.49374999999998</v>
      </c>
      <c r="AA953" s="5">
        <f t="shared" si="73"/>
        <v>751.58455624999999</v>
      </c>
      <c r="AB953" s="6">
        <f t="shared" si="74"/>
        <v>1095.8522256249998</v>
      </c>
      <c r="AD953" s="10">
        <f t="shared" si="75"/>
        <v>1372.0849185625</v>
      </c>
    </row>
    <row r="954" spans="1:30" x14ac:dyDescent="0.3">
      <c r="A954" t="s">
        <v>30</v>
      </c>
      <c r="B954" s="8" t="s">
        <v>66</v>
      </c>
      <c r="C954" s="8" t="s">
        <v>32</v>
      </c>
      <c r="D954" s="8" t="s">
        <v>33</v>
      </c>
      <c r="E954" s="8" t="s">
        <v>34</v>
      </c>
      <c r="F954" s="8" t="s">
        <v>35</v>
      </c>
      <c r="G954">
        <v>8421999000</v>
      </c>
      <c r="H954" t="s">
        <v>36</v>
      </c>
      <c r="I954" t="s">
        <v>550</v>
      </c>
      <c r="J954" t="s">
        <v>38</v>
      </c>
      <c r="K954" t="s">
        <v>39</v>
      </c>
      <c r="L954">
        <v>12</v>
      </c>
      <c r="M954">
        <v>3</v>
      </c>
      <c r="N954" t="s">
        <v>64</v>
      </c>
      <c r="O954">
        <v>0</v>
      </c>
      <c r="P954">
        <v>1089.25</v>
      </c>
      <c r="Q954">
        <v>125.07</v>
      </c>
      <c r="R954">
        <v>7.26</v>
      </c>
      <c r="S954">
        <v>1221.58</v>
      </c>
      <c r="T954" t="s">
        <v>41</v>
      </c>
      <c r="U954" t="s">
        <v>41</v>
      </c>
      <c r="V954" t="s">
        <v>38</v>
      </c>
      <c r="W954" t="s">
        <v>912</v>
      </c>
      <c r="X954">
        <v>363.08</v>
      </c>
      <c r="Y954" s="9">
        <f t="shared" si="71"/>
        <v>363.08333333333331</v>
      </c>
      <c r="Z954" s="9">
        <f t="shared" si="72"/>
        <v>680.78125</v>
      </c>
      <c r="AA954" s="5">
        <f t="shared" si="73"/>
        <v>756.34796874999995</v>
      </c>
      <c r="AB954" s="6">
        <f t="shared" si="74"/>
        <v>1102.7975468749999</v>
      </c>
      <c r="AD954" s="10">
        <f t="shared" si="75"/>
        <v>1380.7809546875001</v>
      </c>
    </row>
    <row r="955" spans="1:30" x14ac:dyDescent="0.3">
      <c r="A955" t="s">
        <v>30</v>
      </c>
      <c r="B955" s="8" t="s">
        <v>66</v>
      </c>
      <c r="C955" s="8" t="s">
        <v>32</v>
      </c>
      <c r="D955" s="8" t="s">
        <v>33</v>
      </c>
      <c r="E955" s="8" t="s">
        <v>34</v>
      </c>
      <c r="F955" s="8" t="s">
        <v>35</v>
      </c>
      <c r="G955">
        <v>8421999000</v>
      </c>
      <c r="H955" t="s">
        <v>36</v>
      </c>
      <c r="I955" t="s">
        <v>550</v>
      </c>
      <c r="J955" t="s">
        <v>38</v>
      </c>
      <c r="K955" t="s">
        <v>39</v>
      </c>
      <c r="L955">
        <v>3</v>
      </c>
      <c r="M955">
        <v>1</v>
      </c>
      <c r="N955" t="s">
        <v>64</v>
      </c>
      <c r="O955">
        <v>0</v>
      </c>
      <c r="P955">
        <v>460.45</v>
      </c>
      <c r="Q955">
        <v>19.7</v>
      </c>
      <c r="R955">
        <v>2.97</v>
      </c>
      <c r="S955">
        <v>483.12</v>
      </c>
      <c r="T955" t="s">
        <v>41</v>
      </c>
      <c r="U955" t="s">
        <v>43</v>
      </c>
      <c r="V955" t="s">
        <v>38</v>
      </c>
      <c r="W955" t="s">
        <v>913</v>
      </c>
      <c r="X955">
        <v>460.45</v>
      </c>
      <c r="Y955" s="9">
        <f t="shared" si="71"/>
        <v>460.45</v>
      </c>
      <c r="Z955" s="9">
        <f t="shared" si="72"/>
        <v>863.34375</v>
      </c>
      <c r="AA955" s="5">
        <f t="shared" si="73"/>
        <v>959.17490624999994</v>
      </c>
      <c r="AB955" s="6">
        <f t="shared" si="74"/>
        <v>1398.530540625</v>
      </c>
      <c r="AD955" s="10">
        <f t="shared" si="75"/>
        <v>1751.0596940625003</v>
      </c>
    </row>
    <row r="956" spans="1:30" x14ac:dyDescent="0.3">
      <c r="A956" t="s">
        <v>30</v>
      </c>
      <c r="B956" s="8" t="s">
        <v>66</v>
      </c>
      <c r="C956" s="8" t="s">
        <v>32</v>
      </c>
      <c r="D956" s="8" t="s">
        <v>33</v>
      </c>
      <c r="E956" s="8" t="s">
        <v>34</v>
      </c>
      <c r="F956" s="8" t="s">
        <v>35</v>
      </c>
      <c r="G956">
        <v>8421999000</v>
      </c>
      <c r="H956" t="s">
        <v>36</v>
      </c>
      <c r="I956" t="s">
        <v>904</v>
      </c>
      <c r="J956" t="s">
        <v>38</v>
      </c>
      <c r="K956" t="s">
        <v>39</v>
      </c>
      <c r="L956">
        <v>1</v>
      </c>
      <c r="M956">
        <v>1</v>
      </c>
      <c r="N956" t="s">
        <v>64</v>
      </c>
      <c r="O956">
        <v>0</v>
      </c>
      <c r="P956">
        <v>451.69</v>
      </c>
      <c r="Q956">
        <v>0.11</v>
      </c>
      <c r="R956">
        <v>4.5199999999999996</v>
      </c>
      <c r="S956">
        <v>456.32</v>
      </c>
      <c r="T956" t="s">
        <v>41</v>
      </c>
      <c r="U956" t="s">
        <v>41</v>
      </c>
      <c r="V956" t="s">
        <v>38</v>
      </c>
      <c r="W956" t="s">
        <v>913</v>
      </c>
      <c r="X956">
        <v>451.69</v>
      </c>
      <c r="Y956" s="9">
        <f t="shared" si="71"/>
        <v>451.69</v>
      </c>
      <c r="Z956" s="9">
        <f t="shared" si="72"/>
        <v>846.91875000000005</v>
      </c>
      <c r="AA956" s="5">
        <f t="shared" si="73"/>
        <v>940.92673124999999</v>
      </c>
      <c r="AB956" s="6">
        <f t="shared" si="74"/>
        <v>1371.923683125</v>
      </c>
      <c r="AD956" s="10">
        <f t="shared" si="75"/>
        <v>1717.7460163125002</v>
      </c>
    </row>
    <row r="957" spans="1:30" x14ac:dyDescent="0.3">
      <c r="A957" t="s">
        <v>30</v>
      </c>
      <c r="B957" s="8" t="s">
        <v>66</v>
      </c>
      <c r="C957" s="8" t="s">
        <v>32</v>
      </c>
      <c r="D957" s="8" t="s">
        <v>33</v>
      </c>
      <c r="E957" s="8" t="s">
        <v>34</v>
      </c>
      <c r="F957" s="8" t="s">
        <v>35</v>
      </c>
      <c r="G957">
        <v>8421999000</v>
      </c>
      <c r="H957" t="s">
        <v>36</v>
      </c>
      <c r="I957" t="s">
        <v>550</v>
      </c>
      <c r="J957" t="s">
        <v>38</v>
      </c>
      <c r="K957" t="s">
        <v>39</v>
      </c>
      <c r="L957">
        <v>8</v>
      </c>
      <c r="M957">
        <v>1</v>
      </c>
      <c r="N957" t="s">
        <v>64</v>
      </c>
      <c r="O957">
        <v>0</v>
      </c>
      <c r="P957">
        <v>678.75</v>
      </c>
      <c r="Q957">
        <v>97.68</v>
      </c>
      <c r="R957">
        <v>4.78</v>
      </c>
      <c r="S957">
        <v>781.2</v>
      </c>
      <c r="T957" t="s">
        <v>41</v>
      </c>
      <c r="U957" t="s">
        <v>41</v>
      </c>
      <c r="V957" t="s">
        <v>38</v>
      </c>
      <c r="W957" t="s">
        <v>914</v>
      </c>
      <c r="X957">
        <v>678.75</v>
      </c>
      <c r="Y957" s="9">
        <f t="shared" si="71"/>
        <v>678.75</v>
      </c>
      <c r="Z957" s="9">
        <f t="shared" si="72"/>
        <v>1272.65625</v>
      </c>
      <c r="AA957" s="5">
        <f t="shared" si="73"/>
        <v>1413.92109375</v>
      </c>
      <c r="AB957" s="6">
        <f t="shared" si="74"/>
        <v>2061.5758593749997</v>
      </c>
      <c r="AD957" s="10">
        <f t="shared" si="75"/>
        <v>2581.2395859375001</v>
      </c>
    </row>
    <row r="958" spans="1:30" x14ac:dyDescent="0.3">
      <c r="A958" t="s">
        <v>30</v>
      </c>
      <c r="B958" s="8" t="s">
        <v>66</v>
      </c>
      <c r="C958" s="8" t="s">
        <v>32</v>
      </c>
      <c r="D958" s="8" t="s">
        <v>33</v>
      </c>
      <c r="E958" s="8" t="s">
        <v>34</v>
      </c>
      <c r="F958" s="8" t="s">
        <v>35</v>
      </c>
      <c r="G958">
        <v>8421999000</v>
      </c>
      <c r="H958" t="s">
        <v>36</v>
      </c>
      <c r="I958" t="s">
        <v>550</v>
      </c>
      <c r="J958" t="s">
        <v>38</v>
      </c>
      <c r="K958" t="s">
        <v>39</v>
      </c>
      <c r="L958">
        <v>4</v>
      </c>
      <c r="M958">
        <v>1</v>
      </c>
      <c r="N958" t="s">
        <v>64</v>
      </c>
      <c r="O958">
        <v>0</v>
      </c>
      <c r="P958">
        <v>579.53</v>
      </c>
      <c r="Q958">
        <v>30.34</v>
      </c>
      <c r="R958">
        <v>3.78</v>
      </c>
      <c r="S958">
        <v>613.65</v>
      </c>
      <c r="T958" t="s">
        <v>41</v>
      </c>
      <c r="U958" t="s">
        <v>41</v>
      </c>
      <c r="V958" t="s">
        <v>38</v>
      </c>
      <c r="W958" t="s">
        <v>914</v>
      </c>
      <c r="X958">
        <v>579.53</v>
      </c>
      <c r="Y958" s="9">
        <f t="shared" si="71"/>
        <v>579.53</v>
      </c>
      <c r="Z958" s="9">
        <f t="shared" si="72"/>
        <v>1086.6187499999999</v>
      </c>
      <c r="AA958" s="5">
        <f t="shared" si="73"/>
        <v>1207.2334312499997</v>
      </c>
      <c r="AB958" s="6">
        <f t="shared" si="74"/>
        <v>1760.2137131249997</v>
      </c>
      <c r="AD958" s="10">
        <f t="shared" si="75"/>
        <v>2203.9127473125</v>
      </c>
    </row>
    <row r="959" spans="1:30" x14ac:dyDescent="0.3">
      <c r="A959" t="s">
        <v>30</v>
      </c>
      <c r="B959" s="8" t="s">
        <v>66</v>
      </c>
      <c r="C959" s="8" t="s">
        <v>32</v>
      </c>
      <c r="D959" s="8" t="s">
        <v>33</v>
      </c>
      <c r="E959" s="8" t="s">
        <v>34</v>
      </c>
      <c r="F959" s="8" t="s">
        <v>35</v>
      </c>
      <c r="G959">
        <v>8421999000</v>
      </c>
      <c r="H959" t="s">
        <v>36</v>
      </c>
      <c r="I959" t="s">
        <v>550</v>
      </c>
      <c r="J959" t="s">
        <v>38</v>
      </c>
      <c r="K959" t="s">
        <v>39</v>
      </c>
      <c r="L959">
        <v>8</v>
      </c>
      <c r="M959">
        <v>2</v>
      </c>
      <c r="N959" t="s">
        <v>64</v>
      </c>
      <c r="O959">
        <v>0</v>
      </c>
      <c r="P959">
        <v>105.13</v>
      </c>
      <c r="Q959">
        <v>11.22</v>
      </c>
      <c r="R959">
        <v>0.7</v>
      </c>
      <c r="S959">
        <v>117.06</v>
      </c>
      <c r="T959" t="s">
        <v>41</v>
      </c>
      <c r="U959" t="s">
        <v>41</v>
      </c>
      <c r="V959" t="s">
        <v>38</v>
      </c>
      <c r="W959" t="s">
        <v>915</v>
      </c>
      <c r="X959">
        <v>52.57</v>
      </c>
      <c r="Y959" s="9">
        <f t="shared" si="71"/>
        <v>52.564999999999998</v>
      </c>
      <c r="Z959" s="9">
        <f t="shared" si="72"/>
        <v>98.559374999999989</v>
      </c>
      <c r="AA959" s="5">
        <f t="shared" si="73"/>
        <v>109.49946562499998</v>
      </c>
      <c r="AB959" s="6">
        <f t="shared" si="74"/>
        <v>159.65633156249996</v>
      </c>
      <c r="AD959" s="10">
        <f t="shared" si="75"/>
        <v>199.90108115625</v>
      </c>
    </row>
    <row r="960" spans="1:30" x14ac:dyDescent="0.3">
      <c r="A960" t="s">
        <v>30</v>
      </c>
      <c r="B960" s="8" t="s">
        <v>66</v>
      </c>
      <c r="C960" s="8" t="s">
        <v>32</v>
      </c>
      <c r="D960" s="8" t="s">
        <v>33</v>
      </c>
      <c r="E960" s="8" t="s">
        <v>34</v>
      </c>
      <c r="F960" s="8" t="s">
        <v>35</v>
      </c>
      <c r="G960">
        <v>8421999000</v>
      </c>
      <c r="H960" t="s">
        <v>36</v>
      </c>
      <c r="I960" t="s">
        <v>916</v>
      </c>
      <c r="J960" t="s">
        <v>38</v>
      </c>
      <c r="K960" t="s">
        <v>39</v>
      </c>
      <c r="L960">
        <v>1</v>
      </c>
      <c r="M960">
        <v>1</v>
      </c>
      <c r="N960" t="s">
        <v>64</v>
      </c>
      <c r="O960">
        <v>0</v>
      </c>
      <c r="P960">
        <v>71.02</v>
      </c>
      <c r="Q960">
        <v>0.02</v>
      </c>
      <c r="R960">
        <v>0.71</v>
      </c>
      <c r="S960">
        <v>71.75</v>
      </c>
      <c r="T960" t="s">
        <v>41</v>
      </c>
      <c r="U960" t="s">
        <v>41</v>
      </c>
      <c r="V960" t="s">
        <v>38</v>
      </c>
      <c r="W960" t="s">
        <v>917</v>
      </c>
      <c r="X960">
        <v>71.02</v>
      </c>
      <c r="Y960" s="9">
        <f t="shared" si="71"/>
        <v>71.02</v>
      </c>
      <c r="Z960" s="9">
        <f t="shared" si="72"/>
        <v>133.16249999999999</v>
      </c>
      <c r="AA960" s="5">
        <f t="shared" si="73"/>
        <v>147.94353749999999</v>
      </c>
      <c r="AB960" s="6">
        <f t="shared" si="74"/>
        <v>215.70993374999998</v>
      </c>
      <c r="AD960" s="10">
        <f t="shared" si="75"/>
        <v>270.08417737500002</v>
      </c>
    </row>
    <row r="961" spans="1:30" x14ac:dyDescent="0.3">
      <c r="A961" t="s">
        <v>168</v>
      </c>
      <c r="B961" s="8" t="s">
        <v>66</v>
      </c>
      <c r="C961" s="8" t="s">
        <v>32</v>
      </c>
      <c r="D961" s="8" t="s">
        <v>33</v>
      </c>
      <c r="E961" s="8" t="s">
        <v>34</v>
      </c>
      <c r="F961" s="8" t="s">
        <v>35</v>
      </c>
      <c r="G961">
        <v>8421999000</v>
      </c>
      <c r="H961" t="s">
        <v>36</v>
      </c>
      <c r="I961" t="s">
        <v>916</v>
      </c>
      <c r="J961" t="s">
        <v>38</v>
      </c>
      <c r="K961" t="s">
        <v>39</v>
      </c>
      <c r="L961">
        <v>11</v>
      </c>
      <c r="M961">
        <v>2</v>
      </c>
      <c r="N961" t="s">
        <v>64</v>
      </c>
      <c r="O961">
        <v>0</v>
      </c>
      <c r="P961">
        <v>171.93</v>
      </c>
      <c r="Q961">
        <v>16.47</v>
      </c>
      <c r="R961">
        <v>1.1599999999999999</v>
      </c>
      <c r="S961">
        <v>189.55</v>
      </c>
      <c r="T961" t="s">
        <v>41</v>
      </c>
      <c r="U961" t="s">
        <v>43</v>
      </c>
      <c r="V961" t="s">
        <v>38</v>
      </c>
      <c r="W961" t="s">
        <v>917</v>
      </c>
      <c r="X961">
        <v>85.97</v>
      </c>
      <c r="Y961" s="9">
        <f t="shared" si="71"/>
        <v>85.965000000000003</v>
      </c>
      <c r="Z961" s="9">
        <f t="shared" si="72"/>
        <v>161.18437500000002</v>
      </c>
      <c r="AA961" s="5">
        <f t="shared" si="73"/>
        <v>179.07584062500001</v>
      </c>
      <c r="AB961" s="6">
        <f t="shared" si="74"/>
        <v>261.10256906250004</v>
      </c>
      <c r="AD961" s="10">
        <f t="shared" si="75"/>
        <v>326.91898490625005</v>
      </c>
    </row>
    <row r="962" spans="1:30" x14ac:dyDescent="0.3">
      <c r="A962" t="s">
        <v>30</v>
      </c>
      <c r="B962" s="8" t="s">
        <v>66</v>
      </c>
      <c r="C962" s="8" t="s">
        <v>32</v>
      </c>
      <c r="D962" s="8" t="s">
        <v>33</v>
      </c>
      <c r="E962" s="8" t="s">
        <v>34</v>
      </c>
      <c r="F962" s="8" t="s">
        <v>35</v>
      </c>
      <c r="G962">
        <v>8421999000</v>
      </c>
      <c r="H962" t="s">
        <v>36</v>
      </c>
      <c r="I962" t="s">
        <v>550</v>
      </c>
      <c r="J962" t="s">
        <v>38</v>
      </c>
      <c r="K962" t="s">
        <v>39</v>
      </c>
      <c r="L962">
        <v>8</v>
      </c>
      <c r="M962">
        <v>3</v>
      </c>
      <c r="N962" t="s">
        <v>64</v>
      </c>
      <c r="O962">
        <v>0</v>
      </c>
      <c r="P962">
        <v>217.9</v>
      </c>
      <c r="Q962">
        <v>23.26</v>
      </c>
      <c r="R962">
        <v>1.46</v>
      </c>
      <c r="S962">
        <v>242.62</v>
      </c>
      <c r="T962" t="s">
        <v>41</v>
      </c>
      <c r="U962" t="s">
        <v>41</v>
      </c>
      <c r="V962" t="s">
        <v>38</v>
      </c>
      <c r="W962" t="s">
        <v>917</v>
      </c>
      <c r="X962">
        <v>72.63</v>
      </c>
      <c r="Y962" s="9">
        <f t="shared" si="71"/>
        <v>72.63333333333334</v>
      </c>
      <c r="Z962" s="9">
        <f t="shared" si="72"/>
        <v>136.1875</v>
      </c>
      <c r="AA962" s="5">
        <f t="shared" si="73"/>
        <v>151.30431250000001</v>
      </c>
      <c r="AB962" s="6">
        <f t="shared" si="74"/>
        <v>220.61013124999999</v>
      </c>
      <c r="AD962" s="10">
        <f t="shared" si="75"/>
        <v>276.21957312500001</v>
      </c>
    </row>
    <row r="963" spans="1:30" x14ac:dyDescent="0.3">
      <c r="A963" t="s">
        <v>30</v>
      </c>
      <c r="B963" s="8" t="s">
        <v>66</v>
      </c>
      <c r="C963" s="8" t="s">
        <v>32</v>
      </c>
      <c r="D963" s="8" t="s">
        <v>33</v>
      </c>
      <c r="E963" s="8" t="s">
        <v>34</v>
      </c>
      <c r="F963" s="8" t="s">
        <v>35</v>
      </c>
      <c r="G963">
        <v>8421999000</v>
      </c>
      <c r="H963" t="s">
        <v>36</v>
      </c>
      <c r="I963" t="s">
        <v>550</v>
      </c>
      <c r="J963" t="s">
        <v>38</v>
      </c>
      <c r="K963" t="s">
        <v>39</v>
      </c>
      <c r="L963">
        <v>8</v>
      </c>
      <c r="M963">
        <v>1</v>
      </c>
      <c r="N963" t="s">
        <v>64</v>
      </c>
      <c r="O963">
        <v>0</v>
      </c>
      <c r="P963">
        <v>72.569999999999993</v>
      </c>
      <c r="Q963">
        <v>9.09</v>
      </c>
      <c r="R963">
        <v>0.5</v>
      </c>
      <c r="S963">
        <v>82.15</v>
      </c>
      <c r="T963" t="s">
        <v>41</v>
      </c>
      <c r="U963" t="s">
        <v>41</v>
      </c>
      <c r="V963" t="s">
        <v>38</v>
      </c>
      <c r="W963" t="s">
        <v>917</v>
      </c>
      <c r="X963">
        <v>72.569999999999993</v>
      </c>
      <c r="Y963" s="9">
        <f t="shared" ref="Y963:Y1026" si="76">SUM(P963)/M963</f>
        <v>72.569999999999993</v>
      </c>
      <c r="Z963" s="9">
        <f t="shared" ref="Z963:Z1026" si="77">SUM(Y963)*1.875</f>
        <v>136.06874999999999</v>
      </c>
      <c r="AA963" s="5">
        <f t="shared" ref="AA963:AA1026" si="78">SUM(Z963)*1.111</f>
        <v>151.17238125</v>
      </c>
      <c r="AB963" s="6">
        <f t="shared" ref="AB963:AB1026" si="79">SUM(Z963)*1.6199</f>
        <v>220.41776812499998</v>
      </c>
      <c r="AD963" s="10">
        <f t="shared" ref="AD963:AD1008" si="80">SUM(Z963)*2.02823</f>
        <v>275.9787208125</v>
      </c>
    </row>
    <row r="964" spans="1:30" x14ac:dyDescent="0.3">
      <c r="A964" t="s">
        <v>30</v>
      </c>
      <c r="B964" s="8" t="s">
        <v>66</v>
      </c>
      <c r="C964" s="8" t="s">
        <v>32</v>
      </c>
      <c r="D964" s="8" t="s">
        <v>33</v>
      </c>
      <c r="E964" s="8" t="s">
        <v>34</v>
      </c>
      <c r="F964" s="8" t="s">
        <v>35</v>
      </c>
      <c r="G964">
        <v>8421999000</v>
      </c>
      <c r="H964" t="s">
        <v>36</v>
      </c>
      <c r="I964" t="s">
        <v>550</v>
      </c>
      <c r="J964" t="s">
        <v>38</v>
      </c>
      <c r="K964" t="s">
        <v>39</v>
      </c>
      <c r="L964">
        <v>3</v>
      </c>
      <c r="M964">
        <v>3</v>
      </c>
      <c r="N964" t="s">
        <v>64</v>
      </c>
      <c r="O964">
        <v>0</v>
      </c>
      <c r="P964">
        <v>275.17</v>
      </c>
      <c r="Q964">
        <v>11.78</v>
      </c>
      <c r="R964">
        <v>1.77</v>
      </c>
      <c r="S964">
        <v>288.73</v>
      </c>
      <c r="T964" t="s">
        <v>41</v>
      </c>
      <c r="U964" t="s">
        <v>43</v>
      </c>
      <c r="V964" t="s">
        <v>38</v>
      </c>
      <c r="W964" t="s">
        <v>918</v>
      </c>
      <c r="X964">
        <v>91.72</v>
      </c>
      <c r="Y964" s="9">
        <f t="shared" si="76"/>
        <v>91.723333333333343</v>
      </c>
      <c r="Z964" s="9">
        <f t="shared" si="77"/>
        <v>171.98125000000002</v>
      </c>
      <c r="AA964" s="5">
        <f t="shared" si="78"/>
        <v>191.07116875000003</v>
      </c>
      <c r="AB964" s="6">
        <f t="shared" si="79"/>
        <v>278.592426875</v>
      </c>
      <c r="AD964" s="10">
        <f t="shared" si="80"/>
        <v>348.8175306875001</v>
      </c>
    </row>
    <row r="965" spans="1:30" x14ac:dyDescent="0.3">
      <c r="A965" t="s">
        <v>30</v>
      </c>
      <c r="B965" s="8" t="s">
        <v>66</v>
      </c>
      <c r="C965" s="8" t="s">
        <v>32</v>
      </c>
      <c r="D965" s="8" t="s">
        <v>33</v>
      </c>
      <c r="E965" s="8" t="s">
        <v>34</v>
      </c>
      <c r="F965" s="8" t="s">
        <v>35</v>
      </c>
      <c r="G965">
        <v>8421999000</v>
      </c>
      <c r="H965" t="s">
        <v>36</v>
      </c>
      <c r="I965" t="s">
        <v>916</v>
      </c>
      <c r="J965" t="s">
        <v>38</v>
      </c>
      <c r="K965" t="s">
        <v>39</v>
      </c>
      <c r="L965">
        <v>16</v>
      </c>
      <c r="M965">
        <v>1</v>
      </c>
      <c r="N965" t="s">
        <v>64</v>
      </c>
      <c r="O965">
        <v>0</v>
      </c>
      <c r="P965">
        <v>92.31</v>
      </c>
      <c r="Q965">
        <v>12.74</v>
      </c>
      <c r="R965">
        <v>0.62</v>
      </c>
      <c r="S965">
        <v>105.67</v>
      </c>
      <c r="T965" t="s">
        <v>41</v>
      </c>
      <c r="U965" t="s">
        <v>41</v>
      </c>
      <c r="V965" t="s">
        <v>38</v>
      </c>
      <c r="W965" t="s">
        <v>918</v>
      </c>
      <c r="X965">
        <v>92.31</v>
      </c>
      <c r="Y965" s="9">
        <f t="shared" si="76"/>
        <v>92.31</v>
      </c>
      <c r="Z965" s="9">
        <f t="shared" si="77"/>
        <v>173.08125000000001</v>
      </c>
      <c r="AA965" s="5">
        <f t="shared" si="78"/>
        <v>192.29326875000001</v>
      </c>
      <c r="AB965" s="6">
        <f t="shared" si="79"/>
        <v>280.37431687499998</v>
      </c>
      <c r="AD965" s="10">
        <f t="shared" si="80"/>
        <v>351.04858368750007</v>
      </c>
    </row>
    <row r="966" spans="1:30" x14ac:dyDescent="0.3">
      <c r="A966" t="s">
        <v>168</v>
      </c>
      <c r="B966" s="8" t="s">
        <v>66</v>
      </c>
      <c r="C966" s="8" t="s">
        <v>32</v>
      </c>
      <c r="D966" s="8" t="s">
        <v>33</v>
      </c>
      <c r="E966" s="8" t="s">
        <v>34</v>
      </c>
      <c r="F966" s="8" t="s">
        <v>35</v>
      </c>
      <c r="G966">
        <v>8421999000</v>
      </c>
      <c r="H966" t="s">
        <v>36</v>
      </c>
      <c r="I966" t="s">
        <v>916</v>
      </c>
      <c r="J966" t="s">
        <v>38</v>
      </c>
      <c r="K966" t="s">
        <v>39</v>
      </c>
      <c r="L966">
        <v>11</v>
      </c>
      <c r="M966">
        <v>2</v>
      </c>
      <c r="N966" t="s">
        <v>64</v>
      </c>
      <c r="O966">
        <v>0</v>
      </c>
      <c r="P966">
        <v>185.16</v>
      </c>
      <c r="Q966">
        <v>17.739999999999998</v>
      </c>
      <c r="R966">
        <v>1.25</v>
      </c>
      <c r="S966">
        <v>204.14</v>
      </c>
      <c r="T966" t="s">
        <v>41</v>
      </c>
      <c r="U966" t="s">
        <v>43</v>
      </c>
      <c r="V966" t="s">
        <v>38</v>
      </c>
      <c r="W966" t="s">
        <v>918</v>
      </c>
      <c r="X966">
        <v>92.58</v>
      </c>
      <c r="Y966" s="9">
        <f t="shared" si="76"/>
        <v>92.58</v>
      </c>
      <c r="Z966" s="9">
        <f t="shared" si="77"/>
        <v>173.58750000000001</v>
      </c>
      <c r="AA966" s="5">
        <f t="shared" si="78"/>
        <v>192.85571250000001</v>
      </c>
      <c r="AB966" s="6">
        <f t="shared" si="79"/>
        <v>281.19439124999997</v>
      </c>
      <c r="AD966" s="10">
        <f t="shared" si="80"/>
        <v>352.07537512500005</v>
      </c>
    </row>
    <row r="967" spans="1:30" x14ac:dyDescent="0.3">
      <c r="A967" t="s">
        <v>30</v>
      </c>
      <c r="B967" s="8" t="s">
        <v>66</v>
      </c>
      <c r="C967" s="8" t="s">
        <v>32</v>
      </c>
      <c r="D967" s="8" t="s">
        <v>33</v>
      </c>
      <c r="E967" s="8" t="s">
        <v>34</v>
      </c>
      <c r="F967" s="8" t="s">
        <v>35</v>
      </c>
      <c r="G967">
        <v>8421999000</v>
      </c>
      <c r="H967" t="s">
        <v>36</v>
      </c>
      <c r="I967" t="s">
        <v>550</v>
      </c>
      <c r="J967" t="s">
        <v>38</v>
      </c>
      <c r="K967" t="s">
        <v>39</v>
      </c>
      <c r="L967">
        <v>4</v>
      </c>
      <c r="M967">
        <v>3</v>
      </c>
      <c r="N967" t="s">
        <v>64</v>
      </c>
      <c r="O967">
        <v>0</v>
      </c>
      <c r="P967">
        <v>276.10000000000002</v>
      </c>
      <c r="Q967">
        <v>14.46</v>
      </c>
      <c r="R967">
        <v>1.8</v>
      </c>
      <c r="S967">
        <v>292.35000000000002</v>
      </c>
      <c r="T967" t="s">
        <v>41</v>
      </c>
      <c r="U967" t="s">
        <v>41</v>
      </c>
      <c r="V967" t="s">
        <v>38</v>
      </c>
      <c r="W967" t="s">
        <v>918</v>
      </c>
      <c r="X967">
        <v>92.03</v>
      </c>
      <c r="Y967" s="9">
        <f t="shared" si="76"/>
        <v>92.033333333333346</v>
      </c>
      <c r="Z967" s="9">
        <f t="shared" si="77"/>
        <v>172.56250000000003</v>
      </c>
      <c r="AA967" s="5">
        <f t="shared" si="78"/>
        <v>191.71693750000003</v>
      </c>
      <c r="AB967" s="6">
        <f t="shared" si="79"/>
        <v>279.53399375000004</v>
      </c>
      <c r="AD967" s="10">
        <f t="shared" si="80"/>
        <v>349.99643937500008</v>
      </c>
    </row>
    <row r="968" spans="1:30" x14ac:dyDescent="0.3">
      <c r="A968" t="s">
        <v>30</v>
      </c>
      <c r="B968" s="8" t="s">
        <v>66</v>
      </c>
      <c r="C968" s="8" t="s">
        <v>32</v>
      </c>
      <c r="D968" s="8" t="s">
        <v>33</v>
      </c>
      <c r="E968" s="8" t="s">
        <v>34</v>
      </c>
      <c r="F968" s="8" t="s">
        <v>35</v>
      </c>
      <c r="G968">
        <v>8421999000</v>
      </c>
      <c r="H968" t="s">
        <v>36</v>
      </c>
      <c r="I968" t="s">
        <v>550</v>
      </c>
      <c r="J968" t="s">
        <v>38</v>
      </c>
      <c r="K968" t="s">
        <v>39</v>
      </c>
      <c r="L968">
        <v>12</v>
      </c>
      <c r="M968">
        <v>4</v>
      </c>
      <c r="N968" t="s">
        <v>64</v>
      </c>
      <c r="O968">
        <v>0</v>
      </c>
      <c r="P968">
        <v>370.46</v>
      </c>
      <c r="Q968">
        <v>42.54</v>
      </c>
      <c r="R968">
        <v>2.4700000000000002</v>
      </c>
      <c r="S968">
        <v>415.47</v>
      </c>
      <c r="T968" t="s">
        <v>41</v>
      </c>
      <c r="U968" t="s">
        <v>41</v>
      </c>
      <c r="V968" t="s">
        <v>38</v>
      </c>
      <c r="W968" t="s">
        <v>918</v>
      </c>
      <c r="X968">
        <v>92.62</v>
      </c>
      <c r="Y968" s="9">
        <f t="shared" si="76"/>
        <v>92.614999999999995</v>
      </c>
      <c r="Z968" s="9">
        <f t="shared" si="77"/>
        <v>173.65312499999999</v>
      </c>
      <c r="AA968" s="5">
        <f t="shared" si="78"/>
        <v>192.92862187499998</v>
      </c>
      <c r="AB968" s="6">
        <f t="shared" si="79"/>
        <v>281.30069718749996</v>
      </c>
      <c r="AD968" s="10">
        <f t="shared" si="80"/>
        <v>352.20847771875003</v>
      </c>
    </row>
    <row r="969" spans="1:30" x14ac:dyDescent="0.3">
      <c r="A969" t="s">
        <v>30</v>
      </c>
      <c r="B969" s="8" t="s">
        <v>66</v>
      </c>
      <c r="C969" s="8" t="s">
        <v>32</v>
      </c>
      <c r="D969" s="8" t="s">
        <v>33</v>
      </c>
      <c r="E969" s="8" t="s">
        <v>34</v>
      </c>
      <c r="F969" s="8" t="s">
        <v>35</v>
      </c>
      <c r="G969">
        <v>8421999000</v>
      </c>
      <c r="H969" t="s">
        <v>36</v>
      </c>
      <c r="I969" t="s">
        <v>550</v>
      </c>
      <c r="J969" t="s">
        <v>38</v>
      </c>
      <c r="K969" t="s">
        <v>39</v>
      </c>
      <c r="L969">
        <v>10</v>
      </c>
      <c r="M969">
        <v>2</v>
      </c>
      <c r="N969" t="s">
        <v>64</v>
      </c>
      <c r="O969">
        <v>0</v>
      </c>
      <c r="P969">
        <v>183.61</v>
      </c>
      <c r="Q969">
        <v>15.28</v>
      </c>
      <c r="R969">
        <v>1.2</v>
      </c>
      <c r="S969">
        <v>200.09</v>
      </c>
      <c r="T969" t="s">
        <v>41</v>
      </c>
      <c r="U969" t="s">
        <v>43</v>
      </c>
      <c r="V969" t="s">
        <v>38</v>
      </c>
      <c r="W969" t="s">
        <v>918</v>
      </c>
      <c r="X969">
        <v>91.8</v>
      </c>
      <c r="Y969" s="9">
        <f t="shared" si="76"/>
        <v>91.805000000000007</v>
      </c>
      <c r="Z969" s="9">
        <f t="shared" si="77"/>
        <v>172.13437500000001</v>
      </c>
      <c r="AA969" s="5">
        <f t="shared" si="78"/>
        <v>191.241290625</v>
      </c>
      <c r="AB969" s="6">
        <f t="shared" si="79"/>
        <v>278.84047406249999</v>
      </c>
      <c r="AD969" s="10">
        <f t="shared" si="80"/>
        <v>349.12810340625003</v>
      </c>
    </row>
    <row r="970" spans="1:30" x14ac:dyDescent="0.3">
      <c r="A970" t="s">
        <v>30</v>
      </c>
      <c r="B970" s="8" t="s">
        <v>66</v>
      </c>
      <c r="C970" s="8" t="s">
        <v>32</v>
      </c>
      <c r="D970" s="8" t="s">
        <v>33</v>
      </c>
      <c r="E970" s="8" t="s">
        <v>34</v>
      </c>
      <c r="F970" s="8" t="s">
        <v>35</v>
      </c>
      <c r="G970">
        <v>8421999000</v>
      </c>
      <c r="H970" t="s">
        <v>36</v>
      </c>
      <c r="I970" t="s">
        <v>550</v>
      </c>
      <c r="J970" t="s">
        <v>38</v>
      </c>
      <c r="K970" t="s">
        <v>39</v>
      </c>
      <c r="L970">
        <v>8</v>
      </c>
      <c r="M970">
        <v>3</v>
      </c>
      <c r="N970" t="s">
        <v>64</v>
      </c>
      <c r="O970">
        <v>0</v>
      </c>
      <c r="P970">
        <v>276.07</v>
      </c>
      <c r="Q970">
        <v>29.47</v>
      </c>
      <c r="R970">
        <v>1.85</v>
      </c>
      <c r="S970">
        <v>307.39</v>
      </c>
      <c r="T970" t="s">
        <v>41</v>
      </c>
      <c r="U970" t="s">
        <v>41</v>
      </c>
      <c r="V970" t="s">
        <v>38</v>
      </c>
      <c r="W970" t="s">
        <v>918</v>
      </c>
      <c r="X970">
        <v>92.02</v>
      </c>
      <c r="Y970" s="9">
        <f t="shared" si="76"/>
        <v>92.023333333333326</v>
      </c>
      <c r="Z970" s="9">
        <f t="shared" si="77"/>
        <v>172.54374999999999</v>
      </c>
      <c r="AA970" s="5">
        <f t="shared" si="78"/>
        <v>191.69610624999999</v>
      </c>
      <c r="AB970" s="6">
        <f t="shared" si="79"/>
        <v>279.50362062499994</v>
      </c>
      <c r="AD970" s="10">
        <f t="shared" si="80"/>
        <v>349.95841006250004</v>
      </c>
    </row>
    <row r="971" spans="1:30" x14ac:dyDescent="0.3">
      <c r="A971" t="s">
        <v>30</v>
      </c>
      <c r="B971" s="8" t="s">
        <v>66</v>
      </c>
      <c r="C971" s="8" t="s">
        <v>32</v>
      </c>
      <c r="D971" s="8" t="s">
        <v>33</v>
      </c>
      <c r="E971" s="8" t="s">
        <v>34</v>
      </c>
      <c r="F971" s="8" t="s">
        <v>35</v>
      </c>
      <c r="G971">
        <v>8421999000</v>
      </c>
      <c r="H971" t="s">
        <v>36</v>
      </c>
      <c r="I971" t="s">
        <v>916</v>
      </c>
      <c r="J971" t="s">
        <v>38</v>
      </c>
      <c r="K971" t="s">
        <v>39</v>
      </c>
      <c r="L971">
        <v>16</v>
      </c>
      <c r="M971">
        <v>2</v>
      </c>
      <c r="N971" t="s">
        <v>64</v>
      </c>
      <c r="O971">
        <v>0</v>
      </c>
      <c r="P971">
        <v>223.55</v>
      </c>
      <c r="Q971">
        <v>30.85</v>
      </c>
      <c r="R971">
        <v>1.49</v>
      </c>
      <c r="S971">
        <v>255.9</v>
      </c>
      <c r="T971" t="s">
        <v>41</v>
      </c>
      <c r="U971" t="s">
        <v>41</v>
      </c>
      <c r="V971" t="s">
        <v>38</v>
      </c>
      <c r="W971" t="s">
        <v>919</v>
      </c>
      <c r="X971">
        <v>111.78</v>
      </c>
      <c r="Y971" s="9">
        <f t="shared" si="76"/>
        <v>111.77500000000001</v>
      </c>
      <c r="Z971" s="9">
        <f t="shared" si="77"/>
        <v>209.578125</v>
      </c>
      <c r="AA971" s="5">
        <f t="shared" si="78"/>
        <v>232.84129687499998</v>
      </c>
      <c r="AB971" s="6">
        <f t="shared" si="79"/>
        <v>339.49560468749996</v>
      </c>
      <c r="AD971" s="10">
        <f t="shared" si="80"/>
        <v>425.07264046875002</v>
      </c>
    </row>
    <row r="972" spans="1:30" x14ac:dyDescent="0.3">
      <c r="A972" t="s">
        <v>168</v>
      </c>
      <c r="B972" s="8" t="s">
        <v>66</v>
      </c>
      <c r="C972" s="8" t="s">
        <v>32</v>
      </c>
      <c r="D972" s="8" t="s">
        <v>33</v>
      </c>
      <c r="E972" s="8" t="s">
        <v>34</v>
      </c>
      <c r="F972" s="8" t="s">
        <v>35</v>
      </c>
      <c r="G972">
        <v>8421999000</v>
      </c>
      <c r="H972" t="s">
        <v>36</v>
      </c>
      <c r="I972" t="s">
        <v>916</v>
      </c>
      <c r="J972" t="s">
        <v>38</v>
      </c>
      <c r="K972" t="s">
        <v>39</v>
      </c>
      <c r="L972">
        <v>11</v>
      </c>
      <c r="M972">
        <v>3</v>
      </c>
      <c r="N972" t="s">
        <v>64</v>
      </c>
      <c r="O972">
        <v>0</v>
      </c>
      <c r="P972">
        <v>336.29</v>
      </c>
      <c r="Q972">
        <v>32.21</v>
      </c>
      <c r="R972">
        <v>2.27</v>
      </c>
      <c r="S972">
        <v>370.77</v>
      </c>
      <c r="T972" t="s">
        <v>41</v>
      </c>
      <c r="U972" t="s">
        <v>43</v>
      </c>
      <c r="V972" t="s">
        <v>38</v>
      </c>
      <c r="W972" t="s">
        <v>919</v>
      </c>
      <c r="X972">
        <v>112.1</v>
      </c>
      <c r="Y972" s="9">
        <f t="shared" si="76"/>
        <v>112.09666666666668</v>
      </c>
      <c r="Z972" s="9">
        <f t="shared" si="77"/>
        <v>210.18125000000003</v>
      </c>
      <c r="AA972" s="5">
        <f t="shared" si="78"/>
        <v>233.51136875000003</v>
      </c>
      <c r="AB972" s="6">
        <f t="shared" si="79"/>
        <v>340.47260687500005</v>
      </c>
      <c r="AD972" s="10">
        <f t="shared" si="80"/>
        <v>426.2959166875001</v>
      </c>
    </row>
    <row r="973" spans="1:30" x14ac:dyDescent="0.3">
      <c r="A973" t="s">
        <v>30</v>
      </c>
      <c r="B973" s="8" t="s">
        <v>66</v>
      </c>
      <c r="C973" s="8" t="s">
        <v>32</v>
      </c>
      <c r="D973" s="8" t="s">
        <v>69</v>
      </c>
      <c r="E973" s="8" t="s">
        <v>70</v>
      </c>
      <c r="F973" s="8" t="s">
        <v>71</v>
      </c>
      <c r="G973">
        <v>8421999000</v>
      </c>
      <c r="H973" t="s">
        <v>36</v>
      </c>
      <c r="I973" t="s">
        <v>550</v>
      </c>
      <c r="J973" t="s">
        <v>38</v>
      </c>
      <c r="K973" t="s">
        <v>39</v>
      </c>
      <c r="L973">
        <v>13</v>
      </c>
      <c r="M973">
        <v>2</v>
      </c>
      <c r="N973" t="s">
        <v>64</v>
      </c>
      <c r="O973">
        <v>0</v>
      </c>
      <c r="P973">
        <v>217.9</v>
      </c>
      <c r="Q973">
        <v>11.63</v>
      </c>
      <c r="R973">
        <v>1.4</v>
      </c>
      <c r="S973">
        <v>230.93</v>
      </c>
      <c r="T973" t="s">
        <v>72</v>
      </c>
      <c r="U973" t="s">
        <v>72</v>
      </c>
      <c r="V973" t="s">
        <v>38</v>
      </c>
      <c r="W973" t="s">
        <v>919</v>
      </c>
      <c r="X973">
        <v>108.95</v>
      </c>
      <c r="Y973" s="9">
        <f t="shared" si="76"/>
        <v>108.95</v>
      </c>
      <c r="Z973" s="9">
        <f t="shared" si="77"/>
        <v>204.28125</v>
      </c>
      <c r="AA973" s="5">
        <f t="shared" si="78"/>
        <v>226.95646875</v>
      </c>
      <c r="AB973" s="6">
        <f t="shared" si="79"/>
        <v>330.91519687499999</v>
      </c>
      <c r="AD973" s="10">
        <f t="shared" si="80"/>
        <v>414.32935968750002</v>
      </c>
    </row>
    <row r="974" spans="1:30" x14ac:dyDescent="0.3">
      <c r="A974" t="s">
        <v>30</v>
      </c>
      <c r="B974" s="8" t="s">
        <v>66</v>
      </c>
      <c r="C974" s="8" t="s">
        <v>32</v>
      </c>
      <c r="D974" s="8" t="s">
        <v>33</v>
      </c>
      <c r="E974" s="8" t="s">
        <v>34</v>
      </c>
      <c r="F974" s="8" t="s">
        <v>35</v>
      </c>
      <c r="G974">
        <v>8421999000</v>
      </c>
      <c r="H974" t="s">
        <v>36</v>
      </c>
      <c r="I974" t="s">
        <v>916</v>
      </c>
      <c r="J974" t="s">
        <v>38</v>
      </c>
      <c r="K974" t="s">
        <v>39</v>
      </c>
      <c r="L974">
        <v>16</v>
      </c>
      <c r="M974">
        <v>3</v>
      </c>
      <c r="N974" t="s">
        <v>64</v>
      </c>
      <c r="O974">
        <v>0</v>
      </c>
      <c r="P974">
        <v>413.16</v>
      </c>
      <c r="Q974">
        <v>57.02</v>
      </c>
      <c r="R974">
        <v>2.76</v>
      </c>
      <c r="S974">
        <v>472.94</v>
      </c>
      <c r="T974" t="s">
        <v>41</v>
      </c>
      <c r="U974" t="s">
        <v>41</v>
      </c>
      <c r="V974" t="s">
        <v>38</v>
      </c>
      <c r="W974" t="s">
        <v>920</v>
      </c>
      <c r="X974">
        <v>137.72</v>
      </c>
      <c r="Y974" s="9">
        <f t="shared" si="76"/>
        <v>137.72</v>
      </c>
      <c r="Z974" s="9">
        <f t="shared" si="77"/>
        <v>258.22500000000002</v>
      </c>
      <c r="AA974" s="5">
        <f t="shared" si="78"/>
        <v>286.88797500000004</v>
      </c>
      <c r="AB974" s="6">
        <f t="shared" si="79"/>
        <v>418.2986775</v>
      </c>
      <c r="AD974" s="10">
        <f t="shared" si="80"/>
        <v>523.73969175000013</v>
      </c>
    </row>
    <row r="975" spans="1:30" x14ac:dyDescent="0.3">
      <c r="A975" t="s">
        <v>30</v>
      </c>
      <c r="B975" s="8" t="s">
        <v>66</v>
      </c>
      <c r="C975" s="8" t="s">
        <v>32</v>
      </c>
      <c r="D975" s="8" t="s">
        <v>33</v>
      </c>
      <c r="E975" s="8" t="s">
        <v>34</v>
      </c>
      <c r="F975" s="8" t="s">
        <v>35</v>
      </c>
      <c r="G975">
        <v>8421999000</v>
      </c>
      <c r="H975" t="s">
        <v>36</v>
      </c>
      <c r="I975" t="s">
        <v>921</v>
      </c>
      <c r="J975" t="s">
        <v>74</v>
      </c>
      <c r="K975" t="s">
        <v>39</v>
      </c>
      <c r="L975">
        <v>7</v>
      </c>
      <c r="M975">
        <v>2</v>
      </c>
      <c r="N975" t="s">
        <v>64</v>
      </c>
      <c r="O975">
        <v>0</v>
      </c>
      <c r="P975">
        <v>273.85000000000002</v>
      </c>
      <c r="Q975">
        <v>15.47</v>
      </c>
      <c r="R975">
        <v>1.75</v>
      </c>
      <c r="S975">
        <v>291.06</v>
      </c>
      <c r="T975" t="s">
        <v>75</v>
      </c>
      <c r="U975" t="s">
        <v>921</v>
      </c>
      <c r="V975" t="s">
        <v>74</v>
      </c>
      <c r="W975" t="s">
        <v>920</v>
      </c>
      <c r="X975">
        <v>136.93</v>
      </c>
      <c r="Y975" s="9">
        <f t="shared" si="76"/>
        <v>136.92500000000001</v>
      </c>
      <c r="Z975" s="9">
        <f t="shared" si="77"/>
        <v>256.734375</v>
      </c>
      <c r="AA975" s="5">
        <f t="shared" si="78"/>
        <v>285.23189062500001</v>
      </c>
      <c r="AB975" s="6">
        <f t="shared" si="79"/>
        <v>415.8840140625</v>
      </c>
      <c r="AD975" s="10">
        <f t="shared" si="80"/>
        <v>520.71636140625003</v>
      </c>
    </row>
    <row r="976" spans="1:30" x14ac:dyDescent="0.3">
      <c r="A976" t="s">
        <v>30</v>
      </c>
      <c r="B976" s="8" t="s">
        <v>66</v>
      </c>
      <c r="C976" s="8" t="s">
        <v>32</v>
      </c>
      <c r="D976" s="8" t="s">
        <v>69</v>
      </c>
      <c r="E976" s="8" t="s">
        <v>70</v>
      </c>
      <c r="F976" s="8" t="s">
        <v>71</v>
      </c>
      <c r="G976">
        <v>8421999000</v>
      </c>
      <c r="H976" t="s">
        <v>36</v>
      </c>
      <c r="I976" t="s">
        <v>550</v>
      </c>
      <c r="J976" t="s">
        <v>38</v>
      </c>
      <c r="K976" t="s">
        <v>39</v>
      </c>
      <c r="L976">
        <v>13</v>
      </c>
      <c r="M976">
        <v>2</v>
      </c>
      <c r="N976" t="s">
        <v>64</v>
      </c>
      <c r="O976">
        <v>0</v>
      </c>
      <c r="P976">
        <v>268.48</v>
      </c>
      <c r="Q976">
        <v>14.33</v>
      </c>
      <c r="R976">
        <v>1.73</v>
      </c>
      <c r="S976">
        <v>284.54000000000002</v>
      </c>
      <c r="T976" t="s">
        <v>72</v>
      </c>
      <c r="U976" t="s">
        <v>72</v>
      </c>
      <c r="V976" t="s">
        <v>38</v>
      </c>
      <c r="W976" t="s">
        <v>920</v>
      </c>
      <c r="X976">
        <v>134.24</v>
      </c>
      <c r="Y976" s="9">
        <f t="shared" si="76"/>
        <v>134.24</v>
      </c>
      <c r="Z976" s="9">
        <f t="shared" si="77"/>
        <v>251.70000000000002</v>
      </c>
      <c r="AA976" s="5">
        <f t="shared" si="78"/>
        <v>279.63870000000003</v>
      </c>
      <c r="AB976" s="6">
        <f t="shared" si="79"/>
        <v>407.72883000000002</v>
      </c>
      <c r="AD976" s="10">
        <f t="shared" si="80"/>
        <v>510.50549100000006</v>
      </c>
    </row>
    <row r="977" spans="1:30" x14ac:dyDescent="0.3">
      <c r="A977" t="s">
        <v>30</v>
      </c>
      <c r="B977" s="8" t="s">
        <v>66</v>
      </c>
      <c r="C977" s="8" t="s">
        <v>32</v>
      </c>
      <c r="D977" s="8" t="s">
        <v>33</v>
      </c>
      <c r="E977" s="8" t="s">
        <v>34</v>
      </c>
      <c r="F977" s="8" t="s">
        <v>35</v>
      </c>
      <c r="G977">
        <v>8421999000</v>
      </c>
      <c r="H977" t="s">
        <v>36</v>
      </c>
      <c r="I977" t="s">
        <v>550</v>
      </c>
      <c r="J977" t="s">
        <v>38</v>
      </c>
      <c r="K977" t="s">
        <v>39</v>
      </c>
      <c r="L977">
        <v>10</v>
      </c>
      <c r="M977">
        <v>4</v>
      </c>
      <c r="N977" t="s">
        <v>64</v>
      </c>
      <c r="O977">
        <v>0</v>
      </c>
      <c r="P977">
        <v>547.84</v>
      </c>
      <c r="Q977">
        <v>45.6</v>
      </c>
      <c r="R977">
        <v>3.59</v>
      </c>
      <c r="S977">
        <v>597.03</v>
      </c>
      <c r="T977" t="s">
        <v>41</v>
      </c>
      <c r="U977" t="s">
        <v>43</v>
      </c>
      <c r="V977" t="s">
        <v>38</v>
      </c>
      <c r="W977" t="s">
        <v>920</v>
      </c>
      <c r="X977">
        <v>136.96</v>
      </c>
      <c r="Y977" s="9">
        <f t="shared" si="76"/>
        <v>136.96</v>
      </c>
      <c r="Z977" s="9">
        <f t="shared" si="77"/>
        <v>256.8</v>
      </c>
      <c r="AA977" s="5">
        <f t="shared" si="78"/>
        <v>285.3048</v>
      </c>
      <c r="AB977" s="6">
        <f t="shared" si="79"/>
        <v>415.99032</v>
      </c>
      <c r="AD977" s="10">
        <f t="shared" si="80"/>
        <v>520.84946400000013</v>
      </c>
    </row>
    <row r="978" spans="1:30" x14ac:dyDescent="0.3">
      <c r="A978" t="s">
        <v>30</v>
      </c>
      <c r="B978" s="8" t="s">
        <v>66</v>
      </c>
      <c r="C978" s="8" t="s">
        <v>32</v>
      </c>
      <c r="D978" s="8" t="s">
        <v>33</v>
      </c>
      <c r="E978" s="8" t="s">
        <v>34</v>
      </c>
      <c r="F978" s="8" t="s">
        <v>35</v>
      </c>
      <c r="G978">
        <v>8421999000</v>
      </c>
      <c r="H978" t="s">
        <v>36</v>
      </c>
      <c r="I978" t="s">
        <v>550</v>
      </c>
      <c r="J978" t="s">
        <v>38</v>
      </c>
      <c r="K978" t="s">
        <v>39</v>
      </c>
      <c r="L978">
        <v>8</v>
      </c>
      <c r="M978">
        <v>1</v>
      </c>
      <c r="N978" t="s">
        <v>64</v>
      </c>
      <c r="O978">
        <v>0</v>
      </c>
      <c r="P978">
        <v>137.29</v>
      </c>
      <c r="Q978">
        <v>14.65</v>
      </c>
      <c r="R978">
        <v>0.92</v>
      </c>
      <c r="S978">
        <v>152.86000000000001</v>
      </c>
      <c r="T978" t="s">
        <v>41</v>
      </c>
      <c r="U978" t="s">
        <v>41</v>
      </c>
      <c r="V978" t="s">
        <v>38</v>
      </c>
      <c r="W978" t="s">
        <v>920</v>
      </c>
      <c r="X978">
        <v>137.29</v>
      </c>
      <c r="Y978" s="9">
        <f t="shared" si="76"/>
        <v>137.29</v>
      </c>
      <c r="Z978" s="9">
        <f t="shared" si="77"/>
        <v>257.41874999999999</v>
      </c>
      <c r="AA978" s="5">
        <f t="shared" si="78"/>
        <v>285.99223124999997</v>
      </c>
      <c r="AB978" s="6">
        <f t="shared" si="79"/>
        <v>416.99263312499994</v>
      </c>
      <c r="AD978" s="10">
        <f t="shared" si="80"/>
        <v>522.10443131250008</v>
      </c>
    </row>
    <row r="979" spans="1:30" x14ac:dyDescent="0.3">
      <c r="A979" t="s">
        <v>30</v>
      </c>
      <c r="B979" s="8" t="s">
        <v>66</v>
      </c>
      <c r="C979" s="8" t="s">
        <v>32</v>
      </c>
      <c r="D979" s="8" t="s">
        <v>33</v>
      </c>
      <c r="E979" s="8" t="s">
        <v>34</v>
      </c>
      <c r="F979" s="8" t="s">
        <v>35</v>
      </c>
      <c r="G979">
        <v>8421999000</v>
      </c>
      <c r="H979" t="s">
        <v>36</v>
      </c>
      <c r="I979" t="s">
        <v>550</v>
      </c>
      <c r="J979" t="s">
        <v>38</v>
      </c>
      <c r="K979" t="s">
        <v>39</v>
      </c>
      <c r="L979">
        <v>3</v>
      </c>
      <c r="M979">
        <v>2</v>
      </c>
      <c r="N979" t="s">
        <v>64</v>
      </c>
      <c r="O979">
        <v>0</v>
      </c>
      <c r="P979">
        <v>445.39</v>
      </c>
      <c r="Q979">
        <v>19.059999999999999</v>
      </c>
      <c r="R979">
        <v>2.87</v>
      </c>
      <c r="S979">
        <v>467.33</v>
      </c>
      <c r="T979" t="s">
        <v>41</v>
      </c>
      <c r="U979" t="s">
        <v>43</v>
      </c>
      <c r="V979" t="s">
        <v>38</v>
      </c>
      <c r="W979" t="s">
        <v>922</v>
      </c>
      <c r="X979">
        <v>222.69</v>
      </c>
      <c r="Y979" s="9">
        <f t="shared" si="76"/>
        <v>222.69499999999999</v>
      </c>
      <c r="Z979" s="9">
        <f t="shared" si="77"/>
        <v>417.55312499999997</v>
      </c>
      <c r="AA979" s="5">
        <f t="shared" si="78"/>
        <v>463.90152187499996</v>
      </c>
      <c r="AB979" s="6">
        <f t="shared" si="79"/>
        <v>676.39430718749986</v>
      </c>
      <c r="AD979" s="10">
        <f t="shared" si="80"/>
        <v>846.89377471875002</v>
      </c>
    </row>
    <row r="980" spans="1:30" x14ac:dyDescent="0.3">
      <c r="A980" t="s">
        <v>30</v>
      </c>
      <c r="B980" s="8" t="s">
        <v>66</v>
      </c>
      <c r="C980" s="8" t="s">
        <v>32</v>
      </c>
      <c r="D980" s="8" t="s">
        <v>33</v>
      </c>
      <c r="E980" s="8" t="s">
        <v>34</v>
      </c>
      <c r="F980" s="8" t="s">
        <v>35</v>
      </c>
      <c r="G980">
        <v>8421999000</v>
      </c>
      <c r="H980" t="s">
        <v>36</v>
      </c>
      <c r="I980" t="s">
        <v>916</v>
      </c>
      <c r="J980" t="s">
        <v>38</v>
      </c>
      <c r="K980" t="s">
        <v>39</v>
      </c>
      <c r="L980">
        <v>16</v>
      </c>
      <c r="M980">
        <v>1</v>
      </c>
      <c r="N980" t="s">
        <v>64</v>
      </c>
      <c r="O980">
        <v>0</v>
      </c>
      <c r="P980">
        <v>224.12</v>
      </c>
      <c r="Q980">
        <v>30.93</v>
      </c>
      <c r="R980">
        <v>1.5</v>
      </c>
      <c r="S980">
        <v>256.55</v>
      </c>
      <c r="T980" t="s">
        <v>41</v>
      </c>
      <c r="U980" t="s">
        <v>41</v>
      </c>
      <c r="V980" t="s">
        <v>38</v>
      </c>
      <c r="W980" t="s">
        <v>922</v>
      </c>
      <c r="X980">
        <v>224.12</v>
      </c>
      <c r="Y980" s="9">
        <f t="shared" si="76"/>
        <v>224.12</v>
      </c>
      <c r="Z980" s="9">
        <f t="shared" si="77"/>
        <v>420.22500000000002</v>
      </c>
      <c r="AA980" s="5">
        <f t="shared" si="78"/>
        <v>466.86997500000001</v>
      </c>
      <c r="AB980" s="6">
        <f t="shared" si="79"/>
        <v>680.72247749999997</v>
      </c>
      <c r="AD980" s="10">
        <f t="shared" si="80"/>
        <v>852.31295175000014</v>
      </c>
    </row>
    <row r="981" spans="1:30" x14ac:dyDescent="0.3">
      <c r="A981" t="s">
        <v>168</v>
      </c>
      <c r="B981" s="8" t="s">
        <v>66</v>
      </c>
      <c r="C981" s="8" t="s">
        <v>32</v>
      </c>
      <c r="D981" s="8" t="s">
        <v>33</v>
      </c>
      <c r="E981" s="8" t="s">
        <v>34</v>
      </c>
      <c r="F981" s="8" t="s">
        <v>35</v>
      </c>
      <c r="G981">
        <v>8421999000</v>
      </c>
      <c r="H981" t="s">
        <v>36</v>
      </c>
      <c r="I981" t="s">
        <v>916</v>
      </c>
      <c r="J981" t="s">
        <v>38</v>
      </c>
      <c r="K981" t="s">
        <v>39</v>
      </c>
      <c r="L981">
        <v>11</v>
      </c>
      <c r="M981">
        <v>2</v>
      </c>
      <c r="N981" t="s">
        <v>64</v>
      </c>
      <c r="O981">
        <v>0</v>
      </c>
      <c r="P981">
        <v>449.54</v>
      </c>
      <c r="Q981">
        <v>43.06</v>
      </c>
      <c r="R981">
        <v>3.03</v>
      </c>
      <c r="S981">
        <v>495.63</v>
      </c>
      <c r="T981" t="s">
        <v>41</v>
      </c>
      <c r="U981" t="s">
        <v>43</v>
      </c>
      <c r="V981" t="s">
        <v>38</v>
      </c>
      <c r="W981" t="s">
        <v>922</v>
      </c>
      <c r="X981">
        <v>224.77</v>
      </c>
      <c r="Y981" s="9">
        <f t="shared" si="76"/>
        <v>224.77</v>
      </c>
      <c r="Z981" s="9">
        <f t="shared" si="77"/>
        <v>421.44375000000002</v>
      </c>
      <c r="AA981" s="5">
        <f t="shared" si="78"/>
        <v>468.22400625</v>
      </c>
      <c r="AB981" s="6">
        <f t="shared" si="79"/>
        <v>682.69673062499999</v>
      </c>
      <c r="AD981" s="10">
        <f t="shared" si="80"/>
        <v>854.78485706250012</v>
      </c>
    </row>
    <row r="982" spans="1:30" x14ac:dyDescent="0.3">
      <c r="A982" t="s">
        <v>30</v>
      </c>
      <c r="B982" s="8" t="s">
        <v>66</v>
      </c>
      <c r="C982" s="8" t="s">
        <v>32</v>
      </c>
      <c r="D982" s="8" t="s">
        <v>33</v>
      </c>
      <c r="E982" s="8" t="s">
        <v>34</v>
      </c>
      <c r="F982" s="8" t="s">
        <v>35</v>
      </c>
      <c r="G982">
        <v>8421999000</v>
      </c>
      <c r="H982" t="s">
        <v>36</v>
      </c>
      <c r="I982" t="s">
        <v>550</v>
      </c>
      <c r="J982" t="s">
        <v>38</v>
      </c>
      <c r="K982" t="s">
        <v>39</v>
      </c>
      <c r="L982">
        <v>8</v>
      </c>
      <c r="M982">
        <v>3</v>
      </c>
      <c r="N982" t="s">
        <v>64</v>
      </c>
      <c r="O982">
        <v>0</v>
      </c>
      <c r="P982">
        <v>670.23</v>
      </c>
      <c r="Q982">
        <v>71.55</v>
      </c>
      <c r="R982">
        <v>4.49</v>
      </c>
      <c r="S982">
        <v>746.27</v>
      </c>
      <c r="T982" t="s">
        <v>41</v>
      </c>
      <c r="U982" t="s">
        <v>41</v>
      </c>
      <c r="V982" t="s">
        <v>38</v>
      </c>
      <c r="W982" t="s">
        <v>922</v>
      </c>
      <c r="X982">
        <v>223.41</v>
      </c>
      <c r="Y982" s="9">
        <f t="shared" si="76"/>
        <v>223.41</v>
      </c>
      <c r="Z982" s="9">
        <f t="shared" si="77"/>
        <v>418.89375000000001</v>
      </c>
      <c r="AA982" s="5">
        <f t="shared" si="78"/>
        <v>465.39095624999999</v>
      </c>
      <c r="AB982" s="6">
        <f t="shared" si="79"/>
        <v>678.56598562499994</v>
      </c>
      <c r="AD982" s="10">
        <f t="shared" si="80"/>
        <v>849.61287056250012</v>
      </c>
    </row>
    <row r="983" spans="1:30" x14ac:dyDescent="0.3">
      <c r="A983" t="s">
        <v>30</v>
      </c>
      <c r="B983" s="8" t="s">
        <v>66</v>
      </c>
      <c r="C983" s="8" t="s">
        <v>32</v>
      </c>
      <c r="D983" s="8" t="s">
        <v>33</v>
      </c>
      <c r="E983" s="8" t="s">
        <v>34</v>
      </c>
      <c r="F983" s="8" t="s">
        <v>35</v>
      </c>
      <c r="G983">
        <v>8421999000</v>
      </c>
      <c r="H983" t="s">
        <v>36</v>
      </c>
      <c r="I983" t="s">
        <v>923</v>
      </c>
      <c r="J983" t="s">
        <v>38</v>
      </c>
      <c r="K983" t="s">
        <v>39</v>
      </c>
      <c r="L983">
        <v>6</v>
      </c>
      <c r="M983">
        <v>2</v>
      </c>
      <c r="N983" t="s">
        <v>64</v>
      </c>
      <c r="O983">
        <v>0</v>
      </c>
      <c r="P983">
        <v>503.84</v>
      </c>
      <c r="Q983">
        <v>34.19</v>
      </c>
      <c r="R983">
        <v>3.28</v>
      </c>
      <c r="S983">
        <v>541.29999999999995</v>
      </c>
      <c r="T983" t="s">
        <v>41</v>
      </c>
      <c r="U983" t="s">
        <v>41</v>
      </c>
      <c r="V983" t="s">
        <v>38</v>
      </c>
      <c r="W983" t="s">
        <v>924</v>
      </c>
      <c r="X983">
        <v>251.92</v>
      </c>
      <c r="Y983" s="9">
        <f t="shared" si="76"/>
        <v>251.92</v>
      </c>
      <c r="Z983" s="9">
        <f t="shared" si="77"/>
        <v>472.34999999999997</v>
      </c>
      <c r="AA983" s="5">
        <f t="shared" si="78"/>
        <v>524.78084999999999</v>
      </c>
      <c r="AB983" s="6">
        <f t="shared" si="79"/>
        <v>765.15976499999988</v>
      </c>
      <c r="AD983" s="10">
        <f t="shared" si="80"/>
        <v>958.03444050000007</v>
      </c>
    </row>
    <row r="984" spans="1:30" x14ac:dyDescent="0.3">
      <c r="A984" t="s">
        <v>30</v>
      </c>
      <c r="B984" s="8" t="s">
        <v>66</v>
      </c>
      <c r="C984" s="8" t="s">
        <v>32</v>
      </c>
      <c r="D984" s="8" t="s">
        <v>69</v>
      </c>
      <c r="E984" s="8" t="s">
        <v>70</v>
      </c>
      <c r="F984" s="8" t="s">
        <v>71</v>
      </c>
      <c r="G984">
        <v>8421999000</v>
      </c>
      <c r="H984" t="s">
        <v>36</v>
      </c>
      <c r="I984" t="s">
        <v>916</v>
      </c>
      <c r="J984" t="s">
        <v>38</v>
      </c>
      <c r="K984" t="s">
        <v>39</v>
      </c>
      <c r="L984">
        <v>9</v>
      </c>
      <c r="M984">
        <v>2</v>
      </c>
      <c r="N984" t="s">
        <v>64</v>
      </c>
      <c r="O984">
        <v>0</v>
      </c>
      <c r="P984">
        <v>579.91999999999996</v>
      </c>
      <c r="Q984">
        <v>29.23</v>
      </c>
      <c r="R984">
        <v>3.68</v>
      </c>
      <c r="S984">
        <v>612.83000000000004</v>
      </c>
      <c r="T984" t="s">
        <v>41</v>
      </c>
      <c r="U984" t="s">
        <v>43</v>
      </c>
      <c r="V984" t="s">
        <v>38</v>
      </c>
      <c r="W984" t="s">
        <v>924</v>
      </c>
      <c r="X984">
        <v>289.95999999999998</v>
      </c>
      <c r="Y984" s="9">
        <f t="shared" si="76"/>
        <v>289.95999999999998</v>
      </c>
      <c r="Z984" s="9">
        <f t="shared" si="77"/>
        <v>543.67499999999995</v>
      </c>
      <c r="AA984" s="5">
        <f t="shared" si="78"/>
        <v>604.02292499999999</v>
      </c>
      <c r="AB984" s="6">
        <f t="shared" si="79"/>
        <v>880.69913249999991</v>
      </c>
      <c r="AD984" s="10">
        <f t="shared" si="80"/>
        <v>1102.69794525</v>
      </c>
    </row>
    <row r="985" spans="1:30" x14ac:dyDescent="0.3">
      <c r="A985" t="s">
        <v>30</v>
      </c>
      <c r="B985" s="8" t="s">
        <v>66</v>
      </c>
      <c r="C985" s="8" t="s">
        <v>32</v>
      </c>
      <c r="D985" s="8" t="s">
        <v>33</v>
      </c>
      <c r="E985" s="8" t="s">
        <v>34</v>
      </c>
      <c r="F985" s="8" t="s">
        <v>35</v>
      </c>
      <c r="G985">
        <v>8421999000</v>
      </c>
      <c r="H985" t="s">
        <v>36</v>
      </c>
      <c r="I985" t="s">
        <v>921</v>
      </c>
      <c r="J985" t="s">
        <v>74</v>
      </c>
      <c r="K985" t="s">
        <v>39</v>
      </c>
      <c r="L985">
        <v>7</v>
      </c>
      <c r="M985">
        <v>8</v>
      </c>
      <c r="N985" t="s">
        <v>64</v>
      </c>
      <c r="O985">
        <v>0</v>
      </c>
      <c r="P985">
        <v>2011.09</v>
      </c>
      <c r="Q985">
        <v>113.57</v>
      </c>
      <c r="R985">
        <v>12.82</v>
      </c>
      <c r="S985">
        <v>2137.48</v>
      </c>
      <c r="T985" t="s">
        <v>75</v>
      </c>
      <c r="U985" t="s">
        <v>921</v>
      </c>
      <c r="V985" t="s">
        <v>74</v>
      </c>
      <c r="W985" t="s">
        <v>924</v>
      </c>
      <c r="X985">
        <v>251.39</v>
      </c>
      <c r="Y985" s="9">
        <f t="shared" si="76"/>
        <v>251.38624999999999</v>
      </c>
      <c r="Z985" s="9">
        <f t="shared" si="77"/>
        <v>471.34921874999998</v>
      </c>
      <c r="AA985" s="5">
        <f t="shared" si="78"/>
        <v>523.66898203124993</v>
      </c>
      <c r="AB985" s="6">
        <f t="shared" si="79"/>
        <v>763.5385994531249</v>
      </c>
      <c r="AD985" s="10">
        <f t="shared" si="80"/>
        <v>956.00462594531257</v>
      </c>
    </row>
    <row r="986" spans="1:30" x14ac:dyDescent="0.3">
      <c r="A986" t="s">
        <v>30</v>
      </c>
      <c r="B986" s="8" t="s">
        <v>66</v>
      </c>
      <c r="C986" s="8" t="s">
        <v>32</v>
      </c>
      <c r="D986" s="8" t="s">
        <v>33</v>
      </c>
      <c r="E986" s="8" t="s">
        <v>34</v>
      </c>
      <c r="F986" s="8" t="s">
        <v>35</v>
      </c>
      <c r="G986">
        <v>8421999000</v>
      </c>
      <c r="H986" t="s">
        <v>36</v>
      </c>
      <c r="I986" t="s">
        <v>550</v>
      </c>
      <c r="J986" t="s">
        <v>38</v>
      </c>
      <c r="K986" t="s">
        <v>39</v>
      </c>
      <c r="L986">
        <v>8</v>
      </c>
      <c r="M986">
        <v>2</v>
      </c>
      <c r="N986" t="s">
        <v>64</v>
      </c>
      <c r="O986">
        <v>0</v>
      </c>
      <c r="P986">
        <v>560.07000000000005</v>
      </c>
      <c r="Q986">
        <v>59.79</v>
      </c>
      <c r="R986">
        <v>3.75</v>
      </c>
      <c r="S986">
        <v>623.61</v>
      </c>
      <c r="T986" t="s">
        <v>41</v>
      </c>
      <c r="U986" t="s">
        <v>41</v>
      </c>
      <c r="V986" t="s">
        <v>38</v>
      </c>
      <c r="W986" t="s">
        <v>925</v>
      </c>
      <c r="X986">
        <v>280.04000000000002</v>
      </c>
      <c r="Y986" s="9">
        <f t="shared" si="76"/>
        <v>280.03500000000003</v>
      </c>
      <c r="Z986" s="9">
        <f t="shared" si="77"/>
        <v>525.06562500000007</v>
      </c>
      <c r="AA986" s="5">
        <f t="shared" si="78"/>
        <v>583.34790937500009</v>
      </c>
      <c r="AB986" s="6">
        <f t="shared" si="79"/>
        <v>850.5538059375001</v>
      </c>
      <c r="AD986" s="10">
        <f t="shared" si="80"/>
        <v>1064.9538525937503</v>
      </c>
    </row>
    <row r="987" spans="1:30" x14ac:dyDescent="0.3">
      <c r="A987" t="s">
        <v>30</v>
      </c>
      <c r="B987" s="8" t="s">
        <v>66</v>
      </c>
      <c r="C987" s="8" t="s">
        <v>32</v>
      </c>
      <c r="D987" s="8" t="s">
        <v>69</v>
      </c>
      <c r="E987" s="8" t="s">
        <v>70</v>
      </c>
      <c r="F987" s="8" t="s">
        <v>71</v>
      </c>
      <c r="G987">
        <v>8421999000</v>
      </c>
      <c r="H987" t="s">
        <v>36</v>
      </c>
      <c r="I987" t="s">
        <v>550</v>
      </c>
      <c r="J987" t="s">
        <v>38</v>
      </c>
      <c r="K987" t="s">
        <v>39</v>
      </c>
      <c r="L987">
        <v>13</v>
      </c>
      <c r="M987">
        <v>3</v>
      </c>
      <c r="N987" t="s">
        <v>64</v>
      </c>
      <c r="O987">
        <v>0</v>
      </c>
      <c r="P987">
        <v>1027.1099999999999</v>
      </c>
      <c r="Q987">
        <v>72.930000000000007</v>
      </c>
      <c r="R987">
        <v>6.71</v>
      </c>
      <c r="S987">
        <v>1106.75</v>
      </c>
      <c r="T987" t="s">
        <v>41</v>
      </c>
      <c r="U987" t="s">
        <v>41</v>
      </c>
      <c r="V987" t="s">
        <v>38</v>
      </c>
      <c r="W987" t="s">
        <v>926</v>
      </c>
      <c r="X987">
        <v>342.37</v>
      </c>
      <c r="Y987" s="9">
        <f t="shared" si="76"/>
        <v>342.36999999999995</v>
      </c>
      <c r="Z987" s="9">
        <f t="shared" si="77"/>
        <v>641.94374999999991</v>
      </c>
      <c r="AA987" s="5">
        <f t="shared" si="78"/>
        <v>713.1995062499999</v>
      </c>
      <c r="AB987" s="6">
        <f t="shared" si="79"/>
        <v>1039.8846806249999</v>
      </c>
      <c r="AD987" s="10">
        <f t="shared" si="80"/>
        <v>1302.0095720625</v>
      </c>
    </row>
    <row r="988" spans="1:30" x14ac:dyDescent="0.3">
      <c r="A988" t="s">
        <v>30</v>
      </c>
      <c r="B988" s="8" t="s">
        <v>66</v>
      </c>
      <c r="C988" s="8" t="s">
        <v>32</v>
      </c>
      <c r="D988" s="8" t="s">
        <v>33</v>
      </c>
      <c r="E988" s="8" t="s">
        <v>34</v>
      </c>
      <c r="F988" s="8" t="s">
        <v>35</v>
      </c>
      <c r="G988">
        <v>8421999000</v>
      </c>
      <c r="H988" t="s">
        <v>36</v>
      </c>
      <c r="I988" t="s">
        <v>923</v>
      </c>
      <c r="J988" t="s">
        <v>38</v>
      </c>
      <c r="K988" t="s">
        <v>39</v>
      </c>
      <c r="L988">
        <v>6</v>
      </c>
      <c r="M988">
        <v>3</v>
      </c>
      <c r="N988" t="s">
        <v>64</v>
      </c>
      <c r="O988">
        <v>0</v>
      </c>
      <c r="P988">
        <v>1081.6500000000001</v>
      </c>
      <c r="Q988">
        <v>73.400000000000006</v>
      </c>
      <c r="R988">
        <v>7.03</v>
      </c>
      <c r="S988">
        <v>1162.08</v>
      </c>
      <c r="T988" t="s">
        <v>41</v>
      </c>
      <c r="U988" t="s">
        <v>41</v>
      </c>
      <c r="V988" t="s">
        <v>38</v>
      </c>
      <c r="W988" t="s">
        <v>926</v>
      </c>
      <c r="X988">
        <v>360.55</v>
      </c>
      <c r="Y988" s="9">
        <f t="shared" si="76"/>
        <v>360.55</v>
      </c>
      <c r="Z988" s="9">
        <f t="shared" si="77"/>
        <v>676.03125</v>
      </c>
      <c r="AA988" s="5">
        <f t="shared" si="78"/>
        <v>751.07071874999997</v>
      </c>
      <c r="AB988" s="6">
        <f t="shared" si="79"/>
        <v>1095.103021875</v>
      </c>
      <c r="AD988" s="10">
        <f t="shared" si="80"/>
        <v>1371.1468621875001</v>
      </c>
    </row>
    <row r="989" spans="1:30" x14ac:dyDescent="0.3">
      <c r="A989" t="s">
        <v>30</v>
      </c>
      <c r="B989" s="8" t="s">
        <v>66</v>
      </c>
      <c r="C989" s="8" t="s">
        <v>32</v>
      </c>
      <c r="D989" s="8" t="s">
        <v>33</v>
      </c>
      <c r="E989" s="8" t="s">
        <v>34</v>
      </c>
      <c r="F989" s="8" t="s">
        <v>35</v>
      </c>
      <c r="G989">
        <v>8421999000</v>
      </c>
      <c r="H989" t="s">
        <v>36</v>
      </c>
      <c r="I989" t="s">
        <v>916</v>
      </c>
      <c r="J989" t="s">
        <v>38</v>
      </c>
      <c r="K989" t="s">
        <v>39</v>
      </c>
      <c r="L989">
        <v>1</v>
      </c>
      <c r="M989">
        <v>2</v>
      </c>
      <c r="N989" t="s">
        <v>64</v>
      </c>
      <c r="O989">
        <v>0</v>
      </c>
      <c r="P989">
        <v>705.5</v>
      </c>
      <c r="Q989">
        <v>0.17</v>
      </c>
      <c r="R989">
        <v>7.05</v>
      </c>
      <c r="S989">
        <v>712.73</v>
      </c>
      <c r="T989" t="s">
        <v>41</v>
      </c>
      <c r="U989" t="s">
        <v>41</v>
      </c>
      <c r="V989" t="s">
        <v>38</v>
      </c>
      <c r="W989" t="s">
        <v>926</v>
      </c>
      <c r="X989">
        <v>352.75</v>
      </c>
      <c r="Y989" s="9">
        <f t="shared" si="76"/>
        <v>352.75</v>
      </c>
      <c r="Z989" s="9">
        <f t="shared" si="77"/>
        <v>661.40625</v>
      </c>
      <c r="AA989" s="5">
        <f t="shared" si="78"/>
        <v>734.82234374999996</v>
      </c>
      <c r="AB989" s="6">
        <f t="shared" si="79"/>
        <v>1071.411984375</v>
      </c>
      <c r="AD989" s="10">
        <f t="shared" si="80"/>
        <v>1341.4839984375001</v>
      </c>
    </row>
    <row r="990" spans="1:30" x14ac:dyDescent="0.3">
      <c r="A990" t="s">
        <v>30</v>
      </c>
      <c r="B990" s="8" t="s">
        <v>66</v>
      </c>
      <c r="C990" s="8" t="s">
        <v>32</v>
      </c>
      <c r="D990" s="8" t="s">
        <v>33</v>
      </c>
      <c r="E990" s="8" t="s">
        <v>34</v>
      </c>
      <c r="F990" s="8" t="s">
        <v>35</v>
      </c>
      <c r="G990">
        <v>8421999000</v>
      </c>
      <c r="H990" t="s">
        <v>36</v>
      </c>
      <c r="I990" t="s">
        <v>550</v>
      </c>
      <c r="J990" t="s">
        <v>38</v>
      </c>
      <c r="K990" t="s">
        <v>39</v>
      </c>
      <c r="L990">
        <v>12</v>
      </c>
      <c r="M990">
        <v>3</v>
      </c>
      <c r="N990" t="s">
        <v>64</v>
      </c>
      <c r="O990">
        <v>0</v>
      </c>
      <c r="P990">
        <v>1089.25</v>
      </c>
      <c r="Q990">
        <v>125.07</v>
      </c>
      <c r="R990">
        <v>7.26</v>
      </c>
      <c r="S990">
        <v>1221.58</v>
      </c>
      <c r="T990" t="s">
        <v>41</v>
      </c>
      <c r="U990" t="s">
        <v>41</v>
      </c>
      <c r="V990" t="s">
        <v>38</v>
      </c>
      <c r="W990" t="s">
        <v>926</v>
      </c>
      <c r="X990">
        <v>363.08</v>
      </c>
      <c r="Y990" s="9">
        <f t="shared" si="76"/>
        <v>363.08333333333331</v>
      </c>
      <c r="Z990" s="9">
        <f t="shared" si="77"/>
        <v>680.78125</v>
      </c>
      <c r="AA990" s="5">
        <f t="shared" si="78"/>
        <v>756.34796874999995</v>
      </c>
      <c r="AB990" s="6">
        <f t="shared" si="79"/>
        <v>1102.7975468749999</v>
      </c>
      <c r="AD990" s="10">
        <f t="shared" si="80"/>
        <v>1380.7809546875001</v>
      </c>
    </row>
    <row r="991" spans="1:30" x14ac:dyDescent="0.3">
      <c r="A991" t="s">
        <v>30</v>
      </c>
      <c r="B991" s="8" t="s">
        <v>66</v>
      </c>
      <c r="C991" s="8" t="s">
        <v>32</v>
      </c>
      <c r="D991" s="8" t="s">
        <v>33</v>
      </c>
      <c r="E991" s="8" t="s">
        <v>34</v>
      </c>
      <c r="F991" s="8" t="s">
        <v>35</v>
      </c>
      <c r="G991">
        <v>8421999000</v>
      </c>
      <c r="H991" t="s">
        <v>36</v>
      </c>
      <c r="I991" t="s">
        <v>550</v>
      </c>
      <c r="J991" t="s">
        <v>38</v>
      </c>
      <c r="K991" t="s">
        <v>39</v>
      </c>
      <c r="L991">
        <v>3</v>
      </c>
      <c r="M991">
        <v>1</v>
      </c>
      <c r="N991" t="s">
        <v>64</v>
      </c>
      <c r="O991">
        <v>0</v>
      </c>
      <c r="P991">
        <v>456.67</v>
      </c>
      <c r="Q991">
        <v>19.54</v>
      </c>
      <c r="R991">
        <v>2.94</v>
      </c>
      <c r="S991">
        <v>479.15</v>
      </c>
      <c r="T991" t="s">
        <v>41</v>
      </c>
      <c r="U991" t="s">
        <v>43</v>
      </c>
      <c r="V991" t="s">
        <v>38</v>
      </c>
      <c r="W991" t="s">
        <v>927</v>
      </c>
      <c r="X991">
        <v>456.67</v>
      </c>
      <c r="Y991" s="9">
        <f t="shared" si="76"/>
        <v>456.67</v>
      </c>
      <c r="Z991" s="9">
        <f t="shared" si="77"/>
        <v>856.25625000000002</v>
      </c>
      <c r="AA991" s="5">
        <f t="shared" si="78"/>
        <v>951.30069375000005</v>
      </c>
      <c r="AB991" s="6">
        <f t="shared" si="79"/>
        <v>1387.0494993749999</v>
      </c>
      <c r="AD991" s="10">
        <f t="shared" si="80"/>
        <v>1736.6846139375002</v>
      </c>
    </row>
    <row r="992" spans="1:30" x14ac:dyDescent="0.3">
      <c r="A992" t="s">
        <v>30</v>
      </c>
      <c r="B992" s="8" t="s">
        <v>66</v>
      </c>
      <c r="C992" s="8" t="s">
        <v>32</v>
      </c>
      <c r="D992" s="8" t="s">
        <v>33</v>
      </c>
      <c r="E992" s="8" t="s">
        <v>34</v>
      </c>
      <c r="F992" s="8" t="s">
        <v>35</v>
      </c>
      <c r="G992">
        <v>8421999000</v>
      </c>
      <c r="H992" t="s">
        <v>36</v>
      </c>
      <c r="I992" t="s">
        <v>916</v>
      </c>
      <c r="J992" t="s">
        <v>38</v>
      </c>
      <c r="K992" t="s">
        <v>39</v>
      </c>
      <c r="L992">
        <v>1</v>
      </c>
      <c r="M992">
        <v>1</v>
      </c>
      <c r="N992" t="s">
        <v>64</v>
      </c>
      <c r="O992">
        <v>0</v>
      </c>
      <c r="P992">
        <v>451.69</v>
      </c>
      <c r="Q992">
        <v>0.11</v>
      </c>
      <c r="R992">
        <v>4.5199999999999996</v>
      </c>
      <c r="S992">
        <v>456.32</v>
      </c>
      <c r="T992" t="s">
        <v>41</v>
      </c>
      <c r="U992" t="s">
        <v>41</v>
      </c>
      <c r="V992" t="s">
        <v>38</v>
      </c>
      <c r="W992" t="s">
        <v>927</v>
      </c>
      <c r="X992">
        <v>451.69</v>
      </c>
      <c r="Y992" s="9">
        <f t="shared" si="76"/>
        <v>451.69</v>
      </c>
      <c r="Z992" s="9">
        <f t="shared" si="77"/>
        <v>846.91875000000005</v>
      </c>
      <c r="AA992" s="5">
        <f t="shared" si="78"/>
        <v>940.92673124999999</v>
      </c>
      <c r="AB992" s="6">
        <f t="shared" si="79"/>
        <v>1371.923683125</v>
      </c>
      <c r="AD992" s="10">
        <f t="shared" si="80"/>
        <v>1717.7460163125002</v>
      </c>
    </row>
    <row r="993" spans="1:30" x14ac:dyDescent="0.3">
      <c r="A993" t="s">
        <v>30</v>
      </c>
      <c r="B993" s="8" t="s">
        <v>66</v>
      </c>
      <c r="C993" s="8" t="s">
        <v>32</v>
      </c>
      <c r="D993" s="8" t="s">
        <v>33</v>
      </c>
      <c r="E993" s="8" t="s">
        <v>34</v>
      </c>
      <c r="F993" s="8" t="s">
        <v>35</v>
      </c>
      <c r="G993">
        <v>8421999000</v>
      </c>
      <c r="H993" t="s">
        <v>36</v>
      </c>
      <c r="I993" t="s">
        <v>550</v>
      </c>
      <c r="J993" t="s">
        <v>38</v>
      </c>
      <c r="K993" t="s">
        <v>39</v>
      </c>
      <c r="L993">
        <v>4</v>
      </c>
      <c r="M993">
        <v>1</v>
      </c>
      <c r="N993" t="s">
        <v>64</v>
      </c>
      <c r="O993">
        <v>0</v>
      </c>
      <c r="P993">
        <v>614.03</v>
      </c>
      <c r="Q993">
        <v>32.15</v>
      </c>
      <c r="R993">
        <v>4</v>
      </c>
      <c r="S993">
        <v>650.17999999999995</v>
      </c>
      <c r="T993" t="s">
        <v>41</v>
      </c>
      <c r="U993" t="s">
        <v>41</v>
      </c>
      <c r="V993" t="s">
        <v>38</v>
      </c>
      <c r="W993" t="s">
        <v>928</v>
      </c>
      <c r="X993">
        <v>614.03</v>
      </c>
      <c r="Y993" s="9">
        <f t="shared" si="76"/>
        <v>614.03</v>
      </c>
      <c r="Z993" s="9">
        <f t="shared" si="77"/>
        <v>1151.3062499999999</v>
      </c>
      <c r="AA993" s="5">
        <f t="shared" si="78"/>
        <v>1279.1012437499999</v>
      </c>
      <c r="AB993" s="6">
        <f t="shared" si="79"/>
        <v>1865.0009943749997</v>
      </c>
      <c r="AD993" s="10">
        <f t="shared" si="80"/>
        <v>2335.1138754375002</v>
      </c>
    </row>
    <row r="994" spans="1:30" x14ac:dyDescent="0.3">
      <c r="A994" t="s">
        <v>30</v>
      </c>
      <c r="B994" s="8" t="s">
        <v>66</v>
      </c>
      <c r="C994" s="8" t="s">
        <v>32</v>
      </c>
      <c r="D994" s="8" t="s">
        <v>33</v>
      </c>
      <c r="E994" s="8" t="s">
        <v>34</v>
      </c>
      <c r="F994" s="8" t="s">
        <v>35</v>
      </c>
      <c r="G994">
        <v>8421999000</v>
      </c>
      <c r="H994" t="s">
        <v>36</v>
      </c>
      <c r="I994" t="s">
        <v>929</v>
      </c>
      <c r="J994" t="s">
        <v>38</v>
      </c>
      <c r="K994" t="s">
        <v>39</v>
      </c>
      <c r="L994">
        <v>16</v>
      </c>
      <c r="M994">
        <v>1</v>
      </c>
      <c r="N994" t="s">
        <v>64</v>
      </c>
      <c r="O994">
        <v>0</v>
      </c>
      <c r="P994">
        <v>138.85</v>
      </c>
      <c r="Q994">
        <v>19.16</v>
      </c>
      <c r="R994">
        <v>0.93</v>
      </c>
      <c r="S994">
        <v>158.94</v>
      </c>
      <c r="T994" t="s">
        <v>41</v>
      </c>
      <c r="U994" t="s">
        <v>41</v>
      </c>
      <c r="V994" t="s">
        <v>38</v>
      </c>
      <c r="W994" t="s">
        <v>930</v>
      </c>
      <c r="X994">
        <v>138.85</v>
      </c>
      <c r="Y994" s="9">
        <f t="shared" si="76"/>
        <v>138.85</v>
      </c>
      <c r="Z994" s="9">
        <f t="shared" si="77"/>
        <v>260.34375</v>
      </c>
      <c r="AA994" s="5">
        <f t="shared" si="78"/>
        <v>289.24190625</v>
      </c>
      <c r="AB994" s="6">
        <f t="shared" si="79"/>
        <v>421.73084062499998</v>
      </c>
      <c r="AD994" s="10">
        <f t="shared" si="80"/>
        <v>528.03700406250005</v>
      </c>
    </row>
    <row r="995" spans="1:30" x14ac:dyDescent="0.3">
      <c r="A995" t="s">
        <v>30</v>
      </c>
      <c r="B995" s="8" t="s">
        <v>66</v>
      </c>
      <c r="C995" s="8" t="s">
        <v>32</v>
      </c>
      <c r="D995" s="8" t="s">
        <v>33</v>
      </c>
      <c r="E995" s="8" t="s">
        <v>34</v>
      </c>
      <c r="F995" s="8" t="s">
        <v>35</v>
      </c>
      <c r="G995">
        <v>8421999000</v>
      </c>
      <c r="H995" t="s">
        <v>36</v>
      </c>
      <c r="I995" t="s">
        <v>550</v>
      </c>
      <c r="J995" t="s">
        <v>38</v>
      </c>
      <c r="K995" t="s">
        <v>39</v>
      </c>
      <c r="L995">
        <v>4</v>
      </c>
      <c r="M995">
        <v>2</v>
      </c>
      <c r="N995" t="s">
        <v>64</v>
      </c>
      <c r="O995">
        <v>0</v>
      </c>
      <c r="P995">
        <v>276.86</v>
      </c>
      <c r="Q995">
        <v>14.49</v>
      </c>
      <c r="R995">
        <v>1.8</v>
      </c>
      <c r="S995">
        <v>293.14999999999998</v>
      </c>
      <c r="T995" t="s">
        <v>41</v>
      </c>
      <c r="U995" t="s">
        <v>41</v>
      </c>
      <c r="V995" t="s">
        <v>38</v>
      </c>
      <c r="W995" t="s">
        <v>930</v>
      </c>
      <c r="X995">
        <v>138.43</v>
      </c>
      <c r="Y995" s="9">
        <f t="shared" si="76"/>
        <v>138.43</v>
      </c>
      <c r="Z995" s="9">
        <f t="shared" si="77"/>
        <v>259.55625000000003</v>
      </c>
      <c r="AA995" s="5">
        <f t="shared" si="78"/>
        <v>288.36699375000006</v>
      </c>
      <c r="AB995" s="6">
        <f t="shared" si="79"/>
        <v>420.45516937500003</v>
      </c>
      <c r="AD995" s="10">
        <f t="shared" si="80"/>
        <v>526.43977293750015</v>
      </c>
    </row>
    <row r="996" spans="1:30" x14ac:dyDescent="0.3">
      <c r="A996" t="s">
        <v>30</v>
      </c>
      <c r="B996" s="8" t="s">
        <v>66</v>
      </c>
      <c r="C996" s="8" t="s">
        <v>32</v>
      </c>
      <c r="D996" s="8" t="s">
        <v>69</v>
      </c>
      <c r="E996" s="8" t="s">
        <v>70</v>
      </c>
      <c r="F996" s="8" t="s">
        <v>71</v>
      </c>
      <c r="G996">
        <v>8421999000</v>
      </c>
      <c r="H996" t="s">
        <v>36</v>
      </c>
      <c r="I996" t="s">
        <v>550</v>
      </c>
      <c r="J996" t="s">
        <v>38</v>
      </c>
      <c r="K996" t="s">
        <v>39</v>
      </c>
      <c r="L996">
        <v>13</v>
      </c>
      <c r="M996">
        <v>1</v>
      </c>
      <c r="N996" t="s">
        <v>64</v>
      </c>
      <c r="O996">
        <v>0</v>
      </c>
      <c r="P996">
        <v>135.34</v>
      </c>
      <c r="Q996">
        <v>7.23</v>
      </c>
      <c r="R996">
        <v>0.87</v>
      </c>
      <c r="S996">
        <v>143.44</v>
      </c>
      <c r="T996" t="s">
        <v>72</v>
      </c>
      <c r="U996" t="s">
        <v>72</v>
      </c>
      <c r="V996" t="s">
        <v>38</v>
      </c>
      <c r="W996" t="s">
        <v>930</v>
      </c>
      <c r="X996">
        <v>135.34</v>
      </c>
      <c r="Y996" s="9">
        <f t="shared" si="76"/>
        <v>135.34</v>
      </c>
      <c r="Z996" s="9">
        <f t="shared" si="77"/>
        <v>253.76250000000002</v>
      </c>
      <c r="AA996" s="5">
        <f t="shared" si="78"/>
        <v>281.9301375</v>
      </c>
      <c r="AB996" s="6">
        <f t="shared" si="79"/>
        <v>411.06987375</v>
      </c>
      <c r="AD996" s="10">
        <f t="shared" si="80"/>
        <v>514.68871537500013</v>
      </c>
    </row>
    <row r="997" spans="1:30" x14ac:dyDescent="0.3">
      <c r="A997" t="s">
        <v>30</v>
      </c>
      <c r="B997" s="8" t="s">
        <v>66</v>
      </c>
      <c r="C997" s="8" t="s">
        <v>32</v>
      </c>
      <c r="D997" s="8" t="s">
        <v>33</v>
      </c>
      <c r="E997" s="8" t="s">
        <v>34</v>
      </c>
      <c r="F997" s="8" t="s">
        <v>35</v>
      </c>
      <c r="G997">
        <v>8421999000</v>
      </c>
      <c r="H997" t="s">
        <v>36</v>
      </c>
      <c r="I997" t="s">
        <v>550</v>
      </c>
      <c r="J997" t="s">
        <v>38</v>
      </c>
      <c r="K997" t="s">
        <v>39</v>
      </c>
      <c r="L997">
        <v>12</v>
      </c>
      <c r="M997">
        <v>2</v>
      </c>
      <c r="N997" t="s">
        <v>64</v>
      </c>
      <c r="O997">
        <v>0</v>
      </c>
      <c r="P997">
        <v>369.7</v>
      </c>
      <c r="Q997">
        <v>42.45</v>
      </c>
      <c r="R997">
        <v>2.46</v>
      </c>
      <c r="S997">
        <v>414.62</v>
      </c>
      <c r="T997" t="s">
        <v>41</v>
      </c>
      <c r="U997" t="s">
        <v>41</v>
      </c>
      <c r="V997" t="s">
        <v>38</v>
      </c>
      <c r="W997" t="s">
        <v>931</v>
      </c>
      <c r="X997">
        <v>184.85</v>
      </c>
      <c r="Y997" s="9">
        <f t="shared" si="76"/>
        <v>184.85</v>
      </c>
      <c r="Z997" s="9">
        <f t="shared" si="77"/>
        <v>346.59375</v>
      </c>
      <c r="AA997" s="5">
        <f t="shared" si="78"/>
        <v>385.06565625000002</v>
      </c>
      <c r="AB997" s="6">
        <f t="shared" si="79"/>
        <v>561.44721562500001</v>
      </c>
      <c r="AD997" s="10">
        <f t="shared" si="80"/>
        <v>702.97184156250012</v>
      </c>
    </row>
    <row r="998" spans="1:30" x14ac:dyDescent="0.3">
      <c r="A998" t="s">
        <v>30</v>
      </c>
      <c r="B998" s="8" t="s">
        <v>66</v>
      </c>
      <c r="C998" s="8" t="s">
        <v>32</v>
      </c>
      <c r="D998" s="8" t="s">
        <v>33</v>
      </c>
      <c r="E998" s="8" t="s">
        <v>34</v>
      </c>
      <c r="F998" s="8" t="s">
        <v>35</v>
      </c>
      <c r="G998">
        <v>8421999000</v>
      </c>
      <c r="H998" t="s">
        <v>36</v>
      </c>
      <c r="I998" t="s">
        <v>550</v>
      </c>
      <c r="J998" t="s">
        <v>38</v>
      </c>
      <c r="K998" t="s">
        <v>39</v>
      </c>
      <c r="L998">
        <v>8</v>
      </c>
      <c r="M998">
        <v>1</v>
      </c>
      <c r="N998" t="s">
        <v>64</v>
      </c>
      <c r="O998">
        <v>0</v>
      </c>
      <c r="P998">
        <v>254.91</v>
      </c>
      <c r="Q998">
        <v>36.68</v>
      </c>
      <c r="R998">
        <v>1.79</v>
      </c>
      <c r="S998">
        <v>293.38</v>
      </c>
      <c r="T998" t="s">
        <v>41</v>
      </c>
      <c r="U998" t="s">
        <v>41</v>
      </c>
      <c r="V998" t="s">
        <v>38</v>
      </c>
      <c r="W998" t="s">
        <v>932</v>
      </c>
      <c r="X998">
        <v>254.91</v>
      </c>
      <c r="Y998" s="9">
        <f t="shared" si="76"/>
        <v>254.91</v>
      </c>
      <c r="Z998" s="9">
        <f t="shared" si="77"/>
        <v>477.95625000000001</v>
      </c>
      <c r="AA998" s="5">
        <f t="shared" si="78"/>
        <v>531.00939374999996</v>
      </c>
      <c r="AB998" s="6">
        <f t="shared" si="79"/>
        <v>774.24132937499996</v>
      </c>
      <c r="AD998" s="10">
        <f t="shared" si="80"/>
        <v>969.40520493750012</v>
      </c>
    </row>
    <row r="999" spans="1:30" x14ac:dyDescent="0.3">
      <c r="A999" t="s">
        <v>30</v>
      </c>
      <c r="B999" s="8" t="s">
        <v>66</v>
      </c>
      <c r="C999" s="8" t="s">
        <v>32</v>
      </c>
      <c r="D999" s="8" t="s">
        <v>33</v>
      </c>
      <c r="E999" s="8" t="s">
        <v>34</v>
      </c>
      <c r="F999" s="8" t="s">
        <v>35</v>
      </c>
      <c r="G999">
        <v>8421999000</v>
      </c>
      <c r="H999" t="s">
        <v>36</v>
      </c>
      <c r="I999" t="s">
        <v>550</v>
      </c>
      <c r="J999" t="s">
        <v>38</v>
      </c>
      <c r="K999" t="s">
        <v>39</v>
      </c>
      <c r="L999">
        <v>8</v>
      </c>
      <c r="M999">
        <v>2</v>
      </c>
      <c r="N999" t="s">
        <v>64</v>
      </c>
      <c r="O999">
        <v>0</v>
      </c>
      <c r="P999">
        <v>815.61</v>
      </c>
      <c r="Q999">
        <v>117.37</v>
      </c>
      <c r="R999">
        <v>5.74</v>
      </c>
      <c r="S999">
        <v>938.72</v>
      </c>
      <c r="T999" t="s">
        <v>41</v>
      </c>
      <c r="U999" t="s">
        <v>41</v>
      </c>
      <c r="V999" t="s">
        <v>38</v>
      </c>
      <c r="W999" t="s">
        <v>933</v>
      </c>
      <c r="X999">
        <v>407.81</v>
      </c>
      <c r="Y999" s="9">
        <f t="shared" si="76"/>
        <v>407.80500000000001</v>
      </c>
      <c r="Z999" s="9">
        <f t="shared" si="77"/>
        <v>764.63437499999998</v>
      </c>
      <c r="AA999" s="5">
        <f t="shared" si="78"/>
        <v>849.50879062499996</v>
      </c>
      <c r="AB999" s="6">
        <f t="shared" si="79"/>
        <v>1238.6312240625</v>
      </c>
      <c r="AD999" s="10">
        <f t="shared" si="80"/>
        <v>1550.8543784062501</v>
      </c>
    </row>
    <row r="1000" spans="1:30" x14ac:dyDescent="0.3">
      <c r="A1000" t="s">
        <v>30</v>
      </c>
      <c r="B1000" s="8" t="s">
        <v>66</v>
      </c>
      <c r="C1000" s="8" t="s">
        <v>32</v>
      </c>
      <c r="D1000" s="8" t="s">
        <v>33</v>
      </c>
      <c r="E1000" s="8" t="s">
        <v>34</v>
      </c>
      <c r="F1000" s="8" t="s">
        <v>35</v>
      </c>
      <c r="G1000">
        <v>8421999000</v>
      </c>
      <c r="H1000" t="s">
        <v>36</v>
      </c>
      <c r="I1000" t="s">
        <v>934</v>
      </c>
      <c r="J1000" t="s">
        <v>38</v>
      </c>
      <c r="K1000" t="s">
        <v>39</v>
      </c>
      <c r="L1000">
        <v>6</v>
      </c>
      <c r="M1000">
        <v>1</v>
      </c>
      <c r="N1000" t="s">
        <v>64</v>
      </c>
      <c r="O1000">
        <v>0</v>
      </c>
      <c r="P1000">
        <v>401.92</v>
      </c>
      <c r="Q1000">
        <v>27.27</v>
      </c>
      <c r="R1000">
        <v>2.61</v>
      </c>
      <c r="S1000">
        <v>431.81</v>
      </c>
      <c r="T1000" t="s">
        <v>41</v>
      </c>
      <c r="U1000" t="s">
        <v>41</v>
      </c>
      <c r="V1000" t="s">
        <v>38</v>
      </c>
      <c r="W1000" t="s">
        <v>935</v>
      </c>
      <c r="X1000">
        <v>401.92</v>
      </c>
      <c r="Y1000" s="9">
        <f t="shared" si="76"/>
        <v>401.92</v>
      </c>
      <c r="Z1000" s="9">
        <f t="shared" si="77"/>
        <v>753.6</v>
      </c>
      <c r="AA1000" s="5">
        <f t="shared" si="78"/>
        <v>837.24959999999999</v>
      </c>
      <c r="AB1000" s="6">
        <f t="shared" si="79"/>
        <v>1220.7566400000001</v>
      </c>
      <c r="AD1000" s="10">
        <f t="shared" si="80"/>
        <v>1528.4741280000003</v>
      </c>
    </row>
    <row r="1001" spans="1:30" x14ac:dyDescent="0.3">
      <c r="A1001" t="s">
        <v>168</v>
      </c>
      <c r="B1001" s="8" t="s">
        <v>66</v>
      </c>
      <c r="C1001" s="8" t="s">
        <v>32</v>
      </c>
      <c r="D1001" s="8" t="s">
        <v>33</v>
      </c>
      <c r="E1001" s="8" t="s">
        <v>34</v>
      </c>
      <c r="F1001" s="8" t="s">
        <v>35</v>
      </c>
      <c r="G1001">
        <v>8421999000</v>
      </c>
      <c r="H1001" t="s">
        <v>36</v>
      </c>
      <c r="I1001" t="s">
        <v>929</v>
      </c>
      <c r="J1001" t="s">
        <v>38</v>
      </c>
      <c r="K1001" t="s">
        <v>39</v>
      </c>
      <c r="L1001">
        <v>11</v>
      </c>
      <c r="M1001">
        <v>1</v>
      </c>
      <c r="N1001" t="s">
        <v>64</v>
      </c>
      <c r="O1001">
        <v>0</v>
      </c>
      <c r="P1001">
        <v>585.37</v>
      </c>
      <c r="Q1001">
        <v>56.07</v>
      </c>
      <c r="R1001">
        <v>3.95</v>
      </c>
      <c r="S1001">
        <v>645.39</v>
      </c>
      <c r="T1001" t="s">
        <v>41</v>
      </c>
      <c r="U1001" t="s">
        <v>43</v>
      </c>
      <c r="V1001" t="s">
        <v>38</v>
      </c>
      <c r="W1001" t="s">
        <v>936</v>
      </c>
      <c r="X1001">
        <v>585.37</v>
      </c>
      <c r="Y1001" s="9">
        <f t="shared" si="76"/>
        <v>585.37</v>
      </c>
      <c r="Z1001" s="9">
        <f t="shared" si="77"/>
        <v>1097.5687499999999</v>
      </c>
      <c r="AA1001" s="5">
        <f t="shared" si="78"/>
        <v>1219.3988812499999</v>
      </c>
      <c r="AB1001" s="6">
        <f t="shared" si="79"/>
        <v>1777.9516181249996</v>
      </c>
      <c r="AD1001" s="10">
        <f t="shared" si="80"/>
        <v>2226.1218658124999</v>
      </c>
    </row>
    <row r="1002" spans="1:30" x14ac:dyDescent="0.3">
      <c r="A1002" t="s">
        <v>30</v>
      </c>
      <c r="B1002" s="8" t="s">
        <v>66</v>
      </c>
      <c r="C1002" s="8" t="s">
        <v>32</v>
      </c>
      <c r="D1002" s="8" t="s">
        <v>33</v>
      </c>
      <c r="E1002" s="8" t="s">
        <v>34</v>
      </c>
      <c r="F1002" s="8" t="s">
        <v>35</v>
      </c>
      <c r="G1002">
        <v>8421999000</v>
      </c>
      <c r="H1002" t="s">
        <v>36</v>
      </c>
      <c r="I1002" t="s">
        <v>937</v>
      </c>
      <c r="J1002" t="s">
        <v>38</v>
      </c>
      <c r="K1002" t="s">
        <v>39</v>
      </c>
      <c r="L1002">
        <v>1</v>
      </c>
      <c r="M1002">
        <v>1</v>
      </c>
      <c r="N1002" t="s">
        <v>64</v>
      </c>
      <c r="O1002">
        <v>0</v>
      </c>
      <c r="P1002">
        <v>620.58000000000004</v>
      </c>
      <c r="Q1002">
        <v>0.15</v>
      </c>
      <c r="R1002">
        <v>6.21</v>
      </c>
      <c r="S1002">
        <v>626.94000000000005</v>
      </c>
      <c r="T1002" t="s">
        <v>41</v>
      </c>
      <c r="U1002" t="s">
        <v>41</v>
      </c>
      <c r="V1002" t="s">
        <v>38</v>
      </c>
      <c r="W1002" t="s">
        <v>938</v>
      </c>
      <c r="X1002">
        <v>620.58000000000004</v>
      </c>
      <c r="Y1002" s="9">
        <f t="shared" si="76"/>
        <v>620.58000000000004</v>
      </c>
      <c r="Z1002" s="9">
        <f t="shared" si="77"/>
        <v>1163.5875000000001</v>
      </c>
      <c r="AA1002" s="5">
        <f t="shared" si="78"/>
        <v>1292.7457125000001</v>
      </c>
      <c r="AB1002" s="6">
        <f t="shared" si="79"/>
        <v>1884.8953912500001</v>
      </c>
      <c r="AD1002" s="10">
        <f t="shared" si="80"/>
        <v>2360.0230751250006</v>
      </c>
    </row>
    <row r="1003" spans="1:30" x14ac:dyDescent="0.3">
      <c r="A1003" t="s">
        <v>168</v>
      </c>
      <c r="B1003" s="8" t="s">
        <v>66</v>
      </c>
      <c r="C1003" s="8" t="s">
        <v>32</v>
      </c>
      <c r="D1003" s="8" t="s">
        <v>33</v>
      </c>
      <c r="E1003" s="8" t="s">
        <v>34</v>
      </c>
      <c r="F1003" s="8" t="s">
        <v>35</v>
      </c>
      <c r="G1003">
        <v>8421999000</v>
      </c>
      <c r="H1003" t="s">
        <v>36</v>
      </c>
      <c r="I1003" t="s">
        <v>937</v>
      </c>
      <c r="J1003" t="s">
        <v>38</v>
      </c>
      <c r="K1003" t="s">
        <v>39</v>
      </c>
      <c r="L1003">
        <v>11</v>
      </c>
      <c r="M1003">
        <v>1</v>
      </c>
      <c r="N1003" t="s">
        <v>64</v>
      </c>
      <c r="O1003">
        <v>0</v>
      </c>
      <c r="P1003">
        <v>638.5</v>
      </c>
      <c r="Q1003">
        <v>61.16</v>
      </c>
      <c r="R1003">
        <v>4.3099999999999996</v>
      </c>
      <c r="S1003">
        <v>703.97</v>
      </c>
      <c r="T1003" t="s">
        <v>41</v>
      </c>
      <c r="U1003" t="s">
        <v>43</v>
      </c>
      <c r="V1003" t="s">
        <v>38</v>
      </c>
      <c r="W1003" t="s">
        <v>938</v>
      </c>
      <c r="X1003">
        <v>638.5</v>
      </c>
      <c r="Y1003" s="9">
        <f t="shared" si="76"/>
        <v>638.5</v>
      </c>
      <c r="Z1003" s="9">
        <f t="shared" si="77"/>
        <v>1197.1875</v>
      </c>
      <c r="AA1003" s="5">
        <f t="shared" si="78"/>
        <v>1330.0753124999999</v>
      </c>
      <c r="AB1003" s="6">
        <f t="shared" si="79"/>
        <v>1939.32403125</v>
      </c>
      <c r="AD1003" s="10">
        <f t="shared" si="80"/>
        <v>2428.1716031250003</v>
      </c>
    </row>
    <row r="1004" spans="1:30" x14ac:dyDescent="0.3">
      <c r="A1004" t="s">
        <v>30</v>
      </c>
      <c r="B1004" s="8" t="s">
        <v>66</v>
      </c>
      <c r="C1004" s="8" t="s">
        <v>32</v>
      </c>
      <c r="D1004" s="8" t="s">
        <v>33</v>
      </c>
      <c r="E1004" s="8" t="s">
        <v>34</v>
      </c>
      <c r="F1004" s="8" t="s">
        <v>35</v>
      </c>
      <c r="G1004">
        <v>8421999000</v>
      </c>
      <c r="H1004" t="s">
        <v>36</v>
      </c>
      <c r="I1004" t="s">
        <v>550</v>
      </c>
      <c r="J1004" t="s">
        <v>38</v>
      </c>
      <c r="K1004" t="s">
        <v>39</v>
      </c>
      <c r="L1004">
        <v>4</v>
      </c>
      <c r="M1004">
        <v>5</v>
      </c>
      <c r="N1004" t="s">
        <v>64</v>
      </c>
      <c r="O1004">
        <v>0</v>
      </c>
      <c r="P1004">
        <v>3173.79</v>
      </c>
      <c r="Q1004">
        <v>166.17</v>
      </c>
      <c r="R1004">
        <v>20.69</v>
      </c>
      <c r="S1004">
        <v>3360.65</v>
      </c>
      <c r="T1004" t="s">
        <v>41</v>
      </c>
      <c r="U1004" t="s">
        <v>41</v>
      </c>
      <c r="V1004" t="s">
        <v>38</v>
      </c>
      <c r="W1004" t="s">
        <v>938</v>
      </c>
      <c r="X1004">
        <v>634.76</v>
      </c>
      <c r="Y1004" s="9">
        <f t="shared" si="76"/>
        <v>634.75800000000004</v>
      </c>
      <c r="Z1004" s="9">
        <f t="shared" si="77"/>
        <v>1190.1712500000001</v>
      </c>
      <c r="AA1004" s="5">
        <f t="shared" si="78"/>
        <v>1322.28025875</v>
      </c>
      <c r="AB1004" s="6">
        <f t="shared" si="79"/>
        <v>1927.9584078750001</v>
      </c>
      <c r="AD1004" s="10">
        <f t="shared" si="80"/>
        <v>2413.9410343875006</v>
      </c>
    </row>
    <row r="1005" spans="1:30" x14ac:dyDescent="0.3">
      <c r="A1005" t="s">
        <v>30</v>
      </c>
      <c r="B1005" s="8" t="s">
        <v>66</v>
      </c>
      <c r="C1005" s="8" t="s">
        <v>32</v>
      </c>
      <c r="D1005" s="8" t="s">
        <v>33</v>
      </c>
      <c r="E1005" s="8" t="s">
        <v>34</v>
      </c>
      <c r="F1005" s="8" t="s">
        <v>35</v>
      </c>
      <c r="G1005">
        <v>8421999000</v>
      </c>
      <c r="H1005" t="s">
        <v>36</v>
      </c>
      <c r="I1005" t="s">
        <v>550</v>
      </c>
      <c r="J1005" t="s">
        <v>38</v>
      </c>
      <c r="K1005" t="s">
        <v>39</v>
      </c>
      <c r="L1005">
        <v>8</v>
      </c>
      <c r="M1005">
        <v>1</v>
      </c>
      <c r="N1005" t="s">
        <v>64</v>
      </c>
      <c r="O1005">
        <v>0</v>
      </c>
      <c r="P1005">
        <v>747.12</v>
      </c>
      <c r="Q1005">
        <v>93.59</v>
      </c>
      <c r="R1005">
        <v>5.0999999999999996</v>
      </c>
      <c r="S1005">
        <v>845.82</v>
      </c>
      <c r="T1005" t="s">
        <v>41</v>
      </c>
      <c r="U1005" t="s">
        <v>41</v>
      </c>
      <c r="V1005" t="s">
        <v>38</v>
      </c>
      <c r="W1005" t="s">
        <v>939</v>
      </c>
      <c r="X1005">
        <v>747.12</v>
      </c>
      <c r="Y1005" s="9">
        <f t="shared" si="76"/>
        <v>747.12</v>
      </c>
      <c r="Z1005" s="9">
        <f t="shared" si="77"/>
        <v>1400.85</v>
      </c>
      <c r="AA1005" s="5">
        <f t="shared" si="78"/>
        <v>1556.3443499999998</v>
      </c>
      <c r="AB1005" s="6">
        <f t="shared" si="79"/>
        <v>2269.2369149999995</v>
      </c>
      <c r="AD1005" s="10">
        <f t="shared" si="80"/>
        <v>2841.2459954999999</v>
      </c>
    </row>
    <row r="1006" spans="1:30" x14ac:dyDescent="0.3">
      <c r="A1006" t="s">
        <v>30</v>
      </c>
      <c r="B1006" s="8" t="s">
        <v>32</v>
      </c>
      <c r="C1006" s="8" t="s">
        <v>32</v>
      </c>
      <c r="D1006" s="8" t="s">
        <v>33</v>
      </c>
      <c r="E1006" s="8" t="s">
        <v>34</v>
      </c>
      <c r="F1006" s="8" t="s">
        <v>35</v>
      </c>
      <c r="G1006">
        <v>8414901000</v>
      </c>
      <c r="H1006" t="s">
        <v>302</v>
      </c>
      <c r="I1006" t="s">
        <v>770</v>
      </c>
      <c r="J1006" t="s">
        <v>38</v>
      </c>
      <c r="K1006" t="s">
        <v>39</v>
      </c>
      <c r="L1006">
        <v>10</v>
      </c>
      <c r="M1006">
        <v>2</v>
      </c>
      <c r="N1006" t="s">
        <v>64</v>
      </c>
      <c r="O1006">
        <v>0</v>
      </c>
      <c r="P1006">
        <v>369.79</v>
      </c>
      <c r="Q1006">
        <v>30.78</v>
      </c>
      <c r="R1006">
        <v>2.42</v>
      </c>
      <c r="S1006">
        <v>402.98</v>
      </c>
      <c r="T1006" t="s">
        <v>41</v>
      </c>
      <c r="U1006" t="s">
        <v>43</v>
      </c>
      <c r="V1006" t="s">
        <v>38</v>
      </c>
      <c r="W1006" t="s">
        <v>940</v>
      </c>
      <c r="X1006">
        <v>184.89</v>
      </c>
      <c r="Y1006" s="9">
        <f t="shared" si="76"/>
        <v>184.89500000000001</v>
      </c>
      <c r="Z1006" s="9">
        <f t="shared" si="77"/>
        <v>346.67812500000002</v>
      </c>
      <c r="AA1006" s="5">
        <f t="shared" si="78"/>
        <v>385.15939687500003</v>
      </c>
      <c r="AB1006" s="6">
        <f t="shared" si="79"/>
        <v>561.58389468749999</v>
      </c>
      <c r="AD1006" s="10">
        <f t="shared" si="80"/>
        <v>703.14297346875014</v>
      </c>
    </row>
    <row r="1007" spans="1:30" x14ac:dyDescent="0.3">
      <c r="A1007" t="s">
        <v>30</v>
      </c>
      <c r="B1007" s="8" t="s">
        <v>32</v>
      </c>
      <c r="C1007" s="8" t="s">
        <v>32</v>
      </c>
      <c r="D1007" s="8" t="s">
        <v>33</v>
      </c>
      <c r="E1007" s="8" t="s">
        <v>34</v>
      </c>
      <c r="F1007" s="8" t="s">
        <v>35</v>
      </c>
      <c r="G1007">
        <v>8414901000</v>
      </c>
      <c r="H1007" t="s">
        <v>302</v>
      </c>
      <c r="I1007" t="s">
        <v>770</v>
      </c>
      <c r="J1007" t="s">
        <v>38</v>
      </c>
      <c r="K1007" t="s">
        <v>39</v>
      </c>
      <c r="L1007">
        <v>8</v>
      </c>
      <c r="M1007">
        <v>2</v>
      </c>
      <c r="N1007" t="s">
        <v>64</v>
      </c>
      <c r="O1007">
        <v>0</v>
      </c>
      <c r="P1007">
        <v>368.5</v>
      </c>
      <c r="Q1007">
        <v>20.86</v>
      </c>
      <c r="R1007">
        <v>2.35</v>
      </c>
      <c r="S1007">
        <v>391.71</v>
      </c>
      <c r="T1007" t="s">
        <v>41</v>
      </c>
      <c r="U1007" t="s">
        <v>41</v>
      </c>
      <c r="V1007" t="s">
        <v>38</v>
      </c>
      <c r="W1007" t="s">
        <v>940</v>
      </c>
      <c r="X1007">
        <v>184.25</v>
      </c>
      <c r="Y1007" s="9">
        <f t="shared" si="76"/>
        <v>184.25</v>
      </c>
      <c r="Z1007" s="9">
        <f t="shared" si="77"/>
        <v>345.46875</v>
      </c>
      <c r="AA1007" s="5">
        <f t="shared" si="78"/>
        <v>383.81578124999999</v>
      </c>
      <c r="AB1007" s="6">
        <f t="shared" si="79"/>
        <v>559.62482812499991</v>
      </c>
      <c r="AD1007" s="10">
        <f t="shared" si="80"/>
        <v>700.69008281250012</v>
      </c>
    </row>
    <row r="1008" spans="1:30" x14ac:dyDescent="0.3">
      <c r="A1008" t="s">
        <v>30</v>
      </c>
      <c r="B1008" s="8" t="s">
        <v>32</v>
      </c>
      <c r="C1008" s="8" t="s">
        <v>32</v>
      </c>
      <c r="D1008" s="8" t="s">
        <v>33</v>
      </c>
      <c r="E1008" s="8" t="s">
        <v>34</v>
      </c>
      <c r="F1008" s="8" t="s">
        <v>35</v>
      </c>
      <c r="G1008">
        <v>8484900000</v>
      </c>
      <c r="H1008" t="s">
        <v>36</v>
      </c>
      <c r="I1008" t="s">
        <v>796</v>
      </c>
      <c r="J1008" t="s">
        <v>38</v>
      </c>
      <c r="K1008" t="s">
        <v>39</v>
      </c>
      <c r="L1008">
        <v>10</v>
      </c>
      <c r="M1008">
        <v>2</v>
      </c>
      <c r="N1008" t="s">
        <v>64</v>
      </c>
      <c r="O1008">
        <v>0</v>
      </c>
      <c r="P1008">
        <v>42.91</v>
      </c>
      <c r="Q1008">
        <v>3.57</v>
      </c>
      <c r="R1008">
        <v>0.28000000000000003</v>
      </c>
      <c r="S1008">
        <v>46.76</v>
      </c>
      <c r="T1008" t="s">
        <v>41</v>
      </c>
      <c r="U1008" t="s">
        <v>43</v>
      </c>
      <c r="V1008" t="s">
        <v>38</v>
      </c>
      <c r="W1008" t="s">
        <v>941</v>
      </c>
      <c r="X1008">
        <v>21.46</v>
      </c>
      <c r="Y1008" s="9">
        <f t="shared" si="76"/>
        <v>21.454999999999998</v>
      </c>
      <c r="Z1008" s="9">
        <f t="shared" si="77"/>
        <v>40.228124999999999</v>
      </c>
      <c r="AA1008" s="5">
        <f t="shared" si="78"/>
        <v>44.693446874999999</v>
      </c>
      <c r="AB1008" s="6">
        <f t="shared" si="79"/>
        <v>65.165539687499987</v>
      </c>
      <c r="AD1008" s="10">
        <f t="shared" si="80"/>
        <v>81.59188996875001</v>
      </c>
    </row>
    <row r="1009" spans="1:30" x14ac:dyDescent="0.3">
      <c r="A1009" t="s">
        <v>168</v>
      </c>
      <c r="B1009" s="8" t="s">
        <v>32</v>
      </c>
      <c r="C1009" s="8" t="s">
        <v>32</v>
      </c>
      <c r="E1009" s="8" t="s">
        <v>70</v>
      </c>
      <c r="F1009" s="8" t="s">
        <v>71</v>
      </c>
      <c r="G1009">
        <v>8421999000</v>
      </c>
      <c r="H1009" t="s">
        <v>36</v>
      </c>
      <c r="I1009" t="s">
        <v>724</v>
      </c>
      <c r="J1009" t="s">
        <v>38</v>
      </c>
      <c r="K1009" t="s">
        <v>39</v>
      </c>
      <c r="L1009">
        <v>0</v>
      </c>
      <c r="M1009">
        <v>6</v>
      </c>
      <c r="N1009" t="s">
        <v>64</v>
      </c>
      <c r="O1009">
        <v>0</v>
      </c>
      <c r="P1009">
        <v>795.92</v>
      </c>
      <c r="Q1009">
        <v>61.1</v>
      </c>
      <c r="R1009">
        <v>5.73</v>
      </c>
      <c r="S1009">
        <v>862.75</v>
      </c>
      <c r="T1009" t="s">
        <v>41</v>
      </c>
      <c r="U1009" t="s">
        <v>41</v>
      </c>
      <c r="V1009" t="s">
        <v>38</v>
      </c>
      <c r="W1009" t="s">
        <v>942</v>
      </c>
      <c r="X1009">
        <v>132.65</v>
      </c>
      <c r="Y1009" s="9">
        <f t="shared" si="76"/>
        <v>132.65333333333334</v>
      </c>
      <c r="Z1009" s="9">
        <f t="shared" si="77"/>
        <v>248.72499999999999</v>
      </c>
      <c r="AA1009" s="5">
        <f t="shared" si="78"/>
        <v>276.33347499999996</v>
      </c>
      <c r="AB1009" s="6">
        <f t="shared" si="79"/>
        <v>402.90962749999994</v>
      </c>
      <c r="AD1009" s="10">
        <f>SUM(Z1009)*2.02823</f>
        <v>504.47150675000006</v>
      </c>
    </row>
    <row r="1010" spans="1:30" x14ac:dyDescent="0.3">
      <c r="A1010" t="s">
        <v>30</v>
      </c>
      <c r="B1010" s="8" t="s">
        <v>32</v>
      </c>
      <c r="C1010" s="8" t="s">
        <v>32</v>
      </c>
      <c r="D1010" s="8" t="s">
        <v>33</v>
      </c>
      <c r="E1010" s="8" t="s">
        <v>34</v>
      </c>
      <c r="F1010" s="8" t="s">
        <v>35</v>
      </c>
      <c r="G1010">
        <v>8421999000</v>
      </c>
      <c r="H1010" t="s">
        <v>36</v>
      </c>
      <c r="I1010" t="s">
        <v>724</v>
      </c>
      <c r="J1010" t="s">
        <v>38</v>
      </c>
      <c r="K1010" t="s">
        <v>39</v>
      </c>
      <c r="L1010">
        <v>6</v>
      </c>
      <c r="M1010">
        <v>4</v>
      </c>
      <c r="N1010" t="s">
        <v>64</v>
      </c>
      <c r="O1010">
        <v>0</v>
      </c>
      <c r="P1010">
        <v>874.68</v>
      </c>
      <c r="Q1010">
        <v>59.35</v>
      </c>
      <c r="R1010">
        <v>5.69</v>
      </c>
      <c r="S1010">
        <v>939.72</v>
      </c>
      <c r="T1010" t="s">
        <v>41</v>
      </c>
      <c r="U1010" t="s">
        <v>41</v>
      </c>
      <c r="V1010" t="s">
        <v>38</v>
      </c>
      <c r="W1010" t="s">
        <v>943</v>
      </c>
      <c r="X1010">
        <v>218.67</v>
      </c>
      <c r="Y1010" s="9">
        <f t="shared" si="76"/>
        <v>218.67</v>
      </c>
      <c r="Z1010" s="9">
        <f t="shared" si="77"/>
        <v>410.00624999999997</v>
      </c>
      <c r="AA1010" s="5">
        <f t="shared" si="78"/>
        <v>455.51694374999994</v>
      </c>
      <c r="AB1010" s="6">
        <f t="shared" si="79"/>
        <v>664.16912437499991</v>
      </c>
      <c r="AD1010" s="10">
        <f t="shared" ref="AD1010:AD1073" si="81">SUM(Z1010)*2.02823</f>
        <v>831.58697643749997</v>
      </c>
    </row>
    <row r="1011" spans="1:30" x14ac:dyDescent="0.3">
      <c r="A1011" t="s">
        <v>30</v>
      </c>
      <c r="B1011" s="8" t="s">
        <v>32</v>
      </c>
      <c r="C1011" s="8" t="s">
        <v>32</v>
      </c>
      <c r="D1011" s="8" t="s">
        <v>33</v>
      </c>
      <c r="E1011" s="8" t="s">
        <v>34</v>
      </c>
      <c r="F1011" s="8" t="s">
        <v>35</v>
      </c>
      <c r="G1011">
        <v>8421999000</v>
      </c>
      <c r="H1011" t="s">
        <v>36</v>
      </c>
      <c r="I1011" t="s">
        <v>724</v>
      </c>
      <c r="J1011" t="s">
        <v>38</v>
      </c>
      <c r="K1011" t="s">
        <v>39</v>
      </c>
      <c r="L1011">
        <v>10</v>
      </c>
      <c r="M1011">
        <v>2</v>
      </c>
      <c r="N1011" t="s">
        <v>64</v>
      </c>
      <c r="O1011">
        <v>0</v>
      </c>
      <c r="P1011">
        <v>561.15</v>
      </c>
      <c r="Q1011">
        <v>46.71</v>
      </c>
      <c r="R1011">
        <v>3.68</v>
      </c>
      <c r="S1011">
        <v>611.53</v>
      </c>
      <c r="T1011" t="s">
        <v>41</v>
      </c>
      <c r="U1011" t="s">
        <v>43</v>
      </c>
      <c r="V1011" t="s">
        <v>38</v>
      </c>
      <c r="W1011" t="s">
        <v>943</v>
      </c>
      <c r="X1011">
        <v>280.57</v>
      </c>
      <c r="Y1011" s="9">
        <f t="shared" si="76"/>
        <v>280.57499999999999</v>
      </c>
      <c r="Z1011" s="9">
        <f t="shared" si="77"/>
        <v>526.078125</v>
      </c>
      <c r="AA1011" s="5">
        <f t="shared" si="78"/>
        <v>584.47279687499997</v>
      </c>
      <c r="AB1011" s="6">
        <f t="shared" si="79"/>
        <v>852.19395468749997</v>
      </c>
      <c r="AD1011" s="10">
        <f t="shared" si="81"/>
        <v>1067.0074354687501</v>
      </c>
    </row>
    <row r="1012" spans="1:30" x14ac:dyDescent="0.3">
      <c r="A1012" t="s">
        <v>30</v>
      </c>
      <c r="B1012" s="8" t="s">
        <v>32</v>
      </c>
      <c r="C1012" s="8" t="s">
        <v>32</v>
      </c>
      <c r="D1012" s="8" t="s">
        <v>33</v>
      </c>
      <c r="E1012" s="8" t="s">
        <v>34</v>
      </c>
      <c r="F1012" s="8" t="s">
        <v>35</v>
      </c>
      <c r="G1012">
        <v>8481909090</v>
      </c>
      <c r="H1012" t="s">
        <v>53</v>
      </c>
      <c r="I1012" t="s">
        <v>746</v>
      </c>
      <c r="J1012" t="s">
        <v>38</v>
      </c>
      <c r="K1012" t="s">
        <v>39</v>
      </c>
      <c r="L1012">
        <v>12</v>
      </c>
      <c r="M1012">
        <v>1</v>
      </c>
      <c r="N1012" t="s">
        <v>64</v>
      </c>
      <c r="O1012">
        <v>0</v>
      </c>
      <c r="P1012">
        <v>453.05</v>
      </c>
      <c r="Q1012">
        <v>52.02</v>
      </c>
      <c r="R1012">
        <v>3.02</v>
      </c>
      <c r="S1012">
        <v>508.09</v>
      </c>
      <c r="T1012" t="s">
        <v>41</v>
      </c>
      <c r="U1012" t="s">
        <v>41</v>
      </c>
      <c r="V1012" t="s">
        <v>38</v>
      </c>
      <c r="W1012" t="s">
        <v>944</v>
      </c>
      <c r="X1012">
        <v>453.05</v>
      </c>
      <c r="Y1012" s="9">
        <f t="shared" si="76"/>
        <v>453.05</v>
      </c>
      <c r="Z1012" s="9">
        <f t="shared" si="77"/>
        <v>849.46875</v>
      </c>
      <c r="AA1012" s="5">
        <f t="shared" si="78"/>
        <v>943.75978124999995</v>
      </c>
      <c r="AB1012" s="6">
        <f t="shared" si="79"/>
        <v>1376.054428125</v>
      </c>
      <c r="AD1012" s="10">
        <f t="shared" si="81"/>
        <v>1722.9180028125002</v>
      </c>
    </row>
    <row r="1013" spans="1:30" x14ac:dyDescent="0.3">
      <c r="A1013" t="s">
        <v>30</v>
      </c>
      <c r="B1013" s="8" t="s">
        <v>66</v>
      </c>
      <c r="C1013" s="8" t="s">
        <v>32</v>
      </c>
      <c r="D1013" s="8" t="s">
        <v>33</v>
      </c>
      <c r="E1013" s="8" t="s">
        <v>34</v>
      </c>
      <c r="F1013" s="8" t="s">
        <v>35</v>
      </c>
      <c r="G1013">
        <v>8481909090</v>
      </c>
      <c r="H1013" t="s">
        <v>53</v>
      </c>
      <c r="I1013" t="s">
        <v>738</v>
      </c>
      <c r="J1013" t="s">
        <v>38</v>
      </c>
      <c r="K1013" t="s">
        <v>39</v>
      </c>
      <c r="L1013">
        <v>12</v>
      </c>
      <c r="M1013">
        <v>4</v>
      </c>
      <c r="N1013" t="s">
        <v>64</v>
      </c>
      <c r="O1013">
        <v>0</v>
      </c>
      <c r="P1013">
        <v>572.91</v>
      </c>
      <c r="Q1013">
        <v>65.78</v>
      </c>
      <c r="R1013">
        <v>3.82</v>
      </c>
      <c r="S1013">
        <v>642.51</v>
      </c>
      <c r="T1013" t="s">
        <v>41</v>
      </c>
      <c r="U1013" t="s">
        <v>41</v>
      </c>
      <c r="V1013" t="s">
        <v>38</v>
      </c>
      <c r="W1013" t="s">
        <v>945</v>
      </c>
      <c r="X1013">
        <v>143.22999999999999</v>
      </c>
      <c r="Y1013" s="9">
        <f t="shared" si="76"/>
        <v>143.22749999999999</v>
      </c>
      <c r="Z1013" s="9">
        <f t="shared" si="77"/>
        <v>268.55156249999999</v>
      </c>
      <c r="AA1013" s="5">
        <f t="shared" si="78"/>
        <v>298.3607859375</v>
      </c>
      <c r="AB1013" s="6">
        <f t="shared" si="79"/>
        <v>435.02667609374993</v>
      </c>
      <c r="AD1013" s="10">
        <f t="shared" si="81"/>
        <v>544.68433560937501</v>
      </c>
    </row>
    <row r="1014" spans="1:30" x14ac:dyDescent="0.3">
      <c r="A1014" t="s">
        <v>30</v>
      </c>
      <c r="B1014" s="8" t="s">
        <v>66</v>
      </c>
      <c r="C1014" s="8" t="s">
        <v>32</v>
      </c>
      <c r="D1014" s="8" t="s">
        <v>69</v>
      </c>
      <c r="E1014" s="8" t="s">
        <v>70</v>
      </c>
      <c r="F1014" s="8" t="s">
        <v>71</v>
      </c>
      <c r="G1014">
        <v>8481909090</v>
      </c>
      <c r="H1014" t="s">
        <v>53</v>
      </c>
      <c r="I1014" t="s">
        <v>946</v>
      </c>
      <c r="J1014" t="s">
        <v>38</v>
      </c>
      <c r="K1014" t="s">
        <v>39</v>
      </c>
      <c r="L1014">
        <v>8</v>
      </c>
      <c r="M1014">
        <v>2</v>
      </c>
      <c r="N1014" t="s">
        <v>64</v>
      </c>
      <c r="O1014">
        <v>0</v>
      </c>
      <c r="P1014">
        <v>278.3</v>
      </c>
      <c r="Q1014">
        <v>18.22</v>
      </c>
      <c r="R1014">
        <v>1.8</v>
      </c>
      <c r="S1014">
        <v>298.32</v>
      </c>
      <c r="T1014" t="s">
        <v>41</v>
      </c>
      <c r="U1014" t="s">
        <v>41</v>
      </c>
      <c r="V1014" t="s">
        <v>38</v>
      </c>
      <c r="W1014" t="s">
        <v>945</v>
      </c>
      <c r="X1014">
        <v>139.15</v>
      </c>
      <c r="Y1014" s="9">
        <f t="shared" si="76"/>
        <v>139.15</v>
      </c>
      <c r="Z1014" s="9">
        <f t="shared" si="77"/>
        <v>260.90625</v>
      </c>
      <c r="AA1014" s="5">
        <f t="shared" si="78"/>
        <v>289.86684374999999</v>
      </c>
      <c r="AB1014" s="6">
        <f t="shared" si="79"/>
        <v>422.64203437499998</v>
      </c>
      <c r="AD1014" s="10">
        <f t="shared" si="81"/>
        <v>529.1778834375001</v>
      </c>
    </row>
    <row r="1015" spans="1:30" x14ac:dyDescent="0.3">
      <c r="A1015" t="s">
        <v>30</v>
      </c>
      <c r="B1015" s="8" t="s">
        <v>66</v>
      </c>
      <c r="C1015" s="8" t="s">
        <v>32</v>
      </c>
      <c r="D1015" s="8" t="s">
        <v>33</v>
      </c>
      <c r="E1015" s="8" t="s">
        <v>34</v>
      </c>
      <c r="F1015" s="8" t="s">
        <v>35</v>
      </c>
      <c r="G1015">
        <v>3926904000</v>
      </c>
      <c r="H1015" t="s">
        <v>141</v>
      </c>
      <c r="I1015" t="s">
        <v>742</v>
      </c>
      <c r="J1015" t="s">
        <v>38</v>
      </c>
      <c r="K1015" t="s">
        <v>39</v>
      </c>
      <c r="L1015">
        <v>12</v>
      </c>
      <c r="M1015">
        <v>4</v>
      </c>
      <c r="N1015" t="s">
        <v>64</v>
      </c>
      <c r="O1015">
        <v>20.85</v>
      </c>
      <c r="P1015">
        <v>103.55</v>
      </c>
      <c r="Q1015">
        <v>11.89</v>
      </c>
      <c r="R1015">
        <v>0.69</v>
      </c>
      <c r="S1015">
        <v>116.13</v>
      </c>
      <c r="T1015" t="s">
        <v>41</v>
      </c>
      <c r="U1015" t="s">
        <v>41</v>
      </c>
      <c r="V1015" t="s">
        <v>38</v>
      </c>
      <c r="W1015" t="s">
        <v>947</v>
      </c>
      <c r="X1015">
        <v>25.89</v>
      </c>
      <c r="Y1015" s="9">
        <f t="shared" si="76"/>
        <v>25.887499999999999</v>
      </c>
      <c r="Z1015" s="9">
        <f t="shared" si="77"/>
        <v>48.5390625</v>
      </c>
      <c r="AA1015" s="5">
        <f t="shared" si="78"/>
        <v>53.9268984375</v>
      </c>
      <c r="AB1015" s="6">
        <f t="shared" si="79"/>
        <v>78.628427343749991</v>
      </c>
      <c r="AD1015" s="10">
        <f t="shared" si="81"/>
        <v>98.448382734375016</v>
      </c>
    </row>
    <row r="1016" spans="1:30" x14ac:dyDescent="0.3">
      <c r="A1016" t="s">
        <v>30</v>
      </c>
      <c r="B1016" s="8" t="s">
        <v>66</v>
      </c>
      <c r="C1016" s="8" t="s">
        <v>32</v>
      </c>
      <c r="D1016" s="8" t="s">
        <v>69</v>
      </c>
      <c r="E1016" s="8" t="s">
        <v>70</v>
      </c>
      <c r="F1016" s="8" t="s">
        <v>71</v>
      </c>
      <c r="G1016">
        <v>3926904000</v>
      </c>
      <c r="H1016" t="s">
        <v>141</v>
      </c>
      <c r="I1016" t="s">
        <v>742</v>
      </c>
      <c r="J1016" t="s">
        <v>38</v>
      </c>
      <c r="K1016" t="s">
        <v>39</v>
      </c>
      <c r="L1016">
        <v>8</v>
      </c>
      <c r="M1016">
        <v>4</v>
      </c>
      <c r="N1016" t="s">
        <v>64</v>
      </c>
      <c r="O1016">
        <v>20.25</v>
      </c>
      <c r="P1016">
        <v>100.6</v>
      </c>
      <c r="Q1016">
        <v>6.59</v>
      </c>
      <c r="R1016">
        <v>0.65</v>
      </c>
      <c r="S1016">
        <v>107.84</v>
      </c>
      <c r="T1016" t="s">
        <v>41</v>
      </c>
      <c r="U1016" t="s">
        <v>41</v>
      </c>
      <c r="V1016" t="s">
        <v>38</v>
      </c>
      <c r="W1016" t="s">
        <v>947</v>
      </c>
      <c r="X1016">
        <v>25.15</v>
      </c>
      <c r="Y1016" s="9">
        <f t="shared" si="76"/>
        <v>25.15</v>
      </c>
      <c r="Z1016" s="9">
        <f t="shared" si="77"/>
        <v>47.15625</v>
      </c>
      <c r="AA1016" s="5">
        <f t="shared" si="78"/>
        <v>52.390593750000001</v>
      </c>
      <c r="AB1016" s="6">
        <f t="shared" si="79"/>
        <v>76.388409374999995</v>
      </c>
      <c r="AD1016" s="10">
        <f t="shared" si="81"/>
        <v>95.643720937500007</v>
      </c>
    </row>
    <row r="1017" spans="1:30" x14ac:dyDescent="0.3">
      <c r="A1017" t="s">
        <v>30</v>
      </c>
      <c r="B1017" s="8" t="s">
        <v>66</v>
      </c>
      <c r="C1017" s="8" t="s">
        <v>32</v>
      </c>
      <c r="D1017" s="8" t="s">
        <v>33</v>
      </c>
      <c r="E1017" s="8" t="s">
        <v>34</v>
      </c>
      <c r="F1017" s="8" t="s">
        <v>35</v>
      </c>
      <c r="G1017">
        <v>3926904000</v>
      </c>
      <c r="H1017" t="s">
        <v>141</v>
      </c>
      <c r="I1017" t="s">
        <v>742</v>
      </c>
      <c r="J1017" t="s">
        <v>38</v>
      </c>
      <c r="K1017" t="s">
        <v>39</v>
      </c>
      <c r="L1017">
        <v>8</v>
      </c>
      <c r="M1017">
        <v>4</v>
      </c>
      <c r="N1017" t="s">
        <v>64</v>
      </c>
      <c r="O1017">
        <v>20.59</v>
      </c>
      <c r="P1017">
        <v>102.28</v>
      </c>
      <c r="Q1017">
        <v>5.79</v>
      </c>
      <c r="R1017">
        <v>0.65</v>
      </c>
      <c r="S1017">
        <v>108.73</v>
      </c>
      <c r="T1017" t="s">
        <v>41</v>
      </c>
      <c r="U1017" t="s">
        <v>41</v>
      </c>
      <c r="V1017" t="s">
        <v>38</v>
      </c>
      <c r="W1017" t="s">
        <v>947</v>
      </c>
      <c r="X1017">
        <v>25.57</v>
      </c>
      <c r="Y1017" s="9">
        <f t="shared" si="76"/>
        <v>25.57</v>
      </c>
      <c r="Z1017" s="9">
        <f t="shared" si="77"/>
        <v>47.943750000000001</v>
      </c>
      <c r="AA1017" s="5">
        <f t="shared" si="78"/>
        <v>53.265506250000001</v>
      </c>
      <c r="AB1017" s="6">
        <f t="shared" si="79"/>
        <v>77.664080624999997</v>
      </c>
      <c r="AD1017" s="10">
        <f t="shared" si="81"/>
        <v>97.240952062500014</v>
      </c>
    </row>
    <row r="1018" spans="1:30" x14ac:dyDescent="0.3">
      <c r="A1018" t="s">
        <v>30</v>
      </c>
      <c r="B1018" s="8" t="s">
        <v>66</v>
      </c>
      <c r="C1018" s="8" t="s">
        <v>32</v>
      </c>
      <c r="D1018" s="8" t="s">
        <v>33</v>
      </c>
      <c r="E1018" s="8" t="s">
        <v>34</v>
      </c>
      <c r="F1018" s="8" t="s">
        <v>35</v>
      </c>
      <c r="G1018">
        <v>8484900000</v>
      </c>
      <c r="H1018" t="s">
        <v>36</v>
      </c>
      <c r="I1018" t="s">
        <v>791</v>
      </c>
      <c r="J1018" t="s">
        <v>38</v>
      </c>
      <c r="K1018" t="s">
        <v>39</v>
      </c>
      <c r="L1018">
        <v>8</v>
      </c>
      <c r="M1018">
        <v>8</v>
      </c>
      <c r="N1018" t="s">
        <v>64</v>
      </c>
      <c r="O1018">
        <v>0</v>
      </c>
      <c r="P1018">
        <v>338.36</v>
      </c>
      <c r="Q1018">
        <v>19.16</v>
      </c>
      <c r="R1018">
        <v>2.16</v>
      </c>
      <c r="S1018">
        <v>359.68</v>
      </c>
      <c r="T1018" t="s">
        <v>41</v>
      </c>
      <c r="U1018" t="s">
        <v>41</v>
      </c>
      <c r="V1018" t="s">
        <v>38</v>
      </c>
      <c r="W1018" t="s">
        <v>948</v>
      </c>
      <c r="X1018">
        <v>42.3</v>
      </c>
      <c r="Y1018" s="9">
        <f t="shared" si="76"/>
        <v>42.295000000000002</v>
      </c>
      <c r="Z1018" s="9">
        <f t="shared" si="77"/>
        <v>79.303125000000009</v>
      </c>
      <c r="AA1018" s="5">
        <f t="shared" si="78"/>
        <v>88.105771875000002</v>
      </c>
      <c r="AB1018" s="6">
        <f t="shared" si="79"/>
        <v>128.46313218750001</v>
      </c>
      <c r="AD1018" s="10">
        <f t="shared" si="81"/>
        <v>160.84497721875005</v>
      </c>
    </row>
    <row r="1019" spans="1:30" x14ac:dyDescent="0.3">
      <c r="A1019" t="s">
        <v>30</v>
      </c>
      <c r="B1019" s="8" t="s">
        <v>66</v>
      </c>
      <c r="C1019" s="8" t="s">
        <v>32</v>
      </c>
      <c r="D1019" s="8" t="s">
        <v>33</v>
      </c>
      <c r="E1019" s="8" t="s">
        <v>34</v>
      </c>
      <c r="F1019" s="8" t="s">
        <v>35</v>
      </c>
      <c r="G1019">
        <v>8481909090</v>
      </c>
      <c r="H1019" t="s">
        <v>53</v>
      </c>
      <c r="I1019" t="s">
        <v>692</v>
      </c>
      <c r="J1019" t="s">
        <v>38</v>
      </c>
      <c r="K1019" t="s">
        <v>39</v>
      </c>
      <c r="L1019">
        <v>8</v>
      </c>
      <c r="M1019">
        <v>3</v>
      </c>
      <c r="N1019" t="s">
        <v>64</v>
      </c>
      <c r="O1019">
        <v>0</v>
      </c>
      <c r="P1019">
        <v>792.04</v>
      </c>
      <c r="Q1019">
        <v>99.22</v>
      </c>
      <c r="R1019">
        <v>5.41</v>
      </c>
      <c r="S1019">
        <v>896.67</v>
      </c>
      <c r="T1019" t="s">
        <v>41</v>
      </c>
      <c r="U1019" t="s">
        <v>41</v>
      </c>
      <c r="V1019" t="s">
        <v>38</v>
      </c>
      <c r="W1019" t="s">
        <v>949</v>
      </c>
      <c r="X1019">
        <v>264.01</v>
      </c>
      <c r="Y1019" s="9">
        <f t="shared" si="76"/>
        <v>264.01333333333332</v>
      </c>
      <c r="Z1019" s="9">
        <f t="shared" si="77"/>
        <v>495.02499999999998</v>
      </c>
      <c r="AA1019" s="5">
        <f t="shared" si="78"/>
        <v>549.97277499999996</v>
      </c>
      <c r="AB1019" s="6">
        <f t="shared" si="79"/>
        <v>801.89099749999991</v>
      </c>
      <c r="AD1019" s="10">
        <f t="shared" si="81"/>
        <v>1004.0245557500001</v>
      </c>
    </row>
    <row r="1020" spans="1:30" x14ac:dyDescent="0.3">
      <c r="A1020" t="s">
        <v>168</v>
      </c>
      <c r="B1020" s="8" t="s">
        <v>66</v>
      </c>
      <c r="C1020" s="8" t="s">
        <v>32</v>
      </c>
      <c r="E1020" s="8" t="s">
        <v>70</v>
      </c>
      <c r="F1020" s="8" t="s">
        <v>71</v>
      </c>
      <c r="G1020">
        <v>8421999000</v>
      </c>
      <c r="H1020" t="s">
        <v>36</v>
      </c>
      <c r="I1020" t="s">
        <v>692</v>
      </c>
      <c r="J1020" t="s">
        <v>38</v>
      </c>
      <c r="K1020" t="s">
        <v>39</v>
      </c>
      <c r="L1020">
        <v>0</v>
      </c>
      <c r="M1020">
        <v>2</v>
      </c>
      <c r="N1020" t="s">
        <v>64</v>
      </c>
      <c r="O1020">
        <v>0</v>
      </c>
      <c r="P1020">
        <v>447.55</v>
      </c>
      <c r="Q1020">
        <v>34.36</v>
      </c>
      <c r="R1020">
        <v>3.22</v>
      </c>
      <c r="S1020">
        <v>485.13</v>
      </c>
      <c r="T1020" t="s">
        <v>41</v>
      </c>
      <c r="U1020" t="s">
        <v>41</v>
      </c>
      <c r="V1020" t="s">
        <v>38</v>
      </c>
      <c r="W1020" t="s">
        <v>949</v>
      </c>
      <c r="X1020">
        <v>223.77</v>
      </c>
      <c r="Y1020" s="9">
        <f t="shared" si="76"/>
        <v>223.77500000000001</v>
      </c>
      <c r="Z1020" s="9">
        <f t="shared" si="77"/>
        <v>419.578125</v>
      </c>
      <c r="AA1020" s="5">
        <f t="shared" si="78"/>
        <v>466.15129687500001</v>
      </c>
      <c r="AB1020" s="6">
        <f t="shared" si="79"/>
        <v>679.67460468749994</v>
      </c>
      <c r="AD1020" s="10">
        <f t="shared" si="81"/>
        <v>851.00094046875006</v>
      </c>
    </row>
    <row r="1021" spans="1:30" x14ac:dyDescent="0.3">
      <c r="A1021" t="s">
        <v>30</v>
      </c>
      <c r="B1021" s="8" t="s">
        <v>66</v>
      </c>
      <c r="C1021" s="8" t="s">
        <v>32</v>
      </c>
      <c r="D1021" s="8" t="s">
        <v>69</v>
      </c>
      <c r="E1021" s="8" t="s">
        <v>70</v>
      </c>
      <c r="F1021" s="8" t="s">
        <v>71</v>
      </c>
      <c r="G1021">
        <v>8481909090</v>
      </c>
      <c r="H1021" t="s">
        <v>53</v>
      </c>
      <c r="I1021" t="s">
        <v>950</v>
      </c>
      <c r="J1021" t="s">
        <v>38</v>
      </c>
      <c r="K1021" t="s">
        <v>39</v>
      </c>
      <c r="L1021">
        <v>13</v>
      </c>
      <c r="M1021">
        <v>4</v>
      </c>
      <c r="N1021" t="s">
        <v>64</v>
      </c>
      <c r="O1021">
        <v>0</v>
      </c>
      <c r="P1021">
        <v>551.48</v>
      </c>
      <c r="Q1021">
        <v>29.44</v>
      </c>
      <c r="R1021">
        <v>3.54</v>
      </c>
      <c r="S1021">
        <v>584.47</v>
      </c>
      <c r="T1021" t="s">
        <v>72</v>
      </c>
      <c r="U1021" t="s">
        <v>72</v>
      </c>
      <c r="V1021" t="s">
        <v>38</v>
      </c>
      <c r="W1021" t="s">
        <v>951</v>
      </c>
      <c r="X1021">
        <v>137.87</v>
      </c>
      <c r="Y1021" s="9">
        <f t="shared" si="76"/>
        <v>137.87</v>
      </c>
      <c r="Z1021" s="9">
        <f t="shared" si="77"/>
        <v>258.50625000000002</v>
      </c>
      <c r="AA1021" s="5">
        <f t="shared" si="78"/>
        <v>287.20044375000003</v>
      </c>
      <c r="AB1021" s="6">
        <f t="shared" si="79"/>
        <v>418.75427437500002</v>
      </c>
      <c r="AD1021" s="10">
        <f t="shared" si="81"/>
        <v>524.3101314375001</v>
      </c>
    </row>
    <row r="1022" spans="1:30" x14ac:dyDescent="0.3">
      <c r="A1022" t="s">
        <v>30</v>
      </c>
      <c r="B1022" s="8" t="s">
        <v>66</v>
      </c>
      <c r="C1022" s="8" t="s">
        <v>32</v>
      </c>
      <c r="D1022" s="8" t="s">
        <v>69</v>
      </c>
      <c r="E1022" s="8" t="s">
        <v>70</v>
      </c>
      <c r="F1022" s="8" t="s">
        <v>71</v>
      </c>
      <c r="G1022">
        <v>8481909090</v>
      </c>
      <c r="H1022" t="s">
        <v>53</v>
      </c>
      <c r="I1022" t="s">
        <v>946</v>
      </c>
      <c r="J1022" t="s">
        <v>38</v>
      </c>
      <c r="K1022" t="s">
        <v>39</v>
      </c>
      <c r="L1022">
        <v>8</v>
      </c>
      <c r="M1022">
        <v>2</v>
      </c>
      <c r="N1022" t="s">
        <v>64</v>
      </c>
      <c r="O1022">
        <v>0</v>
      </c>
      <c r="P1022">
        <v>275.74</v>
      </c>
      <c r="Q1022">
        <v>18.05</v>
      </c>
      <c r="R1022">
        <v>1.79</v>
      </c>
      <c r="S1022">
        <v>295.58</v>
      </c>
      <c r="T1022" t="s">
        <v>41</v>
      </c>
      <c r="U1022" t="s">
        <v>41</v>
      </c>
      <c r="V1022" t="s">
        <v>38</v>
      </c>
      <c r="W1022" t="s">
        <v>951</v>
      </c>
      <c r="X1022">
        <v>137.87</v>
      </c>
      <c r="Y1022" s="9">
        <f t="shared" si="76"/>
        <v>137.87</v>
      </c>
      <c r="Z1022" s="9">
        <f t="shared" si="77"/>
        <v>258.50625000000002</v>
      </c>
      <c r="AA1022" s="5">
        <f t="shared" si="78"/>
        <v>287.20044375000003</v>
      </c>
      <c r="AB1022" s="6">
        <f t="shared" si="79"/>
        <v>418.75427437500002</v>
      </c>
      <c r="AD1022" s="10">
        <f t="shared" si="81"/>
        <v>524.3101314375001</v>
      </c>
    </row>
    <row r="1023" spans="1:30" x14ac:dyDescent="0.3">
      <c r="A1023" t="s">
        <v>168</v>
      </c>
      <c r="B1023" s="8" t="s">
        <v>66</v>
      </c>
      <c r="C1023" s="8" t="s">
        <v>32</v>
      </c>
      <c r="D1023" s="8" t="s">
        <v>33</v>
      </c>
      <c r="E1023" s="8" t="s">
        <v>34</v>
      </c>
      <c r="F1023" s="8" t="s">
        <v>35</v>
      </c>
      <c r="G1023">
        <v>8481909090</v>
      </c>
      <c r="H1023" t="s">
        <v>53</v>
      </c>
      <c r="I1023" t="s">
        <v>952</v>
      </c>
      <c r="J1023" t="s">
        <v>38</v>
      </c>
      <c r="K1023" t="s">
        <v>39</v>
      </c>
      <c r="L1023">
        <v>11</v>
      </c>
      <c r="M1023">
        <v>1</v>
      </c>
      <c r="N1023" t="s">
        <v>64</v>
      </c>
      <c r="O1023">
        <v>0</v>
      </c>
      <c r="P1023">
        <v>143.62</v>
      </c>
      <c r="Q1023">
        <v>13.76</v>
      </c>
      <c r="R1023">
        <v>0.97</v>
      </c>
      <c r="S1023">
        <v>158.35</v>
      </c>
      <c r="T1023" t="s">
        <v>41</v>
      </c>
      <c r="U1023" t="s">
        <v>43</v>
      </c>
      <c r="V1023" t="s">
        <v>38</v>
      </c>
      <c r="W1023" t="s">
        <v>953</v>
      </c>
      <c r="X1023">
        <v>143.62</v>
      </c>
      <c r="Y1023" s="9">
        <f t="shared" si="76"/>
        <v>143.62</v>
      </c>
      <c r="Z1023" s="9">
        <f t="shared" si="77"/>
        <v>269.28750000000002</v>
      </c>
      <c r="AA1023" s="5">
        <f t="shared" si="78"/>
        <v>299.17841250000004</v>
      </c>
      <c r="AB1023" s="6">
        <f t="shared" si="79"/>
        <v>436.21882125000002</v>
      </c>
      <c r="AD1023" s="10">
        <f t="shared" si="81"/>
        <v>546.1769861250001</v>
      </c>
    </row>
    <row r="1024" spans="1:30" x14ac:dyDescent="0.3">
      <c r="A1024" t="s">
        <v>168</v>
      </c>
      <c r="B1024" s="8" t="s">
        <v>66</v>
      </c>
      <c r="C1024" s="8" t="s">
        <v>32</v>
      </c>
      <c r="D1024" s="8" t="s">
        <v>33</v>
      </c>
      <c r="E1024" s="8" t="s">
        <v>34</v>
      </c>
      <c r="F1024" s="8" t="s">
        <v>35</v>
      </c>
      <c r="G1024">
        <v>8481909090</v>
      </c>
      <c r="H1024" t="s">
        <v>53</v>
      </c>
      <c r="I1024" t="s">
        <v>954</v>
      </c>
      <c r="J1024" t="s">
        <v>38</v>
      </c>
      <c r="K1024" t="s">
        <v>39</v>
      </c>
      <c r="L1024">
        <v>11</v>
      </c>
      <c r="M1024">
        <v>1</v>
      </c>
      <c r="N1024" t="s">
        <v>64</v>
      </c>
      <c r="O1024">
        <v>0</v>
      </c>
      <c r="P1024">
        <v>144.46</v>
      </c>
      <c r="Q1024">
        <v>13.84</v>
      </c>
      <c r="R1024">
        <v>0.98</v>
      </c>
      <c r="S1024">
        <v>159.28</v>
      </c>
      <c r="T1024" t="s">
        <v>41</v>
      </c>
      <c r="U1024" t="s">
        <v>43</v>
      </c>
      <c r="V1024" t="s">
        <v>38</v>
      </c>
      <c r="W1024" t="s">
        <v>955</v>
      </c>
      <c r="X1024">
        <v>144.46</v>
      </c>
      <c r="Y1024" s="9">
        <f t="shared" si="76"/>
        <v>144.46</v>
      </c>
      <c r="Z1024" s="9">
        <f t="shared" si="77"/>
        <v>270.86250000000001</v>
      </c>
      <c r="AA1024" s="5">
        <f t="shared" si="78"/>
        <v>300.92823750000002</v>
      </c>
      <c r="AB1024" s="6">
        <f t="shared" si="79"/>
        <v>438.77016374999999</v>
      </c>
      <c r="AD1024" s="10">
        <f t="shared" si="81"/>
        <v>549.37144837500011</v>
      </c>
    </row>
    <row r="1025" spans="1:30" x14ac:dyDescent="0.3">
      <c r="A1025" t="s">
        <v>30</v>
      </c>
      <c r="B1025" s="8" t="s">
        <v>66</v>
      </c>
      <c r="C1025" s="8" t="s">
        <v>32</v>
      </c>
      <c r="D1025" s="8" t="s">
        <v>69</v>
      </c>
      <c r="E1025" s="8" t="s">
        <v>70</v>
      </c>
      <c r="F1025" s="8" t="s">
        <v>71</v>
      </c>
      <c r="G1025">
        <v>8481809990</v>
      </c>
      <c r="H1025" t="s">
        <v>53</v>
      </c>
      <c r="I1025" t="s">
        <v>956</v>
      </c>
      <c r="J1025" t="s">
        <v>38</v>
      </c>
      <c r="K1025" t="s">
        <v>39</v>
      </c>
      <c r="L1025">
        <v>8</v>
      </c>
      <c r="M1025">
        <v>2</v>
      </c>
      <c r="N1025" t="s">
        <v>64</v>
      </c>
      <c r="O1025">
        <v>0</v>
      </c>
      <c r="P1025">
        <v>334.18</v>
      </c>
      <c r="Q1025">
        <v>21.88</v>
      </c>
      <c r="R1025">
        <v>2.17</v>
      </c>
      <c r="S1025">
        <v>358.22</v>
      </c>
      <c r="T1025" t="s">
        <v>41</v>
      </c>
      <c r="U1025" t="s">
        <v>41</v>
      </c>
      <c r="V1025" t="s">
        <v>38</v>
      </c>
      <c r="W1025" t="s">
        <v>957</v>
      </c>
      <c r="X1025">
        <v>167.09</v>
      </c>
      <c r="Y1025" s="9">
        <f t="shared" si="76"/>
        <v>167.09</v>
      </c>
      <c r="Z1025" s="9">
        <f t="shared" si="77"/>
        <v>313.29374999999999</v>
      </c>
      <c r="AA1025" s="5">
        <f t="shared" si="78"/>
        <v>348.06935625</v>
      </c>
      <c r="AB1025" s="6">
        <f t="shared" si="79"/>
        <v>507.50454562499993</v>
      </c>
      <c r="AD1025" s="10">
        <f t="shared" si="81"/>
        <v>635.43178256250008</v>
      </c>
    </row>
    <row r="1026" spans="1:30" x14ac:dyDescent="0.3">
      <c r="A1026" t="s">
        <v>30</v>
      </c>
      <c r="B1026" s="8" t="s">
        <v>32</v>
      </c>
      <c r="C1026" s="8" t="s">
        <v>32</v>
      </c>
      <c r="D1026" s="8" t="s">
        <v>33</v>
      </c>
      <c r="E1026" s="8" t="s">
        <v>34</v>
      </c>
      <c r="F1026" s="8" t="s">
        <v>35</v>
      </c>
      <c r="G1026">
        <v>8483309000</v>
      </c>
      <c r="H1026" t="s">
        <v>177</v>
      </c>
      <c r="I1026" t="s">
        <v>700</v>
      </c>
      <c r="J1026" t="s">
        <v>38</v>
      </c>
      <c r="K1026" t="s">
        <v>39</v>
      </c>
      <c r="L1026">
        <v>3</v>
      </c>
      <c r="M1026">
        <v>5</v>
      </c>
      <c r="N1026" t="s">
        <v>64</v>
      </c>
      <c r="O1026">
        <v>0</v>
      </c>
      <c r="P1026">
        <v>424.63</v>
      </c>
      <c r="Q1026">
        <v>18.170000000000002</v>
      </c>
      <c r="R1026">
        <v>2.74</v>
      </c>
      <c r="S1026">
        <v>445.54</v>
      </c>
      <c r="T1026" t="s">
        <v>41</v>
      </c>
      <c r="U1026" t="s">
        <v>43</v>
      </c>
      <c r="V1026" t="s">
        <v>38</v>
      </c>
      <c r="W1026" t="s">
        <v>958</v>
      </c>
      <c r="X1026">
        <v>84.93</v>
      </c>
      <c r="Y1026" s="9">
        <f t="shared" si="76"/>
        <v>84.926000000000002</v>
      </c>
      <c r="Z1026" s="9">
        <f t="shared" si="77"/>
        <v>159.23625000000001</v>
      </c>
      <c r="AA1026" s="5">
        <f t="shared" si="78"/>
        <v>176.91147375</v>
      </c>
      <c r="AB1026" s="6">
        <f t="shared" si="79"/>
        <v>257.94680137500001</v>
      </c>
      <c r="AD1026" s="10">
        <f t="shared" si="81"/>
        <v>322.96773933750006</v>
      </c>
    </row>
    <row r="1027" spans="1:30" x14ac:dyDescent="0.3">
      <c r="A1027" t="s">
        <v>30</v>
      </c>
      <c r="B1027" s="8" t="s">
        <v>32</v>
      </c>
      <c r="C1027" s="8" t="s">
        <v>32</v>
      </c>
      <c r="D1027" s="8" t="s">
        <v>69</v>
      </c>
      <c r="E1027" s="8" t="s">
        <v>70</v>
      </c>
      <c r="F1027" s="8" t="s">
        <v>71</v>
      </c>
      <c r="G1027">
        <v>8483309000</v>
      </c>
      <c r="H1027" t="s">
        <v>36</v>
      </c>
      <c r="I1027" t="s">
        <v>813</v>
      </c>
      <c r="J1027" t="s">
        <v>38</v>
      </c>
      <c r="K1027" t="s">
        <v>39</v>
      </c>
      <c r="L1027">
        <v>13</v>
      </c>
      <c r="M1027">
        <v>5</v>
      </c>
      <c r="N1027" t="s">
        <v>64</v>
      </c>
      <c r="O1027">
        <v>0</v>
      </c>
      <c r="P1027">
        <v>416.55</v>
      </c>
      <c r="Q1027">
        <v>22.24</v>
      </c>
      <c r="R1027">
        <v>2.68</v>
      </c>
      <c r="S1027">
        <v>441.47</v>
      </c>
      <c r="T1027" t="s">
        <v>72</v>
      </c>
      <c r="U1027" t="s">
        <v>72</v>
      </c>
      <c r="V1027" t="s">
        <v>38</v>
      </c>
      <c r="W1027" t="s">
        <v>958</v>
      </c>
      <c r="X1027">
        <v>83.31</v>
      </c>
      <c r="Y1027" s="9">
        <f t="shared" ref="Y1027:Y1090" si="82">SUM(P1027)/M1027</f>
        <v>83.31</v>
      </c>
      <c r="Z1027" s="9">
        <f t="shared" ref="Z1027:Z1090" si="83">SUM(Y1027)*1.875</f>
        <v>156.20625000000001</v>
      </c>
      <c r="AA1027" s="5">
        <f t="shared" ref="AA1027:AA1090" si="84">SUM(Z1027)*1.111</f>
        <v>173.54514375000002</v>
      </c>
      <c r="AB1027" s="6">
        <f t="shared" ref="AB1027:AB1090" si="85">SUM(Z1027)*1.6199</f>
        <v>253.038504375</v>
      </c>
      <c r="AD1027" s="10">
        <f t="shared" si="81"/>
        <v>316.82220243750004</v>
      </c>
    </row>
    <row r="1028" spans="1:30" x14ac:dyDescent="0.3">
      <c r="A1028" t="s">
        <v>30</v>
      </c>
      <c r="B1028" s="8" t="s">
        <v>32</v>
      </c>
      <c r="C1028" s="8" t="s">
        <v>32</v>
      </c>
      <c r="D1028" s="8" t="s">
        <v>33</v>
      </c>
      <c r="E1028" s="8" t="s">
        <v>34</v>
      </c>
      <c r="F1028" s="8" t="s">
        <v>35</v>
      </c>
      <c r="G1028">
        <v>8483309000</v>
      </c>
      <c r="H1028" t="s">
        <v>36</v>
      </c>
      <c r="I1028" t="s">
        <v>959</v>
      </c>
      <c r="J1028" t="s">
        <v>38</v>
      </c>
      <c r="K1028" t="s">
        <v>39</v>
      </c>
      <c r="L1028">
        <v>8</v>
      </c>
      <c r="M1028">
        <v>6</v>
      </c>
      <c r="N1028" t="s">
        <v>64</v>
      </c>
      <c r="O1028">
        <v>0</v>
      </c>
      <c r="P1028">
        <v>511.21</v>
      </c>
      <c r="Q1028">
        <v>54.57</v>
      </c>
      <c r="R1028">
        <v>3.43</v>
      </c>
      <c r="S1028">
        <v>569.20000000000005</v>
      </c>
      <c r="T1028" t="s">
        <v>41</v>
      </c>
      <c r="U1028" t="s">
        <v>41</v>
      </c>
      <c r="V1028" t="s">
        <v>38</v>
      </c>
      <c r="W1028" t="s">
        <v>958</v>
      </c>
      <c r="X1028">
        <v>85.2</v>
      </c>
      <c r="Y1028" s="9">
        <f t="shared" si="82"/>
        <v>85.201666666666668</v>
      </c>
      <c r="Z1028" s="9">
        <f t="shared" si="83"/>
        <v>159.75312500000001</v>
      </c>
      <c r="AA1028" s="5">
        <f t="shared" si="84"/>
        <v>177.48572187500002</v>
      </c>
      <c r="AB1028" s="6">
        <f t="shared" si="85"/>
        <v>258.78408718750001</v>
      </c>
      <c r="AD1028" s="10">
        <f t="shared" si="81"/>
        <v>324.01608071875006</v>
      </c>
    </row>
    <row r="1029" spans="1:30" x14ac:dyDescent="0.3">
      <c r="A1029" t="s">
        <v>30</v>
      </c>
      <c r="B1029" s="8" t="s">
        <v>485</v>
      </c>
      <c r="C1029" s="8" t="s">
        <v>32</v>
      </c>
      <c r="D1029" s="8" t="s">
        <v>33</v>
      </c>
      <c r="E1029" s="8" t="s">
        <v>34</v>
      </c>
      <c r="F1029" s="8" t="s">
        <v>35</v>
      </c>
      <c r="G1029">
        <v>8482100000</v>
      </c>
      <c r="H1029" t="s">
        <v>80</v>
      </c>
      <c r="I1029" t="s">
        <v>81</v>
      </c>
      <c r="J1029" t="s">
        <v>38</v>
      </c>
      <c r="K1029" t="s">
        <v>39</v>
      </c>
      <c r="L1029">
        <v>8</v>
      </c>
      <c r="M1029">
        <v>3</v>
      </c>
      <c r="N1029" t="s">
        <v>64</v>
      </c>
      <c r="O1029">
        <v>0</v>
      </c>
      <c r="P1029">
        <v>796.52</v>
      </c>
      <c r="Q1029">
        <v>114.63</v>
      </c>
      <c r="R1029">
        <v>5.61</v>
      </c>
      <c r="S1029">
        <v>916.75</v>
      </c>
      <c r="T1029" t="s">
        <v>41</v>
      </c>
      <c r="U1029" t="s">
        <v>41</v>
      </c>
      <c r="V1029" t="s">
        <v>38</v>
      </c>
      <c r="W1029" t="s">
        <v>960</v>
      </c>
      <c r="X1029">
        <v>265.51</v>
      </c>
      <c r="Y1029" s="9">
        <f t="shared" si="82"/>
        <v>265.50666666666666</v>
      </c>
      <c r="Z1029" s="9">
        <f t="shared" si="83"/>
        <v>497.82499999999999</v>
      </c>
      <c r="AA1029" s="5">
        <f t="shared" si="84"/>
        <v>553.083575</v>
      </c>
      <c r="AB1029" s="6">
        <f t="shared" si="85"/>
        <v>806.42671749999988</v>
      </c>
      <c r="AD1029" s="10">
        <f t="shared" si="81"/>
        <v>1009.7035997500001</v>
      </c>
    </row>
    <row r="1030" spans="1:30" x14ac:dyDescent="0.3">
      <c r="A1030" t="s">
        <v>30</v>
      </c>
      <c r="B1030" s="8" t="s">
        <v>485</v>
      </c>
      <c r="C1030" s="8" t="s">
        <v>32</v>
      </c>
      <c r="D1030" s="8" t="s">
        <v>69</v>
      </c>
      <c r="E1030" s="8" t="s">
        <v>70</v>
      </c>
      <c r="F1030" s="8" t="s">
        <v>71</v>
      </c>
      <c r="G1030">
        <v>8482100000</v>
      </c>
      <c r="H1030" t="s">
        <v>80</v>
      </c>
      <c r="I1030" t="s">
        <v>81</v>
      </c>
      <c r="J1030" t="s">
        <v>38</v>
      </c>
      <c r="K1030" t="s">
        <v>39</v>
      </c>
      <c r="L1030">
        <v>13</v>
      </c>
      <c r="M1030">
        <v>4</v>
      </c>
      <c r="N1030" t="s">
        <v>64</v>
      </c>
      <c r="O1030">
        <v>0</v>
      </c>
      <c r="P1030">
        <v>883.72</v>
      </c>
      <c r="Q1030">
        <v>62.74</v>
      </c>
      <c r="R1030">
        <v>5.78</v>
      </c>
      <c r="S1030">
        <v>952.24</v>
      </c>
      <c r="T1030" t="s">
        <v>41</v>
      </c>
      <c r="U1030" t="s">
        <v>41</v>
      </c>
      <c r="V1030" t="s">
        <v>38</v>
      </c>
      <c r="W1030" t="s">
        <v>960</v>
      </c>
      <c r="X1030">
        <v>220.93</v>
      </c>
      <c r="Y1030" s="9">
        <f t="shared" si="82"/>
        <v>220.93</v>
      </c>
      <c r="Z1030" s="9">
        <f t="shared" si="83"/>
        <v>414.24375000000003</v>
      </c>
      <c r="AA1030" s="5">
        <f t="shared" si="84"/>
        <v>460.22480625000003</v>
      </c>
      <c r="AB1030" s="6">
        <f t="shared" si="85"/>
        <v>671.033450625</v>
      </c>
      <c r="AD1030" s="10">
        <f t="shared" si="81"/>
        <v>840.18160106250014</v>
      </c>
    </row>
    <row r="1031" spans="1:30" x14ac:dyDescent="0.3">
      <c r="A1031" t="s">
        <v>30</v>
      </c>
      <c r="B1031" s="8" t="s">
        <v>485</v>
      </c>
      <c r="C1031" s="8" t="s">
        <v>32</v>
      </c>
      <c r="D1031" s="8" t="s">
        <v>33</v>
      </c>
      <c r="E1031" s="8" t="s">
        <v>34</v>
      </c>
      <c r="F1031" s="8" t="s">
        <v>35</v>
      </c>
      <c r="G1031">
        <v>8482100000</v>
      </c>
      <c r="H1031" t="s">
        <v>80</v>
      </c>
      <c r="I1031" t="s">
        <v>81</v>
      </c>
      <c r="J1031" t="s">
        <v>38</v>
      </c>
      <c r="K1031" t="s">
        <v>39</v>
      </c>
      <c r="L1031">
        <v>4</v>
      </c>
      <c r="M1031">
        <v>1</v>
      </c>
      <c r="N1031" t="s">
        <v>64</v>
      </c>
      <c r="O1031">
        <v>0</v>
      </c>
      <c r="P1031">
        <v>274.91000000000003</v>
      </c>
      <c r="Q1031">
        <v>14.39</v>
      </c>
      <c r="R1031">
        <v>1.79</v>
      </c>
      <c r="S1031">
        <v>291.10000000000002</v>
      </c>
      <c r="T1031" t="s">
        <v>41</v>
      </c>
      <c r="U1031" t="s">
        <v>41</v>
      </c>
      <c r="V1031" t="s">
        <v>38</v>
      </c>
      <c r="W1031" t="s">
        <v>960</v>
      </c>
      <c r="X1031">
        <v>274.91000000000003</v>
      </c>
      <c r="Y1031" s="9">
        <f t="shared" si="82"/>
        <v>274.91000000000003</v>
      </c>
      <c r="Z1031" s="9">
        <f t="shared" si="83"/>
        <v>515.45625000000007</v>
      </c>
      <c r="AA1031" s="5">
        <f t="shared" si="84"/>
        <v>572.67189375000009</v>
      </c>
      <c r="AB1031" s="6">
        <f t="shared" si="85"/>
        <v>834.98757937500011</v>
      </c>
      <c r="AD1031" s="10">
        <f t="shared" si="81"/>
        <v>1045.4638299375003</v>
      </c>
    </row>
    <row r="1032" spans="1:30" x14ac:dyDescent="0.3">
      <c r="A1032" t="s">
        <v>30</v>
      </c>
      <c r="B1032" s="8" t="s">
        <v>485</v>
      </c>
      <c r="C1032" s="8" t="s">
        <v>32</v>
      </c>
      <c r="D1032" s="8" t="s">
        <v>33</v>
      </c>
      <c r="E1032" s="8" t="s">
        <v>34</v>
      </c>
      <c r="F1032" s="8" t="s">
        <v>35</v>
      </c>
      <c r="G1032">
        <v>8482100000</v>
      </c>
      <c r="H1032" t="s">
        <v>854</v>
      </c>
      <c r="I1032" t="s">
        <v>675</v>
      </c>
      <c r="J1032" t="s">
        <v>38</v>
      </c>
      <c r="K1032" t="s">
        <v>39</v>
      </c>
      <c r="L1032">
        <v>12</v>
      </c>
      <c r="M1032">
        <v>2</v>
      </c>
      <c r="N1032" t="s">
        <v>64</v>
      </c>
      <c r="O1032">
        <v>0</v>
      </c>
      <c r="P1032">
        <v>553.30999999999995</v>
      </c>
      <c r="Q1032">
        <v>63.53</v>
      </c>
      <c r="R1032">
        <v>3.69</v>
      </c>
      <c r="S1032">
        <v>620.53</v>
      </c>
      <c r="T1032" t="s">
        <v>41</v>
      </c>
      <c r="U1032" t="s">
        <v>41</v>
      </c>
      <c r="V1032" t="s">
        <v>38</v>
      </c>
      <c r="W1032" t="s">
        <v>960</v>
      </c>
      <c r="X1032">
        <v>276.64999999999998</v>
      </c>
      <c r="Y1032" s="9">
        <f t="shared" si="82"/>
        <v>276.65499999999997</v>
      </c>
      <c r="Z1032" s="9">
        <f t="shared" si="83"/>
        <v>518.72812499999998</v>
      </c>
      <c r="AA1032" s="5">
        <f t="shared" si="84"/>
        <v>576.30694687499999</v>
      </c>
      <c r="AB1032" s="6">
        <f t="shared" si="85"/>
        <v>840.28768968749989</v>
      </c>
      <c r="AD1032" s="10">
        <f t="shared" si="81"/>
        <v>1052.0999449687502</v>
      </c>
    </row>
    <row r="1033" spans="1:30" x14ac:dyDescent="0.3">
      <c r="A1033" t="s">
        <v>30</v>
      </c>
      <c r="B1033" s="8" t="s">
        <v>485</v>
      </c>
      <c r="C1033" s="8" t="s">
        <v>32</v>
      </c>
      <c r="D1033" s="8" t="s">
        <v>33</v>
      </c>
      <c r="E1033" s="8" t="s">
        <v>34</v>
      </c>
      <c r="F1033" s="8" t="s">
        <v>35</v>
      </c>
      <c r="G1033">
        <v>8482100000</v>
      </c>
      <c r="H1033" t="s">
        <v>854</v>
      </c>
      <c r="I1033" t="s">
        <v>81</v>
      </c>
      <c r="J1033" t="s">
        <v>38</v>
      </c>
      <c r="K1033" t="s">
        <v>39</v>
      </c>
      <c r="L1033">
        <v>10</v>
      </c>
      <c r="M1033">
        <v>2</v>
      </c>
      <c r="N1033" t="s">
        <v>64</v>
      </c>
      <c r="O1033">
        <v>0</v>
      </c>
      <c r="P1033">
        <v>548.45000000000005</v>
      </c>
      <c r="Q1033">
        <v>45.65</v>
      </c>
      <c r="R1033">
        <v>3.59</v>
      </c>
      <c r="S1033">
        <v>597.70000000000005</v>
      </c>
      <c r="T1033" t="s">
        <v>41</v>
      </c>
      <c r="U1033" t="s">
        <v>43</v>
      </c>
      <c r="V1033" t="s">
        <v>38</v>
      </c>
      <c r="W1033" t="s">
        <v>960</v>
      </c>
      <c r="X1033">
        <v>274.23</v>
      </c>
      <c r="Y1033" s="9">
        <f t="shared" si="82"/>
        <v>274.22500000000002</v>
      </c>
      <c r="Z1033" s="9">
        <f t="shared" si="83"/>
        <v>514.171875</v>
      </c>
      <c r="AA1033" s="5">
        <f t="shared" si="84"/>
        <v>571.24495312499994</v>
      </c>
      <c r="AB1033" s="6">
        <f t="shared" si="85"/>
        <v>832.90702031249998</v>
      </c>
      <c r="AD1033" s="10">
        <f t="shared" si="81"/>
        <v>1042.8588220312502</v>
      </c>
    </row>
    <row r="1034" spans="1:30" x14ac:dyDescent="0.3">
      <c r="A1034" t="s">
        <v>30</v>
      </c>
      <c r="B1034" s="8" t="s">
        <v>485</v>
      </c>
      <c r="C1034" s="8" t="s">
        <v>32</v>
      </c>
      <c r="D1034" s="8" t="s">
        <v>33</v>
      </c>
      <c r="E1034" s="8" t="s">
        <v>34</v>
      </c>
      <c r="F1034" s="8" t="s">
        <v>35</v>
      </c>
      <c r="G1034">
        <v>8482100000</v>
      </c>
      <c r="H1034" t="s">
        <v>854</v>
      </c>
      <c r="I1034" t="s">
        <v>675</v>
      </c>
      <c r="J1034" t="s">
        <v>38</v>
      </c>
      <c r="K1034" t="s">
        <v>39</v>
      </c>
      <c r="L1034">
        <v>8</v>
      </c>
      <c r="M1034">
        <v>2</v>
      </c>
      <c r="N1034" t="s">
        <v>64</v>
      </c>
      <c r="O1034">
        <v>0</v>
      </c>
      <c r="P1034">
        <v>549.26</v>
      </c>
      <c r="Q1034">
        <v>68.81</v>
      </c>
      <c r="R1034">
        <v>3.75</v>
      </c>
      <c r="S1034">
        <v>621.82000000000005</v>
      </c>
      <c r="T1034" t="s">
        <v>41</v>
      </c>
      <c r="U1034" t="s">
        <v>41</v>
      </c>
      <c r="V1034" t="s">
        <v>38</v>
      </c>
      <c r="W1034" t="s">
        <v>960</v>
      </c>
      <c r="X1034">
        <v>274.63</v>
      </c>
      <c r="Y1034" s="9">
        <f t="shared" si="82"/>
        <v>274.63</v>
      </c>
      <c r="Z1034" s="9">
        <f t="shared" si="83"/>
        <v>514.93124999999998</v>
      </c>
      <c r="AA1034" s="5">
        <f t="shared" si="84"/>
        <v>572.08861875000002</v>
      </c>
      <c r="AB1034" s="6">
        <f t="shared" si="85"/>
        <v>834.13713187499991</v>
      </c>
      <c r="AD1034" s="10">
        <f t="shared" si="81"/>
        <v>1044.3990091875</v>
      </c>
    </row>
    <row r="1035" spans="1:30" x14ac:dyDescent="0.3">
      <c r="A1035" t="s">
        <v>30</v>
      </c>
      <c r="B1035" s="8" t="s">
        <v>32</v>
      </c>
      <c r="C1035" s="8" t="s">
        <v>32</v>
      </c>
      <c r="D1035" s="8" t="s">
        <v>69</v>
      </c>
      <c r="E1035" s="8" t="s">
        <v>70</v>
      </c>
      <c r="F1035" s="8" t="s">
        <v>71</v>
      </c>
      <c r="G1035">
        <v>8421999000</v>
      </c>
      <c r="H1035" t="s">
        <v>36</v>
      </c>
      <c r="I1035" t="s">
        <v>478</v>
      </c>
      <c r="J1035" t="s">
        <v>38</v>
      </c>
      <c r="K1035" t="s">
        <v>39</v>
      </c>
      <c r="L1035">
        <v>13</v>
      </c>
      <c r="M1035">
        <v>10</v>
      </c>
      <c r="N1035" t="s">
        <v>64</v>
      </c>
      <c r="O1035">
        <v>0</v>
      </c>
      <c r="P1035">
        <v>1673.7</v>
      </c>
      <c r="Q1035">
        <v>118.83</v>
      </c>
      <c r="R1035">
        <v>10.94</v>
      </c>
      <c r="S1035">
        <v>1803.47</v>
      </c>
      <c r="T1035" t="s">
        <v>41</v>
      </c>
      <c r="U1035" t="s">
        <v>41</v>
      </c>
      <c r="V1035" t="s">
        <v>38</v>
      </c>
      <c r="W1035" t="s">
        <v>961</v>
      </c>
      <c r="X1035">
        <v>167.37</v>
      </c>
      <c r="Y1035" s="9">
        <f t="shared" si="82"/>
        <v>167.37</v>
      </c>
      <c r="Z1035" s="9">
        <f t="shared" si="83"/>
        <v>313.81875000000002</v>
      </c>
      <c r="AA1035" s="5">
        <f t="shared" si="84"/>
        <v>348.65263125000001</v>
      </c>
      <c r="AB1035" s="6">
        <f t="shared" si="85"/>
        <v>508.35499312500002</v>
      </c>
      <c r="AD1035" s="10">
        <f t="shared" si="81"/>
        <v>636.49660331250016</v>
      </c>
    </row>
    <row r="1036" spans="1:30" x14ac:dyDescent="0.3">
      <c r="A1036" t="s">
        <v>30</v>
      </c>
      <c r="B1036" s="8" t="s">
        <v>32</v>
      </c>
      <c r="C1036" s="8" t="s">
        <v>32</v>
      </c>
      <c r="D1036" s="8" t="s">
        <v>33</v>
      </c>
      <c r="E1036" s="8" t="s">
        <v>34</v>
      </c>
      <c r="F1036" s="8" t="s">
        <v>35</v>
      </c>
      <c r="G1036">
        <v>8421999000</v>
      </c>
      <c r="H1036" t="s">
        <v>36</v>
      </c>
      <c r="I1036" t="s">
        <v>478</v>
      </c>
      <c r="J1036" t="s">
        <v>38</v>
      </c>
      <c r="K1036" t="s">
        <v>39</v>
      </c>
      <c r="L1036">
        <v>8</v>
      </c>
      <c r="M1036">
        <v>3</v>
      </c>
      <c r="N1036" t="s">
        <v>64</v>
      </c>
      <c r="O1036">
        <v>0</v>
      </c>
      <c r="P1036">
        <v>654.76</v>
      </c>
      <c r="Q1036">
        <v>69.900000000000006</v>
      </c>
      <c r="R1036">
        <v>4.3899999999999997</v>
      </c>
      <c r="S1036">
        <v>729.05</v>
      </c>
      <c r="T1036" t="s">
        <v>41</v>
      </c>
      <c r="U1036" t="s">
        <v>41</v>
      </c>
      <c r="V1036" t="s">
        <v>38</v>
      </c>
      <c r="W1036" t="s">
        <v>961</v>
      </c>
      <c r="X1036">
        <v>218.25</v>
      </c>
      <c r="Y1036" s="9">
        <f t="shared" si="82"/>
        <v>218.25333333333333</v>
      </c>
      <c r="Z1036" s="9">
        <f t="shared" si="83"/>
        <v>409.22500000000002</v>
      </c>
      <c r="AA1036" s="5">
        <f t="shared" si="84"/>
        <v>454.64897500000001</v>
      </c>
      <c r="AB1036" s="6">
        <f t="shared" si="85"/>
        <v>662.90357749999998</v>
      </c>
      <c r="AD1036" s="10">
        <f t="shared" si="81"/>
        <v>830.00242175000017</v>
      </c>
    </row>
    <row r="1037" spans="1:30" x14ac:dyDescent="0.3">
      <c r="A1037" t="s">
        <v>168</v>
      </c>
      <c r="B1037" s="8" t="s">
        <v>32</v>
      </c>
      <c r="C1037" s="8" t="s">
        <v>32</v>
      </c>
      <c r="E1037" s="8" t="s">
        <v>70</v>
      </c>
      <c r="F1037" s="8" t="s">
        <v>71</v>
      </c>
      <c r="G1037">
        <v>8421999000</v>
      </c>
      <c r="H1037" t="s">
        <v>36</v>
      </c>
      <c r="I1037" t="s">
        <v>478</v>
      </c>
      <c r="J1037" t="s">
        <v>38</v>
      </c>
      <c r="K1037" t="s">
        <v>39</v>
      </c>
      <c r="L1037">
        <v>0</v>
      </c>
      <c r="M1037">
        <v>4</v>
      </c>
      <c r="N1037" t="s">
        <v>64</v>
      </c>
      <c r="O1037">
        <v>0</v>
      </c>
      <c r="P1037">
        <v>739.28</v>
      </c>
      <c r="Q1037">
        <v>56.75</v>
      </c>
      <c r="R1037">
        <v>5.32</v>
      </c>
      <c r="S1037">
        <v>801.36</v>
      </c>
      <c r="T1037" t="s">
        <v>41</v>
      </c>
      <c r="U1037" t="s">
        <v>41</v>
      </c>
      <c r="V1037" t="s">
        <v>38</v>
      </c>
      <c r="W1037" t="s">
        <v>961</v>
      </c>
      <c r="X1037">
        <v>184.82</v>
      </c>
      <c r="Y1037" s="9">
        <f t="shared" si="82"/>
        <v>184.82</v>
      </c>
      <c r="Z1037" s="9">
        <f t="shared" si="83"/>
        <v>346.53749999999997</v>
      </c>
      <c r="AA1037" s="5">
        <f t="shared" si="84"/>
        <v>385.00316249999997</v>
      </c>
      <c r="AB1037" s="6">
        <f t="shared" si="85"/>
        <v>561.35609624999995</v>
      </c>
      <c r="AD1037" s="10">
        <f t="shared" si="81"/>
        <v>702.85775362499999</v>
      </c>
    </row>
    <row r="1038" spans="1:30" x14ac:dyDescent="0.3">
      <c r="A1038" t="s">
        <v>30</v>
      </c>
      <c r="B1038" s="8" t="s">
        <v>32</v>
      </c>
      <c r="C1038" s="8" t="s">
        <v>32</v>
      </c>
      <c r="D1038" s="8" t="s">
        <v>33</v>
      </c>
      <c r="E1038" s="8" t="s">
        <v>34</v>
      </c>
      <c r="F1038" s="8" t="s">
        <v>35</v>
      </c>
      <c r="G1038">
        <v>8421999000</v>
      </c>
      <c r="H1038" t="s">
        <v>36</v>
      </c>
      <c r="I1038" t="s">
        <v>478</v>
      </c>
      <c r="J1038" t="s">
        <v>38</v>
      </c>
      <c r="K1038" t="s">
        <v>39</v>
      </c>
      <c r="L1038">
        <v>8</v>
      </c>
      <c r="M1038">
        <v>2</v>
      </c>
      <c r="N1038" t="s">
        <v>64</v>
      </c>
      <c r="O1038">
        <v>0</v>
      </c>
      <c r="P1038">
        <v>671.87</v>
      </c>
      <c r="Q1038">
        <v>71.72</v>
      </c>
      <c r="R1038">
        <v>4.5</v>
      </c>
      <c r="S1038">
        <v>748.1</v>
      </c>
      <c r="T1038" t="s">
        <v>41</v>
      </c>
      <c r="U1038" t="s">
        <v>41</v>
      </c>
      <c r="V1038" t="s">
        <v>38</v>
      </c>
      <c r="W1038" t="s">
        <v>962</v>
      </c>
      <c r="X1038">
        <v>335.94</v>
      </c>
      <c r="Y1038" s="9">
        <f t="shared" si="82"/>
        <v>335.935</v>
      </c>
      <c r="Z1038" s="9">
        <f t="shared" si="83"/>
        <v>629.87812499999995</v>
      </c>
      <c r="AA1038" s="5">
        <f t="shared" si="84"/>
        <v>699.79459687499991</v>
      </c>
      <c r="AB1038" s="6">
        <f t="shared" si="85"/>
        <v>1020.3395746874999</v>
      </c>
      <c r="AD1038" s="10">
        <f t="shared" si="81"/>
        <v>1277.5377094687501</v>
      </c>
    </row>
    <row r="1039" spans="1:30" x14ac:dyDescent="0.3">
      <c r="A1039" t="s">
        <v>30</v>
      </c>
      <c r="B1039" s="8" t="s">
        <v>32</v>
      </c>
      <c r="C1039" s="8" t="s">
        <v>32</v>
      </c>
      <c r="D1039" s="8" t="s">
        <v>33</v>
      </c>
      <c r="E1039" s="8" t="s">
        <v>34</v>
      </c>
      <c r="F1039" s="8" t="s">
        <v>35</v>
      </c>
      <c r="G1039">
        <v>8421999000</v>
      </c>
      <c r="H1039" t="s">
        <v>36</v>
      </c>
      <c r="I1039" t="s">
        <v>478</v>
      </c>
      <c r="J1039" t="s">
        <v>38</v>
      </c>
      <c r="K1039" t="s">
        <v>39</v>
      </c>
      <c r="L1039">
        <v>8</v>
      </c>
      <c r="M1039">
        <v>1</v>
      </c>
      <c r="N1039" t="s">
        <v>64</v>
      </c>
      <c r="O1039">
        <v>0</v>
      </c>
      <c r="P1039">
        <v>361.69</v>
      </c>
      <c r="Q1039">
        <v>38.61</v>
      </c>
      <c r="R1039">
        <v>2.42</v>
      </c>
      <c r="S1039">
        <v>402.72</v>
      </c>
      <c r="T1039" t="s">
        <v>41</v>
      </c>
      <c r="U1039" t="s">
        <v>41</v>
      </c>
      <c r="V1039" t="s">
        <v>38</v>
      </c>
      <c r="W1039" t="s">
        <v>963</v>
      </c>
      <c r="X1039">
        <v>361.69</v>
      </c>
      <c r="Y1039" s="9">
        <f t="shared" si="82"/>
        <v>361.69</v>
      </c>
      <c r="Z1039" s="9">
        <f t="shared" si="83"/>
        <v>678.16875000000005</v>
      </c>
      <c r="AA1039" s="5">
        <f t="shared" si="84"/>
        <v>753.44548125000006</v>
      </c>
      <c r="AB1039" s="6">
        <f t="shared" si="85"/>
        <v>1098.5655581250001</v>
      </c>
      <c r="AD1039" s="10">
        <f t="shared" si="81"/>
        <v>1375.4822038125003</v>
      </c>
    </row>
    <row r="1040" spans="1:30" x14ac:dyDescent="0.3">
      <c r="A1040" t="s">
        <v>168</v>
      </c>
      <c r="B1040" s="8" t="s">
        <v>32</v>
      </c>
      <c r="C1040" s="8" t="s">
        <v>32</v>
      </c>
      <c r="E1040" s="8" t="s">
        <v>70</v>
      </c>
      <c r="F1040" s="8" t="s">
        <v>71</v>
      </c>
      <c r="G1040">
        <v>8421999000</v>
      </c>
      <c r="H1040" t="s">
        <v>36</v>
      </c>
      <c r="I1040" t="s">
        <v>478</v>
      </c>
      <c r="J1040" t="s">
        <v>38</v>
      </c>
      <c r="K1040" t="s">
        <v>39</v>
      </c>
      <c r="L1040">
        <v>0</v>
      </c>
      <c r="M1040">
        <v>1</v>
      </c>
      <c r="N1040" t="s">
        <v>64</v>
      </c>
      <c r="O1040">
        <v>0</v>
      </c>
      <c r="P1040">
        <v>306.27999999999997</v>
      </c>
      <c r="Q1040">
        <v>23.51</v>
      </c>
      <c r="R1040">
        <v>2.21</v>
      </c>
      <c r="S1040">
        <v>332</v>
      </c>
      <c r="T1040" t="s">
        <v>41</v>
      </c>
      <c r="U1040" t="s">
        <v>41</v>
      </c>
      <c r="V1040" t="s">
        <v>38</v>
      </c>
      <c r="W1040" t="s">
        <v>963</v>
      </c>
      <c r="X1040">
        <v>306.27999999999997</v>
      </c>
      <c r="Y1040" s="9">
        <f t="shared" si="82"/>
        <v>306.27999999999997</v>
      </c>
      <c r="Z1040" s="9">
        <f t="shared" si="83"/>
        <v>574.27499999999998</v>
      </c>
      <c r="AA1040" s="5">
        <f t="shared" si="84"/>
        <v>638.01952499999993</v>
      </c>
      <c r="AB1040" s="6">
        <f t="shared" si="85"/>
        <v>930.2680724999999</v>
      </c>
      <c r="AD1040" s="10">
        <f t="shared" si="81"/>
        <v>1164.76178325</v>
      </c>
    </row>
    <row r="1041" spans="1:30" x14ac:dyDescent="0.3">
      <c r="A1041" t="s">
        <v>30</v>
      </c>
      <c r="B1041" s="8" t="s">
        <v>31</v>
      </c>
      <c r="C1041" s="8" t="s">
        <v>32</v>
      </c>
      <c r="D1041" s="8" t="s">
        <v>33</v>
      </c>
      <c r="E1041" s="8" t="s">
        <v>34</v>
      </c>
      <c r="F1041" s="8" t="s">
        <v>35</v>
      </c>
      <c r="G1041">
        <v>8421999000</v>
      </c>
      <c r="H1041" t="s">
        <v>36</v>
      </c>
      <c r="I1041" t="s">
        <v>670</v>
      </c>
      <c r="J1041" t="s">
        <v>38</v>
      </c>
      <c r="K1041" t="s">
        <v>39</v>
      </c>
      <c r="L1041">
        <v>8</v>
      </c>
      <c r="M1041">
        <v>5</v>
      </c>
      <c r="N1041" t="s">
        <v>64</v>
      </c>
      <c r="O1041">
        <v>0</v>
      </c>
      <c r="P1041">
        <v>1840.26</v>
      </c>
      <c r="Q1041">
        <v>264.83</v>
      </c>
      <c r="R1041">
        <v>12.95</v>
      </c>
      <c r="S1041">
        <v>2118.0500000000002</v>
      </c>
      <c r="T1041" t="s">
        <v>41</v>
      </c>
      <c r="U1041" t="s">
        <v>41</v>
      </c>
      <c r="V1041" t="s">
        <v>38</v>
      </c>
      <c r="W1041" t="s">
        <v>964</v>
      </c>
      <c r="X1041">
        <v>368.05</v>
      </c>
      <c r="Y1041" s="9">
        <f t="shared" si="82"/>
        <v>368.05200000000002</v>
      </c>
      <c r="Z1041" s="9">
        <f t="shared" si="83"/>
        <v>690.09750000000008</v>
      </c>
      <c r="AA1041" s="5">
        <f t="shared" si="84"/>
        <v>766.69832250000013</v>
      </c>
      <c r="AB1041" s="6">
        <f t="shared" si="85"/>
        <v>1117.8889402500001</v>
      </c>
      <c r="AD1041" s="10">
        <f t="shared" si="81"/>
        <v>1399.6764524250002</v>
      </c>
    </row>
    <row r="1042" spans="1:30" x14ac:dyDescent="0.3">
      <c r="A1042" t="s">
        <v>30</v>
      </c>
      <c r="B1042" s="8" t="s">
        <v>31</v>
      </c>
      <c r="C1042" s="8" t="s">
        <v>32</v>
      </c>
      <c r="D1042" s="8" t="s">
        <v>69</v>
      </c>
      <c r="E1042" s="8" t="s">
        <v>70</v>
      </c>
      <c r="F1042" s="8" t="s">
        <v>71</v>
      </c>
      <c r="G1042">
        <v>8421999000</v>
      </c>
      <c r="H1042" t="s">
        <v>36</v>
      </c>
      <c r="I1042" t="s">
        <v>678</v>
      </c>
      <c r="J1042" t="s">
        <v>38</v>
      </c>
      <c r="K1042" t="s">
        <v>39</v>
      </c>
      <c r="L1042">
        <v>13</v>
      </c>
      <c r="M1042">
        <v>10</v>
      </c>
      <c r="N1042" t="s">
        <v>64</v>
      </c>
      <c r="O1042">
        <v>0</v>
      </c>
      <c r="P1042">
        <v>3614.6</v>
      </c>
      <c r="Q1042">
        <v>256.64</v>
      </c>
      <c r="R1042">
        <v>23.62</v>
      </c>
      <c r="S1042">
        <v>3894.86</v>
      </c>
      <c r="T1042" t="s">
        <v>41</v>
      </c>
      <c r="U1042" t="s">
        <v>41</v>
      </c>
      <c r="V1042" t="s">
        <v>38</v>
      </c>
      <c r="W1042" t="s">
        <v>964</v>
      </c>
      <c r="X1042">
        <v>361.46</v>
      </c>
      <c r="Y1042" s="9">
        <f t="shared" si="82"/>
        <v>361.46</v>
      </c>
      <c r="Z1042" s="9">
        <f t="shared" si="83"/>
        <v>677.73749999999995</v>
      </c>
      <c r="AA1042" s="5">
        <f t="shared" si="84"/>
        <v>752.96636249999995</v>
      </c>
      <c r="AB1042" s="6">
        <f t="shared" si="85"/>
        <v>1097.8669762499999</v>
      </c>
      <c r="AD1042" s="10">
        <f t="shared" si="81"/>
        <v>1374.6075296250001</v>
      </c>
    </row>
    <row r="1043" spans="1:30" x14ac:dyDescent="0.3">
      <c r="A1043" t="s">
        <v>30</v>
      </c>
      <c r="B1043" s="8" t="s">
        <v>31</v>
      </c>
      <c r="C1043" s="8" t="s">
        <v>32</v>
      </c>
      <c r="D1043" s="8" t="s">
        <v>69</v>
      </c>
      <c r="E1043" s="8" t="s">
        <v>70</v>
      </c>
      <c r="F1043" s="8" t="s">
        <v>71</v>
      </c>
      <c r="G1043">
        <v>8421999000</v>
      </c>
      <c r="H1043" t="s">
        <v>36</v>
      </c>
      <c r="I1043" t="s">
        <v>965</v>
      </c>
      <c r="J1043" t="s">
        <v>38</v>
      </c>
      <c r="K1043" t="s">
        <v>39</v>
      </c>
      <c r="L1043">
        <v>9</v>
      </c>
      <c r="M1043">
        <v>8</v>
      </c>
      <c r="N1043" t="s">
        <v>64</v>
      </c>
      <c r="O1043">
        <v>0</v>
      </c>
      <c r="P1043">
        <v>2891.68</v>
      </c>
      <c r="Q1043">
        <v>145.72999999999999</v>
      </c>
      <c r="R1043">
        <v>18.37</v>
      </c>
      <c r="S1043">
        <v>3055.78</v>
      </c>
      <c r="T1043" t="s">
        <v>41</v>
      </c>
      <c r="U1043" t="s">
        <v>43</v>
      </c>
      <c r="V1043" t="s">
        <v>38</v>
      </c>
      <c r="W1043" t="s">
        <v>964</v>
      </c>
      <c r="X1043">
        <v>361.46</v>
      </c>
      <c r="Y1043" s="9">
        <f t="shared" si="82"/>
        <v>361.46</v>
      </c>
      <c r="Z1043" s="9">
        <f t="shared" si="83"/>
        <v>677.73749999999995</v>
      </c>
      <c r="AA1043" s="5">
        <f t="shared" si="84"/>
        <v>752.96636249999995</v>
      </c>
      <c r="AB1043" s="6">
        <f t="shared" si="85"/>
        <v>1097.8669762499999</v>
      </c>
      <c r="AD1043" s="10">
        <f t="shared" si="81"/>
        <v>1374.6075296250001</v>
      </c>
    </row>
    <row r="1044" spans="1:30" x14ac:dyDescent="0.3">
      <c r="A1044" t="s">
        <v>30</v>
      </c>
      <c r="B1044" s="8" t="s">
        <v>31</v>
      </c>
      <c r="C1044" s="8" t="s">
        <v>32</v>
      </c>
      <c r="D1044" s="8" t="s">
        <v>33</v>
      </c>
      <c r="E1044" s="8" t="s">
        <v>34</v>
      </c>
      <c r="F1044" s="8" t="s">
        <v>35</v>
      </c>
      <c r="G1044">
        <v>8421999000</v>
      </c>
      <c r="H1044" t="s">
        <v>36</v>
      </c>
      <c r="I1044" t="s">
        <v>670</v>
      </c>
      <c r="J1044" t="s">
        <v>38</v>
      </c>
      <c r="K1044" t="s">
        <v>39</v>
      </c>
      <c r="L1044">
        <v>12</v>
      </c>
      <c r="M1044">
        <v>4</v>
      </c>
      <c r="N1044" t="s">
        <v>64</v>
      </c>
      <c r="O1044">
        <v>0</v>
      </c>
      <c r="P1044">
        <v>1535.83</v>
      </c>
      <c r="Q1044">
        <v>176.35</v>
      </c>
      <c r="R1044">
        <v>10.23</v>
      </c>
      <c r="S1044">
        <v>1722.41</v>
      </c>
      <c r="T1044" t="s">
        <v>41</v>
      </c>
      <c r="U1044" t="s">
        <v>41</v>
      </c>
      <c r="V1044" t="s">
        <v>38</v>
      </c>
      <c r="W1044" t="s">
        <v>964</v>
      </c>
      <c r="X1044">
        <v>383.96</v>
      </c>
      <c r="Y1044" s="9">
        <f t="shared" si="82"/>
        <v>383.95749999999998</v>
      </c>
      <c r="Z1044" s="9">
        <f t="shared" si="83"/>
        <v>719.92031249999991</v>
      </c>
      <c r="AA1044" s="5">
        <f t="shared" si="84"/>
        <v>799.83146718749992</v>
      </c>
      <c r="AB1044" s="6">
        <f t="shared" si="85"/>
        <v>1166.1989142187497</v>
      </c>
      <c r="AD1044" s="10">
        <f t="shared" si="81"/>
        <v>1460.163975421875</v>
      </c>
    </row>
    <row r="1045" spans="1:30" x14ac:dyDescent="0.3">
      <c r="A1045" t="s">
        <v>30</v>
      </c>
      <c r="B1045" s="8" t="s">
        <v>31</v>
      </c>
      <c r="C1045" s="8" t="s">
        <v>32</v>
      </c>
      <c r="D1045" s="8" t="s">
        <v>69</v>
      </c>
      <c r="E1045" s="8" t="s">
        <v>70</v>
      </c>
      <c r="F1045" s="8" t="s">
        <v>71</v>
      </c>
      <c r="G1045">
        <v>8421999000</v>
      </c>
      <c r="H1045" t="s">
        <v>36</v>
      </c>
      <c r="I1045" t="s">
        <v>670</v>
      </c>
      <c r="J1045" t="s">
        <v>38</v>
      </c>
      <c r="K1045" t="s">
        <v>39</v>
      </c>
      <c r="L1045">
        <v>13</v>
      </c>
      <c r="M1045">
        <v>4</v>
      </c>
      <c r="N1045" t="s">
        <v>64</v>
      </c>
      <c r="O1045">
        <v>0</v>
      </c>
      <c r="P1045">
        <v>1492.12</v>
      </c>
      <c r="Q1045">
        <v>79.67</v>
      </c>
      <c r="R1045">
        <v>9.59</v>
      </c>
      <c r="S1045">
        <v>1581.37</v>
      </c>
      <c r="T1045" t="s">
        <v>72</v>
      </c>
      <c r="U1045" t="s">
        <v>72</v>
      </c>
      <c r="V1045" t="s">
        <v>38</v>
      </c>
      <c r="W1045" t="s">
        <v>964</v>
      </c>
      <c r="X1045">
        <v>373.03</v>
      </c>
      <c r="Y1045" s="9">
        <f t="shared" si="82"/>
        <v>373.03</v>
      </c>
      <c r="Z1045" s="9">
        <f t="shared" si="83"/>
        <v>699.43124999999998</v>
      </c>
      <c r="AA1045" s="5">
        <f t="shared" si="84"/>
        <v>777.06811874999994</v>
      </c>
      <c r="AB1045" s="6">
        <f t="shared" si="85"/>
        <v>1133.0086818749999</v>
      </c>
      <c r="AD1045" s="10">
        <f t="shared" si="81"/>
        <v>1418.6074441875001</v>
      </c>
    </row>
    <row r="1046" spans="1:30" x14ac:dyDescent="0.3">
      <c r="A1046" t="s">
        <v>30</v>
      </c>
      <c r="B1046" s="8" t="s">
        <v>31</v>
      </c>
      <c r="C1046" s="8" t="s">
        <v>32</v>
      </c>
      <c r="D1046" s="8" t="s">
        <v>69</v>
      </c>
      <c r="E1046" s="8" t="s">
        <v>70</v>
      </c>
      <c r="F1046" s="8" t="s">
        <v>71</v>
      </c>
      <c r="G1046">
        <v>8421999000</v>
      </c>
      <c r="H1046" t="s">
        <v>36</v>
      </c>
      <c r="I1046" t="s">
        <v>670</v>
      </c>
      <c r="J1046" t="s">
        <v>38</v>
      </c>
      <c r="K1046" t="s">
        <v>39</v>
      </c>
      <c r="L1046">
        <v>8</v>
      </c>
      <c r="M1046">
        <v>3</v>
      </c>
      <c r="N1046" t="s">
        <v>64</v>
      </c>
      <c r="O1046">
        <v>0</v>
      </c>
      <c r="P1046">
        <v>1084.3800000000001</v>
      </c>
      <c r="Q1046">
        <v>70.989999999999995</v>
      </c>
      <c r="R1046">
        <v>7.03</v>
      </c>
      <c r="S1046">
        <v>1162.4000000000001</v>
      </c>
      <c r="T1046" t="s">
        <v>41</v>
      </c>
      <c r="U1046" t="s">
        <v>41</v>
      </c>
      <c r="V1046" t="s">
        <v>38</v>
      </c>
      <c r="W1046" t="s">
        <v>964</v>
      </c>
      <c r="X1046">
        <v>361.46</v>
      </c>
      <c r="Y1046" s="9">
        <f t="shared" si="82"/>
        <v>361.46000000000004</v>
      </c>
      <c r="Z1046" s="9">
        <f t="shared" si="83"/>
        <v>677.73750000000007</v>
      </c>
      <c r="AA1046" s="5">
        <f t="shared" si="84"/>
        <v>752.96636250000006</v>
      </c>
      <c r="AB1046" s="6">
        <f t="shared" si="85"/>
        <v>1097.8669762500001</v>
      </c>
      <c r="AD1046" s="10">
        <f t="shared" si="81"/>
        <v>1374.6075296250003</v>
      </c>
    </row>
    <row r="1047" spans="1:30" x14ac:dyDescent="0.3">
      <c r="A1047" t="s">
        <v>30</v>
      </c>
      <c r="B1047" s="8" t="s">
        <v>31</v>
      </c>
      <c r="C1047" s="8" t="s">
        <v>32</v>
      </c>
      <c r="D1047" s="8" t="s">
        <v>69</v>
      </c>
      <c r="E1047" s="8" t="s">
        <v>70</v>
      </c>
      <c r="F1047" s="8" t="s">
        <v>71</v>
      </c>
      <c r="G1047">
        <v>8421999000</v>
      </c>
      <c r="H1047" t="s">
        <v>36</v>
      </c>
      <c r="I1047" t="s">
        <v>670</v>
      </c>
      <c r="J1047" t="s">
        <v>38</v>
      </c>
      <c r="K1047" t="s">
        <v>39</v>
      </c>
      <c r="L1047">
        <v>8</v>
      </c>
      <c r="M1047">
        <v>5</v>
      </c>
      <c r="N1047" t="s">
        <v>64</v>
      </c>
      <c r="O1047">
        <v>0</v>
      </c>
      <c r="P1047">
        <v>1807.3</v>
      </c>
      <c r="Q1047">
        <v>118.31</v>
      </c>
      <c r="R1047">
        <v>11.72</v>
      </c>
      <c r="S1047">
        <v>1937.33</v>
      </c>
      <c r="T1047" t="s">
        <v>41</v>
      </c>
      <c r="U1047" t="s">
        <v>41</v>
      </c>
      <c r="V1047" t="s">
        <v>38</v>
      </c>
      <c r="W1047" t="s">
        <v>964</v>
      </c>
      <c r="X1047">
        <v>361.46</v>
      </c>
      <c r="Y1047" s="9">
        <f t="shared" si="82"/>
        <v>361.46</v>
      </c>
      <c r="Z1047" s="9">
        <f t="shared" si="83"/>
        <v>677.73749999999995</v>
      </c>
      <c r="AA1047" s="5">
        <f t="shared" si="84"/>
        <v>752.96636249999995</v>
      </c>
      <c r="AB1047" s="6">
        <f t="shared" si="85"/>
        <v>1097.8669762499999</v>
      </c>
      <c r="AD1047" s="10">
        <f t="shared" si="81"/>
        <v>1374.6075296250001</v>
      </c>
    </row>
    <row r="1048" spans="1:30" x14ac:dyDescent="0.3">
      <c r="A1048" t="s">
        <v>30</v>
      </c>
      <c r="B1048" s="8" t="s">
        <v>31</v>
      </c>
      <c r="C1048" s="8" t="s">
        <v>32</v>
      </c>
      <c r="D1048" s="8" t="s">
        <v>33</v>
      </c>
      <c r="E1048" s="8" t="s">
        <v>34</v>
      </c>
      <c r="F1048" s="8" t="s">
        <v>35</v>
      </c>
      <c r="G1048">
        <v>8421999000</v>
      </c>
      <c r="H1048" t="s">
        <v>36</v>
      </c>
      <c r="I1048" t="s">
        <v>670</v>
      </c>
      <c r="J1048" t="s">
        <v>38</v>
      </c>
      <c r="K1048" t="s">
        <v>39</v>
      </c>
      <c r="L1048">
        <v>8</v>
      </c>
      <c r="M1048">
        <v>4</v>
      </c>
      <c r="N1048" t="s">
        <v>64</v>
      </c>
      <c r="O1048">
        <v>0</v>
      </c>
      <c r="P1048">
        <v>1525.99</v>
      </c>
      <c r="Q1048">
        <v>162.9</v>
      </c>
      <c r="R1048">
        <v>10.23</v>
      </c>
      <c r="S1048">
        <v>1699.12</v>
      </c>
      <c r="T1048" t="s">
        <v>41</v>
      </c>
      <c r="U1048" t="s">
        <v>41</v>
      </c>
      <c r="V1048" t="s">
        <v>38</v>
      </c>
      <c r="W1048" t="s">
        <v>964</v>
      </c>
      <c r="X1048">
        <v>381.5</v>
      </c>
      <c r="Y1048" s="9">
        <f t="shared" si="82"/>
        <v>381.4975</v>
      </c>
      <c r="Z1048" s="9">
        <f t="shared" si="83"/>
        <v>715.30781249999995</v>
      </c>
      <c r="AA1048" s="5">
        <f t="shared" si="84"/>
        <v>794.70697968749994</v>
      </c>
      <c r="AB1048" s="6">
        <f t="shared" si="85"/>
        <v>1158.7271254687498</v>
      </c>
      <c r="AD1048" s="10">
        <f t="shared" si="81"/>
        <v>1450.808764546875</v>
      </c>
    </row>
    <row r="1049" spans="1:30" x14ac:dyDescent="0.3">
      <c r="A1049" t="s">
        <v>30</v>
      </c>
      <c r="B1049" s="8" t="s">
        <v>31</v>
      </c>
      <c r="C1049" s="8" t="s">
        <v>32</v>
      </c>
      <c r="D1049" s="8" t="s">
        <v>33</v>
      </c>
      <c r="E1049" s="8" t="s">
        <v>34</v>
      </c>
      <c r="F1049" s="8" t="s">
        <v>35</v>
      </c>
      <c r="G1049">
        <v>8421999000</v>
      </c>
      <c r="H1049" t="s">
        <v>36</v>
      </c>
      <c r="I1049" t="s">
        <v>670</v>
      </c>
      <c r="J1049" t="s">
        <v>38</v>
      </c>
      <c r="K1049" t="s">
        <v>39</v>
      </c>
      <c r="L1049">
        <v>8</v>
      </c>
      <c r="M1049">
        <v>4</v>
      </c>
      <c r="N1049" t="s">
        <v>64</v>
      </c>
      <c r="O1049">
        <v>0</v>
      </c>
      <c r="P1049">
        <v>1524.59</v>
      </c>
      <c r="Q1049">
        <v>190.99</v>
      </c>
      <c r="R1049">
        <v>10.41</v>
      </c>
      <c r="S1049">
        <v>1726</v>
      </c>
      <c r="T1049" t="s">
        <v>41</v>
      </c>
      <c r="U1049" t="s">
        <v>41</v>
      </c>
      <c r="V1049" t="s">
        <v>38</v>
      </c>
      <c r="W1049" t="s">
        <v>964</v>
      </c>
      <c r="X1049">
        <v>381.15</v>
      </c>
      <c r="Y1049" s="9">
        <f t="shared" si="82"/>
        <v>381.14749999999998</v>
      </c>
      <c r="Z1049" s="9">
        <f t="shared" si="83"/>
        <v>714.65156249999995</v>
      </c>
      <c r="AA1049" s="5">
        <f t="shared" si="84"/>
        <v>793.97788593749999</v>
      </c>
      <c r="AB1049" s="6">
        <f t="shared" si="85"/>
        <v>1157.6640660937499</v>
      </c>
      <c r="AD1049" s="10">
        <f t="shared" si="81"/>
        <v>1449.4777386093751</v>
      </c>
    </row>
    <row r="1050" spans="1:30" x14ac:dyDescent="0.3">
      <c r="A1050" t="s">
        <v>30</v>
      </c>
      <c r="B1050" s="8" t="s">
        <v>31</v>
      </c>
      <c r="C1050" s="8" t="s">
        <v>32</v>
      </c>
      <c r="D1050" s="8" t="s">
        <v>33</v>
      </c>
      <c r="E1050" s="8" t="s">
        <v>34</v>
      </c>
      <c r="F1050" s="8" t="s">
        <v>35</v>
      </c>
      <c r="G1050">
        <v>8421999000</v>
      </c>
      <c r="H1050" t="s">
        <v>36</v>
      </c>
      <c r="I1050" t="s">
        <v>680</v>
      </c>
      <c r="J1050" t="s">
        <v>38</v>
      </c>
      <c r="K1050" t="s">
        <v>39</v>
      </c>
      <c r="L1050">
        <v>8</v>
      </c>
      <c r="M1050">
        <v>4</v>
      </c>
      <c r="N1050" t="s">
        <v>64</v>
      </c>
      <c r="O1050">
        <v>0</v>
      </c>
      <c r="P1050">
        <v>1517.07</v>
      </c>
      <c r="Q1050">
        <v>85.89</v>
      </c>
      <c r="R1050">
        <v>9.68</v>
      </c>
      <c r="S1050">
        <v>1612.64</v>
      </c>
      <c r="T1050" t="s">
        <v>41</v>
      </c>
      <c r="U1050" t="s">
        <v>41</v>
      </c>
      <c r="V1050" t="s">
        <v>38</v>
      </c>
      <c r="W1050" t="s">
        <v>964</v>
      </c>
      <c r="X1050">
        <v>379.27</v>
      </c>
      <c r="Y1050" s="9">
        <f t="shared" si="82"/>
        <v>379.26749999999998</v>
      </c>
      <c r="Z1050" s="9">
        <f t="shared" si="83"/>
        <v>711.12656249999998</v>
      </c>
      <c r="AA1050" s="5">
        <f t="shared" si="84"/>
        <v>790.06161093749995</v>
      </c>
      <c r="AB1050" s="6">
        <f t="shared" si="85"/>
        <v>1151.9539185937499</v>
      </c>
      <c r="AD1050" s="10">
        <f t="shared" si="81"/>
        <v>1442.3282278593751</v>
      </c>
    </row>
    <row r="1051" spans="1:30" x14ac:dyDescent="0.3">
      <c r="A1051" t="s">
        <v>168</v>
      </c>
      <c r="B1051" s="8" t="s">
        <v>31</v>
      </c>
      <c r="C1051" s="8" t="s">
        <v>32</v>
      </c>
      <c r="E1051" s="8" t="s">
        <v>70</v>
      </c>
      <c r="F1051" s="8" t="s">
        <v>71</v>
      </c>
      <c r="G1051">
        <v>8421999000</v>
      </c>
      <c r="H1051" t="s">
        <v>36</v>
      </c>
      <c r="I1051" t="s">
        <v>680</v>
      </c>
      <c r="J1051" t="s">
        <v>38</v>
      </c>
      <c r="K1051" t="s">
        <v>39</v>
      </c>
      <c r="L1051">
        <v>0</v>
      </c>
      <c r="M1051">
        <v>10</v>
      </c>
      <c r="N1051" t="s">
        <v>64</v>
      </c>
      <c r="O1051">
        <v>0</v>
      </c>
      <c r="P1051">
        <v>3230.6</v>
      </c>
      <c r="Q1051">
        <v>248</v>
      </c>
      <c r="R1051">
        <v>23.27</v>
      </c>
      <c r="S1051">
        <v>3501.87</v>
      </c>
      <c r="T1051" t="s">
        <v>41</v>
      </c>
      <c r="U1051" t="s">
        <v>41</v>
      </c>
      <c r="V1051" t="s">
        <v>38</v>
      </c>
      <c r="W1051" t="s">
        <v>964</v>
      </c>
      <c r="X1051">
        <v>323.06</v>
      </c>
      <c r="Y1051" s="9">
        <f t="shared" si="82"/>
        <v>323.06</v>
      </c>
      <c r="Z1051" s="9">
        <f t="shared" si="83"/>
        <v>605.73749999999995</v>
      </c>
      <c r="AA1051" s="5">
        <f t="shared" si="84"/>
        <v>672.97436249999998</v>
      </c>
      <c r="AB1051" s="6">
        <f t="shared" si="85"/>
        <v>981.2341762499999</v>
      </c>
      <c r="AD1051" s="10">
        <f t="shared" si="81"/>
        <v>1228.574969625</v>
      </c>
    </row>
    <row r="1052" spans="1:30" x14ac:dyDescent="0.3">
      <c r="A1052" t="s">
        <v>30</v>
      </c>
      <c r="B1052" s="8" t="s">
        <v>32</v>
      </c>
      <c r="C1052" s="8" t="s">
        <v>32</v>
      </c>
      <c r="D1052" s="8" t="s">
        <v>33</v>
      </c>
      <c r="E1052" s="8" t="s">
        <v>34</v>
      </c>
      <c r="F1052" s="8" t="s">
        <v>35</v>
      </c>
      <c r="G1052">
        <v>8481909090</v>
      </c>
      <c r="H1052" t="s">
        <v>53</v>
      </c>
      <c r="I1052" t="s">
        <v>746</v>
      </c>
      <c r="J1052" t="s">
        <v>38</v>
      </c>
      <c r="K1052" t="s">
        <v>39</v>
      </c>
      <c r="L1052">
        <v>8</v>
      </c>
      <c r="M1052">
        <v>1</v>
      </c>
      <c r="N1052" t="s">
        <v>64</v>
      </c>
      <c r="O1052">
        <v>0</v>
      </c>
      <c r="P1052">
        <v>1030.06</v>
      </c>
      <c r="Q1052">
        <v>129.04</v>
      </c>
      <c r="R1052">
        <v>7.04</v>
      </c>
      <c r="S1052">
        <v>1166.1300000000001</v>
      </c>
      <c r="T1052" t="s">
        <v>41</v>
      </c>
      <c r="U1052" t="s">
        <v>41</v>
      </c>
      <c r="V1052" t="s">
        <v>38</v>
      </c>
      <c r="W1052" t="s">
        <v>966</v>
      </c>
      <c r="X1052">
        <v>1030.06</v>
      </c>
      <c r="Y1052" s="9">
        <f t="shared" si="82"/>
        <v>1030.06</v>
      </c>
      <c r="Z1052" s="9">
        <f t="shared" si="83"/>
        <v>1931.3625</v>
      </c>
      <c r="AA1052" s="5">
        <f t="shared" si="84"/>
        <v>2145.7437375</v>
      </c>
      <c r="AB1052" s="6">
        <f t="shared" si="85"/>
        <v>3128.6141137499999</v>
      </c>
      <c r="AD1052" s="10">
        <f t="shared" si="81"/>
        <v>3917.2473633750001</v>
      </c>
    </row>
    <row r="1053" spans="1:30" x14ac:dyDescent="0.3">
      <c r="A1053" t="s">
        <v>30</v>
      </c>
      <c r="B1053" s="8" t="s">
        <v>32</v>
      </c>
      <c r="C1053" s="8" t="s">
        <v>32</v>
      </c>
      <c r="D1053" s="8" t="s">
        <v>33</v>
      </c>
      <c r="E1053" s="8" t="s">
        <v>34</v>
      </c>
      <c r="F1053" s="8" t="s">
        <v>35</v>
      </c>
      <c r="G1053">
        <v>8481809990</v>
      </c>
      <c r="H1053" t="s">
        <v>160</v>
      </c>
      <c r="I1053" t="s">
        <v>644</v>
      </c>
      <c r="J1053" t="s">
        <v>38</v>
      </c>
      <c r="K1053" t="s">
        <v>39</v>
      </c>
      <c r="L1053">
        <v>6</v>
      </c>
      <c r="M1053">
        <v>1</v>
      </c>
      <c r="N1053" t="s">
        <v>64</v>
      </c>
      <c r="O1053">
        <v>0</v>
      </c>
      <c r="P1053">
        <v>2354.7600000000002</v>
      </c>
      <c r="Q1053">
        <v>284.77</v>
      </c>
      <c r="R1053">
        <v>16.399999999999999</v>
      </c>
      <c r="S1053">
        <v>2655.94</v>
      </c>
      <c r="T1053" t="s">
        <v>41</v>
      </c>
      <c r="U1053" t="s">
        <v>43</v>
      </c>
      <c r="V1053" t="s">
        <v>38</v>
      </c>
      <c r="W1053" t="s">
        <v>967</v>
      </c>
      <c r="X1053">
        <v>2354.7600000000002</v>
      </c>
      <c r="Y1053" s="9">
        <f t="shared" si="82"/>
        <v>2354.7600000000002</v>
      </c>
      <c r="Z1053" s="9">
        <f t="shared" si="83"/>
        <v>4415.1750000000002</v>
      </c>
      <c r="AA1053" s="5">
        <f t="shared" si="84"/>
        <v>4905.2594250000002</v>
      </c>
      <c r="AB1053" s="6">
        <f t="shared" si="85"/>
        <v>7152.1419825000003</v>
      </c>
      <c r="AD1053" s="10">
        <f t="shared" si="81"/>
        <v>8954.9903902500009</v>
      </c>
    </row>
    <row r="1054" spans="1:30" x14ac:dyDescent="0.3">
      <c r="A1054" t="s">
        <v>30</v>
      </c>
      <c r="B1054" s="8" t="s">
        <v>32</v>
      </c>
      <c r="C1054" s="8" t="s">
        <v>32</v>
      </c>
      <c r="D1054" s="8" t="s">
        <v>33</v>
      </c>
      <c r="E1054" s="8" t="s">
        <v>34</v>
      </c>
      <c r="F1054" s="8" t="s">
        <v>35</v>
      </c>
      <c r="G1054">
        <v>8421999000</v>
      </c>
      <c r="H1054" t="s">
        <v>36</v>
      </c>
      <c r="I1054" t="s">
        <v>550</v>
      </c>
      <c r="J1054" t="s">
        <v>38</v>
      </c>
      <c r="K1054" t="s">
        <v>39</v>
      </c>
      <c r="L1054">
        <v>8</v>
      </c>
      <c r="M1054">
        <v>1</v>
      </c>
      <c r="N1054" t="s">
        <v>64</v>
      </c>
      <c r="O1054">
        <v>0</v>
      </c>
      <c r="P1054">
        <v>569.62</v>
      </c>
      <c r="Q1054">
        <v>81.97</v>
      </c>
      <c r="R1054">
        <v>4.01</v>
      </c>
      <c r="S1054">
        <v>655.61</v>
      </c>
      <c r="T1054" t="s">
        <v>41</v>
      </c>
      <c r="U1054" t="s">
        <v>41</v>
      </c>
      <c r="V1054" t="s">
        <v>38</v>
      </c>
      <c r="W1054" t="s">
        <v>968</v>
      </c>
      <c r="X1054">
        <v>569.62</v>
      </c>
      <c r="Y1054" s="9">
        <f t="shared" si="82"/>
        <v>569.62</v>
      </c>
      <c r="Z1054" s="9">
        <f t="shared" si="83"/>
        <v>1068.0374999999999</v>
      </c>
      <c r="AA1054" s="5">
        <f t="shared" si="84"/>
        <v>1186.5896624999998</v>
      </c>
      <c r="AB1054" s="6">
        <f t="shared" si="85"/>
        <v>1730.1139462499998</v>
      </c>
      <c r="AD1054" s="10">
        <f t="shared" si="81"/>
        <v>2166.2256986249999</v>
      </c>
    </row>
    <row r="1055" spans="1:30" x14ac:dyDescent="0.3">
      <c r="A1055" t="s">
        <v>30</v>
      </c>
      <c r="B1055" s="8" t="s">
        <v>32</v>
      </c>
      <c r="C1055" s="8" t="s">
        <v>32</v>
      </c>
      <c r="D1055" s="8" t="s">
        <v>33</v>
      </c>
      <c r="E1055" s="8" t="s">
        <v>34</v>
      </c>
      <c r="F1055" s="8" t="s">
        <v>35</v>
      </c>
      <c r="G1055">
        <v>8421999000</v>
      </c>
      <c r="H1055" t="s">
        <v>36</v>
      </c>
      <c r="I1055" t="s">
        <v>539</v>
      </c>
      <c r="J1055" t="s">
        <v>38</v>
      </c>
      <c r="K1055" t="s">
        <v>39</v>
      </c>
      <c r="L1055">
        <v>7</v>
      </c>
      <c r="M1055">
        <v>1</v>
      </c>
      <c r="N1055" t="s">
        <v>64</v>
      </c>
      <c r="O1055">
        <v>0</v>
      </c>
      <c r="P1055">
        <v>212.9</v>
      </c>
      <c r="Q1055">
        <v>33.630000000000003</v>
      </c>
      <c r="R1055">
        <v>1.31</v>
      </c>
      <c r="S1055">
        <v>247.84</v>
      </c>
      <c r="T1055" t="s">
        <v>41</v>
      </c>
      <c r="U1055" t="s">
        <v>41</v>
      </c>
      <c r="V1055" t="s">
        <v>38</v>
      </c>
      <c r="W1055" t="s">
        <v>969</v>
      </c>
      <c r="X1055">
        <v>212.9</v>
      </c>
      <c r="Y1055" s="9">
        <f t="shared" si="82"/>
        <v>212.9</v>
      </c>
      <c r="Z1055" s="9">
        <f t="shared" si="83"/>
        <v>399.1875</v>
      </c>
      <c r="AA1055" s="5">
        <f t="shared" si="84"/>
        <v>443.49731250000002</v>
      </c>
      <c r="AB1055" s="6">
        <f t="shared" si="85"/>
        <v>646.64383124999995</v>
      </c>
      <c r="AD1055" s="10">
        <f t="shared" si="81"/>
        <v>809.64406312500012</v>
      </c>
    </row>
    <row r="1056" spans="1:30" x14ac:dyDescent="0.3">
      <c r="A1056" t="s">
        <v>30</v>
      </c>
      <c r="B1056" s="8" t="s">
        <v>32</v>
      </c>
      <c r="C1056" s="8" t="s">
        <v>32</v>
      </c>
      <c r="D1056" s="8" t="s">
        <v>33</v>
      </c>
      <c r="E1056" s="8" t="s">
        <v>34</v>
      </c>
      <c r="F1056" s="8" t="s">
        <v>35</v>
      </c>
      <c r="G1056">
        <v>8421230090</v>
      </c>
      <c r="H1056" t="s">
        <v>970</v>
      </c>
      <c r="I1056" t="s">
        <v>541</v>
      </c>
      <c r="J1056" t="s">
        <v>38</v>
      </c>
      <c r="K1056" t="s">
        <v>39</v>
      </c>
      <c r="L1056">
        <v>7</v>
      </c>
      <c r="M1056">
        <v>1</v>
      </c>
      <c r="N1056" t="s">
        <v>64</v>
      </c>
      <c r="O1056">
        <v>0</v>
      </c>
      <c r="P1056">
        <v>104.12</v>
      </c>
      <c r="Q1056">
        <v>16.45</v>
      </c>
      <c r="R1056">
        <v>0.64</v>
      </c>
      <c r="S1056">
        <v>121.21</v>
      </c>
      <c r="T1056" t="s">
        <v>41</v>
      </c>
      <c r="U1056" t="s">
        <v>41</v>
      </c>
      <c r="V1056" t="s">
        <v>38</v>
      </c>
      <c r="W1056" t="s">
        <v>971</v>
      </c>
      <c r="X1056">
        <v>104.12</v>
      </c>
      <c r="Y1056" s="9">
        <f t="shared" si="82"/>
        <v>104.12</v>
      </c>
      <c r="Z1056" s="9">
        <f t="shared" si="83"/>
        <v>195.22500000000002</v>
      </c>
      <c r="AA1056" s="5">
        <f t="shared" si="84"/>
        <v>216.89497500000002</v>
      </c>
      <c r="AB1056" s="6">
        <f t="shared" si="85"/>
        <v>316.2449775</v>
      </c>
      <c r="AD1056" s="10">
        <f t="shared" si="81"/>
        <v>395.9612017500001</v>
      </c>
    </row>
    <row r="1057" spans="1:30" x14ac:dyDescent="0.3">
      <c r="A1057" t="s">
        <v>30</v>
      </c>
      <c r="B1057" s="8" t="s">
        <v>32</v>
      </c>
      <c r="C1057" s="8" t="s">
        <v>32</v>
      </c>
      <c r="D1057" s="8" t="s">
        <v>33</v>
      </c>
      <c r="E1057" s="8" t="s">
        <v>34</v>
      </c>
      <c r="F1057" s="8" t="s">
        <v>35</v>
      </c>
      <c r="G1057">
        <v>8481909090</v>
      </c>
      <c r="H1057" t="s">
        <v>238</v>
      </c>
      <c r="I1057" t="s">
        <v>746</v>
      </c>
      <c r="J1057" t="s">
        <v>38</v>
      </c>
      <c r="K1057" t="s">
        <v>39</v>
      </c>
      <c r="L1057">
        <v>7</v>
      </c>
      <c r="M1057">
        <v>1</v>
      </c>
      <c r="N1057" t="s">
        <v>64</v>
      </c>
      <c r="O1057">
        <v>0</v>
      </c>
      <c r="P1057">
        <v>562.28</v>
      </c>
      <c r="Q1057">
        <v>88.83</v>
      </c>
      <c r="R1057">
        <v>3.47</v>
      </c>
      <c r="S1057">
        <v>654.57000000000005</v>
      </c>
      <c r="T1057" t="s">
        <v>41</v>
      </c>
      <c r="U1057" t="s">
        <v>41</v>
      </c>
      <c r="V1057" t="s">
        <v>38</v>
      </c>
      <c r="W1057" t="s">
        <v>972</v>
      </c>
      <c r="X1057">
        <v>562.28</v>
      </c>
      <c r="Y1057" s="9">
        <f t="shared" si="82"/>
        <v>562.28</v>
      </c>
      <c r="Z1057" s="9">
        <f t="shared" si="83"/>
        <v>1054.2749999999999</v>
      </c>
      <c r="AA1057" s="5">
        <f t="shared" si="84"/>
        <v>1171.2995249999999</v>
      </c>
      <c r="AB1057" s="6">
        <f t="shared" si="85"/>
        <v>1707.8200724999997</v>
      </c>
      <c r="AD1057" s="10">
        <f t="shared" si="81"/>
        <v>2138.3121832500001</v>
      </c>
    </row>
    <row r="1058" spans="1:30" x14ac:dyDescent="0.3">
      <c r="A1058" t="s">
        <v>30</v>
      </c>
      <c r="B1058" s="8" t="s">
        <v>32</v>
      </c>
      <c r="C1058" s="8" t="s">
        <v>32</v>
      </c>
      <c r="D1058" s="8" t="s">
        <v>33</v>
      </c>
      <c r="E1058" s="8" t="s">
        <v>34</v>
      </c>
      <c r="F1058" s="8" t="s">
        <v>35</v>
      </c>
      <c r="G1058">
        <v>8481909090</v>
      </c>
      <c r="H1058" t="s">
        <v>238</v>
      </c>
      <c r="I1058" t="s">
        <v>973</v>
      </c>
      <c r="J1058" t="s">
        <v>38</v>
      </c>
      <c r="K1058" t="s">
        <v>39</v>
      </c>
      <c r="L1058">
        <v>7</v>
      </c>
      <c r="M1058">
        <v>1</v>
      </c>
      <c r="N1058" t="s">
        <v>64</v>
      </c>
      <c r="O1058">
        <v>0</v>
      </c>
      <c r="P1058">
        <v>229.76</v>
      </c>
      <c r="Q1058">
        <v>36.299999999999997</v>
      </c>
      <c r="R1058">
        <v>1.42</v>
      </c>
      <c r="S1058">
        <v>267.48</v>
      </c>
      <c r="T1058" t="s">
        <v>41</v>
      </c>
      <c r="U1058" t="s">
        <v>41</v>
      </c>
      <c r="V1058" t="s">
        <v>38</v>
      </c>
      <c r="W1058" t="s">
        <v>974</v>
      </c>
      <c r="X1058">
        <v>229.76</v>
      </c>
      <c r="Y1058" s="9">
        <f t="shared" si="82"/>
        <v>229.76</v>
      </c>
      <c r="Z1058" s="9">
        <f t="shared" si="83"/>
        <v>430.79999999999995</v>
      </c>
      <c r="AA1058" s="5">
        <f t="shared" si="84"/>
        <v>478.61879999999996</v>
      </c>
      <c r="AB1058" s="6">
        <f t="shared" si="85"/>
        <v>697.85291999999993</v>
      </c>
      <c r="AD1058" s="10">
        <f t="shared" si="81"/>
        <v>873.761484</v>
      </c>
    </row>
    <row r="1059" spans="1:30" x14ac:dyDescent="0.3">
      <c r="A1059" t="s">
        <v>30</v>
      </c>
      <c r="B1059" s="8" t="s">
        <v>32</v>
      </c>
      <c r="C1059" s="8" t="s">
        <v>32</v>
      </c>
      <c r="D1059" s="8" t="s">
        <v>33</v>
      </c>
      <c r="E1059" s="8" t="s">
        <v>34</v>
      </c>
      <c r="F1059" s="8" t="s">
        <v>35</v>
      </c>
      <c r="G1059">
        <v>8482100000</v>
      </c>
      <c r="H1059" t="s">
        <v>854</v>
      </c>
      <c r="I1059" t="s">
        <v>675</v>
      </c>
      <c r="J1059" t="s">
        <v>38</v>
      </c>
      <c r="K1059" t="s">
        <v>39</v>
      </c>
      <c r="L1059">
        <v>8</v>
      </c>
      <c r="M1059">
        <v>2</v>
      </c>
      <c r="N1059" t="s">
        <v>64</v>
      </c>
      <c r="O1059">
        <v>0</v>
      </c>
      <c r="P1059">
        <v>775.64</v>
      </c>
      <c r="Q1059">
        <v>82.8</v>
      </c>
      <c r="R1059">
        <v>5.2</v>
      </c>
      <c r="S1059">
        <v>863.63</v>
      </c>
      <c r="T1059" t="s">
        <v>41</v>
      </c>
      <c r="U1059" t="s">
        <v>41</v>
      </c>
      <c r="V1059" t="s">
        <v>38</v>
      </c>
      <c r="W1059" t="s">
        <v>975</v>
      </c>
      <c r="X1059">
        <v>387.82</v>
      </c>
      <c r="Y1059" s="9">
        <f t="shared" si="82"/>
        <v>387.82</v>
      </c>
      <c r="Z1059" s="9">
        <f t="shared" si="83"/>
        <v>727.16250000000002</v>
      </c>
      <c r="AA1059" s="5">
        <f t="shared" si="84"/>
        <v>807.87753750000002</v>
      </c>
      <c r="AB1059" s="6">
        <f t="shared" si="85"/>
        <v>1177.93053375</v>
      </c>
      <c r="AD1059" s="10">
        <f t="shared" si="81"/>
        <v>1474.8527973750001</v>
      </c>
    </row>
    <row r="1060" spans="1:30" x14ac:dyDescent="0.3">
      <c r="A1060" t="s">
        <v>30</v>
      </c>
      <c r="B1060" s="8" t="s">
        <v>32</v>
      </c>
      <c r="C1060" s="8" t="s">
        <v>32</v>
      </c>
      <c r="D1060" s="8" t="s">
        <v>33</v>
      </c>
      <c r="E1060" s="8" t="s">
        <v>34</v>
      </c>
      <c r="F1060" s="8" t="s">
        <v>35</v>
      </c>
      <c r="G1060">
        <v>8421999000</v>
      </c>
      <c r="H1060" t="s">
        <v>36</v>
      </c>
      <c r="I1060" t="s">
        <v>430</v>
      </c>
      <c r="J1060" t="s">
        <v>38</v>
      </c>
      <c r="K1060" t="s">
        <v>39</v>
      </c>
      <c r="L1060">
        <v>12</v>
      </c>
      <c r="M1060">
        <v>1</v>
      </c>
      <c r="N1060" t="s">
        <v>64</v>
      </c>
      <c r="O1060">
        <v>0</v>
      </c>
      <c r="P1060">
        <v>747.4</v>
      </c>
      <c r="Q1060">
        <v>85.82</v>
      </c>
      <c r="R1060">
        <v>4.9800000000000004</v>
      </c>
      <c r="S1060">
        <v>838.2</v>
      </c>
      <c r="T1060" t="s">
        <v>41</v>
      </c>
      <c r="U1060" t="s">
        <v>41</v>
      </c>
      <c r="V1060" t="s">
        <v>38</v>
      </c>
      <c r="W1060" t="s">
        <v>976</v>
      </c>
      <c r="X1060">
        <v>747.4</v>
      </c>
      <c r="Y1060" s="9">
        <f t="shared" si="82"/>
        <v>747.4</v>
      </c>
      <c r="Z1060" s="9">
        <f t="shared" si="83"/>
        <v>1401.375</v>
      </c>
      <c r="AA1060" s="5">
        <f t="shared" si="84"/>
        <v>1556.927625</v>
      </c>
      <c r="AB1060" s="6">
        <f t="shared" si="85"/>
        <v>2270.0873624999999</v>
      </c>
      <c r="AD1060" s="10">
        <f t="shared" si="81"/>
        <v>2842.3108162500002</v>
      </c>
    </row>
    <row r="1061" spans="1:30" x14ac:dyDescent="0.3">
      <c r="A1061" t="s">
        <v>30</v>
      </c>
      <c r="B1061" s="8" t="s">
        <v>32</v>
      </c>
      <c r="C1061" s="8" t="s">
        <v>32</v>
      </c>
      <c r="D1061" s="8" t="s">
        <v>33</v>
      </c>
      <c r="E1061" s="8" t="s">
        <v>34</v>
      </c>
      <c r="F1061" s="8" t="s">
        <v>35</v>
      </c>
      <c r="G1061">
        <v>8421999000</v>
      </c>
      <c r="H1061" t="s">
        <v>36</v>
      </c>
      <c r="I1061" t="s">
        <v>430</v>
      </c>
      <c r="J1061" t="s">
        <v>38</v>
      </c>
      <c r="K1061" t="s">
        <v>39</v>
      </c>
      <c r="L1061">
        <v>12</v>
      </c>
      <c r="M1061">
        <v>1</v>
      </c>
      <c r="N1061" t="s">
        <v>64</v>
      </c>
      <c r="O1061">
        <v>0</v>
      </c>
      <c r="P1061">
        <v>747.4</v>
      </c>
      <c r="Q1061">
        <v>85.82</v>
      </c>
      <c r="R1061">
        <v>4.9800000000000004</v>
      </c>
      <c r="S1061">
        <v>838.2</v>
      </c>
      <c r="T1061" t="s">
        <v>41</v>
      </c>
      <c r="U1061" t="s">
        <v>41</v>
      </c>
      <c r="V1061" t="s">
        <v>38</v>
      </c>
      <c r="W1061" t="s">
        <v>976</v>
      </c>
      <c r="X1061">
        <v>747.4</v>
      </c>
      <c r="Y1061" s="9">
        <f t="shared" si="82"/>
        <v>747.4</v>
      </c>
      <c r="Z1061" s="9">
        <f t="shared" si="83"/>
        <v>1401.375</v>
      </c>
      <c r="AA1061" s="5">
        <f t="shared" si="84"/>
        <v>1556.927625</v>
      </c>
      <c r="AB1061" s="6">
        <f t="shared" si="85"/>
        <v>2270.0873624999999</v>
      </c>
      <c r="AD1061" s="10">
        <f t="shared" si="81"/>
        <v>2842.3108162500002</v>
      </c>
    </row>
    <row r="1062" spans="1:30" x14ac:dyDescent="0.3">
      <c r="A1062" t="s">
        <v>30</v>
      </c>
      <c r="B1062" s="8" t="s">
        <v>32</v>
      </c>
      <c r="C1062" s="8" t="s">
        <v>32</v>
      </c>
      <c r="D1062" s="8" t="s">
        <v>69</v>
      </c>
      <c r="E1062" s="8" t="s">
        <v>70</v>
      </c>
      <c r="F1062" s="8" t="s">
        <v>71</v>
      </c>
      <c r="G1062">
        <v>8421999000</v>
      </c>
      <c r="H1062" t="s">
        <v>36</v>
      </c>
      <c r="I1062" t="s">
        <v>478</v>
      </c>
      <c r="J1062" t="s">
        <v>38</v>
      </c>
      <c r="K1062" t="s">
        <v>39</v>
      </c>
      <c r="L1062">
        <v>9</v>
      </c>
      <c r="M1062">
        <v>1</v>
      </c>
      <c r="N1062" t="s">
        <v>64</v>
      </c>
      <c r="O1062">
        <v>0</v>
      </c>
      <c r="P1062">
        <v>423.26</v>
      </c>
      <c r="Q1062">
        <v>21.33</v>
      </c>
      <c r="R1062">
        <v>2.69</v>
      </c>
      <c r="S1062">
        <v>447.28</v>
      </c>
      <c r="T1062" t="s">
        <v>41</v>
      </c>
      <c r="U1062" t="s">
        <v>43</v>
      </c>
      <c r="V1062" t="s">
        <v>38</v>
      </c>
      <c r="W1062" t="s">
        <v>977</v>
      </c>
      <c r="X1062">
        <v>423.26</v>
      </c>
      <c r="Y1062" s="9">
        <f t="shared" si="82"/>
        <v>423.26</v>
      </c>
      <c r="Z1062" s="9">
        <f t="shared" si="83"/>
        <v>793.61249999999995</v>
      </c>
      <c r="AA1062" s="5">
        <f t="shared" si="84"/>
        <v>881.70348749999994</v>
      </c>
      <c r="AB1062" s="6">
        <f t="shared" si="85"/>
        <v>1285.5728887499999</v>
      </c>
      <c r="AD1062" s="10">
        <f t="shared" si="81"/>
        <v>1609.6286808750001</v>
      </c>
    </row>
    <row r="1063" spans="1:30" x14ac:dyDescent="0.3">
      <c r="A1063" t="s">
        <v>30</v>
      </c>
      <c r="B1063" s="8" t="s">
        <v>32</v>
      </c>
      <c r="C1063" s="8" t="s">
        <v>32</v>
      </c>
      <c r="D1063" s="8" t="s">
        <v>69</v>
      </c>
      <c r="E1063" s="8" t="s">
        <v>70</v>
      </c>
      <c r="F1063" s="8" t="s">
        <v>71</v>
      </c>
      <c r="G1063">
        <v>8421999000</v>
      </c>
      <c r="H1063" t="s">
        <v>36</v>
      </c>
      <c r="I1063" t="s">
        <v>478</v>
      </c>
      <c r="J1063" t="s">
        <v>38</v>
      </c>
      <c r="K1063" t="s">
        <v>39</v>
      </c>
      <c r="L1063">
        <v>9</v>
      </c>
      <c r="M1063">
        <v>1</v>
      </c>
      <c r="N1063" t="s">
        <v>64</v>
      </c>
      <c r="O1063">
        <v>0</v>
      </c>
      <c r="P1063">
        <v>423.26</v>
      </c>
      <c r="Q1063">
        <v>21.33</v>
      </c>
      <c r="R1063">
        <v>2.69</v>
      </c>
      <c r="S1063">
        <v>447.28</v>
      </c>
      <c r="T1063" t="s">
        <v>41</v>
      </c>
      <c r="U1063" t="s">
        <v>43</v>
      </c>
      <c r="V1063" t="s">
        <v>38</v>
      </c>
      <c r="W1063" t="s">
        <v>977</v>
      </c>
      <c r="X1063">
        <v>423.26</v>
      </c>
      <c r="Y1063" s="9">
        <f t="shared" si="82"/>
        <v>423.26</v>
      </c>
      <c r="Z1063" s="9">
        <f t="shared" si="83"/>
        <v>793.61249999999995</v>
      </c>
      <c r="AA1063" s="5">
        <f t="shared" si="84"/>
        <v>881.70348749999994</v>
      </c>
      <c r="AB1063" s="6">
        <f t="shared" si="85"/>
        <v>1285.5728887499999</v>
      </c>
      <c r="AD1063" s="10">
        <f t="shared" si="81"/>
        <v>1609.6286808750001</v>
      </c>
    </row>
    <row r="1064" spans="1:30" x14ac:dyDescent="0.3">
      <c r="A1064" t="s">
        <v>30</v>
      </c>
      <c r="B1064" s="8" t="s">
        <v>32</v>
      </c>
      <c r="C1064" s="8" t="s">
        <v>32</v>
      </c>
      <c r="D1064" s="8" t="s">
        <v>33</v>
      </c>
      <c r="E1064" s="8" t="s">
        <v>34</v>
      </c>
      <c r="F1064" s="8" t="s">
        <v>35</v>
      </c>
      <c r="G1064">
        <v>8421999000</v>
      </c>
      <c r="H1064" t="s">
        <v>36</v>
      </c>
      <c r="I1064" t="s">
        <v>478</v>
      </c>
      <c r="J1064" t="s">
        <v>38</v>
      </c>
      <c r="K1064" t="s">
        <v>39</v>
      </c>
      <c r="L1064">
        <v>16</v>
      </c>
      <c r="M1064">
        <v>2</v>
      </c>
      <c r="N1064" t="s">
        <v>64</v>
      </c>
      <c r="O1064">
        <v>0</v>
      </c>
      <c r="P1064">
        <v>910.47</v>
      </c>
      <c r="Q1064">
        <v>125.66</v>
      </c>
      <c r="R1064">
        <v>6.07</v>
      </c>
      <c r="S1064">
        <v>1042.2</v>
      </c>
      <c r="T1064" t="s">
        <v>41</v>
      </c>
      <c r="U1064" t="s">
        <v>41</v>
      </c>
      <c r="V1064" t="s">
        <v>38</v>
      </c>
      <c r="W1064" t="s">
        <v>977</v>
      </c>
      <c r="X1064">
        <v>455.24</v>
      </c>
      <c r="Y1064" s="9">
        <f t="shared" si="82"/>
        <v>455.23500000000001</v>
      </c>
      <c r="Z1064" s="9">
        <f t="shared" si="83"/>
        <v>853.56562500000007</v>
      </c>
      <c r="AA1064" s="5">
        <f t="shared" si="84"/>
        <v>948.31140937500004</v>
      </c>
      <c r="AB1064" s="6">
        <f t="shared" si="85"/>
        <v>1382.6909559375001</v>
      </c>
      <c r="AD1064" s="10">
        <f t="shared" si="81"/>
        <v>1731.2274075937503</v>
      </c>
    </row>
    <row r="1065" spans="1:30" x14ac:dyDescent="0.3">
      <c r="A1065" t="s">
        <v>30</v>
      </c>
      <c r="B1065" s="8" t="s">
        <v>32</v>
      </c>
      <c r="C1065" s="8" t="s">
        <v>32</v>
      </c>
      <c r="D1065" s="8" t="s">
        <v>33</v>
      </c>
      <c r="E1065" s="8" t="s">
        <v>34</v>
      </c>
      <c r="F1065" s="8" t="s">
        <v>35</v>
      </c>
      <c r="G1065">
        <v>8421999000</v>
      </c>
      <c r="H1065" t="s">
        <v>36</v>
      </c>
      <c r="I1065" t="s">
        <v>478</v>
      </c>
      <c r="J1065" t="s">
        <v>38</v>
      </c>
      <c r="K1065" t="s">
        <v>39</v>
      </c>
      <c r="L1065">
        <v>16</v>
      </c>
      <c r="M1065">
        <v>1</v>
      </c>
      <c r="N1065" t="s">
        <v>64</v>
      </c>
      <c r="O1065">
        <v>0</v>
      </c>
      <c r="P1065">
        <v>455.23</v>
      </c>
      <c r="Q1065">
        <v>62.83</v>
      </c>
      <c r="R1065">
        <v>3.04</v>
      </c>
      <c r="S1065">
        <v>521.1</v>
      </c>
      <c r="T1065" t="s">
        <v>41</v>
      </c>
      <c r="U1065" t="s">
        <v>41</v>
      </c>
      <c r="V1065" t="s">
        <v>38</v>
      </c>
      <c r="W1065" t="s">
        <v>977</v>
      </c>
      <c r="X1065">
        <v>455.23</v>
      </c>
      <c r="Y1065" s="9">
        <f t="shared" si="82"/>
        <v>455.23</v>
      </c>
      <c r="Z1065" s="9">
        <f t="shared" si="83"/>
        <v>853.55625000000009</v>
      </c>
      <c r="AA1065" s="5">
        <f t="shared" si="84"/>
        <v>948.30099375000009</v>
      </c>
      <c r="AB1065" s="6">
        <f t="shared" si="85"/>
        <v>1382.6757693750001</v>
      </c>
      <c r="AD1065" s="10">
        <f t="shared" si="81"/>
        <v>1731.2083929375003</v>
      </c>
    </row>
    <row r="1066" spans="1:30" x14ac:dyDescent="0.3">
      <c r="A1066" t="s">
        <v>30</v>
      </c>
      <c r="B1066" s="8" t="s">
        <v>32</v>
      </c>
      <c r="C1066" s="8" t="s">
        <v>32</v>
      </c>
      <c r="D1066" s="8" t="s">
        <v>33</v>
      </c>
      <c r="E1066" s="8" t="s">
        <v>34</v>
      </c>
      <c r="F1066" s="8" t="s">
        <v>35</v>
      </c>
      <c r="G1066">
        <v>8481805900</v>
      </c>
      <c r="H1066" t="s">
        <v>36</v>
      </c>
      <c r="I1066" t="s">
        <v>978</v>
      </c>
      <c r="J1066" t="s">
        <v>38</v>
      </c>
      <c r="K1066" t="s">
        <v>39</v>
      </c>
      <c r="L1066">
        <v>7</v>
      </c>
      <c r="M1066">
        <v>2</v>
      </c>
      <c r="N1066" t="s">
        <v>64</v>
      </c>
      <c r="O1066">
        <v>0</v>
      </c>
      <c r="P1066">
        <v>908.85</v>
      </c>
      <c r="Q1066">
        <v>143.59</v>
      </c>
      <c r="R1066">
        <v>5.6</v>
      </c>
      <c r="S1066">
        <v>1058.04</v>
      </c>
      <c r="T1066" t="s">
        <v>41</v>
      </c>
      <c r="U1066" t="s">
        <v>41</v>
      </c>
      <c r="V1066" t="s">
        <v>38</v>
      </c>
      <c r="W1066" t="s">
        <v>979</v>
      </c>
      <c r="X1066">
        <v>454.43</v>
      </c>
      <c r="Y1066" s="9">
        <f t="shared" si="82"/>
        <v>454.42500000000001</v>
      </c>
      <c r="Z1066" s="9">
        <f t="shared" si="83"/>
        <v>852.046875</v>
      </c>
      <c r="AA1066" s="5">
        <f t="shared" si="84"/>
        <v>946.62407812499998</v>
      </c>
      <c r="AB1066" s="6">
        <f t="shared" si="85"/>
        <v>1380.2307328124998</v>
      </c>
      <c r="AD1066" s="10">
        <f t="shared" si="81"/>
        <v>1728.1470332812501</v>
      </c>
    </row>
    <row r="1067" spans="1:30" x14ac:dyDescent="0.3">
      <c r="A1067" t="s">
        <v>30</v>
      </c>
      <c r="B1067" s="8" t="s">
        <v>32</v>
      </c>
      <c r="C1067" s="8" t="s">
        <v>32</v>
      </c>
      <c r="D1067" s="8" t="s">
        <v>33</v>
      </c>
      <c r="E1067" s="8" t="s">
        <v>34</v>
      </c>
      <c r="F1067" s="8" t="s">
        <v>35</v>
      </c>
      <c r="G1067">
        <v>8481805900</v>
      </c>
      <c r="H1067" t="s">
        <v>36</v>
      </c>
      <c r="I1067" t="s">
        <v>360</v>
      </c>
      <c r="J1067" t="s">
        <v>38</v>
      </c>
      <c r="K1067" t="s">
        <v>39</v>
      </c>
      <c r="L1067">
        <v>3</v>
      </c>
      <c r="M1067">
        <v>3</v>
      </c>
      <c r="N1067" t="s">
        <v>64</v>
      </c>
      <c r="O1067">
        <v>0</v>
      </c>
      <c r="P1067">
        <v>1318.59</v>
      </c>
      <c r="Q1067">
        <v>56.43</v>
      </c>
      <c r="R1067">
        <v>8.5</v>
      </c>
      <c r="S1067">
        <v>1383.53</v>
      </c>
      <c r="T1067" t="s">
        <v>41</v>
      </c>
      <c r="U1067" t="s">
        <v>43</v>
      </c>
      <c r="V1067" t="s">
        <v>38</v>
      </c>
      <c r="W1067" t="s">
        <v>979</v>
      </c>
      <c r="X1067">
        <v>439.53</v>
      </c>
      <c r="Y1067" s="9">
        <f t="shared" si="82"/>
        <v>439.53</v>
      </c>
      <c r="Z1067" s="9">
        <f t="shared" si="83"/>
        <v>824.11874999999998</v>
      </c>
      <c r="AA1067" s="5">
        <f t="shared" si="84"/>
        <v>915.59593124999992</v>
      </c>
      <c r="AB1067" s="6">
        <f t="shared" si="85"/>
        <v>1334.9899631249998</v>
      </c>
      <c r="AD1067" s="10">
        <f t="shared" si="81"/>
        <v>1671.5023723125</v>
      </c>
    </row>
    <row r="1068" spans="1:30" x14ac:dyDescent="0.3">
      <c r="A1068" t="s">
        <v>30</v>
      </c>
      <c r="B1068" s="8" t="s">
        <v>32</v>
      </c>
      <c r="C1068" s="8" t="s">
        <v>32</v>
      </c>
      <c r="D1068" s="8" t="s">
        <v>33</v>
      </c>
      <c r="E1068" s="8" t="s">
        <v>34</v>
      </c>
      <c r="F1068" s="8" t="s">
        <v>35</v>
      </c>
      <c r="G1068">
        <v>9025809000</v>
      </c>
      <c r="H1068" t="s">
        <v>177</v>
      </c>
      <c r="I1068" t="s">
        <v>980</v>
      </c>
      <c r="J1068" t="s">
        <v>38</v>
      </c>
      <c r="K1068" t="s">
        <v>39</v>
      </c>
      <c r="L1068">
        <v>3</v>
      </c>
      <c r="M1068">
        <v>1</v>
      </c>
      <c r="N1068" t="s">
        <v>64</v>
      </c>
      <c r="O1068">
        <v>0</v>
      </c>
      <c r="P1068">
        <v>1132.05</v>
      </c>
      <c r="Q1068">
        <v>48.45</v>
      </c>
      <c r="R1068">
        <v>7.3</v>
      </c>
      <c r="S1068">
        <v>1187.8</v>
      </c>
      <c r="T1068" t="s">
        <v>41</v>
      </c>
      <c r="U1068" t="s">
        <v>43</v>
      </c>
      <c r="V1068" t="s">
        <v>38</v>
      </c>
      <c r="W1068" t="s">
        <v>981</v>
      </c>
      <c r="X1068">
        <v>1132.05</v>
      </c>
      <c r="Y1068" s="9">
        <f t="shared" si="82"/>
        <v>1132.05</v>
      </c>
      <c r="Z1068" s="9">
        <f t="shared" si="83"/>
        <v>2122.59375</v>
      </c>
      <c r="AA1068" s="5">
        <f t="shared" si="84"/>
        <v>2358.2016562499998</v>
      </c>
      <c r="AB1068" s="6">
        <f t="shared" si="85"/>
        <v>3438.3896156249998</v>
      </c>
      <c r="AD1068" s="10">
        <f t="shared" si="81"/>
        <v>4305.1083215625004</v>
      </c>
    </row>
    <row r="1069" spans="1:30" x14ac:dyDescent="0.3">
      <c r="A1069" t="s">
        <v>30</v>
      </c>
      <c r="B1069" s="8" t="s">
        <v>32</v>
      </c>
      <c r="C1069" s="8" t="s">
        <v>32</v>
      </c>
      <c r="D1069" s="8" t="s">
        <v>33</v>
      </c>
      <c r="E1069" s="8" t="s">
        <v>34</v>
      </c>
      <c r="F1069" s="8" t="s">
        <v>35</v>
      </c>
      <c r="G1069">
        <v>8421999000</v>
      </c>
      <c r="H1069" t="s">
        <v>36</v>
      </c>
      <c r="I1069" t="s">
        <v>661</v>
      </c>
      <c r="J1069" t="s">
        <v>38</v>
      </c>
      <c r="K1069" t="s">
        <v>39</v>
      </c>
      <c r="L1069">
        <v>6</v>
      </c>
      <c r="M1069">
        <v>2</v>
      </c>
      <c r="N1069" t="s">
        <v>64</v>
      </c>
      <c r="O1069">
        <v>0</v>
      </c>
      <c r="P1069">
        <v>1104.4100000000001</v>
      </c>
      <c r="Q1069">
        <v>133.56</v>
      </c>
      <c r="R1069">
        <v>7.69</v>
      </c>
      <c r="S1069">
        <v>1245.67</v>
      </c>
      <c r="T1069" t="s">
        <v>41</v>
      </c>
      <c r="U1069" t="s">
        <v>43</v>
      </c>
      <c r="V1069" t="s">
        <v>38</v>
      </c>
      <c r="W1069" t="s">
        <v>982</v>
      </c>
      <c r="X1069">
        <v>552.21</v>
      </c>
      <c r="Y1069" s="9">
        <f t="shared" si="82"/>
        <v>552.20500000000004</v>
      </c>
      <c r="Z1069" s="9">
        <f t="shared" si="83"/>
        <v>1035.3843750000001</v>
      </c>
      <c r="AA1069" s="5">
        <f t="shared" si="84"/>
        <v>1150.312040625</v>
      </c>
      <c r="AB1069" s="6">
        <f t="shared" si="85"/>
        <v>1677.2191490625</v>
      </c>
      <c r="AD1069" s="10">
        <f t="shared" si="81"/>
        <v>2099.9976509062503</v>
      </c>
    </row>
    <row r="1070" spans="1:30" x14ac:dyDescent="0.3">
      <c r="A1070" t="s">
        <v>30</v>
      </c>
      <c r="B1070" s="8" t="s">
        <v>66</v>
      </c>
      <c r="C1070" s="8" t="s">
        <v>32</v>
      </c>
      <c r="D1070" s="8" t="s">
        <v>33</v>
      </c>
      <c r="E1070" s="8" t="s">
        <v>34</v>
      </c>
      <c r="F1070" s="8" t="s">
        <v>35</v>
      </c>
      <c r="G1070">
        <v>8481909090</v>
      </c>
      <c r="H1070" t="s">
        <v>238</v>
      </c>
      <c r="I1070" t="s">
        <v>630</v>
      </c>
      <c r="J1070" t="s">
        <v>38</v>
      </c>
      <c r="K1070" t="s">
        <v>39</v>
      </c>
      <c r="L1070">
        <v>7</v>
      </c>
      <c r="M1070">
        <v>4</v>
      </c>
      <c r="N1070" t="s">
        <v>64</v>
      </c>
      <c r="O1070">
        <v>82.53</v>
      </c>
      <c r="P1070">
        <v>410.11</v>
      </c>
      <c r="Q1070">
        <v>64.790000000000006</v>
      </c>
      <c r="R1070">
        <v>2.5299999999999998</v>
      </c>
      <c r="S1070">
        <v>477.43</v>
      </c>
      <c r="T1070" t="s">
        <v>41</v>
      </c>
      <c r="U1070" t="s">
        <v>41</v>
      </c>
      <c r="V1070" t="s">
        <v>38</v>
      </c>
      <c r="W1070" t="s">
        <v>983</v>
      </c>
      <c r="X1070">
        <v>102.53</v>
      </c>
      <c r="Y1070" s="9">
        <f t="shared" si="82"/>
        <v>102.5275</v>
      </c>
      <c r="Z1070" s="9">
        <f t="shared" si="83"/>
        <v>192.23906250000002</v>
      </c>
      <c r="AA1070" s="5">
        <f t="shared" si="84"/>
        <v>213.57759843750003</v>
      </c>
      <c r="AB1070" s="6">
        <f t="shared" si="85"/>
        <v>311.40805734374999</v>
      </c>
      <c r="AD1070" s="10">
        <f t="shared" si="81"/>
        <v>389.90503373437508</v>
      </c>
    </row>
    <row r="1071" spans="1:30" x14ac:dyDescent="0.3">
      <c r="A1071" t="s">
        <v>168</v>
      </c>
      <c r="B1071" s="8" t="s">
        <v>32</v>
      </c>
      <c r="C1071" s="8" t="s">
        <v>32</v>
      </c>
      <c r="D1071" s="8" t="s">
        <v>33</v>
      </c>
      <c r="E1071" s="8" t="s">
        <v>34</v>
      </c>
      <c r="F1071" s="8" t="s">
        <v>35</v>
      </c>
      <c r="G1071">
        <v>7318290000</v>
      </c>
      <c r="H1071" t="s">
        <v>759</v>
      </c>
      <c r="I1071" t="s">
        <v>984</v>
      </c>
      <c r="J1071" t="s">
        <v>38</v>
      </c>
      <c r="K1071" t="s">
        <v>39</v>
      </c>
      <c r="L1071">
        <v>11</v>
      </c>
      <c r="M1071">
        <v>1</v>
      </c>
      <c r="N1071" t="s">
        <v>40</v>
      </c>
      <c r="O1071">
        <v>49.44</v>
      </c>
      <c r="P1071">
        <v>654.80999999999995</v>
      </c>
      <c r="Q1071">
        <v>62.72</v>
      </c>
      <c r="R1071">
        <v>4.42</v>
      </c>
      <c r="S1071">
        <v>721.95</v>
      </c>
      <c r="T1071" t="s">
        <v>41</v>
      </c>
      <c r="U1071" t="s">
        <v>43</v>
      </c>
      <c r="V1071" t="s">
        <v>38</v>
      </c>
      <c r="W1071" t="s">
        <v>985</v>
      </c>
      <c r="X1071">
        <v>654.80999999999995</v>
      </c>
      <c r="Y1071" s="9">
        <f t="shared" si="82"/>
        <v>654.80999999999995</v>
      </c>
      <c r="Z1071" s="9">
        <f t="shared" si="83"/>
        <v>1227.76875</v>
      </c>
      <c r="AA1071" s="5">
        <f t="shared" si="84"/>
        <v>1364.0510812499999</v>
      </c>
      <c r="AB1071" s="6">
        <f t="shared" si="85"/>
        <v>1988.8625981249997</v>
      </c>
      <c r="AD1071" s="10">
        <f t="shared" si="81"/>
        <v>2490.1974118125004</v>
      </c>
    </row>
    <row r="1072" spans="1:30" x14ac:dyDescent="0.3">
      <c r="A1072" t="s">
        <v>30</v>
      </c>
      <c r="B1072" s="8" t="s">
        <v>32</v>
      </c>
      <c r="C1072" s="8" t="s">
        <v>32</v>
      </c>
      <c r="D1072" s="8" t="s">
        <v>33</v>
      </c>
      <c r="E1072" s="8" t="s">
        <v>34</v>
      </c>
      <c r="F1072" s="8" t="s">
        <v>35</v>
      </c>
      <c r="G1072">
        <v>8421392000</v>
      </c>
      <c r="H1072" t="s">
        <v>429</v>
      </c>
      <c r="I1072" t="s">
        <v>560</v>
      </c>
      <c r="J1072" t="s">
        <v>38</v>
      </c>
      <c r="K1072" t="s">
        <v>39</v>
      </c>
      <c r="L1072">
        <v>8</v>
      </c>
      <c r="M1072">
        <v>4</v>
      </c>
      <c r="N1072" t="s">
        <v>64</v>
      </c>
      <c r="O1072">
        <v>0</v>
      </c>
      <c r="P1072">
        <v>625.89</v>
      </c>
      <c r="Q1072">
        <v>66.81</v>
      </c>
      <c r="R1072">
        <v>4.2</v>
      </c>
      <c r="S1072">
        <v>696.9</v>
      </c>
      <c r="T1072" t="s">
        <v>41</v>
      </c>
      <c r="U1072" t="s">
        <v>41</v>
      </c>
      <c r="V1072" t="s">
        <v>38</v>
      </c>
      <c r="W1072" t="s">
        <v>986</v>
      </c>
      <c r="X1072">
        <v>156.47</v>
      </c>
      <c r="Y1072" s="9">
        <f t="shared" si="82"/>
        <v>156.4725</v>
      </c>
      <c r="Z1072" s="9">
        <f t="shared" si="83"/>
        <v>293.38593750000001</v>
      </c>
      <c r="AA1072" s="5">
        <f t="shared" si="84"/>
        <v>325.95177656250002</v>
      </c>
      <c r="AB1072" s="6">
        <f t="shared" si="85"/>
        <v>475.25588015624999</v>
      </c>
      <c r="AD1072" s="10">
        <f t="shared" si="81"/>
        <v>595.05416001562503</v>
      </c>
    </row>
    <row r="1073" spans="1:30" x14ac:dyDescent="0.3">
      <c r="A1073" t="s">
        <v>30</v>
      </c>
      <c r="B1073" s="8" t="s">
        <v>32</v>
      </c>
      <c r="C1073" s="8" t="s">
        <v>32</v>
      </c>
      <c r="D1073" s="8" t="s">
        <v>33</v>
      </c>
      <c r="E1073" s="8" t="s">
        <v>34</v>
      </c>
      <c r="F1073" s="8" t="s">
        <v>35</v>
      </c>
      <c r="G1073">
        <v>8421999000</v>
      </c>
      <c r="H1073" t="s">
        <v>36</v>
      </c>
      <c r="I1073" t="s">
        <v>478</v>
      </c>
      <c r="J1073" t="s">
        <v>38</v>
      </c>
      <c r="K1073" t="s">
        <v>39</v>
      </c>
      <c r="L1073">
        <v>8</v>
      </c>
      <c r="M1073">
        <v>2</v>
      </c>
      <c r="N1073" t="s">
        <v>64</v>
      </c>
      <c r="O1073">
        <v>0</v>
      </c>
      <c r="P1073">
        <v>170.14</v>
      </c>
      <c r="Q1073">
        <v>18.16</v>
      </c>
      <c r="R1073">
        <v>1.1399999999999999</v>
      </c>
      <c r="S1073">
        <v>189.44</v>
      </c>
      <c r="T1073" t="s">
        <v>41</v>
      </c>
      <c r="U1073" t="s">
        <v>41</v>
      </c>
      <c r="V1073" t="s">
        <v>38</v>
      </c>
      <c r="W1073" t="s">
        <v>987</v>
      </c>
      <c r="X1073">
        <v>85.07</v>
      </c>
      <c r="Y1073" s="9">
        <f t="shared" si="82"/>
        <v>85.07</v>
      </c>
      <c r="Z1073" s="9">
        <f t="shared" si="83"/>
        <v>159.50624999999999</v>
      </c>
      <c r="AA1073" s="5">
        <f t="shared" si="84"/>
        <v>177.21144375</v>
      </c>
      <c r="AB1073" s="6">
        <f t="shared" si="85"/>
        <v>258.38417437499999</v>
      </c>
      <c r="AD1073" s="10">
        <f t="shared" si="81"/>
        <v>323.51536143750002</v>
      </c>
    </row>
    <row r="1074" spans="1:30" x14ac:dyDescent="0.3">
      <c r="A1074" t="s">
        <v>30</v>
      </c>
      <c r="B1074" s="8" t="s">
        <v>32</v>
      </c>
      <c r="C1074" s="8" t="s">
        <v>32</v>
      </c>
      <c r="D1074" s="8" t="s">
        <v>33</v>
      </c>
      <c r="E1074" s="8" t="s">
        <v>34</v>
      </c>
      <c r="F1074" s="8" t="s">
        <v>35</v>
      </c>
      <c r="G1074">
        <v>8481300000</v>
      </c>
      <c r="H1074" t="s">
        <v>488</v>
      </c>
      <c r="I1074" t="s">
        <v>988</v>
      </c>
      <c r="J1074" t="s">
        <v>38</v>
      </c>
      <c r="K1074" t="s">
        <v>39</v>
      </c>
      <c r="L1074">
        <v>8</v>
      </c>
      <c r="M1074">
        <v>1</v>
      </c>
      <c r="N1074" t="s">
        <v>64</v>
      </c>
      <c r="O1074">
        <v>0</v>
      </c>
      <c r="P1074">
        <v>15.09</v>
      </c>
      <c r="Q1074">
        <v>0.85</v>
      </c>
      <c r="R1074">
        <v>0.1</v>
      </c>
      <c r="S1074">
        <v>16.04</v>
      </c>
      <c r="T1074" t="s">
        <v>41</v>
      </c>
      <c r="U1074" t="s">
        <v>41</v>
      </c>
      <c r="V1074" t="s">
        <v>38</v>
      </c>
      <c r="W1074" t="s">
        <v>989</v>
      </c>
      <c r="X1074">
        <v>15.09</v>
      </c>
      <c r="Y1074" s="9">
        <f t="shared" si="82"/>
        <v>15.09</v>
      </c>
      <c r="Z1074" s="9">
        <f t="shared" si="83"/>
        <v>28.293749999999999</v>
      </c>
      <c r="AA1074" s="5">
        <f t="shared" si="84"/>
        <v>31.43435625</v>
      </c>
      <c r="AB1074" s="6">
        <f t="shared" si="85"/>
        <v>45.833045624999997</v>
      </c>
      <c r="AD1074" s="10">
        <f t="shared" ref="AD1074:AD1137" si="86">SUM(Z1074)*2.02823</f>
        <v>57.386232562500005</v>
      </c>
    </row>
    <row r="1075" spans="1:30" x14ac:dyDescent="0.3">
      <c r="A1075" t="s">
        <v>30</v>
      </c>
      <c r="B1075" s="8" t="s">
        <v>32</v>
      </c>
      <c r="C1075" s="8" t="s">
        <v>32</v>
      </c>
      <c r="D1075" s="8" t="s">
        <v>33</v>
      </c>
      <c r="E1075" s="8" t="s">
        <v>34</v>
      </c>
      <c r="F1075" s="8" t="s">
        <v>35</v>
      </c>
      <c r="G1075">
        <v>8481809990</v>
      </c>
      <c r="H1075" t="s">
        <v>160</v>
      </c>
      <c r="I1075" t="s">
        <v>746</v>
      </c>
      <c r="J1075" t="s">
        <v>38</v>
      </c>
      <c r="K1075" t="s">
        <v>39</v>
      </c>
      <c r="L1075">
        <v>6</v>
      </c>
      <c r="M1075">
        <v>1</v>
      </c>
      <c r="N1075" t="s">
        <v>64</v>
      </c>
      <c r="O1075">
        <v>0</v>
      </c>
      <c r="P1075">
        <v>578.19000000000005</v>
      </c>
      <c r="Q1075">
        <v>69.92</v>
      </c>
      <c r="R1075">
        <v>4.03</v>
      </c>
      <c r="S1075">
        <v>652.14</v>
      </c>
      <c r="T1075" t="s">
        <v>41</v>
      </c>
      <c r="U1075" t="s">
        <v>43</v>
      </c>
      <c r="V1075" t="s">
        <v>38</v>
      </c>
      <c r="W1075" t="s">
        <v>990</v>
      </c>
      <c r="X1075">
        <v>578.19000000000005</v>
      </c>
      <c r="Y1075" s="9">
        <f t="shared" si="82"/>
        <v>578.19000000000005</v>
      </c>
      <c r="Z1075" s="9">
        <f t="shared" si="83"/>
        <v>1084.10625</v>
      </c>
      <c r="AA1075" s="5">
        <f t="shared" si="84"/>
        <v>1204.44204375</v>
      </c>
      <c r="AB1075" s="6">
        <f t="shared" si="85"/>
        <v>1756.1437143749999</v>
      </c>
      <c r="AD1075" s="10">
        <f t="shared" si="86"/>
        <v>2198.8168194375003</v>
      </c>
    </row>
    <row r="1076" spans="1:30" x14ac:dyDescent="0.3">
      <c r="A1076" t="s">
        <v>30</v>
      </c>
      <c r="B1076" s="8" t="s">
        <v>32</v>
      </c>
      <c r="C1076" s="8" t="s">
        <v>32</v>
      </c>
      <c r="D1076" s="8" t="s">
        <v>33</v>
      </c>
      <c r="E1076" s="8" t="s">
        <v>34</v>
      </c>
      <c r="F1076" s="8" t="s">
        <v>35</v>
      </c>
      <c r="G1076">
        <v>8421392000</v>
      </c>
      <c r="H1076" t="s">
        <v>429</v>
      </c>
      <c r="I1076" t="s">
        <v>539</v>
      </c>
      <c r="J1076" t="s">
        <v>38</v>
      </c>
      <c r="K1076" t="s">
        <v>39</v>
      </c>
      <c r="L1076">
        <v>8</v>
      </c>
      <c r="M1076">
        <v>1</v>
      </c>
      <c r="N1076" t="s">
        <v>64</v>
      </c>
      <c r="O1076">
        <v>0</v>
      </c>
      <c r="P1076">
        <v>28.19</v>
      </c>
      <c r="Q1076">
        <v>1.6</v>
      </c>
      <c r="R1076">
        <v>0.18</v>
      </c>
      <c r="S1076">
        <v>29.97</v>
      </c>
      <c r="T1076" t="s">
        <v>41</v>
      </c>
      <c r="U1076" t="s">
        <v>41</v>
      </c>
      <c r="V1076" t="s">
        <v>38</v>
      </c>
      <c r="W1076" t="s">
        <v>991</v>
      </c>
      <c r="X1076">
        <v>28.19</v>
      </c>
      <c r="Y1076" s="9">
        <f t="shared" si="82"/>
        <v>28.19</v>
      </c>
      <c r="Z1076" s="9">
        <f t="shared" si="83"/>
        <v>52.856250000000003</v>
      </c>
      <c r="AA1076" s="5">
        <f t="shared" si="84"/>
        <v>58.723293750000003</v>
      </c>
      <c r="AB1076" s="6">
        <f t="shared" si="85"/>
        <v>85.621839374999993</v>
      </c>
      <c r="AD1076" s="10">
        <f t="shared" si="86"/>
        <v>107.20463193750001</v>
      </c>
    </row>
    <row r="1077" spans="1:30" x14ac:dyDescent="0.3">
      <c r="A1077" t="s">
        <v>30</v>
      </c>
      <c r="B1077" s="8" t="s">
        <v>32</v>
      </c>
      <c r="C1077" s="8" t="s">
        <v>32</v>
      </c>
      <c r="D1077" s="8" t="s">
        <v>33</v>
      </c>
      <c r="E1077" s="8" t="s">
        <v>34</v>
      </c>
      <c r="F1077" s="8" t="s">
        <v>35</v>
      </c>
      <c r="G1077">
        <v>8421999000</v>
      </c>
      <c r="H1077" t="s">
        <v>36</v>
      </c>
      <c r="I1077" t="s">
        <v>478</v>
      </c>
      <c r="J1077" t="s">
        <v>38</v>
      </c>
      <c r="K1077" t="s">
        <v>39</v>
      </c>
      <c r="L1077">
        <v>7</v>
      </c>
      <c r="M1077">
        <v>2</v>
      </c>
      <c r="N1077" t="s">
        <v>64</v>
      </c>
      <c r="O1077">
        <v>0</v>
      </c>
      <c r="P1077">
        <v>907.4</v>
      </c>
      <c r="Q1077">
        <v>143.36000000000001</v>
      </c>
      <c r="R1077">
        <v>5.59</v>
      </c>
      <c r="S1077">
        <v>1056.3499999999999</v>
      </c>
      <c r="T1077" t="s">
        <v>41</v>
      </c>
      <c r="U1077" t="s">
        <v>41</v>
      </c>
      <c r="V1077" t="s">
        <v>38</v>
      </c>
      <c r="W1077" t="s">
        <v>992</v>
      </c>
      <c r="X1077">
        <v>453.7</v>
      </c>
      <c r="Y1077" s="9">
        <f t="shared" si="82"/>
        <v>453.7</v>
      </c>
      <c r="Z1077" s="9">
        <f t="shared" si="83"/>
        <v>850.6875</v>
      </c>
      <c r="AA1077" s="5">
        <f t="shared" si="84"/>
        <v>945.11381249999999</v>
      </c>
      <c r="AB1077" s="6">
        <f t="shared" si="85"/>
        <v>1378.0286812499999</v>
      </c>
      <c r="AD1077" s="10">
        <f t="shared" si="86"/>
        <v>1725.3899081250001</v>
      </c>
    </row>
    <row r="1078" spans="1:30" x14ac:dyDescent="0.3">
      <c r="A1078" t="s">
        <v>30</v>
      </c>
      <c r="B1078" s="8" t="s">
        <v>32</v>
      </c>
      <c r="C1078" s="8" t="s">
        <v>32</v>
      </c>
      <c r="D1078" s="8" t="s">
        <v>69</v>
      </c>
      <c r="E1078" s="8" t="s">
        <v>70</v>
      </c>
      <c r="F1078" s="8" t="s">
        <v>71</v>
      </c>
      <c r="G1078">
        <v>8421999000</v>
      </c>
      <c r="H1078" t="s">
        <v>36</v>
      </c>
      <c r="I1078" t="s">
        <v>478</v>
      </c>
      <c r="J1078" t="s">
        <v>38</v>
      </c>
      <c r="K1078" t="s">
        <v>39</v>
      </c>
      <c r="L1078">
        <v>13</v>
      </c>
      <c r="M1078">
        <v>1</v>
      </c>
      <c r="N1078" t="s">
        <v>64</v>
      </c>
      <c r="O1078">
        <v>0</v>
      </c>
      <c r="P1078">
        <v>430.48</v>
      </c>
      <c r="Q1078">
        <v>30.57</v>
      </c>
      <c r="R1078">
        <v>2.81</v>
      </c>
      <c r="S1078">
        <v>463.86</v>
      </c>
      <c r="T1078" t="s">
        <v>41</v>
      </c>
      <c r="U1078" t="s">
        <v>41</v>
      </c>
      <c r="V1078" t="s">
        <v>38</v>
      </c>
      <c r="W1078" t="s">
        <v>992</v>
      </c>
      <c r="X1078">
        <v>430.48</v>
      </c>
      <c r="Y1078" s="9">
        <f t="shared" si="82"/>
        <v>430.48</v>
      </c>
      <c r="Z1078" s="9">
        <f t="shared" si="83"/>
        <v>807.15000000000009</v>
      </c>
      <c r="AA1078" s="5">
        <f t="shared" si="84"/>
        <v>896.74365000000012</v>
      </c>
      <c r="AB1078" s="6">
        <f t="shared" si="85"/>
        <v>1307.502285</v>
      </c>
      <c r="AD1078" s="10">
        <f t="shared" si="86"/>
        <v>1637.0858445000003</v>
      </c>
    </row>
    <row r="1079" spans="1:30" x14ac:dyDescent="0.3">
      <c r="A1079" t="s">
        <v>30</v>
      </c>
      <c r="B1079" s="8" t="s">
        <v>32</v>
      </c>
      <c r="C1079" s="8" t="s">
        <v>32</v>
      </c>
      <c r="D1079" s="8" t="s">
        <v>33</v>
      </c>
      <c r="E1079" s="8" t="s">
        <v>34</v>
      </c>
      <c r="F1079" s="8" t="s">
        <v>35</v>
      </c>
      <c r="G1079">
        <v>7326909090</v>
      </c>
      <c r="H1079" t="s">
        <v>53</v>
      </c>
      <c r="I1079" t="s">
        <v>993</v>
      </c>
      <c r="J1079" t="s">
        <v>38</v>
      </c>
      <c r="K1079" t="s">
        <v>39</v>
      </c>
      <c r="L1079">
        <v>10</v>
      </c>
      <c r="M1079">
        <v>4</v>
      </c>
      <c r="N1079" t="s">
        <v>64</v>
      </c>
      <c r="O1079">
        <v>309.83999999999997</v>
      </c>
      <c r="P1079">
        <v>1231.3</v>
      </c>
      <c r="Q1079">
        <v>102.48</v>
      </c>
      <c r="R1079">
        <v>8.06</v>
      </c>
      <c r="S1079">
        <v>1341.84</v>
      </c>
      <c r="T1079" t="s">
        <v>41</v>
      </c>
      <c r="U1079" t="s">
        <v>43</v>
      </c>
      <c r="V1079" t="s">
        <v>38</v>
      </c>
      <c r="W1079" t="s">
        <v>994</v>
      </c>
      <c r="X1079">
        <v>307.82</v>
      </c>
      <c r="Y1079" s="9">
        <f t="shared" si="82"/>
        <v>307.82499999999999</v>
      </c>
      <c r="Z1079" s="9">
        <f t="shared" si="83"/>
        <v>577.171875</v>
      </c>
      <c r="AA1079" s="5">
        <f t="shared" si="84"/>
        <v>641.23795312499999</v>
      </c>
      <c r="AB1079" s="6">
        <f t="shared" si="85"/>
        <v>934.96072031249992</v>
      </c>
      <c r="AD1079" s="10">
        <f t="shared" si="86"/>
        <v>1170.6373120312501</v>
      </c>
    </row>
    <row r="1080" spans="1:30" x14ac:dyDescent="0.3">
      <c r="A1080" t="s">
        <v>30</v>
      </c>
      <c r="B1080" s="8" t="s">
        <v>32</v>
      </c>
      <c r="C1080" s="8" t="s">
        <v>32</v>
      </c>
      <c r="D1080" s="8" t="s">
        <v>33</v>
      </c>
      <c r="E1080" s="8" t="s">
        <v>34</v>
      </c>
      <c r="F1080" s="8" t="s">
        <v>35</v>
      </c>
      <c r="G1080">
        <v>7326909090</v>
      </c>
      <c r="H1080" t="s">
        <v>53</v>
      </c>
      <c r="I1080" t="s">
        <v>993</v>
      </c>
      <c r="J1080" t="s">
        <v>38</v>
      </c>
      <c r="K1080" t="s">
        <v>39</v>
      </c>
      <c r="L1080">
        <v>10</v>
      </c>
      <c r="M1080">
        <v>4</v>
      </c>
      <c r="N1080" t="s">
        <v>64</v>
      </c>
      <c r="O1080">
        <v>309.83999999999997</v>
      </c>
      <c r="P1080">
        <v>1231.3</v>
      </c>
      <c r="Q1080">
        <v>102.48</v>
      </c>
      <c r="R1080">
        <v>8.06</v>
      </c>
      <c r="S1080">
        <v>1341.84</v>
      </c>
      <c r="T1080" t="s">
        <v>41</v>
      </c>
      <c r="U1080" t="s">
        <v>43</v>
      </c>
      <c r="V1080" t="s">
        <v>38</v>
      </c>
      <c r="W1080" t="s">
        <v>994</v>
      </c>
      <c r="X1080">
        <v>307.82</v>
      </c>
      <c r="Y1080" s="9">
        <f t="shared" si="82"/>
        <v>307.82499999999999</v>
      </c>
      <c r="Z1080" s="9">
        <f t="shared" si="83"/>
        <v>577.171875</v>
      </c>
      <c r="AA1080" s="5">
        <f t="shared" si="84"/>
        <v>641.23795312499999</v>
      </c>
      <c r="AB1080" s="6">
        <f t="shared" si="85"/>
        <v>934.96072031249992</v>
      </c>
      <c r="AD1080" s="10">
        <f t="shared" si="86"/>
        <v>1170.6373120312501</v>
      </c>
    </row>
    <row r="1081" spans="1:30" x14ac:dyDescent="0.3">
      <c r="A1081" t="s">
        <v>30</v>
      </c>
      <c r="B1081" s="8" t="s">
        <v>32</v>
      </c>
      <c r="C1081" s="8" t="s">
        <v>32</v>
      </c>
      <c r="D1081" s="8" t="s">
        <v>33</v>
      </c>
      <c r="E1081" s="8" t="s">
        <v>34</v>
      </c>
      <c r="F1081" s="8" t="s">
        <v>35</v>
      </c>
      <c r="G1081">
        <v>8481809990</v>
      </c>
      <c r="H1081" t="s">
        <v>160</v>
      </c>
      <c r="I1081" t="s">
        <v>360</v>
      </c>
      <c r="J1081" t="s">
        <v>38</v>
      </c>
      <c r="K1081" t="s">
        <v>39</v>
      </c>
      <c r="L1081">
        <v>6</v>
      </c>
      <c r="M1081">
        <v>1</v>
      </c>
      <c r="N1081" t="s">
        <v>64</v>
      </c>
      <c r="O1081">
        <v>0</v>
      </c>
      <c r="P1081">
        <v>122.48</v>
      </c>
      <c r="Q1081">
        <v>14.81</v>
      </c>
      <c r="R1081">
        <v>0.85</v>
      </c>
      <c r="S1081">
        <v>138.13999999999999</v>
      </c>
      <c r="T1081" t="s">
        <v>41</v>
      </c>
      <c r="U1081" t="s">
        <v>43</v>
      </c>
      <c r="V1081" t="s">
        <v>38</v>
      </c>
      <c r="W1081" t="s">
        <v>995</v>
      </c>
      <c r="X1081">
        <v>122.48</v>
      </c>
      <c r="Y1081" s="9">
        <f t="shared" si="82"/>
        <v>122.48</v>
      </c>
      <c r="Z1081" s="9">
        <f t="shared" si="83"/>
        <v>229.65</v>
      </c>
      <c r="AA1081" s="5">
        <f t="shared" si="84"/>
        <v>255.14115000000001</v>
      </c>
      <c r="AB1081" s="6">
        <f t="shared" si="85"/>
        <v>372.01003499999996</v>
      </c>
      <c r="AD1081" s="10">
        <f t="shared" si="86"/>
        <v>465.78301950000008</v>
      </c>
    </row>
    <row r="1082" spans="1:30" x14ac:dyDescent="0.3">
      <c r="A1082" t="s">
        <v>30</v>
      </c>
      <c r="B1082" s="8" t="s">
        <v>32</v>
      </c>
      <c r="C1082" s="8" t="s">
        <v>32</v>
      </c>
      <c r="D1082" s="8" t="s">
        <v>33</v>
      </c>
      <c r="E1082" s="8" t="s">
        <v>34</v>
      </c>
      <c r="F1082" s="8" t="s">
        <v>35</v>
      </c>
      <c r="G1082">
        <v>8481809990</v>
      </c>
      <c r="H1082" t="s">
        <v>160</v>
      </c>
      <c r="I1082" t="s">
        <v>360</v>
      </c>
      <c r="J1082" t="s">
        <v>38</v>
      </c>
      <c r="K1082" t="s">
        <v>39</v>
      </c>
      <c r="L1082">
        <v>3</v>
      </c>
      <c r="M1082">
        <v>5</v>
      </c>
      <c r="N1082" t="s">
        <v>64</v>
      </c>
      <c r="O1082">
        <v>0</v>
      </c>
      <c r="P1082">
        <v>690.74</v>
      </c>
      <c r="Q1082">
        <v>29.56</v>
      </c>
      <c r="R1082">
        <v>4.45</v>
      </c>
      <c r="S1082">
        <v>724.75</v>
      </c>
      <c r="T1082" t="s">
        <v>41</v>
      </c>
      <c r="U1082" t="s">
        <v>43</v>
      </c>
      <c r="V1082" t="s">
        <v>38</v>
      </c>
      <c r="W1082" t="s">
        <v>995</v>
      </c>
      <c r="X1082">
        <v>138.15</v>
      </c>
      <c r="Y1082" s="9">
        <f t="shared" si="82"/>
        <v>138.148</v>
      </c>
      <c r="Z1082" s="9">
        <f t="shared" si="83"/>
        <v>259.02749999999997</v>
      </c>
      <c r="AA1082" s="5">
        <f t="shared" si="84"/>
        <v>287.77955249999997</v>
      </c>
      <c r="AB1082" s="6">
        <f t="shared" si="85"/>
        <v>419.59864724999994</v>
      </c>
      <c r="AD1082" s="10">
        <f t="shared" si="86"/>
        <v>525.36734632499997</v>
      </c>
    </row>
    <row r="1083" spans="1:30" x14ac:dyDescent="0.3">
      <c r="A1083" t="s">
        <v>30</v>
      </c>
      <c r="B1083" s="8" t="s">
        <v>32</v>
      </c>
      <c r="C1083" s="8" t="s">
        <v>32</v>
      </c>
      <c r="D1083" s="8" t="s">
        <v>69</v>
      </c>
      <c r="E1083" s="8" t="s">
        <v>70</v>
      </c>
      <c r="F1083" s="8" t="s">
        <v>71</v>
      </c>
      <c r="G1083">
        <v>8481809990</v>
      </c>
      <c r="H1083" t="s">
        <v>160</v>
      </c>
      <c r="I1083" t="s">
        <v>784</v>
      </c>
      <c r="J1083" t="s">
        <v>38</v>
      </c>
      <c r="K1083" t="s">
        <v>39</v>
      </c>
      <c r="L1083">
        <v>13</v>
      </c>
      <c r="M1083">
        <v>1</v>
      </c>
      <c r="N1083" t="s">
        <v>64</v>
      </c>
      <c r="O1083">
        <v>0</v>
      </c>
      <c r="P1083">
        <v>243.16</v>
      </c>
      <c r="Q1083">
        <v>17.260000000000002</v>
      </c>
      <c r="R1083">
        <v>1.59</v>
      </c>
      <c r="S1083">
        <v>262.01</v>
      </c>
      <c r="T1083" t="s">
        <v>41</v>
      </c>
      <c r="U1083" t="s">
        <v>41</v>
      </c>
      <c r="V1083" t="s">
        <v>38</v>
      </c>
      <c r="W1083" t="s">
        <v>995</v>
      </c>
      <c r="X1083">
        <v>243.16</v>
      </c>
      <c r="Y1083" s="9">
        <f t="shared" si="82"/>
        <v>243.16</v>
      </c>
      <c r="Z1083" s="9">
        <f t="shared" si="83"/>
        <v>455.92500000000001</v>
      </c>
      <c r="AA1083" s="5">
        <f t="shared" si="84"/>
        <v>506.53267499999998</v>
      </c>
      <c r="AB1083" s="6">
        <f t="shared" si="85"/>
        <v>738.55290749999995</v>
      </c>
      <c r="AD1083" s="10">
        <f t="shared" si="86"/>
        <v>924.72076275000006</v>
      </c>
    </row>
    <row r="1084" spans="1:30" x14ac:dyDescent="0.3">
      <c r="A1084" t="s">
        <v>30</v>
      </c>
      <c r="B1084" s="8" t="s">
        <v>32</v>
      </c>
      <c r="C1084" s="8" t="s">
        <v>32</v>
      </c>
      <c r="D1084" s="8" t="s">
        <v>33</v>
      </c>
      <c r="E1084" s="8" t="s">
        <v>34</v>
      </c>
      <c r="F1084" s="8" t="s">
        <v>35</v>
      </c>
      <c r="G1084">
        <v>8481809990</v>
      </c>
      <c r="H1084" t="s">
        <v>53</v>
      </c>
      <c r="I1084" t="s">
        <v>360</v>
      </c>
      <c r="J1084" t="s">
        <v>38</v>
      </c>
      <c r="K1084" t="s">
        <v>39</v>
      </c>
      <c r="L1084">
        <v>4</v>
      </c>
      <c r="M1084">
        <v>5</v>
      </c>
      <c r="N1084" t="s">
        <v>64</v>
      </c>
      <c r="O1084">
        <v>0</v>
      </c>
      <c r="P1084">
        <v>693.06</v>
      </c>
      <c r="Q1084">
        <v>36.29</v>
      </c>
      <c r="R1084">
        <v>4.5199999999999996</v>
      </c>
      <c r="S1084">
        <v>733.86</v>
      </c>
      <c r="T1084" t="s">
        <v>41</v>
      </c>
      <c r="U1084" t="s">
        <v>41</v>
      </c>
      <c r="V1084" t="s">
        <v>38</v>
      </c>
      <c r="W1084" t="s">
        <v>995</v>
      </c>
      <c r="X1084">
        <v>138.61000000000001</v>
      </c>
      <c r="Y1084" s="9">
        <f t="shared" si="82"/>
        <v>138.61199999999999</v>
      </c>
      <c r="Z1084" s="9">
        <f t="shared" si="83"/>
        <v>259.89749999999998</v>
      </c>
      <c r="AA1084" s="5">
        <f t="shared" si="84"/>
        <v>288.74612249999996</v>
      </c>
      <c r="AB1084" s="6">
        <f t="shared" si="85"/>
        <v>421.00796024999994</v>
      </c>
      <c r="AD1084" s="10">
        <f t="shared" si="86"/>
        <v>527.13190642500001</v>
      </c>
    </row>
    <row r="1085" spans="1:30" x14ac:dyDescent="0.3">
      <c r="A1085" t="s">
        <v>30</v>
      </c>
      <c r="B1085" s="8" t="s">
        <v>32</v>
      </c>
      <c r="C1085" s="8" t="s">
        <v>32</v>
      </c>
      <c r="D1085" s="8" t="s">
        <v>69</v>
      </c>
      <c r="E1085" s="8" t="s">
        <v>70</v>
      </c>
      <c r="F1085" s="8" t="s">
        <v>71</v>
      </c>
      <c r="G1085">
        <v>8481809990</v>
      </c>
      <c r="H1085" t="s">
        <v>53</v>
      </c>
      <c r="I1085" t="s">
        <v>659</v>
      </c>
      <c r="J1085" t="s">
        <v>38</v>
      </c>
      <c r="K1085" t="s">
        <v>39</v>
      </c>
      <c r="L1085">
        <v>13</v>
      </c>
      <c r="M1085">
        <v>8</v>
      </c>
      <c r="N1085" t="s">
        <v>64</v>
      </c>
      <c r="O1085">
        <v>0</v>
      </c>
      <c r="P1085">
        <v>1084.1600000000001</v>
      </c>
      <c r="Q1085">
        <v>57.88</v>
      </c>
      <c r="R1085">
        <v>6.97</v>
      </c>
      <c r="S1085">
        <v>1149.01</v>
      </c>
      <c r="T1085" t="s">
        <v>72</v>
      </c>
      <c r="U1085" t="s">
        <v>72</v>
      </c>
      <c r="V1085" t="s">
        <v>38</v>
      </c>
      <c r="W1085" t="s">
        <v>995</v>
      </c>
      <c r="X1085">
        <v>135.52000000000001</v>
      </c>
      <c r="Y1085" s="9">
        <f t="shared" si="82"/>
        <v>135.52000000000001</v>
      </c>
      <c r="Z1085" s="9">
        <f t="shared" si="83"/>
        <v>254.10000000000002</v>
      </c>
      <c r="AA1085" s="5">
        <f t="shared" si="84"/>
        <v>282.30510000000004</v>
      </c>
      <c r="AB1085" s="6">
        <f t="shared" si="85"/>
        <v>411.61659000000003</v>
      </c>
      <c r="AD1085" s="10">
        <f t="shared" si="86"/>
        <v>515.37324300000012</v>
      </c>
    </row>
    <row r="1086" spans="1:30" x14ac:dyDescent="0.3">
      <c r="A1086" t="s">
        <v>30</v>
      </c>
      <c r="B1086" s="8" t="s">
        <v>32</v>
      </c>
      <c r="C1086" s="8" t="s">
        <v>32</v>
      </c>
      <c r="D1086" s="8" t="s">
        <v>33</v>
      </c>
      <c r="E1086" s="8" t="s">
        <v>34</v>
      </c>
      <c r="F1086" s="8" t="s">
        <v>35</v>
      </c>
      <c r="G1086">
        <v>8481809990</v>
      </c>
      <c r="H1086" t="s">
        <v>53</v>
      </c>
      <c r="I1086" t="s">
        <v>694</v>
      </c>
      <c r="J1086" t="s">
        <v>38</v>
      </c>
      <c r="K1086" t="s">
        <v>39</v>
      </c>
      <c r="L1086">
        <v>10</v>
      </c>
      <c r="M1086">
        <v>3</v>
      </c>
      <c r="N1086" t="s">
        <v>64</v>
      </c>
      <c r="O1086">
        <v>0</v>
      </c>
      <c r="P1086">
        <v>414.8</v>
      </c>
      <c r="Q1086">
        <v>34.520000000000003</v>
      </c>
      <c r="R1086">
        <v>2.72</v>
      </c>
      <c r="S1086">
        <v>452.04</v>
      </c>
      <c r="T1086" t="s">
        <v>41</v>
      </c>
      <c r="U1086" t="s">
        <v>43</v>
      </c>
      <c r="V1086" t="s">
        <v>38</v>
      </c>
      <c r="W1086" t="s">
        <v>995</v>
      </c>
      <c r="X1086">
        <v>138.27000000000001</v>
      </c>
      <c r="Y1086" s="9">
        <f t="shared" si="82"/>
        <v>138.26666666666668</v>
      </c>
      <c r="Z1086" s="9">
        <f t="shared" si="83"/>
        <v>259.25</v>
      </c>
      <c r="AA1086" s="5">
        <f t="shared" si="84"/>
        <v>288.02674999999999</v>
      </c>
      <c r="AB1086" s="6">
        <f t="shared" si="85"/>
        <v>419.95907499999998</v>
      </c>
      <c r="AD1086" s="10">
        <f t="shared" si="86"/>
        <v>525.81862750000005</v>
      </c>
    </row>
    <row r="1087" spans="1:30" x14ac:dyDescent="0.3">
      <c r="A1087" t="s">
        <v>30</v>
      </c>
      <c r="B1087" s="8" t="s">
        <v>32</v>
      </c>
      <c r="C1087" s="8" t="s">
        <v>32</v>
      </c>
      <c r="D1087" s="8" t="s">
        <v>33</v>
      </c>
      <c r="E1087" s="8" t="s">
        <v>34</v>
      </c>
      <c r="F1087" s="8" t="s">
        <v>35</v>
      </c>
      <c r="G1087">
        <v>8481809990</v>
      </c>
      <c r="H1087" t="s">
        <v>53</v>
      </c>
      <c r="I1087" t="s">
        <v>996</v>
      </c>
      <c r="J1087" t="s">
        <v>38</v>
      </c>
      <c r="K1087" t="s">
        <v>39</v>
      </c>
      <c r="L1087">
        <v>8</v>
      </c>
      <c r="M1087">
        <v>5</v>
      </c>
      <c r="N1087" t="s">
        <v>64</v>
      </c>
      <c r="O1087">
        <v>0</v>
      </c>
      <c r="P1087">
        <v>692.35</v>
      </c>
      <c r="Q1087">
        <v>86.73</v>
      </c>
      <c r="R1087">
        <v>4.7300000000000004</v>
      </c>
      <c r="S1087">
        <v>783.81</v>
      </c>
      <c r="T1087" t="s">
        <v>41</v>
      </c>
      <c r="U1087" t="s">
        <v>41</v>
      </c>
      <c r="V1087" t="s">
        <v>38</v>
      </c>
      <c r="W1087" t="s">
        <v>995</v>
      </c>
      <c r="X1087">
        <v>138.47</v>
      </c>
      <c r="Y1087" s="9">
        <f t="shared" si="82"/>
        <v>138.47</v>
      </c>
      <c r="Z1087" s="9">
        <f t="shared" si="83"/>
        <v>259.63125000000002</v>
      </c>
      <c r="AA1087" s="5">
        <f t="shared" si="84"/>
        <v>288.45031875000001</v>
      </c>
      <c r="AB1087" s="6">
        <f t="shared" si="85"/>
        <v>420.57666187500001</v>
      </c>
      <c r="AD1087" s="10">
        <f t="shared" si="86"/>
        <v>526.5918901875001</v>
      </c>
    </row>
    <row r="1088" spans="1:30" x14ac:dyDescent="0.3">
      <c r="A1088" t="s">
        <v>30</v>
      </c>
      <c r="B1088" s="8" t="s">
        <v>32</v>
      </c>
      <c r="C1088" s="8" t="s">
        <v>32</v>
      </c>
      <c r="D1088" s="8" t="s">
        <v>33</v>
      </c>
      <c r="E1088" s="8" t="s">
        <v>34</v>
      </c>
      <c r="F1088" s="8" t="s">
        <v>35</v>
      </c>
      <c r="G1088">
        <v>8481809990</v>
      </c>
      <c r="H1088" t="s">
        <v>53</v>
      </c>
      <c r="I1088" t="s">
        <v>978</v>
      </c>
      <c r="J1088" t="s">
        <v>38</v>
      </c>
      <c r="K1088" t="s">
        <v>39</v>
      </c>
      <c r="L1088">
        <v>8</v>
      </c>
      <c r="M1088">
        <v>5</v>
      </c>
      <c r="N1088" t="s">
        <v>64</v>
      </c>
      <c r="O1088">
        <v>0</v>
      </c>
      <c r="P1088">
        <v>688.93</v>
      </c>
      <c r="Q1088">
        <v>39</v>
      </c>
      <c r="R1088">
        <v>4.4000000000000004</v>
      </c>
      <c r="S1088">
        <v>732.33</v>
      </c>
      <c r="T1088" t="s">
        <v>41</v>
      </c>
      <c r="U1088" t="s">
        <v>41</v>
      </c>
      <c r="V1088" t="s">
        <v>38</v>
      </c>
      <c r="W1088" t="s">
        <v>995</v>
      </c>
      <c r="X1088">
        <v>137.79</v>
      </c>
      <c r="Y1088" s="9">
        <f t="shared" si="82"/>
        <v>137.786</v>
      </c>
      <c r="Z1088" s="9">
        <f t="shared" si="83"/>
        <v>258.34875</v>
      </c>
      <c r="AA1088" s="5">
        <f t="shared" si="84"/>
        <v>287.02546124999998</v>
      </c>
      <c r="AB1088" s="6">
        <f t="shared" si="85"/>
        <v>418.49914012499994</v>
      </c>
      <c r="AD1088" s="10">
        <f t="shared" si="86"/>
        <v>523.99068521250001</v>
      </c>
    </row>
    <row r="1089" spans="1:30" x14ac:dyDescent="0.3">
      <c r="A1089" t="s">
        <v>30</v>
      </c>
      <c r="B1089" s="8" t="s">
        <v>32</v>
      </c>
      <c r="C1089" s="8" t="s">
        <v>32</v>
      </c>
      <c r="D1089" s="8" t="s">
        <v>33</v>
      </c>
      <c r="E1089" s="8" t="s">
        <v>34</v>
      </c>
      <c r="F1089" s="8" t="s">
        <v>35</v>
      </c>
      <c r="G1089">
        <v>8481809990</v>
      </c>
      <c r="H1089" t="s">
        <v>53</v>
      </c>
      <c r="I1089" t="s">
        <v>659</v>
      </c>
      <c r="J1089" t="s">
        <v>38</v>
      </c>
      <c r="K1089" t="s">
        <v>39</v>
      </c>
      <c r="L1089">
        <v>12</v>
      </c>
      <c r="M1089">
        <v>2</v>
      </c>
      <c r="N1089" t="s">
        <v>64</v>
      </c>
      <c r="O1089">
        <v>0</v>
      </c>
      <c r="P1089">
        <v>625.89</v>
      </c>
      <c r="Q1089">
        <v>71.87</v>
      </c>
      <c r="R1089">
        <v>4.17</v>
      </c>
      <c r="S1089">
        <v>701.93</v>
      </c>
      <c r="T1089" t="s">
        <v>41</v>
      </c>
      <c r="U1089" t="s">
        <v>41</v>
      </c>
      <c r="V1089" t="s">
        <v>38</v>
      </c>
      <c r="W1089" t="s">
        <v>997</v>
      </c>
      <c r="X1089">
        <v>312.95</v>
      </c>
      <c r="Y1089" s="9">
        <f t="shared" si="82"/>
        <v>312.94499999999999</v>
      </c>
      <c r="Z1089" s="9">
        <f t="shared" si="83"/>
        <v>586.77187500000002</v>
      </c>
      <c r="AA1089" s="5">
        <f t="shared" si="84"/>
        <v>651.90355312500003</v>
      </c>
      <c r="AB1089" s="6">
        <f t="shared" si="85"/>
        <v>950.51176031249997</v>
      </c>
      <c r="AD1089" s="10">
        <f t="shared" si="86"/>
        <v>1190.1083200312501</v>
      </c>
    </row>
    <row r="1090" spans="1:30" x14ac:dyDescent="0.3">
      <c r="A1090" t="s">
        <v>30</v>
      </c>
      <c r="B1090" s="8" t="s">
        <v>32</v>
      </c>
      <c r="C1090" s="8" t="s">
        <v>32</v>
      </c>
      <c r="D1090" s="8" t="s">
        <v>33</v>
      </c>
      <c r="E1090" s="8" t="s">
        <v>34</v>
      </c>
      <c r="F1090" s="8" t="s">
        <v>35</v>
      </c>
      <c r="G1090">
        <v>8481809990</v>
      </c>
      <c r="H1090" t="s">
        <v>53</v>
      </c>
      <c r="I1090" t="s">
        <v>998</v>
      </c>
      <c r="J1090" t="s">
        <v>38</v>
      </c>
      <c r="K1090" t="s">
        <v>39</v>
      </c>
      <c r="L1090">
        <v>8</v>
      </c>
      <c r="M1090">
        <v>3</v>
      </c>
      <c r="N1090" t="s">
        <v>64</v>
      </c>
      <c r="O1090">
        <v>0</v>
      </c>
      <c r="P1090">
        <v>931.97</v>
      </c>
      <c r="Q1090">
        <v>116.75</v>
      </c>
      <c r="R1090">
        <v>6.37</v>
      </c>
      <c r="S1090">
        <v>1055.0899999999999</v>
      </c>
      <c r="T1090" t="s">
        <v>41</v>
      </c>
      <c r="U1090" t="s">
        <v>41</v>
      </c>
      <c r="V1090" t="s">
        <v>38</v>
      </c>
      <c r="W1090" t="s">
        <v>997</v>
      </c>
      <c r="X1090">
        <v>310.66000000000003</v>
      </c>
      <c r="Y1090" s="9">
        <f t="shared" si="82"/>
        <v>310.65666666666669</v>
      </c>
      <c r="Z1090" s="9">
        <f t="shared" si="83"/>
        <v>582.48125000000005</v>
      </c>
      <c r="AA1090" s="5">
        <f t="shared" si="84"/>
        <v>647.13666875000001</v>
      </c>
      <c r="AB1090" s="6">
        <f t="shared" si="85"/>
        <v>943.56137687500006</v>
      </c>
      <c r="AD1090" s="10">
        <f t="shared" si="86"/>
        <v>1181.4059456875002</v>
      </c>
    </row>
    <row r="1091" spans="1:30" x14ac:dyDescent="0.3">
      <c r="A1091" t="s">
        <v>30</v>
      </c>
      <c r="B1091" s="8" t="s">
        <v>32</v>
      </c>
      <c r="C1091" s="8" t="s">
        <v>32</v>
      </c>
      <c r="D1091" s="8" t="s">
        <v>69</v>
      </c>
      <c r="E1091" s="8" t="s">
        <v>70</v>
      </c>
      <c r="F1091" s="8" t="s">
        <v>71</v>
      </c>
      <c r="G1091">
        <v>8481300000</v>
      </c>
      <c r="H1091" t="s">
        <v>488</v>
      </c>
      <c r="I1091" t="s">
        <v>999</v>
      </c>
      <c r="J1091" t="s">
        <v>38</v>
      </c>
      <c r="K1091" t="s">
        <v>39</v>
      </c>
      <c r="L1091">
        <v>13</v>
      </c>
      <c r="M1091">
        <v>2</v>
      </c>
      <c r="N1091" t="s">
        <v>64</v>
      </c>
      <c r="O1091">
        <v>0</v>
      </c>
      <c r="P1091">
        <v>134.41999999999999</v>
      </c>
      <c r="Q1091">
        <v>7.18</v>
      </c>
      <c r="R1091">
        <v>0.86</v>
      </c>
      <c r="S1091">
        <v>142.46</v>
      </c>
      <c r="T1091" t="s">
        <v>72</v>
      </c>
      <c r="U1091" t="s">
        <v>72</v>
      </c>
      <c r="V1091" t="s">
        <v>38</v>
      </c>
      <c r="W1091" t="s">
        <v>1000</v>
      </c>
      <c r="X1091">
        <v>67.209999999999994</v>
      </c>
      <c r="Y1091" s="9">
        <f t="shared" ref="Y1091:Y1154" si="87">SUM(P1091)/M1091</f>
        <v>67.209999999999994</v>
      </c>
      <c r="Z1091" s="9">
        <f t="shared" ref="Z1091:Z1154" si="88">SUM(Y1091)*1.875</f>
        <v>126.01874999999998</v>
      </c>
      <c r="AA1091" s="5">
        <f t="shared" ref="AA1091:AA1154" si="89">SUM(Z1091)*1.111</f>
        <v>140.00683124999998</v>
      </c>
      <c r="AB1091" s="6">
        <f t="shared" ref="AB1091:AB1154" si="90">SUM(Z1091)*1.6199</f>
        <v>204.13777312499997</v>
      </c>
      <c r="AD1091" s="10">
        <f t="shared" si="86"/>
        <v>255.5950093125</v>
      </c>
    </row>
    <row r="1092" spans="1:30" x14ac:dyDescent="0.3">
      <c r="A1092" t="s">
        <v>30</v>
      </c>
      <c r="B1092" s="8" t="s">
        <v>31</v>
      </c>
      <c r="C1092" s="8" t="s">
        <v>32</v>
      </c>
      <c r="D1092" s="8" t="s">
        <v>69</v>
      </c>
      <c r="E1092" s="8" t="s">
        <v>70</v>
      </c>
      <c r="F1092" s="8" t="s">
        <v>71</v>
      </c>
      <c r="G1092">
        <v>8421299090</v>
      </c>
      <c r="H1092" t="s">
        <v>243</v>
      </c>
      <c r="I1092" t="s">
        <v>241</v>
      </c>
      <c r="J1092" t="s">
        <v>38</v>
      </c>
      <c r="K1092" t="s">
        <v>39</v>
      </c>
      <c r="L1092">
        <v>13</v>
      </c>
      <c r="M1092">
        <v>5</v>
      </c>
      <c r="N1092" t="s">
        <v>64</v>
      </c>
      <c r="O1092">
        <v>0</v>
      </c>
      <c r="P1092">
        <v>113.65</v>
      </c>
      <c r="Q1092">
        <v>6.07</v>
      </c>
      <c r="R1092">
        <v>0.73</v>
      </c>
      <c r="S1092">
        <v>120.45</v>
      </c>
      <c r="T1092" t="s">
        <v>72</v>
      </c>
      <c r="U1092" t="s">
        <v>72</v>
      </c>
      <c r="V1092" t="s">
        <v>38</v>
      </c>
      <c r="W1092" t="s">
        <v>1001</v>
      </c>
      <c r="X1092">
        <v>22.73</v>
      </c>
      <c r="Y1092" s="9">
        <f t="shared" si="87"/>
        <v>22.73</v>
      </c>
      <c r="Z1092" s="9">
        <f t="shared" si="88"/>
        <v>42.618749999999999</v>
      </c>
      <c r="AA1092" s="5">
        <f t="shared" si="89"/>
        <v>47.349431249999995</v>
      </c>
      <c r="AB1092" s="6">
        <f t="shared" si="90"/>
        <v>69.038113124999995</v>
      </c>
      <c r="AD1092" s="10">
        <f t="shared" si="86"/>
        <v>86.440627312500013</v>
      </c>
    </row>
    <row r="1093" spans="1:30" x14ac:dyDescent="0.3">
      <c r="A1093" t="s">
        <v>30</v>
      </c>
      <c r="B1093" s="8" t="s">
        <v>31</v>
      </c>
      <c r="C1093" s="8" t="s">
        <v>32</v>
      </c>
      <c r="D1093" s="8" t="s">
        <v>69</v>
      </c>
      <c r="E1093" s="8" t="s">
        <v>70</v>
      </c>
      <c r="F1093" s="8" t="s">
        <v>71</v>
      </c>
      <c r="G1093">
        <v>8421299090</v>
      </c>
      <c r="H1093" t="s">
        <v>243</v>
      </c>
      <c r="I1093" t="s">
        <v>241</v>
      </c>
      <c r="J1093" t="s">
        <v>38</v>
      </c>
      <c r="K1093" t="s">
        <v>39</v>
      </c>
      <c r="L1093">
        <v>8</v>
      </c>
      <c r="M1093">
        <v>5</v>
      </c>
      <c r="N1093" t="s">
        <v>64</v>
      </c>
      <c r="O1093">
        <v>0</v>
      </c>
      <c r="P1093">
        <v>113.65</v>
      </c>
      <c r="Q1093">
        <v>7.44</v>
      </c>
      <c r="R1093">
        <v>0.74</v>
      </c>
      <c r="S1093">
        <v>121.83</v>
      </c>
      <c r="T1093" t="s">
        <v>41</v>
      </c>
      <c r="U1093" t="s">
        <v>41</v>
      </c>
      <c r="V1093" t="s">
        <v>38</v>
      </c>
      <c r="W1093" t="s">
        <v>1001</v>
      </c>
      <c r="X1093">
        <v>22.73</v>
      </c>
      <c r="Y1093" s="9">
        <f t="shared" si="87"/>
        <v>22.73</v>
      </c>
      <c r="Z1093" s="9">
        <f t="shared" si="88"/>
        <v>42.618749999999999</v>
      </c>
      <c r="AA1093" s="5">
        <f t="shared" si="89"/>
        <v>47.349431249999995</v>
      </c>
      <c r="AB1093" s="6">
        <f t="shared" si="90"/>
        <v>69.038113124999995</v>
      </c>
      <c r="AD1093" s="10">
        <f t="shared" si="86"/>
        <v>86.440627312500013</v>
      </c>
    </row>
    <row r="1094" spans="1:30" x14ac:dyDescent="0.3">
      <c r="A1094" t="s">
        <v>30</v>
      </c>
      <c r="B1094" s="8" t="s">
        <v>31</v>
      </c>
      <c r="C1094" s="8" t="s">
        <v>32</v>
      </c>
      <c r="D1094" s="8" t="s">
        <v>33</v>
      </c>
      <c r="E1094" s="8" t="s">
        <v>34</v>
      </c>
      <c r="F1094" s="8" t="s">
        <v>35</v>
      </c>
      <c r="G1094">
        <v>8421392000</v>
      </c>
      <c r="H1094" t="s">
        <v>429</v>
      </c>
      <c r="I1094" t="s">
        <v>228</v>
      </c>
      <c r="J1094" t="s">
        <v>38</v>
      </c>
      <c r="K1094" t="s">
        <v>39</v>
      </c>
      <c r="L1094">
        <v>8</v>
      </c>
      <c r="M1094">
        <v>10</v>
      </c>
      <c r="N1094" t="s">
        <v>64</v>
      </c>
      <c r="O1094">
        <v>0</v>
      </c>
      <c r="P1094">
        <v>232.46</v>
      </c>
      <c r="Q1094">
        <v>24.82</v>
      </c>
      <c r="R1094">
        <v>1.56</v>
      </c>
      <c r="S1094">
        <v>258.83</v>
      </c>
      <c r="T1094" t="s">
        <v>41</v>
      </c>
      <c r="U1094" t="s">
        <v>41</v>
      </c>
      <c r="V1094" t="s">
        <v>38</v>
      </c>
      <c r="W1094" t="s">
        <v>1001</v>
      </c>
      <c r="X1094">
        <v>23.25</v>
      </c>
      <c r="Y1094" s="9">
        <f t="shared" si="87"/>
        <v>23.246000000000002</v>
      </c>
      <c r="Z1094" s="9">
        <f t="shared" si="88"/>
        <v>43.586250000000007</v>
      </c>
      <c r="AA1094" s="5">
        <f t="shared" si="89"/>
        <v>48.424323750000006</v>
      </c>
      <c r="AB1094" s="6">
        <f t="shared" si="90"/>
        <v>70.605366375000003</v>
      </c>
      <c r="AD1094" s="10">
        <f t="shared" si="86"/>
        <v>88.402939837500028</v>
      </c>
    </row>
    <row r="1095" spans="1:30" x14ac:dyDescent="0.3">
      <c r="A1095" t="s">
        <v>30</v>
      </c>
      <c r="B1095" s="8" t="s">
        <v>31</v>
      </c>
      <c r="C1095" s="8" t="s">
        <v>32</v>
      </c>
      <c r="D1095" s="8" t="s">
        <v>69</v>
      </c>
      <c r="E1095" s="8" t="s">
        <v>70</v>
      </c>
      <c r="F1095" s="8" t="s">
        <v>71</v>
      </c>
      <c r="G1095">
        <v>8421392000</v>
      </c>
      <c r="H1095" t="s">
        <v>429</v>
      </c>
      <c r="I1095" t="s">
        <v>228</v>
      </c>
      <c r="J1095" t="s">
        <v>38</v>
      </c>
      <c r="K1095" t="s">
        <v>39</v>
      </c>
      <c r="L1095">
        <v>13</v>
      </c>
      <c r="M1095">
        <v>1</v>
      </c>
      <c r="N1095" t="s">
        <v>64</v>
      </c>
      <c r="O1095">
        <v>0</v>
      </c>
      <c r="P1095">
        <v>195.55</v>
      </c>
      <c r="Q1095">
        <v>10.44</v>
      </c>
      <c r="R1095">
        <v>1.26</v>
      </c>
      <c r="S1095">
        <v>207.25</v>
      </c>
      <c r="T1095" t="s">
        <v>72</v>
      </c>
      <c r="U1095" t="s">
        <v>72</v>
      </c>
      <c r="V1095" t="s">
        <v>38</v>
      </c>
      <c r="W1095" t="s">
        <v>1002</v>
      </c>
      <c r="X1095">
        <v>195.55</v>
      </c>
      <c r="Y1095" s="9">
        <f t="shared" si="87"/>
        <v>195.55</v>
      </c>
      <c r="Z1095" s="9">
        <f t="shared" si="88"/>
        <v>366.65625</v>
      </c>
      <c r="AA1095" s="5">
        <f t="shared" si="89"/>
        <v>407.35509374999998</v>
      </c>
      <c r="AB1095" s="6">
        <f t="shared" si="90"/>
        <v>593.94645937500002</v>
      </c>
      <c r="AD1095" s="10">
        <f t="shared" si="86"/>
        <v>743.66320593750004</v>
      </c>
    </row>
    <row r="1096" spans="1:30" x14ac:dyDescent="0.3">
      <c r="A1096" t="s">
        <v>30</v>
      </c>
      <c r="B1096" s="8" t="s">
        <v>31</v>
      </c>
      <c r="C1096" s="8" t="s">
        <v>32</v>
      </c>
      <c r="D1096" s="8" t="s">
        <v>33</v>
      </c>
      <c r="E1096" s="8" t="s">
        <v>34</v>
      </c>
      <c r="F1096" s="8" t="s">
        <v>35</v>
      </c>
      <c r="G1096">
        <v>8421392000</v>
      </c>
      <c r="H1096" t="s">
        <v>429</v>
      </c>
      <c r="I1096" t="s">
        <v>600</v>
      </c>
      <c r="J1096" t="s">
        <v>38</v>
      </c>
      <c r="K1096" t="s">
        <v>39</v>
      </c>
      <c r="L1096">
        <v>3</v>
      </c>
      <c r="M1096">
        <v>4</v>
      </c>
      <c r="N1096" t="s">
        <v>64</v>
      </c>
      <c r="O1096">
        <v>17.11</v>
      </c>
      <c r="P1096">
        <v>339.99</v>
      </c>
      <c r="Q1096">
        <v>14.55</v>
      </c>
      <c r="R1096">
        <v>2.19</v>
      </c>
      <c r="S1096">
        <v>356.73</v>
      </c>
      <c r="T1096" t="s">
        <v>41</v>
      </c>
      <c r="U1096" t="s">
        <v>43</v>
      </c>
      <c r="V1096" t="s">
        <v>38</v>
      </c>
      <c r="W1096" t="s">
        <v>1003</v>
      </c>
      <c r="X1096">
        <v>85</v>
      </c>
      <c r="Y1096" s="9">
        <f t="shared" si="87"/>
        <v>84.997500000000002</v>
      </c>
      <c r="Z1096" s="9">
        <f t="shared" si="88"/>
        <v>159.37031250000001</v>
      </c>
      <c r="AA1096" s="5">
        <f t="shared" si="89"/>
        <v>177.06041718750001</v>
      </c>
      <c r="AB1096" s="6">
        <f t="shared" si="90"/>
        <v>258.16396921875003</v>
      </c>
      <c r="AD1096" s="10">
        <f t="shared" si="86"/>
        <v>323.23964892187507</v>
      </c>
    </row>
    <row r="1097" spans="1:30" x14ac:dyDescent="0.3">
      <c r="A1097" t="s">
        <v>30</v>
      </c>
      <c r="B1097" s="8" t="s">
        <v>31</v>
      </c>
      <c r="C1097" s="8" t="s">
        <v>32</v>
      </c>
      <c r="D1097" s="8" t="s">
        <v>69</v>
      </c>
      <c r="E1097" s="8" t="s">
        <v>70</v>
      </c>
      <c r="F1097" s="8" t="s">
        <v>71</v>
      </c>
      <c r="G1097">
        <v>8421392000</v>
      </c>
      <c r="H1097" t="s">
        <v>429</v>
      </c>
      <c r="I1097" t="s">
        <v>965</v>
      </c>
      <c r="J1097" t="s">
        <v>38</v>
      </c>
      <c r="K1097" t="s">
        <v>39</v>
      </c>
      <c r="L1097">
        <v>9</v>
      </c>
      <c r="M1097">
        <v>5</v>
      </c>
      <c r="N1097" t="s">
        <v>64</v>
      </c>
      <c r="O1097">
        <v>20.34</v>
      </c>
      <c r="P1097">
        <v>404.25</v>
      </c>
      <c r="Q1097">
        <v>20.37</v>
      </c>
      <c r="R1097">
        <v>2.57</v>
      </c>
      <c r="S1097">
        <v>427.19</v>
      </c>
      <c r="T1097" t="s">
        <v>41</v>
      </c>
      <c r="U1097" t="s">
        <v>43</v>
      </c>
      <c r="V1097" t="s">
        <v>38</v>
      </c>
      <c r="W1097" t="s">
        <v>1003</v>
      </c>
      <c r="X1097">
        <v>80.849999999999994</v>
      </c>
      <c r="Y1097" s="9">
        <f t="shared" si="87"/>
        <v>80.849999999999994</v>
      </c>
      <c r="Z1097" s="9">
        <f t="shared" si="88"/>
        <v>151.59375</v>
      </c>
      <c r="AA1097" s="5">
        <f t="shared" si="89"/>
        <v>168.42065625000001</v>
      </c>
      <c r="AB1097" s="6">
        <f t="shared" si="90"/>
        <v>245.56671562499997</v>
      </c>
      <c r="AD1097" s="10">
        <f t="shared" si="86"/>
        <v>307.46699156250003</v>
      </c>
    </row>
    <row r="1098" spans="1:30" x14ac:dyDescent="0.3">
      <c r="A1098" t="s">
        <v>30</v>
      </c>
      <c r="B1098" s="8" t="s">
        <v>31</v>
      </c>
      <c r="C1098" s="8" t="s">
        <v>32</v>
      </c>
      <c r="D1098" s="8" t="s">
        <v>33</v>
      </c>
      <c r="E1098" s="8" t="s">
        <v>34</v>
      </c>
      <c r="F1098" s="8" t="s">
        <v>35</v>
      </c>
      <c r="G1098">
        <v>8421392000</v>
      </c>
      <c r="H1098" t="s">
        <v>429</v>
      </c>
      <c r="I1098" t="s">
        <v>228</v>
      </c>
      <c r="J1098" t="s">
        <v>38</v>
      </c>
      <c r="K1098" t="s">
        <v>39</v>
      </c>
      <c r="L1098">
        <v>8</v>
      </c>
      <c r="M1098">
        <v>3</v>
      </c>
      <c r="N1098" t="s">
        <v>64</v>
      </c>
      <c r="O1098">
        <v>12.88</v>
      </c>
      <c r="P1098">
        <v>255.82</v>
      </c>
      <c r="Q1098">
        <v>27.31</v>
      </c>
      <c r="R1098">
        <v>1.71</v>
      </c>
      <c r="S1098">
        <v>284.83999999999997</v>
      </c>
      <c r="T1098" t="s">
        <v>41</v>
      </c>
      <c r="U1098" t="s">
        <v>41</v>
      </c>
      <c r="V1098" t="s">
        <v>38</v>
      </c>
      <c r="W1098" t="s">
        <v>1003</v>
      </c>
      <c r="X1098">
        <v>85.27</v>
      </c>
      <c r="Y1098" s="9">
        <f t="shared" si="87"/>
        <v>85.273333333333326</v>
      </c>
      <c r="Z1098" s="9">
        <f t="shared" si="88"/>
        <v>159.88749999999999</v>
      </c>
      <c r="AA1098" s="5">
        <f t="shared" si="89"/>
        <v>177.63501249999999</v>
      </c>
      <c r="AB1098" s="6">
        <f t="shared" si="90"/>
        <v>259.00176124999996</v>
      </c>
      <c r="AD1098" s="10">
        <f t="shared" si="86"/>
        <v>324.28862412500001</v>
      </c>
    </row>
    <row r="1099" spans="1:30" x14ac:dyDescent="0.3">
      <c r="A1099" t="s">
        <v>30</v>
      </c>
      <c r="B1099" s="8" t="s">
        <v>31</v>
      </c>
      <c r="C1099" s="8" t="s">
        <v>32</v>
      </c>
      <c r="D1099" s="8" t="s">
        <v>33</v>
      </c>
      <c r="E1099" s="8" t="s">
        <v>34</v>
      </c>
      <c r="F1099" s="8" t="s">
        <v>35</v>
      </c>
      <c r="G1099">
        <v>8421999000</v>
      </c>
      <c r="H1099" t="s">
        <v>36</v>
      </c>
      <c r="I1099" t="s">
        <v>1004</v>
      </c>
      <c r="J1099" t="s">
        <v>38</v>
      </c>
      <c r="K1099" t="s">
        <v>39</v>
      </c>
      <c r="L1099">
        <v>3</v>
      </c>
      <c r="M1099">
        <v>8</v>
      </c>
      <c r="N1099" t="s">
        <v>64</v>
      </c>
      <c r="O1099">
        <v>0</v>
      </c>
      <c r="P1099">
        <v>290.49</v>
      </c>
      <c r="Q1099">
        <v>12.43</v>
      </c>
      <c r="R1099">
        <v>1.87</v>
      </c>
      <c r="S1099">
        <v>304.79000000000002</v>
      </c>
      <c r="T1099" t="s">
        <v>41</v>
      </c>
      <c r="U1099" t="s">
        <v>43</v>
      </c>
      <c r="V1099" t="s">
        <v>38</v>
      </c>
      <c r="W1099" t="s">
        <v>1005</v>
      </c>
      <c r="X1099">
        <v>36.31</v>
      </c>
      <c r="Y1099" s="9">
        <f t="shared" si="87"/>
        <v>36.311250000000001</v>
      </c>
      <c r="Z1099" s="9">
        <f t="shared" si="88"/>
        <v>68.083593750000006</v>
      </c>
      <c r="AA1099" s="5">
        <f t="shared" si="89"/>
        <v>75.640872656250011</v>
      </c>
      <c r="AB1099" s="6">
        <f t="shared" si="90"/>
        <v>110.288613515625</v>
      </c>
      <c r="AD1099" s="10">
        <f t="shared" si="86"/>
        <v>138.08918735156252</v>
      </c>
    </row>
    <row r="1100" spans="1:30" x14ac:dyDescent="0.3">
      <c r="A1100" t="s">
        <v>30</v>
      </c>
      <c r="B1100" s="8" t="s">
        <v>31</v>
      </c>
      <c r="C1100" s="8" t="s">
        <v>32</v>
      </c>
      <c r="D1100" s="8" t="s">
        <v>33</v>
      </c>
      <c r="E1100" s="8" t="s">
        <v>34</v>
      </c>
      <c r="F1100" s="8" t="s">
        <v>35</v>
      </c>
      <c r="G1100">
        <v>8421999000</v>
      </c>
      <c r="H1100" t="s">
        <v>36</v>
      </c>
      <c r="I1100" t="s">
        <v>255</v>
      </c>
      <c r="J1100" t="s">
        <v>38</v>
      </c>
      <c r="K1100" t="s">
        <v>39</v>
      </c>
      <c r="L1100">
        <v>12</v>
      </c>
      <c r="M1100">
        <v>6</v>
      </c>
      <c r="N1100" t="s">
        <v>64</v>
      </c>
      <c r="O1100">
        <v>0</v>
      </c>
      <c r="P1100">
        <v>219.98</v>
      </c>
      <c r="Q1100">
        <v>25.26</v>
      </c>
      <c r="R1100">
        <v>1.47</v>
      </c>
      <c r="S1100">
        <v>246.71</v>
      </c>
      <c r="T1100" t="s">
        <v>41</v>
      </c>
      <c r="U1100" t="s">
        <v>41</v>
      </c>
      <c r="V1100" t="s">
        <v>38</v>
      </c>
      <c r="W1100" t="s">
        <v>1005</v>
      </c>
      <c r="X1100">
        <v>36.659999999999997</v>
      </c>
      <c r="Y1100" s="9">
        <f t="shared" si="87"/>
        <v>36.663333333333334</v>
      </c>
      <c r="Z1100" s="9">
        <f t="shared" si="88"/>
        <v>68.743750000000006</v>
      </c>
      <c r="AA1100" s="5">
        <f t="shared" si="89"/>
        <v>76.374306250000004</v>
      </c>
      <c r="AB1100" s="6">
        <f t="shared" si="90"/>
        <v>111.358000625</v>
      </c>
      <c r="AD1100" s="10">
        <f t="shared" si="86"/>
        <v>139.42813606250002</v>
      </c>
    </row>
    <row r="1101" spans="1:30" x14ac:dyDescent="0.3">
      <c r="A1101" t="s">
        <v>168</v>
      </c>
      <c r="B1101" s="8" t="s">
        <v>31</v>
      </c>
      <c r="C1101" s="8" t="s">
        <v>32</v>
      </c>
      <c r="E1101" s="8" t="s">
        <v>70</v>
      </c>
      <c r="F1101" s="8" t="s">
        <v>71</v>
      </c>
      <c r="G1101">
        <v>8421999000</v>
      </c>
      <c r="H1101" t="s">
        <v>36</v>
      </c>
      <c r="I1101" t="s">
        <v>215</v>
      </c>
      <c r="J1101" t="s">
        <v>38</v>
      </c>
      <c r="K1101" t="s">
        <v>39</v>
      </c>
      <c r="L1101">
        <v>0</v>
      </c>
      <c r="M1101">
        <v>4</v>
      </c>
      <c r="N1101" t="s">
        <v>64</v>
      </c>
      <c r="O1101">
        <v>0</v>
      </c>
      <c r="P1101">
        <v>123.41</v>
      </c>
      <c r="Q1101">
        <v>9.4700000000000006</v>
      </c>
      <c r="R1101">
        <v>0.89</v>
      </c>
      <c r="S1101">
        <v>133.77000000000001</v>
      </c>
      <c r="T1101" t="s">
        <v>41</v>
      </c>
      <c r="U1101" t="s">
        <v>41</v>
      </c>
      <c r="V1101" t="s">
        <v>38</v>
      </c>
      <c r="W1101" t="s">
        <v>1005</v>
      </c>
      <c r="X1101">
        <v>30.85</v>
      </c>
      <c r="Y1101" s="9">
        <f t="shared" si="87"/>
        <v>30.852499999999999</v>
      </c>
      <c r="Z1101" s="9">
        <f t="shared" si="88"/>
        <v>57.848437499999996</v>
      </c>
      <c r="AA1101" s="5">
        <f t="shared" si="89"/>
        <v>64.269614062499997</v>
      </c>
      <c r="AB1101" s="6">
        <f t="shared" si="90"/>
        <v>93.708683906249988</v>
      </c>
      <c r="AD1101" s="10">
        <f t="shared" si="86"/>
        <v>117.32993639062501</v>
      </c>
    </row>
    <row r="1102" spans="1:30" x14ac:dyDescent="0.3">
      <c r="A1102" t="s">
        <v>30</v>
      </c>
      <c r="B1102" s="8" t="s">
        <v>58</v>
      </c>
      <c r="C1102" s="8" t="s">
        <v>32</v>
      </c>
      <c r="D1102" s="8" t="s">
        <v>69</v>
      </c>
      <c r="E1102" s="8" t="s">
        <v>70</v>
      </c>
      <c r="F1102" s="8" t="s">
        <v>71</v>
      </c>
      <c r="G1102">
        <v>4010320000</v>
      </c>
      <c r="H1102" t="s">
        <v>59</v>
      </c>
      <c r="I1102" t="s">
        <v>60</v>
      </c>
      <c r="J1102" t="s">
        <v>38</v>
      </c>
      <c r="K1102" t="s">
        <v>39</v>
      </c>
      <c r="L1102">
        <v>9</v>
      </c>
      <c r="M1102">
        <v>2</v>
      </c>
      <c r="N1102" t="s">
        <v>40</v>
      </c>
      <c r="O1102">
        <v>0</v>
      </c>
      <c r="P1102">
        <v>20.54</v>
      </c>
      <c r="Q1102">
        <v>1.03</v>
      </c>
      <c r="R1102">
        <v>0.13</v>
      </c>
      <c r="S1102">
        <v>21.7</v>
      </c>
      <c r="T1102" t="s">
        <v>41</v>
      </c>
      <c r="U1102" t="s">
        <v>43</v>
      </c>
      <c r="V1102" t="s">
        <v>38</v>
      </c>
      <c r="W1102" t="s">
        <v>1006</v>
      </c>
      <c r="X1102">
        <v>10.27</v>
      </c>
      <c r="Y1102" s="9">
        <f t="shared" si="87"/>
        <v>10.27</v>
      </c>
      <c r="Z1102" s="9">
        <f t="shared" si="88"/>
        <v>19.256249999999998</v>
      </c>
      <c r="AA1102" s="5">
        <f t="shared" si="89"/>
        <v>21.393693749999997</v>
      </c>
      <c r="AB1102" s="6">
        <f t="shared" si="90"/>
        <v>31.193199374999995</v>
      </c>
      <c r="AD1102" s="10">
        <f t="shared" si="86"/>
        <v>39.056103937499998</v>
      </c>
    </row>
    <row r="1103" spans="1:30" x14ac:dyDescent="0.3">
      <c r="A1103" t="s">
        <v>168</v>
      </c>
      <c r="B1103" s="8" t="s">
        <v>58</v>
      </c>
      <c r="C1103" s="8" t="s">
        <v>32</v>
      </c>
      <c r="D1103" s="8" t="s">
        <v>33</v>
      </c>
      <c r="E1103" s="8" t="s">
        <v>34</v>
      </c>
      <c r="F1103" s="8" t="s">
        <v>35</v>
      </c>
      <c r="G1103">
        <v>4010320000</v>
      </c>
      <c r="H1103" t="s">
        <v>59</v>
      </c>
      <c r="I1103" t="s">
        <v>60</v>
      </c>
      <c r="J1103" t="s">
        <v>38</v>
      </c>
      <c r="K1103" t="s">
        <v>39</v>
      </c>
      <c r="L1103">
        <v>11</v>
      </c>
      <c r="M1103">
        <v>1</v>
      </c>
      <c r="N1103" t="s">
        <v>40</v>
      </c>
      <c r="O1103">
        <v>0</v>
      </c>
      <c r="P1103">
        <v>10.57</v>
      </c>
      <c r="Q1103">
        <v>1.01</v>
      </c>
      <c r="R1103">
        <v>7.0000000000000007E-2</v>
      </c>
      <c r="S1103">
        <v>11.65</v>
      </c>
      <c r="T1103" t="s">
        <v>41</v>
      </c>
      <c r="U1103" t="s">
        <v>43</v>
      </c>
      <c r="V1103" t="s">
        <v>38</v>
      </c>
      <c r="W1103" t="s">
        <v>1006</v>
      </c>
      <c r="X1103">
        <v>10.57</v>
      </c>
      <c r="Y1103" s="9">
        <f t="shared" si="87"/>
        <v>10.57</v>
      </c>
      <c r="Z1103" s="9">
        <f t="shared" si="88"/>
        <v>19.818750000000001</v>
      </c>
      <c r="AA1103" s="5">
        <f t="shared" si="89"/>
        <v>22.018631250000002</v>
      </c>
      <c r="AB1103" s="6">
        <f t="shared" si="90"/>
        <v>32.104393125000001</v>
      </c>
      <c r="AD1103" s="10">
        <f t="shared" si="86"/>
        <v>40.196983312500009</v>
      </c>
    </row>
    <row r="1104" spans="1:30" x14ac:dyDescent="0.3">
      <c r="A1104" t="s">
        <v>30</v>
      </c>
      <c r="B1104" s="8" t="s">
        <v>58</v>
      </c>
      <c r="C1104" s="8" t="s">
        <v>32</v>
      </c>
      <c r="D1104" s="8" t="s">
        <v>33</v>
      </c>
      <c r="E1104" s="8" t="s">
        <v>34</v>
      </c>
      <c r="F1104" s="8" t="s">
        <v>35</v>
      </c>
      <c r="G1104">
        <v>4010320000</v>
      </c>
      <c r="H1104" t="s">
        <v>59</v>
      </c>
      <c r="I1104" t="s">
        <v>60</v>
      </c>
      <c r="J1104" t="s">
        <v>38</v>
      </c>
      <c r="K1104" t="s">
        <v>39</v>
      </c>
      <c r="L1104">
        <v>3</v>
      </c>
      <c r="M1104">
        <v>4</v>
      </c>
      <c r="N1104" t="s">
        <v>40</v>
      </c>
      <c r="O1104">
        <v>0</v>
      </c>
      <c r="P1104">
        <v>113.36</v>
      </c>
      <c r="Q1104">
        <v>4.8499999999999996</v>
      </c>
      <c r="R1104">
        <v>0.73</v>
      </c>
      <c r="S1104">
        <v>118.94</v>
      </c>
      <c r="T1104" t="s">
        <v>41</v>
      </c>
      <c r="U1104" t="s">
        <v>43</v>
      </c>
      <c r="V1104" t="s">
        <v>38</v>
      </c>
      <c r="W1104" t="s">
        <v>1007</v>
      </c>
      <c r="X1104">
        <v>28.34</v>
      </c>
      <c r="Y1104" s="9">
        <f t="shared" si="87"/>
        <v>28.34</v>
      </c>
      <c r="Z1104" s="9">
        <f t="shared" si="88"/>
        <v>53.137500000000003</v>
      </c>
      <c r="AA1104" s="5">
        <f t="shared" si="89"/>
        <v>59.035762500000004</v>
      </c>
      <c r="AB1104" s="6">
        <f t="shared" si="90"/>
        <v>86.077436250000005</v>
      </c>
      <c r="AD1104" s="10">
        <f t="shared" si="86"/>
        <v>107.77507162500001</v>
      </c>
    </row>
    <row r="1105" spans="1:30" x14ac:dyDescent="0.3">
      <c r="A1105" t="s">
        <v>30</v>
      </c>
      <c r="B1105" s="8" t="s">
        <v>58</v>
      </c>
      <c r="C1105" s="8" t="s">
        <v>32</v>
      </c>
      <c r="D1105" s="8" t="s">
        <v>33</v>
      </c>
      <c r="E1105" s="8" t="s">
        <v>34</v>
      </c>
      <c r="F1105" s="8" t="s">
        <v>35</v>
      </c>
      <c r="G1105">
        <v>4010320000</v>
      </c>
      <c r="H1105" t="s">
        <v>59</v>
      </c>
      <c r="I1105" t="s">
        <v>60</v>
      </c>
      <c r="J1105" t="s">
        <v>38</v>
      </c>
      <c r="K1105" t="s">
        <v>39</v>
      </c>
      <c r="L1105">
        <v>8</v>
      </c>
      <c r="M1105">
        <v>2</v>
      </c>
      <c r="N1105" t="s">
        <v>40</v>
      </c>
      <c r="O1105">
        <v>0</v>
      </c>
      <c r="P1105">
        <v>136.32</v>
      </c>
      <c r="Q1105">
        <v>7.72</v>
      </c>
      <c r="R1105">
        <v>0.87</v>
      </c>
      <c r="S1105">
        <v>144.91</v>
      </c>
      <c r="T1105" t="s">
        <v>41</v>
      </c>
      <c r="U1105" t="s">
        <v>41</v>
      </c>
      <c r="V1105" t="s">
        <v>38</v>
      </c>
      <c r="W1105" t="s">
        <v>1008</v>
      </c>
      <c r="X1105">
        <v>68.16</v>
      </c>
      <c r="Y1105" s="9">
        <f t="shared" si="87"/>
        <v>68.16</v>
      </c>
      <c r="Z1105" s="9">
        <f t="shared" si="88"/>
        <v>127.8</v>
      </c>
      <c r="AA1105" s="5">
        <f t="shared" si="89"/>
        <v>141.98579999999998</v>
      </c>
      <c r="AB1105" s="6">
        <f t="shared" si="90"/>
        <v>207.02321999999998</v>
      </c>
      <c r="AD1105" s="10">
        <f t="shared" si="86"/>
        <v>259.20779400000004</v>
      </c>
    </row>
    <row r="1106" spans="1:30" x14ac:dyDescent="0.3">
      <c r="A1106" t="s">
        <v>30</v>
      </c>
      <c r="B1106" s="8" t="s">
        <v>58</v>
      </c>
      <c r="C1106" s="8" t="s">
        <v>32</v>
      </c>
      <c r="D1106" s="8" t="s">
        <v>33</v>
      </c>
      <c r="E1106" s="8" t="s">
        <v>34</v>
      </c>
      <c r="F1106" s="8" t="s">
        <v>35</v>
      </c>
      <c r="G1106">
        <v>4010320000</v>
      </c>
      <c r="H1106" t="s">
        <v>59</v>
      </c>
      <c r="I1106" t="s">
        <v>60</v>
      </c>
      <c r="J1106" t="s">
        <v>38</v>
      </c>
      <c r="K1106" t="s">
        <v>39</v>
      </c>
      <c r="L1106">
        <v>7</v>
      </c>
      <c r="M1106">
        <v>6</v>
      </c>
      <c r="N1106" t="s">
        <v>40</v>
      </c>
      <c r="O1106">
        <v>0</v>
      </c>
      <c r="P1106">
        <v>151.77000000000001</v>
      </c>
      <c r="Q1106">
        <v>23.98</v>
      </c>
      <c r="R1106">
        <v>0.94</v>
      </c>
      <c r="S1106">
        <v>176.68</v>
      </c>
      <c r="T1106" t="s">
        <v>41</v>
      </c>
      <c r="U1106" t="s">
        <v>41</v>
      </c>
      <c r="V1106" t="s">
        <v>38</v>
      </c>
      <c r="W1106" t="s">
        <v>1009</v>
      </c>
      <c r="X1106">
        <v>25.3</v>
      </c>
      <c r="Y1106" s="9">
        <f t="shared" si="87"/>
        <v>25.295000000000002</v>
      </c>
      <c r="Z1106" s="9">
        <f t="shared" si="88"/>
        <v>47.428125000000001</v>
      </c>
      <c r="AA1106" s="5">
        <f t="shared" si="89"/>
        <v>52.692646875000001</v>
      </c>
      <c r="AB1106" s="6">
        <f t="shared" si="90"/>
        <v>76.828819687500001</v>
      </c>
      <c r="AD1106" s="10">
        <f t="shared" si="86"/>
        <v>96.195145968750012</v>
      </c>
    </row>
    <row r="1107" spans="1:30" x14ac:dyDescent="0.3">
      <c r="A1107" t="s">
        <v>30</v>
      </c>
      <c r="B1107" s="8" t="s">
        <v>58</v>
      </c>
      <c r="C1107" s="8" t="s">
        <v>32</v>
      </c>
      <c r="D1107" s="8" t="s">
        <v>33</v>
      </c>
      <c r="E1107" s="8" t="s">
        <v>34</v>
      </c>
      <c r="F1107" s="8" t="s">
        <v>35</v>
      </c>
      <c r="G1107">
        <v>4010320000</v>
      </c>
      <c r="H1107" t="s">
        <v>59</v>
      </c>
      <c r="I1107" t="s">
        <v>60</v>
      </c>
      <c r="J1107" t="s">
        <v>38</v>
      </c>
      <c r="K1107" t="s">
        <v>39</v>
      </c>
      <c r="L1107">
        <v>6</v>
      </c>
      <c r="M1107">
        <v>4</v>
      </c>
      <c r="N1107" t="s">
        <v>40</v>
      </c>
      <c r="O1107">
        <v>0</v>
      </c>
      <c r="P1107">
        <v>106.11</v>
      </c>
      <c r="Q1107">
        <v>12.83</v>
      </c>
      <c r="R1107">
        <v>0.74</v>
      </c>
      <c r="S1107">
        <v>119.68</v>
      </c>
      <c r="T1107" t="s">
        <v>41</v>
      </c>
      <c r="U1107" t="s">
        <v>43</v>
      </c>
      <c r="V1107" t="s">
        <v>38</v>
      </c>
      <c r="W1107" t="s">
        <v>1009</v>
      </c>
      <c r="X1107">
        <v>26.53</v>
      </c>
      <c r="Y1107" s="9">
        <f t="shared" si="87"/>
        <v>26.5275</v>
      </c>
      <c r="Z1107" s="9">
        <f t="shared" si="88"/>
        <v>49.739062500000003</v>
      </c>
      <c r="AA1107" s="5">
        <f t="shared" si="89"/>
        <v>55.260098437500005</v>
      </c>
      <c r="AB1107" s="6">
        <f t="shared" si="90"/>
        <v>80.572307343749998</v>
      </c>
      <c r="AD1107" s="10">
        <f t="shared" si="86"/>
        <v>100.88225873437501</v>
      </c>
    </row>
    <row r="1108" spans="1:30" x14ac:dyDescent="0.3">
      <c r="A1108" t="s">
        <v>30</v>
      </c>
      <c r="B1108" s="8" t="s">
        <v>58</v>
      </c>
      <c r="C1108" s="8" t="s">
        <v>32</v>
      </c>
      <c r="D1108" s="8" t="s">
        <v>69</v>
      </c>
      <c r="E1108" s="8" t="s">
        <v>70</v>
      </c>
      <c r="F1108" s="8" t="s">
        <v>71</v>
      </c>
      <c r="G1108">
        <v>4010320000</v>
      </c>
      <c r="H1108" t="s">
        <v>59</v>
      </c>
      <c r="I1108" t="s">
        <v>60</v>
      </c>
      <c r="J1108" t="s">
        <v>38</v>
      </c>
      <c r="K1108" t="s">
        <v>39</v>
      </c>
      <c r="L1108">
        <v>13</v>
      </c>
      <c r="M1108">
        <v>6</v>
      </c>
      <c r="N1108" t="s">
        <v>40</v>
      </c>
      <c r="O1108">
        <v>0</v>
      </c>
      <c r="P1108">
        <v>134.04</v>
      </c>
      <c r="Q1108">
        <v>9.52</v>
      </c>
      <c r="R1108">
        <v>0.88</v>
      </c>
      <c r="S1108">
        <v>144.43</v>
      </c>
      <c r="T1108" t="s">
        <v>41</v>
      </c>
      <c r="U1108" t="s">
        <v>41</v>
      </c>
      <c r="V1108" t="s">
        <v>38</v>
      </c>
      <c r="W1108" t="s">
        <v>1009</v>
      </c>
      <c r="X1108">
        <v>22.34</v>
      </c>
      <c r="Y1108" s="9">
        <f t="shared" si="87"/>
        <v>22.34</v>
      </c>
      <c r="Z1108" s="9">
        <f t="shared" si="88"/>
        <v>41.887500000000003</v>
      </c>
      <c r="AA1108" s="5">
        <f t="shared" si="89"/>
        <v>46.537012500000003</v>
      </c>
      <c r="AB1108" s="6">
        <f t="shared" si="90"/>
        <v>67.853561249999998</v>
      </c>
      <c r="AD1108" s="10">
        <f t="shared" si="86"/>
        <v>84.957484125000008</v>
      </c>
    </row>
    <row r="1109" spans="1:30" x14ac:dyDescent="0.3">
      <c r="A1109" t="s">
        <v>30</v>
      </c>
      <c r="B1109" s="8" t="s">
        <v>58</v>
      </c>
      <c r="C1109" s="8" t="s">
        <v>32</v>
      </c>
      <c r="D1109" s="8" t="s">
        <v>33</v>
      </c>
      <c r="E1109" s="8" t="s">
        <v>34</v>
      </c>
      <c r="F1109" s="8" t="s">
        <v>35</v>
      </c>
      <c r="G1109">
        <v>4010320000</v>
      </c>
      <c r="H1109" t="s">
        <v>59</v>
      </c>
      <c r="I1109" t="s">
        <v>60</v>
      </c>
      <c r="J1109" t="s">
        <v>38</v>
      </c>
      <c r="K1109" t="s">
        <v>39</v>
      </c>
      <c r="L1109">
        <v>8</v>
      </c>
      <c r="M1109">
        <v>4</v>
      </c>
      <c r="N1109" t="s">
        <v>40</v>
      </c>
      <c r="O1109">
        <v>0</v>
      </c>
      <c r="P1109">
        <v>93.13</v>
      </c>
      <c r="Q1109">
        <v>5.27</v>
      </c>
      <c r="R1109">
        <v>0.59</v>
      </c>
      <c r="S1109">
        <v>99</v>
      </c>
      <c r="T1109" t="s">
        <v>41</v>
      </c>
      <c r="U1109" t="s">
        <v>41</v>
      </c>
      <c r="V1109" t="s">
        <v>38</v>
      </c>
      <c r="W1109" t="s">
        <v>1010</v>
      </c>
      <c r="X1109">
        <v>23.28</v>
      </c>
      <c r="Y1109" s="9">
        <f t="shared" si="87"/>
        <v>23.282499999999999</v>
      </c>
      <c r="Z1109" s="9">
        <f t="shared" si="88"/>
        <v>43.654687499999994</v>
      </c>
      <c r="AA1109" s="5">
        <f t="shared" si="89"/>
        <v>48.500357812499992</v>
      </c>
      <c r="AB1109" s="6">
        <f t="shared" si="90"/>
        <v>70.716228281249983</v>
      </c>
      <c r="AD1109" s="10">
        <f t="shared" si="86"/>
        <v>88.541746828125</v>
      </c>
    </row>
    <row r="1110" spans="1:30" x14ac:dyDescent="0.3">
      <c r="A1110" t="s">
        <v>30</v>
      </c>
      <c r="B1110" s="8" t="s">
        <v>58</v>
      </c>
      <c r="C1110" s="8" t="s">
        <v>32</v>
      </c>
      <c r="D1110" s="8" t="s">
        <v>33</v>
      </c>
      <c r="E1110" s="8" t="s">
        <v>34</v>
      </c>
      <c r="F1110" s="8" t="s">
        <v>35</v>
      </c>
      <c r="G1110">
        <v>4010320000</v>
      </c>
      <c r="H1110" t="s">
        <v>59</v>
      </c>
      <c r="I1110" t="s">
        <v>60</v>
      </c>
      <c r="J1110" t="s">
        <v>38</v>
      </c>
      <c r="K1110" t="s">
        <v>39</v>
      </c>
      <c r="L1110">
        <v>4</v>
      </c>
      <c r="M1110">
        <v>1</v>
      </c>
      <c r="N1110" t="s">
        <v>40</v>
      </c>
      <c r="O1110">
        <v>0</v>
      </c>
      <c r="P1110">
        <v>24.35</v>
      </c>
      <c r="Q1110">
        <v>1.27</v>
      </c>
      <c r="R1110">
        <v>0.16</v>
      </c>
      <c r="S1110">
        <v>25.79</v>
      </c>
      <c r="T1110" t="s">
        <v>41</v>
      </c>
      <c r="U1110" t="s">
        <v>41</v>
      </c>
      <c r="V1110" t="s">
        <v>38</v>
      </c>
      <c r="W1110" t="s">
        <v>1011</v>
      </c>
      <c r="X1110">
        <v>24.35</v>
      </c>
      <c r="Y1110" s="9">
        <f t="shared" si="87"/>
        <v>24.35</v>
      </c>
      <c r="Z1110" s="9">
        <f t="shared" si="88"/>
        <v>45.65625</v>
      </c>
      <c r="AA1110" s="5">
        <f t="shared" si="89"/>
        <v>50.724093750000002</v>
      </c>
      <c r="AB1110" s="6">
        <f t="shared" si="90"/>
        <v>73.958559374999993</v>
      </c>
      <c r="AD1110" s="10">
        <f t="shared" si="86"/>
        <v>92.601375937500009</v>
      </c>
    </row>
    <row r="1111" spans="1:30" x14ac:dyDescent="0.3">
      <c r="A1111" t="s">
        <v>30</v>
      </c>
      <c r="B1111" s="8" t="s">
        <v>58</v>
      </c>
      <c r="C1111" s="8" t="s">
        <v>32</v>
      </c>
      <c r="D1111" s="8" t="s">
        <v>33</v>
      </c>
      <c r="E1111" s="8" t="s">
        <v>34</v>
      </c>
      <c r="F1111" s="8" t="s">
        <v>35</v>
      </c>
      <c r="G1111">
        <v>4010320000</v>
      </c>
      <c r="H1111" t="s">
        <v>59</v>
      </c>
      <c r="I1111" t="s">
        <v>60</v>
      </c>
      <c r="J1111" t="s">
        <v>38</v>
      </c>
      <c r="K1111" t="s">
        <v>39</v>
      </c>
      <c r="L1111">
        <v>8</v>
      </c>
      <c r="M1111">
        <v>1</v>
      </c>
      <c r="N1111" t="s">
        <v>40</v>
      </c>
      <c r="O1111">
        <v>0</v>
      </c>
      <c r="P1111">
        <v>24.35</v>
      </c>
      <c r="Q1111">
        <v>2.6</v>
      </c>
      <c r="R1111">
        <v>0.16</v>
      </c>
      <c r="S1111">
        <v>27.11</v>
      </c>
      <c r="T1111" t="s">
        <v>41</v>
      </c>
      <c r="U1111" t="s">
        <v>41</v>
      </c>
      <c r="V1111" t="s">
        <v>38</v>
      </c>
      <c r="W1111" t="s">
        <v>1011</v>
      </c>
      <c r="X1111">
        <v>24.35</v>
      </c>
      <c r="Y1111" s="9">
        <f t="shared" si="87"/>
        <v>24.35</v>
      </c>
      <c r="Z1111" s="9">
        <f t="shared" si="88"/>
        <v>45.65625</v>
      </c>
      <c r="AA1111" s="5">
        <f t="shared" si="89"/>
        <v>50.724093750000002</v>
      </c>
      <c r="AB1111" s="6">
        <f t="shared" si="90"/>
        <v>73.958559374999993</v>
      </c>
      <c r="AD1111" s="10">
        <f t="shared" si="86"/>
        <v>92.601375937500009</v>
      </c>
    </row>
    <row r="1112" spans="1:30" x14ac:dyDescent="0.3">
      <c r="A1112" t="s">
        <v>30</v>
      </c>
      <c r="B1112" s="8" t="s">
        <v>58</v>
      </c>
      <c r="C1112" s="8" t="s">
        <v>32</v>
      </c>
      <c r="D1112" s="8" t="s">
        <v>33</v>
      </c>
      <c r="E1112" s="8" t="s">
        <v>34</v>
      </c>
      <c r="F1112" s="8" t="s">
        <v>35</v>
      </c>
      <c r="G1112">
        <v>4010320000</v>
      </c>
      <c r="H1112" t="s">
        <v>59</v>
      </c>
      <c r="I1112" t="s">
        <v>60</v>
      </c>
      <c r="J1112" t="s">
        <v>38</v>
      </c>
      <c r="K1112" t="s">
        <v>39</v>
      </c>
      <c r="L1112">
        <v>8</v>
      </c>
      <c r="M1112">
        <v>2</v>
      </c>
      <c r="N1112" t="s">
        <v>40</v>
      </c>
      <c r="O1112">
        <v>0</v>
      </c>
      <c r="P1112">
        <v>48.66</v>
      </c>
      <c r="Q1112">
        <v>6.09</v>
      </c>
      <c r="R1112">
        <v>0.33</v>
      </c>
      <c r="S1112">
        <v>55.08</v>
      </c>
      <c r="T1112" t="s">
        <v>41</v>
      </c>
      <c r="U1112" t="s">
        <v>41</v>
      </c>
      <c r="V1112" t="s">
        <v>38</v>
      </c>
      <c r="W1112" t="s">
        <v>1011</v>
      </c>
      <c r="X1112">
        <v>24.33</v>
      </c>
      <c r="Y1112" s="9">
        <f t="shared" si="87"/>
        <v>24.33</v>
      </c>
      <c r="Z1112" s="9">
        <f t="shared" si="88"/>
        <v>45.618749999999999</v>
      </c>
      <c r="AA1112" s="5">
        <f t="shared" si="89"/>
        <v>50.68243125</v>
      </c>
      <c r="AB1112" s="6">
        <f t="shared" si="90"/>
        <v>73.897813124999999</v>
      </c>
      <c r="AD1112" s="10">
        <f t="shared" si="86"/>
        <v>92.525317312500007</v>
      </c>
    </row>
    <row r="1113" spans="1:30" x14ac:dyDescent="0.3">
      <c r="A1113" t="s">
        <v>30</v>
      </c>
      <c r="B1113" s="8" t="s">
        <v>58</v>
      </c>
      <c r="C1113" s="8" t="s">
        <v>32</v>
      </c>
      <c r="D1113" s="8" t="s">
        <v>33</v>
      </c>
      <c r="E1113" s="8" t="s">
        <v>34</v>
      </c>
      <c r="F1113" s="8" t="s">
        <v>35</v>
      </c>
      <c r="G1113">
        <v>4010320000</v>
      </c>
      <c r="H1113" t="s">
        <v>59</v>
      </c>
      <c r="I1113" t="s">
        <v>60</v>
      </c>
      <c r="J1113" t="s">
        <v>38</v>
      </c>
      <c r="K1113" t="s">
        <v>39</v>
      </c>
      <c r="L1113">
        <v>10</v>
      </c>
      <c r="M1113">
        <v>4</v>
      </c>
      <c r="N1113" t="s">
        <v>40</v>
      </c>
      <c r="O1113">
        <v>0</v>
      </c>
      <c r="P1113">
        <v>109.17</v>
      </c>
      <c r="Q1113">
        <v>9.09</v>
      </c>
      <c r="R1113">
        <v>0.71</v>
      </c>
      <c r="S1113">
        <v>118.97</v>
      </c>
      <c r="T1113" t="s">
        <v>41</v>
      </c>
      <c r="U1113" t="s">
        <v>43</v>
      </c>
      <c r="V1113" t="s">
        <v>38</v>
      </c>
      <c r="W1113" t="s">
        <v>1012</v>
      </c>
      <c r="X1113">
        <v>27.29</v>
      </c>
      <c r="Y1113" s="9">
        <f t="shared" si="87"/>
        <v>27.2925</v>
      </c>
      <c r="Z1113" s="9">
        <f t="shared" si="88"/>
        <v>51.173437499999999</v>
      </c>
      <c r="AA1113" s="5">
        <f t="shared" si="89"/>
        <v>56.853689062499996</v>
      </c>
      <c r="AB1113" s="6">
        <f t="shared" si="90"/>
        <v>82.895851406249989</v>
      </c>
      <c r="AD1113" s="10">
        <f t="shared" si="86"/>
        <v>103.791501140625</v>
      </c>
    </row>
    <row r="1114" spans="1:30" x14ac:dyDescent="0.3">
      <c r="A1114" t="s">
        <v>30</v>
      </c>
      <c r="B1114" s="8" t="s">
        <v>58</v>
      </c>
      <c r="C1114" s="8" t="s">
        <v>32</v>
      </c>
      <c r="D1114" s="8" t="s">
        <v>33</v>
      </c>
      <c r="E1114" s="8" t="s">
        <v>34</v>
      </c>
      <c r="F1114" s="8" t="s">
        <v>35</v>
      </c>
      <c r="G1114">
        <v>4010320000</v>
      </c>
      <c r="H1114" t="s">
        <v>59</v>
      </c>
      <c r="I1114" t="s">
        <v>60</v>
      </c>
      <c r="J1114" t="s">
        <v>38</v>
      </c>
      <c r="K1114" t="s">
        <v>39</v>
      </c>
      <c r="L1114">
        <v>8</v>
      </c>
      <c r="M1114">
        <v>3</v>
      </c>
      <c r="N1114" t="s">
        <v>40</v>
      </c>
      <c r="O1114">
        <v>0</v>
      </c>
      <c r="P1114">
        <v>68.540000000000006</v>
      </c>
      <c r="Q1114">
        <v>8.59</v>
      </c>
      <c r="R1114">
        <v>0.47</v>
      </c>
      <c r="S1114">
        <v>77.59</v>
      </c>
      <c r="T1114" t="s">
        <v>41</v>
      </c>
      <c r="U1114" t="s">
        <v>41</v>
      </c>
      <c r="V1114" t="s">
        <v>38</v>
      </c>
      <c r="W1114" t="s">
        <v>1013</v>
      </c>
      <c r="X1114">
        <v>22.85</v>
      </c>
      <c r="Y1114" s="9">
        <f t="shared" si="87"/>
        <v>22.846666666666668</v>
      </c>
      <c r="Z1114" s="9">
        <f t="shared" si="88"/>
        <v>42.837499999999999</v>
      </c>
      <c r="AA1114" s="5">
        <f t="shared" si="89"/>
        <v>47.592462499999996</v>
      </c>
      <c r="AB1114" s="6">
        <f t="shared" si="90"/>
        <v>69.392466249999998</v>
      </c>
      <c r="AD1114" s="10">
        <f t="shared" si="86"/>
        <v>86.884302625000004</v>
      </c>
    </row>
    <row r="1115" spans="1:30" x14ac:dyDescent="0.3">
      <c r="A1115" t="s">
        <v>30</v>
      </c>
      <c r="B1115" s="8" t="s">
        <v>31</v>
      </c>
      <c r="C1115" s="8" t="s">
        <v>32</v>
      </c>
      <c r="D1115" s="8" t="s">
        <v>69</v>
      </c>
      <c r="E1115" s="8" t="s">
        <v>70</v>
      </c>
      <c r="F1115" s="8" t="s">
        <v>71</v>
      </c>
      <c r="G1115">
        <v>8421999000</v>
      </c>
      <c r="H1115" t="s">
        <v>36</v>
      </c>
      <c r="I1115" t="s">
        <v>1004</v>
      </c>
      <c r="J1115" t="s">
        <v>38</v>
      </c>
      <c r="K1115" t="s">
        <v>39</v>
      </c>
      <c r="L1115">
        <v>13</v>
      </c>
      <c r="M1115">
        <v>8</v>
      </c>
      <c r="N1115" t="s">
        <v>64</v>
      </c>
      <c r="O1115">
        <v>0</v>
      </c>
      <c r="P1115">
        <v>458.8</v>
      </c>
      <c r="Q1115">
        <v>32.58</v>
      </c>
      <c r="R1115">
        <v>3</v>
      </c>
      <c r="S1115">
        <v>494.37</v>
      </c>
      <c r="T1115" t="s">
        <v>41</v>
      </c>
      <c r="U1115" t="s">
        <v>41</v>
      </c>
      <c r="V1115" t="s">
        <v>38</v>
      </c>
      <c r="W1115" t="s">
        <v>1014</v>
      </c>
      <c r="X1115">
        <v>57.35</v>
      </c>
      <c r="Y1115" s="9">
        <f t="shared" si="87"/>
        <v>57.35</v>
      </c>
      <c r="Z1115" s="9">
        <f t="shared" si="88"/>
        <v>107.53125</v>
      </c>
      <c r="AA1115" s="5">
        <f t="shared" si="89"/>
        <v>119.46721875</v>
      </c>
      <c r="AB1115" s="6">
        <f t="shared" si="90"/>
        <v>174.18987187499999</v>
      </c>
      <c r="AD1115" s="10">
        <f t="shared" si="86"/>
        <v>218.09810718750003</v>
      </c>
    </row>
    <row r="1116" spans="1:30" x14ac:dyDescent="0.3">
      <c r="A1116" t="s">
        <v>30</v>
      </c>
      <c r="B1116" s="8" t="s">
        <v>31</v>
      </c>
      <c r="C1116" s="8" t="s">
        <v>32</v>
      </c>
      <c r="D1116" s="8" t="s">
        <v>33</v>
      </c>
      <c r="E1116" s="8" t="s">
        <v>34</v>
      </c>
      <c r="F1116" s="8" t="s">
        <v>35</v>
      </c>
      <c r="G1116">
        <v>8421999000</v>
      </c>
      <c r="H1116" t="s">
        <v>36</v>
      </c>
      <c r="I1116" t="s">
        <v>215</v>
      </c>
      <c r="J1116" t="s">
        <v>38</v>
      </c>
      <c r="K1116" t="s">
        <v>39</v>
      </c>
      <c r="L1116">
        <v>6</v>
      </c>
      <c r="M1116">
        <v>8</v>
      </c>
      <c r="N1116" t="s">
        <v>64</v>
      </c>
      <c r="O1116">
        <v>0</v>
      </c>
      <c r="P1116">
        <v>482.93</v>
      </c>
      <c r="Q1116">
        <v>32.770000000000003</v>
      </c>
      <c r="R1116">
        <v>3.14</v>
      </c>
      <c r="S1116">
        <v>518.84</v>
      </c>
      <c r="T1116" t="s">
        <v>41</v>
      </c>
      <c r="U1116" t="s">
        <v>41</v>
      </c>
      <c r="V1116" t="s">
        <v>38</v>
      </c>
      <c r="W1116" t="s">
        <v>1014</v>
      </c>
      <c r="X1116">
        <v>60.37</v>
      </c>
      <c r="Y1116" s="9">
        <f t="shared" si="87"/>
        <v>60.366250000000001</v>
      </c>
      <c r="Z1116" s="9">
        <f t="shared" si="88"/>
        <v>113.18671875</v>
      </c>
      <c r="AA1116" s="5">
        <f t="shared" si="89"/>
        <v>125.75044453125</v>
      </c>
      <c r="AB1116" s="6">
        <f t="shared" si="90"/>
        <v>183.35116570312499</v>
      </c>
      <c r="AD1116" s="10">
        <f t="shared" si="86"/>
        <v>229.56869857031251</v>
      </c>
    </row>
    <row r="1117" spans="1:30" x14ac:dyDescent="0.3">
      <c r="A1117" t="s">
        <v>30</v>
      </c>
      <c r="B1117" s="8" t="s">
        <v>31</v>
      </c>
      <c r="C1117" s="8" t="s">
        <v>32</v>
      </c>
      <c r="D1117" s="8" t="s">
        <v>69</v>
      </c>
      <c r="E1117" s="8" t="s">
        <v>70</v>
      </c>
      <c r="F1117" s="8" t="s">
        <v>71</v>
      </c>
      <c r="G1117">
        <v>8421999000</v>
      </c>
      <c r="H1117" t="s">
        <v>36</v>
      </c>
      <c r="I1117" t="s">
        <v>257</v>
      </c>
      <c r="J1117" t="s">
        <v>38</v>
      </c>
      <c r="K1117" t="s">
        <v>39</v>
      </c>
      <c r="L1117">
        <v>8</v>
      </c>
      <c r="M1117">
        <v>10</v>
      </c>
      <c r="N1117" t="s">
        <v>64</v>
      </c>
      <c r="O1117">
        <v>0</v>
      </c>
      <c r="P1117">
        <v>590.6</v>
      </c>
      <c r="Q1117">
        <v>38.659999999999997</v>
      </c>
      <c r="R1117">
        <v>3.83</v>
      </c>
      <c r="S1117">
        <v>633.09</v>
      </c>
      <c r="T1117" t="s">
        <v>41</v>
      </c>
      <c r="U1117" t="s">
        <v>41</v>
      </c>
      <c r="V1117" t="s">
        <v>38</v>
      </c>
      <c r="W1117" t="s">
        <v>1014</v>
      </c>
      <c r="X1117">
        <v>59.06</v>
      </c>
      <c r="Y1117" s="9">
        <f t="shared" si="87"/>
        <v>59.06</v>
      </c>
      <c r="Z1117" s="9">
        <f t="shared" si="88"/>
        <v>110.73750000000001</v>
      </c>
      <c r="AA1117" s="5">
        <f t="shared" si="89"/>
        <v>123.0293625</v>
      </c>
      <c r="AB1117" s="6">
        <f t="shared" si="90"/>
        <v>179.38367625000001</v>
      </c>
      <c r="AD1117" s="10">
        <f t="shared" si="86"/>
        <v>224.60111962500005</v>
      </c>
    </row>
    <row r="1118" spans="1:30" x14ac:dyDescent="0.3">
      <c r="A1118" t="s">
        <v>30</v>
      </c>
      <c r="B1118" s="8" t="s">
        <v>31</v>
      </c>
      <c r="C1118" s="8" t="s">
        <v>32</v>
      </c>
      <c r="D1118" s="8" t="s">
        <v>33</v>
      </c>
      <c r="E1118" s="8" t="s">
        <v>34</v>
      </c>
      <c r="F1118" s="8" t="s">
        <v>35</v>
      </c>
      <c r="G1118">
        <v>8421999000</v>
      </c>
      <c r="H1118" t="s">
        <v>36</v>
      </c>
      <c r="I1118" t="s">
        <v>215</v>
      </c>
      <c r="J1118" t="s">
        <v>38</v>
      </c>
      <c r="K1118" t="s">
        <v>39</v>
      </c>
      <c r="L1118">
        <v>8</v>
      </c>
      <c r="M1118">
        <v>4</v>
      </c>
      <c r="N1118" t="s">
        <v>64</v>
      </c>
      <c r="O1118">
        <v>0</v>
      </c>
      <c r="P1118">
        <v>241.6</v>
      </c>
      <c r="Q1118">
        <v>25.79</v>
      </c>
      <c r="R1118">
        <v>1.62</v>
      </c>
      <c r="S1118">
        <v>269.01</v>
      </c>
      <c r="T1118" t="s">
        <v>41</v>
      </c>
      <c r="U1118" t="s">
        <v>41</v>
      </c>
      <c r="V1118" t="s">
        <v>38</v>
      </c>
      <c r="W1118" t="s">
        <v>1014</v>
      </c>
      <c r="X1118">
        <v>60.4</v>
      </c>
      <c r="Y1118" s="9">
        <f t="shared" si="87"/>
        <v>60.4</v>
      </c>
      <c r="Z1118" s="9">
        <f t="shared" si="88"/>
        <v>113.25</v>
      </c>
      <c r="AA1118" s="5">
        <f t="shared" si="89"/>
        <v>125.82075</v>
      </c>
      <c r="AB1118" s="6">
        <f t="shared" si="90"/>
        <v>183.45367499999998</v>
      </c>
      <c r="AD1118" s="10">
        <f t="shared" si="86"/>
        <v>229.69704750000002</v>
      </c>
    </row>
    <row r="1119" spans="1:30" x14ac:dyDescent="0.3">
      <c r="A1119" t="s">
        <v>30</v>
      </c>
      <c r="B1119" s="8" t="s">
        <v>31</v>
      </c>
      <c r="C1119" s="8" t="s">
        <v>32</v>
      </c>
      <c r="D1119" s="8" t="s">
        <v>69</v>
      </c>
      <c r="E1119" s="8" t="s">
        <v>70</v>
      </c>
      <c r="F1119" s="8" t="s">
        <v>71</v>
      </c>
      <c r="G1119">
        <v>8421299090</v>
      </c>
      <c r="H1119" t="s">
        <v>36</v>
      </c>
      <c r="I1119" t="s">
        <v>318</v>
      </c>
      <c r="J1119" t="s">
        <v>38</v>
      </c>
      <c r="K1119" t="s">
        <v>39</v>
      </c>
      <c r="L1119">
        <v>13</v>
      </c>
      <c r="M1119">
        <v>35</v>
      </c>
      <c r="N1119" t="s">
        <v>64</v>
      </c>
      <c r="O1119">
        <v>0</v>
      </c>
      <c r="P1119">
        <v>1876.35</v>
      </c>
      <c r="Q1119">
        <v>133.22</v>
      </c>
      <c r="R1119">
        <v>12.27</v>
      </c>
      <c r="S1119">
        <v>2021.84</v>
      </c>
      <c r="T1119" t="s">
        <v>41</v>
      </c>
      <c r="U1119" t="s">
        <v>41</v>
      </c>
      <c r="V1119" t="s">
        <v>38</v>
      </c>
      <c r="W1119" t="s">
        <v>1015</v>
      </c>
      <c r="X1119">
        <v>53.61</v>
      </c>
      <c r="Y1119" s="9">
        <f t="shared" si="87"/>
        <v>53.61</v>
      </c>
      <c r="Z1119" s="9">
        <f t="shared" si="88"/>
        <v>100.51875</v>
      </c>
      <c r="AA1119" s="5">
        <f t="shared" si="89"/>
        <v>111.67633124999999</v>
      </c>
      <c r="AB1119" s="6">
        <f t="shared" si="90"/>
        <v>162.83032312499998</v>
      </c>
      <c r="AD1119" s="10">
        <f t="shared" si="86"/>
        <v>203.87514431250003</v>
      </c>
    </row>
    <row r="1120" spans="1:30" x14ac:dyDescent="0.3">
      <c r="A1120" t="s">
        <v>30</v>
      </c>
      <c r="B1120" s="8" t="s">
        <v>31</v>
      </c>
      <c r="C1120" s="8" t="s">
        <v>32</v>
      </c>
      <c r="D1120" s="8" t="s">
        <v>33</v>
      </c>
      <c r="E1120" s="8" t="s">
        <v>34</v>
      </c>
      <c r="F1120" s="8" t="s">
        <v>35</v>
      </c>
      <c r="G1120">
        <v>8421299090</v>
      </c>
      <c r="H1120" t="s">
        <v>243</v>
      </c>
      <c r="I1120" t="s">
        <v>215</v>
      </c>
      <c r="J1120" t="s">
        <v>38</v>
      </c>
      <c r="K1120" t="s">
        <v>39</v>
      </c>
      <c r="L1120">
        <v>8</v>
      </c>
      <c r="M1120">
        <v>10</v>
      </c>
      <c r="N1120" t="s">
        <v>64</v>
      </c>
      <c r="O1120">
        <v>0</v>
      </c>
      <c r="P1120">
        <v>564.42999999999995</v>
      </c>
      <c r="Q1120">
        <v>60.25</v>
      </c>
      <c r="R1120">
        <v>3.78</v>
      </c>
      <c r="S1120">
        <v>628.46</v>
      </c>
      <c r="T1120" t="s">
        <v>41</v>
      </c>
      <c r="U1120" t="s">
        <v>41</v>
      </c>
      <c r="V1120" t="s">
        <v>38</v>
      </c>
      <c r="W1120" t="s">
        <v>1015</v>
      </c>
      <c r="X1120">
        <v>56.44</v>
      </c>
      <c r="Y1120" s="9">
        <f t="shared" si="87"/>
        <v>56.442999999999998</v>
      </c>
      <c r="Z1120" s="9">
        <f t="shared" si="88"/>
        <v>105.830625</v>
      </c>
      <c r="AA1120" s="5">
        <f t="shared" si="89"/>
        <v>117.57782437499999</v>
      </c>
      <c r="AB1120" s="6">
        <f t="shared" si="90"/>
        <v>171.43502943749999</v>
      </c>
      <c r="AD1120" s="10">
        <f t="shared" si="86"/>
        <v>214.64884854375001</v>
      </c>
    </row>
    <row r="1121" spans="1:30" x14ac:dyDescent="0.3">
      <c r="A1121" t="s">
        <v>30</v>
      </c>
      <c r="B1121" s="8" t="s">
        <v>31</v>
      </c>
      <c r="C1121" s="8" t="s">
        <v>32</v>
      </c>
      <c r="D1121" s="8" t="s">
        <v>33</v>
      </c>
      <c r="E1121" s="8" t="s">
        <v>34</v>
      </c>
      <c r="F1121" s="8" t="s">
        <v>35</v>
      </c>
      <c r="G1121">
        <v>8421999000</v>
      </c>
      <c r="H1121" t="s">
        <v>36</v>
      </c>
      <c r="I1121" t="s">
        <v>215</v>
      </c>
      <c r="J1121" t="s">
        <v>38</v>
      </c>
      <c r="K1121" t="s">
        <v>39</v>
      </c>
      <c r="L1121">
        <v>8</v>
      </c>
      <c r="M1121">
        <v>5</v>
      </c>
      <c r="N1121" t="s">
        <v>64</v>
      </c>
      <c r="O1121">
        <v>0</v>
      </c>
      <c r="P1121">
        <v>262.24</v>
      </c>
      <c r="Q1121">
        <v>32.85</v>
      </c>
      <c r="R1121">
        <v>1.79</v>
      </c>
      <c r="S1121">
        <v>296.88</v>
      </c>
      <c r="T1121" t="s">
        <v>41</v>
      </c>
      <c r="U1121" t="s">
        <v>41</v>
      </c>
      <c r="V1121" t="s">
        <v>38</v>
      </c>
      <c r="W1121" t="s">
        <v>1015</v>
      </c>
      <c r="X1121">
        <v>52.45</v>
      </c>
      <c r="Y1121" s="9">
        <f t="shared" si="87"/>
        <v>52.448</v>
      </c>
      <c r="Z1121" s="9">
        <f t="shared" si="88"/>
        <v>98.34</v>
      </c>
      <c r="AA1121" s="5">
        <f t="shared" si="89"/>
        <v>109.25574</v>
      </c>
      <c r="AB1121" s="6">
        <f t="shared" si="90"/>
        <v>159.30096599999999</v>
      </c>
      <c r="AD1121" s="10">
        <f t="shared" si="86"/>
        <v>199.45613820000003</v>
      </c>
    </row>
    <row r="1122" spans="1:30" x14ac:dyDescent="0.3">
      <c r="A1122" t="s">
        <v>168</v>
      </c>
      <c r="B1122" s="8" t="s">
        <v>31</v>
      </c>
      <c r="C1122" s="8" t="s">
        <v>32</v>
      </c>
      <c r="E1122" s="8" t="s">
        <v>70</v>
      </c>
      <c r="F1122" s="8" t="s">
        <v>71</v>
      </c>
      <c r="G1122">
        <v>8421299090</v>
      </c>
      <c r="H1122" t="s">
        <v>243</v>
      </c>
      <c r="I1122" t="s">
        <v>215</v>
      </c>
      <c r="J1122" t="s">
        <v>38</v>
      </c>
      <c r="K1122" t="s">
        <v>39</v>
      </c>
      <c r="L1122">
        <v>0</v>
      </c>
      <c r="M1122">
        <v>10</v>
      </c>
      <c r="N1122" t="s">
        <v>64</v>
      </c>
      <c r="O1122">
        <v>0</v>
      </c>
      <c r="P1122">
        <v>478</v>
      </c>
      <c r="Q1122">
        <v>36.69</v>
      </c>
      <c r="R1122">
        <v>3.44</v>
      </c>
      <c r="S1122">
        <v>518.13</v>
      </c>
      <c r="T1122" t="s">
        <v>41</v>
      </c>
      <c r="U1122" t="s">
        <v>41</v>
      </c>
      <c r="V1122" t="s">
        <v>38</v>
      </c>
      <c r="W1122" t="s">
        <v>1015</v>
      </c>
      <c r="X1122">
        <v>47.8</v>
      </c>
      <c r="Y1122" s="9">
        <f t="shared" si="87"/>
        <v>47.8</v>
      </c>
      <c r="Z1122" s="9">
        <f t="shared" si="88"/>
        <v>89.625</v>
      </c>
      <c r="AA1122" s="5">
        <f t="shared" si="89"/>
        <v>99.573374999999999</v>
      </c>
      <c r="AB1122" s="6">
        <f t="shared" si="90"/>
        <v>145.1835375</v>
      </c>
      <c r="AD1122" s="10">
        <f t="shared" si="86"/>
        <v>181.78011375000003</v>
      </c>
    </row>
    <row r="1123" spans="1:30" x14ac:dyDescent="0.3">
      <c r="A1123" t="s">
        <v>30</v>
      </c>
      <c r="B1123" s="8" t="s">
        <v>31</v>
      </c>
      <c r="C1123" s="8" t="s">
        <v>32</v>
      </c>
      <c r="D1123" s="8" t="s">
        <v>33</v>
      </c>
      <c r="E1123" s="8" t="s">
        <v>34</v>
      </c>
      <c r="F1123" s="8" t="s">
        <v>35</v>
      </c>
      <c r="G1123">
        <v>8421299090</v>
      </c>
      <c r="H1123" t="s">
        <v>243</v>
      </c>
      <c r="I1123" t="s">
        <v>241</v>
      </c>
      <c r="J1123" t="s">
        <v>38</v>
      </c>
      <c r="K1123" t="s">
        <v>39</v>
      </c>
      <c r="L1123">
        <v>10</v>
      </c>
      <c r="M1123">
        <v>3</v>
      </c>
      <c r="N1123" t="s">
        <v>64</v>
      </c>
      <c r="O1123">
        <v>0</v>
      </c>
      <c r="P1123">
        <v>144.71</v>
      </c>
      <c r="Q1123">
        <v>12.05</v>
      </c>
      <c r="R1123">
        <v>0.95</v>
      </c>
      <c r="S1123">
        <v>157.71</v>
      </c>
      <c r="T1123" t="s">
        <v>41</v>
      </c>
      <c r="U1123" t="s">
        <v>43</v>
      </c>
      <c r="V1123" t="s">
        <v>38</v>
      </c>
      <c r="W1123" t="s">
        <v>1016</v>
      </c>
      <c r="X1123">
        <v>48.24</v>
      </c>
      <c r="Y1123" s="9">
        <f t="shared" si="87"/>
        <v>48.236666666666672</v>
      </c>
      <c r="Z1123" s="9">
        <f t="shared" si="88"/>
        <v>90.443750000000009</v>
      </c>
      <c r="AA1123" s="5">
        <f t="shared" si="89"/>
        <v>100.48300625</v>
      </c>
      <c r="AB1123" s="6">
        <f t="shared" si="90"/>
        <v>146.50983062500001</v>
      </c>
      <c r="AD1123" s="10">
        <f t="shared" si="86"/>
        <v>183.44072706250003</v>
      </c>
    </row>
    <row r="1124" spans="1:30" x14ac:dyDescent="0.3">
      <c r="A1124" t="s">
        <v>30</v>
      </c>
      <c r="B1124" s="8" t="s">
        <v>32</v>
      </c>
      <c r="C1124" s="8" t="s">
        <v>32</v>
      </c>
      <c r="D1124" s="8" t="s">
        <v>33</v>
      </c>
      <c r="E1124" s="8" t="s">
        <v>34</v>
      </c>
      <c r="F1124" s="8" t="s">
        <v>35</v>
      </c>
      <c r="G1124">
        <v>8481809990</v>
      </c>
      <c r="H1124" t="s">
        <v>53</v>
      </c>
      <c r="I1124" t="s">
        <v>1017</v>
      </c>
      <c r="J1124" t="s">
        <v>38</v>
      </c>
      <c r="K1124" t="s">
        <v>39</v>
      </c>
      <c r="L1124">
        <v>10</v>
      </c>
      <c r="M1124">
        <v>2</v>
      </c>
      <c r="N1124" t="s">
        <v>64</v>
      </c>
      <c r="O1124">
        <v>0</v>
      </c>
      <c r="P1124">
        <v>124.64</v>
      </c>
      <c r="Q1124">
        <v>10.37</v>
      </c>
      <c r="R1124">
        <v>0.82</v>
      </c>
      <c r="S1124">
        <v>135.83000000000001</v>
      </c>
      <c r="T1124" t="s">
        <v>41</v>
      </c>
      <c r="U1124" t="s">
        <v>43</v>
      </c>
      <c r="V1124" t="s">
        <v>38</v>
      </c>
      <c r="W1124" t="s">
        <v>1018</v>
      </c>
      <c r="X1124">
        <v>62.32</v>
      </c>
      <c r="Y1124" s="9">
        <f t="shared" si="87"/>
        <v>62.32</v>
      </c>
      <c r="Z1124" s="9">
        <f t="shared" si="88"/>
        <v>116.85</v>
      </c>
      <c r="AA1124" s="5">
        <f t="shared" si="89"/>
        <v>129.82034999999999</v>
      </c>
      <c r="AB1124" s="6">
        <f t="shared" si="90"/>
        <v>189.28531499999997</v>
      </c>
      <c r="AD1124" s="10">
        <f t="shared" si="86"/>
        <v>236.99867550000002</v>
      </c>
    </row>
    <row r="1125" spans="1:30" x14ac:dyDescent="0.3">
      <c r="A1125" t="s">
        <v>30</v>
      </c>
      <c r="B1125" s="8" t="s">
        <v>32</v>
      </c>
      <c r="C1125" s="8" t="s">
        <v>32</v>
      </c>
      <c r="D1125" s="8" t="s">
        <v>33</v>
      </c>
      <c r="E1125" s="8" t="s">
        <v>34</v>
      </c>
      <c r="F1125" s="8" t="s">
        <v>35</v>
      </c>
      <c r="G1125">
        <v>8481809990</v>
      </c>
      <c r="H1125" t="s">
        <v>160</v>
      </c>
      <c r="I1125" t="s">
        <v>644</v>
      </c>
      <c r="J1125" t="s">
        <v>38</v>
      </c>
      <c r="K1125" t="s">
        <v>39</v>
      </c>
      <c r="L1125">
        <v>7</v>
      </c>
      <c r="M1125">
        <v>1</v>
      </c>
      <c r="N1125" t="s">
        <v>64</v>
      </c>
      <c r="O1125">
        <v>0</v>
      </c>
      <c r="P1125">
        <v>618.16</v>
      </c>
      <c r="Q1125">
        <v>97.66</v>
      </c>
      <c r="R1125">
        <v>3.81</v>
      </c>
      <c r="S1125">
        <v>719.63</v>
      </c>
      <c r="T1125" t="s">
        <v>41</v>
      </c>
      <c r="U1125" t="s">
        <v>41</v>
      </c>
      <c r="V1125" t="s">
        <v>38</v>
      </c>
      <c r="W1125" t="s">
        <v>1019</v>
      </c>
      <c r="X1125">
        <v>618.16</v>
      </c>
      <c r="Y1125" s="9">
        <f t="shared" si="87"/>
        <v>618.16</v>
      </c>
      <c r="Z1125" s="9">
        <f t="shared" si="88"/>
        <v>1159.05</v>
      </c>
      <c r="AA1125" s="5">
        <f t="shared" si="89"/>
        <v>1287.7045499999999</v>
      </c>
      <c r="AB1125" s="6">
        <f t="shared" si="90"/>
        <v>1877.5450949999997</v>
      </c>
      <c r="AD1125" s="10">
        <f t="shared" si="86"/>
        <v>2350.8199815000003</v>
      </c>
    </row>
    <row r="1126" spans="1:30" x14ac:dyDescent="0.3">
      <c r="A1126" t="s">
        <v>30</v>
      </c>
      <c r="B1126" s="8" t="s">
        <v>32</v>
      </c>
      <c r="C1126" s="8" t="s">
        <v>32</v>
      </c>
      <c r="D1126" s="8" t="s">
        <v>33</v>
      </c>
      <c r="E1126" s="8" t="s">
        <v>34</v>
      </c>
      <c r="F1126" s="8" t="s">
        <v>35</v>
      </c>
      <c r="G1126">
        <v>8421999000</v>
      </c>
      <c r="H1126" t="s">
        <v>36</v>
      </c>
      <c r="I1126" t="s">
        <v>478</v>
      </c>
      <c r="J1126" t="s">
        <v>38</v>
      </c>
      <c r="K1126" t="s">
        <v>39</v>
      </c>
      <c r="L1126">
        <v>7</v>
      </c>
      <c r="M1126">
        <v>1</v>
      </c>
      <c r="N1126" t="s">
        <v>64</v>
      </c>
      <c r="O1126">
        <v>0</v>
      </c>
      <c r="P1126">
        <v>1224.0899999999999</v>
      </c>
      <c r="Q1126">
        <v>193.39</v>
      </c>
      <c r="R1126">
        <v>7.55</v>
      </c>
      <c r="S1126">
        <v>1425.02</v>
      </c>
      <c r="T1126" t="s">
        <v>41</v>
      </c>
      <c r="U1126" t="s">
        <v>41</v>
      </c>
      <c r="V1126" t="s">
        <v>38</v>
      </c>
      <c r="W1126" t="s">
        <v>1020</v>
      </c>
      <c r="X1126">
        <v>1224.0899999999999</v>
      </c>
      <c r="Y1126" s="9">
        <f t="shared" si="87"/>
        <v>1224.0899999999999</v>
      </c>
      <c r="Z1126" s="9">
        <f t="shared" si="88"/>
        <v>2295.1687499999998</v>
      </c>
      <c r="AA1126" s="5">
        <f t="shared" si="89"/>
        <v>2549.9324812499999</v>
      </c>
      <c r="AB1126" s="6">
        <f t="shared" si="90"/>
        <v>3717.9438581249997</v>
      </c>
      <c r="AD1126" s="10">
        <f t="shared" si="86"/>
        <v>4655.1301138125</v>
      </c>
    </row>
    <row r="1127" spans="1:30" x14ac:dyDescent="0.3">
      <c r="A1127" t="s">
        <v>30</v>
      </c>
      <c r="B1127" s="8" t="s">
        <v>32</v>
      </c>
      <c r="C1127" s="8" t="s">
        <v>32</v>
      </c>
      <c r="D1127" s="8" t="s">
        <v>33</v>
      </c>
      <c r="E1127" s="8" t="s">
        <v>34</v>
      </c>
      <c r="F1127" s="8" t="s">
        <v>35</v>
      </c>
      <c r="G1127">
        <v>8421999000</v>
      </c>
      <c r="H1127" t="s">
        <v>36</v>
      </c>
      <c r="I1127" t="s">
        <v>478</v>
      </c>
      <c r="J1127" t="s">
        <v>38</v>
      </c>
      <c r="K1127" t="s">
        <v>39</v>
      </c>
      <c r="L1127">
        <v>8</v>
      </c>
      <c r="M1127">
        <v>1</v>
      </c>
      <c r="N1127" t="s">
        <v>64</v>
      </c>
      <c r="O1127">
        <v>0</v>
      </c>
      <c r="P1127">
        <v>1182.6199999999999</v>
      </c>
      <c r="Q1127">
        <v>170.19</v>
      </c>
      <c r="R1127">
        <v>8.32</v>
      </c>
      <c r="S1127">
        <v>1361.14</v>
      </c>
      <c r="T1127" t="s">
        <v>41</v>
      </c>
      <c r="U1127" t="s">
        <v>41</v>
      </c>
      <c r="V1127" t="s">
        <v>38</v>
      </c>
      <c r="W1127" t="s">
        <v>1020</v>
      </c>
      <c r="X1127">
        <v>1182.6199999999999</v>
      </c>
      <c r="Y1127" s="9">
        <f t="shared" si="87"/>
        <v>1182.6199999999999</v>
      </c>
      <c r="Z1127" s="9">
        <f t="shared" si="88"/>
        <v>2217.4124999999999</v>
      </c>
      <c r="AA1127" s="5">
        <f t="shared" si="89"/>
        <v>2463.5452875000001</v>
      </c>
      <c r="AB1127" s="6">
        <f t="shared" si="90"/>
        <v>3591.9865087499998</v>
      </c>
      <c r="AD1127" s="10">
        <f t="shared" si="86"/>
        <v>4497.4225548750001</v>
      </c>
    </row>
    <row r="1128" spans="1:30" x14ac:dyDescent="0.3">
      <c r="A1128" t="s">
        <v>30</v>
      </c>
      <c r="B1128" s="8" t="s">
        <v>32</v>
      </c>
      <c r="C1128" s="8" t="s">
        <v>32</v>
      </c>
      <c r="D1128" s="8" t="s">
        <v>33</v>
      </c>
      <c r="E1128" s="8" t="s">
        <v>34</v>
      </c>
      <c r="F1128" s="8" t="s">
        <v>35</v>
      </c>
      <c r="G1128">
        <v>8421999000</v>
      </c>
      <c r="H1128" t="s">
        <v>36</v>
      </c>
      <c r="I1128" t="s">
        <v>1021</v>
      </c>
      <c r="J1128" t="s">
        <v>38</v>
      </c>
      <c r="K1128" t="s">
        <v>39</v>
      </c>
      <c r="L1128">
        <v>16</v>
      </c>
      <c r="M1128">
        <v>1</v>
      </c>
      <c r="N1128" t="s">
        <v>64</v>
      </c>
      <c r="O1128">
        <v>0</v>
      </c>
      <c r="P1128">
        <v>1212.43</v>
      </c>
      <c r="Q1128">
        <v>167.34</v>
      </c>
      <c r="R1128">
        <v>8.09</v>
      </c>
      <c r="S1128">
        <v>1387.86</v>
      </c>
      <c r="T1128" t="s">
        <v>41</v>
      </c>
      <c r="U1128" t="s">
        <v>41</v>
      </c>
      <c r="V1128" t="s">
        <v>38</v>
      </c>
      <c r="W1128" t="s">
        <v>1020</v>
      </c>
      <c r="X1128">
        <v>1212.43</v>
      </c>
      <c r="Y1128" s="9">
        <f t="shared" si="87"/>
        <v>1212.43</v>
      </c>
      <c r="Z1128" s="9">
        <f t="shared" si="88"/>
        <v>2273.3062500000001</v>
      </c>
      <c r="AA1128" s="5">
        <f t="shared" si="89"/>
        <v>2525.6432437500002</v>
      </c>
      <c r="AB1128" s="6">
        <f t="shared" si="90"/>
        <v>3682.528794375</v>
      </c>
      <c r="AD1128" s="10">
        <f t="shared" si="86"/>
        <v>4610.7879354375009</v>
      </c>
    </row>
    <row r="1129" spans="1:30" x14ac:dyDescent="0.3">
      <c r="A1129" t="s">
        <v>30</v>
      </c>
      <c r="B1129" s="8" t="s">
        <v>32</v>
      </c>
      <c r="C1129" s="8" t="s">
        <v>32</v>
      </c>
      <c r="D1129" s="8" t="s">
        <v>33</v>
      </c>
      <c r="E1129" s="8" t="s">
        <v>34</v>
      </c>
      <c r="F1129" s="8" t="s">
        <v>35</v>
      </c>
      <c r="G1129">
        <v>8421999000</v>
      </c>
      <c r="H1129" t="s">
        <v>36</v>
      </c>
      <c r="I1129" t="s">
        <v>1021</v>
      </c>
      <c r="J1129" t="s">
        <v>38</v>
      </c>
      <c r="K1129" t="s">
        <v>39</v>
      </c>
      <c r="L1129">
        <v>16</v>
      </c>
      <c r="M1129">
        <v>1</v>
      </c>
      <c r="N1129" t="s">
        <v>64</v>
      </c>
      <c r="O1129">
        <v>0</v>
      </c>
      <c r="P1129">
        <v>1212.43</v>
      </c>
      <c r="Q1129">
        <v>167.34</v>
      </c>
      <c r="R1129">
        <v>8.09</v>
      </c>
      <c r="S1129">
        <v>1387.86</v>
      </c>
      <c r="T1129" t="s">
        <v>41</v>
      </c>
      <c r="U1129" t="s">
        <v>41</v>
      </c>
      <c r="V1129" t="s">
        <v>38</v>
      </c>
      <c r="W1129" t="s">
        <v>1020</v>
      </c>
      <c r="X1129">
        <v>1212.43</v>
      </c>
      <c r="Y1129" s="9">
        <f t="shared" si="87"/>
        <v>1212.43</v>
      </c>
      <c r="Z1129" s="9">
        <f t="shared" si="88"/>
        <v>2273.3062500000001</v>
      </c>
      <c r="AA1129" s="5">
        <f t="shared" si="89"/>
        <v>2525.6432437500002</v>
      </c>
      <c r="AB1129" s="6">
        <f t="shared" si="90"/>
        <v>3682.528794375</v>
      </c>
      <c r="AD1129" s="10">
        <f t="shared" si="86"/>
        <v>4610.7879354375009</v>
      </c>
    </row>
    <row r="1130" spans="1:30" x14ac:dyDescent="0.3">
      <c r="A1130" t="s">
        <v>30</v>
      </c>
      <c r="B1130" s="8" t="s">
        <v>32</v>
      </c>
      <c r="C1130" s="8" t="s">
        <v>32</v>
      </c>
      <c r="D1130" s="8" t="s">
        <v>33</v>
      </c>
      <c r="E1130" s="8" t="s">
        <v>34</v>
      </c>
      <c r="F1130" s="8" t="s">
        <v>35</v>
      </c>
      <c r="G1130">
        <v>8421999000</v>
      </c>
      <c r="H1130" t="s">
        <v>36</v>
      </c>
      <c r="I1130" t="s">
        <v>478</v>
      </c>
      <c r="J1130" t="s">
        <v>38</v>
      </c>
      <c r="K1130" t="s">
        <v>39</v>
      </c>
      <c r="L1130">
        <v>12</v>
      </c>
      <c r="M1130">
        <v>1</v>
      </c>
      <c r="N1130" t="s">
        <v>64</v>
      </c>
      <c r="O1130">
        <v>0</v>
      </c>
      <c r="P1130">
        <v>1216.4100000000001</v>
      </c>
      <c r="Q1130">
        <v>139.66999999999999</v>
      </c>
      <c r="R1130">
        <v>8.1</v>
      </c>
      <c r="S1130">
        <v>1364.19</v>
      </c>
      <c r="T1130" t="s">
        <v>41</v>
      </c>
      <c r="U1130" t="s">
        <v>41</v>
      </c>
      <c r="V1130" t="s">
        <v>38</v>
      </c>
      <c r="W1130" t="s">
        <v>1020</v>
      </c>
      <c r="X1130">
        <v>1216.4100000000001</v>
      </c>
      <c r="Y1130" s="9">
        <f t="shared" si="87"/>
        <v>1216.4100000000001</v>
      </c>
      <c r="Z1130" s="9">
        <f t="shared" si="88"/>
        <v>2280.7687500000002</v>
      </c>
      <c r="AA1130" s="5">
        <f t="shared" si="89"/>
        <v>2533.93408125</v>
      </c>
      <c r="AB1130" s="6">
        <f t="shared" si="90"/>
        <v>3694.6172981250002</v>
      </c>
      <c r="AD1130" s="10">
        <f t="shared" si="86"/>
        <v>4625.9236018125011</v>
      </c>
    </row>
    <row r="1131" spans="1:30" x14ac:dyDescent="0.3">
      <c r="A1131" t="s">
        <v>30</v>
      </c>
      <c r="B1131" s="8" t="s">
        <v>32</v>
      </c>
      <c r="C1131" s="8" t="s">
        <v>32</v>
      </c>
      <c r="D1131" s="8" t="s">
        <v>33</v>
      </c>
      <c r="E1131" s="8" t="s">
        <v>34</v>
      </c>
      <c r="F1131" s="8" t="s">
        <v>35</v>
      </c>
      <c r="G1131">
        <v>8421999000</v>
      </c>
      <c r="H1131" t="s">
        <v>36</v>
      </c>
      <c r="I1131" t="s">
        <v>478</v>
      </c>
      <c r="J1131" t="s">
        <v>38</v>
      </c>
      <c r="K1131" t="s">
        <v>39</v>
      </c>
      <c r="L1131">
        <v>12</v>
      </c>
      <c r="M1131">
        <v>1</v>
      </c>
      <c r="N1131" t="s">
        <v>64</v>
      </c>
      <c r="O1131">
        <v>0</v>
      </c>
      <c r="P1131">
        <v>1216.4100000000001</v>
      </c>
      <c r="Q1131">
        <v>139.66999999999999</v>
      </c>
      <c r="R1131">
        <v>8.1</v>
      </c>
      <c r="S1131">
        <v>1364.19</v>
      </c>
      <c r="T1131" t="s">
        <v>41</v>
      </c>
      <c r="U1131" t="s">
        <v>41</v>
      </c>
      <c r="V1131" t="s">
        <v>38</v>
      </c>
      <c r="W1131" t="s">
        <v>1020</v>
      </c>
      <c r="X1131">
        <v>1216.4100000000001</v>
      </c>
      <c r="Y1131" s="9">
        <f t="shared" si="87"/>
        <v>1216.4100000000001</v>
      </c>
      <c r="Z1131" s="9">
        <f t="shared" si="88"/>
        <v>2280.7687500000002</v>
      </c>
      <c r="AA1131" s="5">
        <f t="shared" si="89"/>
        <v>2533.93408125</v>
      </c>
      <c r="AB1131" s="6">
        <f t="shared" si="90"/>
        <v>3694.6172981250002</v>
      </c>
      <c r="AD1131" s="10">
        <f t="shared" si="86"/>
        <v>4625.9236018125011</v>
      </c>
    </row>
    <row r="1132" spans="1:30" x14ac:dyDescent="0.3">
      <c r="A1132" t="s">
        <v>30</v>
      </c>
      <c r="B1132" s="8" t="s">
        <v>32</v>
      </c>
      <c r="C1132" s="8" t="s">
        <v>32</v>
      </c>
      <c r="D1132" s="8" t="s">
        <v>33</v>
      </c>
      <c r="E1132" s="8" t="s">
        <v>34</v>
      </c>
      <c r="F1132" s="8" t="s">
        <v>35</v>
      </c>
      <c r="G1132">
        <v>8421999000</v>
      </c>
      <c r="H1132" t="s">
        <v>36</v>
      </c>
      <c r="I1132" t="s">
        <v>478</v>
      </c>
      <c r="J1132" t="s">
        <v>38</v>
      </c>
      <c r="K1132" t="s">
        <v>39</v>
      </c>
      <c r="L1132">
        <v>12</v>
      </c>
      <c r="M1132">
        <v>1</v>
      </c>
      <c r="N1132" t="s">
        <v>64</v>
      </c>
      <c r="O1132">
        <v>0</v>
      </c>
      <c r="P1132">
        <v>1216.4100000000001</v>
      </c>
      <c r="Q1132">
        <v>139.66999999999999</v>
      </c>
      <c r="R1132">
        <v>8.1</v>
      </c>
      <c r="S1132">
        <v>1364.19</v>
      </c>
      <c r="T1132" t="s">
        <v>41</v>
      </c>
      <c r="U1132" t="s">
        <v>41</v>
      </c>
      <c r="V1132" t="s">
        <v>38</v>
      </c>
      <c r="W1132" t="s">
        <v>1020</v>
      </c>
      <c r="X1132">
        <v>1216.4100000000001</v>
      </c>
      <c r="Y1132" s="9">
        <f t="shared" si="87"/>
        <v>1216.4100000000001</v>
      </c>
      <c r="Z1132" s="9">
        <f t="shared" si="88"/>
        <v>2280.7687500000002</v>
      </c>
      <c r="AA1132" s="5">
        <f t="shared" si="89"/>
        <v>2533.93408125</v>
      </c>
      <c r="AB1132" s="6">
        <f t="shared" si="90"/>
        <v>3694.6172981250002</v>
      </c>
      <c r="AD1132" s="10">
        <f t="shared" si="86"/>
        <v>4625.9236018125011</v>
      </c>
    </row>
    <row r="1133" spans="1:30" x14ac:dyDescent="0.3">
      <c r="A1133" t="s">
        <v>30</v>
      </c>
      <c r="B1133" s="8" t="s">
        <v>32</v>
      </c>
      <c r="C1133" s="8" t="s">
        <v>32</v>
      </c>
      <c r="D1133" s="8" t="s">
        <v>69</v>
      </c>
      <c r="E1133" s="8" t="s">
        <v>70</v>
      </c>
      <c r="F1133" s="8" t="s">
        <v>71</v>
      </c>
      <c r="G1133">
        <v>8481909090</v>
      </c>
      <c r="H1133" t="s">
        <v>53</v>
      </c>
      <c r="I1133" t="s">
        <v>664</v>
      </c>
      <c r="J1133" t="s">
        <v>38</v>
      </c>
      <c r="K1133" t="s">
        <v>39</v>
      </c>
      <c r="L1133">
        <v>8</v>
      </c>
      <c r="M1133">
        <v>1</v>
      </c>
      <c r="N1133" t="s">
        <v>64</v>
      </c>
      <c r="O1133">
        <v>0</v>
      </c>
      <c r="P1133">
        <v>93.65</v>
      </c>
      <c r="Q1133">
        <v>6.13</v>
      </c>
      <c r="R1133">
        <v>0.61</v>
      </c>
      <c r="S1133">
        <v>100.39</v>
      </c>
      <c r="T1133" t="s">
        <v>41</v>
      </c>
      <c r="U1133" t="s">
        <v>41</v>
      </c>
      <c r="V1133" t="s">
        <v>38</v>
      </c>
      <c r="W1133" t="s">
        <v>1022</v>
      </c>
      <c r="X1133">
        <v>93.65</v>
      </c>
      <c r="Y1133" s="9">
        <f t="shared" si="87"/>
        <v>93.65</v>
      </c>
      <c r="Z1133" s="9">
        <f t="shared" si="88"/>
        <v>175.59375</v>
      </c>
      <c r="AA1133" s="5">
        <f t="shared" si="89"/>
        <v>195.08465624999999</v>
      </c>
      <c r="AB1133" s="6">
        <f t="shared" si="90"/>
        <v>284.444315625</v>
      </c>
      <c r="AD1133" s="10">
        <f t="shared" si="86"/>
        <v>356.14451156250004</v>
      </c>
    </row>
    <row r="1134" spans="1:30" x14ac:dyDescent="0.3">
      <c r="A1134" t="s">
        <v>30</v>
      </c>
      <c r="B1134" s="8" t="s">
        <v>32</v>
      </c>
      <c r="C1134" s="8" t="s">
        <v>32</v>
      </c>
      <c r="D1134" s="8" t="s">
        <v>33</v>
      </c>
      <c r="E1134" s="8" t="s">
        <v>34</v>
      </c>
      <c r="F1134" s="8" t="s">
        <v>35</v>
      </c>
      <c r="G1134">
        <v>8421999000</v>
      </c>
      <c r="H1134" t="s">
        <v>36</v>
      </c>
      <c r="I1134" t="s">
        <v>1021</v>
      </c>
      <c r="J1134" t="s">
        <v>38</v>
      </c>
      <c r="K1134" t="s">
        <v>39</v>
      </c>
      <c r="L1134">
        <v>16</v>
      </c>
      <c r="M1134">
        <v>1</v>
      </c>
      <c r="N1134" t="s">
        <v>64</v>
      </c>
      <c r="O1134">
        <v>0</v>
      </c>
      <c r="P1134">
        <v>1212.43</v>
      </c>
      <c r="Q1134">
        <v>167.34</v>
      </c>
      <c r="R1134">
        <v>8.09</v>
      </c>
      <c r="S1134">
        <v>1387.86</v>
      </c>
      <c r="T1134" t="s">
        <v>41</v>
      </c>
      <c r="U1134" t="s">
        <v>41</v>
      </c>
      <c r="V1134" t="s">
        <v>38</v>
      </c>
      <c r="W1134" t="s">
        <v>1023</v>
      </c>
      <c r="X1134">
        <v>1212.43</v>
      </c>
      <c r="Y1134" s="9">
        <f t="shared" si="87"/>
        <v>1212.43</v>
      </c>
      <c r="Z1134" s="9">
        <f t="shared" si="88"/>
        <v>2273.3062500000001</v>
      </c>
      <c r="AA1134" s="5">
        <f t="shared" si="89"/>
        <v>2525.6432437500002</v>
      </c>
      <c r="AB1134" s="6">
        <f t="shared" si="90"/>
        <v>3682.528794375</v>
      </c>
      <c r="AD1134" s="10">
        <f t="shared" si="86"/>
        <v>4610.7879354375009</v>
      </c>
    </row>
    <row r="1135" spans="1:30" x14ac:dyDescent="0.3">
      <c r="A1135" t="s">
        <v>168</v>
      </c>
      <c r="B1135" s="8" t="s">
        <v>32</v>
      </c>
      <c r="C1135" s="8" t="s">
        <v>32</v>
      </c>
      <c r="D1135" s="8" t="s">
        <v>33</v>
      </c>
      <c r="E1135" s="8" t="s">
        <v>34</v>
      </c>
      <c r="F1135" s="8" t="s">
        <v>35</v>
      </c>
      <c r="G1135">
        <v>8481909090</v>
      </c>
      <c r="H1135" t="s">
        <v>53</v>
      </c>
      <c r="I1135" t="s">
        <v>668</v>
      </c>
      <c r="J1135" t="s">
        <v>38</v>
      </c>
      <c r="K1135" t="s">
        <v>39</v>
      </c>
      <c r="L1135">
        <v>11</v>
      </c>
      <c r="M1135">
        <v>1</v>
      </c>
      <c r="N1135" t="s">
        <v>64</v>
      </c>
      <c r="O1135">
        <v>0</v>
      </c>
      <c r="P1135">
        <v>173.68</v>
      </c>
      <c r="Q1135">
        <v>16.64</v>
      </c>
      <c r="R1135">
        <v>1.17</v>
      </c>
      <c r="S1135">
        <v>191.48</v>
      </c>
      <c r="T1135" t="s">
        <v>41</v>
      </c>
      <c r="U1135" t="s">
        <v>43</v>
      </c>
      <c r="V1135" t="s">
        <v>38</v>
      </c>
      <c r="W1135" t="s">
        <v>1024</v>
      </c>
      <c r="X1135">
        <v>173.68</v>
      </c>
      <c r="Y1135" s="9">
        <f t="shared" si="87"/>
        <v>173.68</v>
      </c>
      <c r="Z1135" s="9">
        <f t="shared" si="88"/>
        <v>325.65000000000003</v>
      </c>
      <c r="AA1135" s="5">
        <f t="shared" si="89"/>
        <v>361.79715000000004</v>
      </c>
      <c r="AB1135" s="6">
        <f t="shared" si="90"/>
        <v>527.52043500000002</v>
      </c>
      <c r="AD1135" s="10">
        <f t="shared" si="86"/>
        <v>660.49309950000008</v>
      </c>
    </row>
    <row r="1136" spans="1:30" x14ac:dyDescent="0.3">
      <c r="A1136" t="s">
        <v>30</v>
      </c>
      <c r="B1136" s="8" t="s">
        <v>32</v>
      </c>
      <c r="C1136" s="8" t="s">
        <v>32</v>
      </c>
      <c r="D1136" s="8" t="s">
        <v>33</v>
      </c>
      <c r="E1136" s="8" t="s">
        <v>34</v>
      </c>
      <c r="F1136" s="8" t="s">
        <v>35</v>
      </c>
      <c r="G1136">
        <v>8481909090</v>
      </c>
      <c r="H1136" t="s">
        <v>53</v>
      </c>
      <c r="I1136" t="s">
        <v>668</v>
      </c>
      <c r="J1136" t="s">
        <v>38</v>
      </c>
      <c r="K1136" t="s">
        <v>39</v>
      </c>
      <c r="L1136">
        <v>4</v>
      </c>
      <c r="M1136">
        <v>1</v>
      </c>
      <c r="N1136" t="s">
        <v>64</v>
      </c>
      <c r="O1136">
        <v>0</v>
      </c>
      <c r="P1136">
        <v>172.65</v>
      </c>
      <c r="Q1136">
        <v>9.0399999999999991</v>
      </c>
      <c r="R1136">
        <v>1.1299999999999999</v>
      </c>
      <c r="S1136">
        <v>182.82</v>
      </c>
      <c r="T1136" t="s">
        <v>41</v>
      </c>
      <c r="U1136" t="s">
        <v>41</v>
      </c>
      <c r="V1136" t="s">
        <v>38</v>
      </c>
      <c r="W1136" t="s">
        <v>1024</v>
      </c>
      <c r="X1136">
        <v>172.65</v>
      </c>
      <c r="Y1136" s="9">
        <f t="shared" si="87"/>
        <v>172.65</v>
      </c>
      <c r="Z1136" s="9">
        <f t="shared" si="88"/>
        <v>323.71875</v>
      </c>
      <c r="AA1136" s="5">
        <f t="shared" si="89"/>
        <v>359.65153125000001</v>
      </c>
      <c r="AB1136" s="6">
        <f t="shared" si="90"/>
        <v>524.39200312499997</v>
      </c>
      <c r="AD1136" s="10">
        <f t="shared" si="86"/>
        <v>656.57608031250004</v>
      </c>
    </row>
    <row r="1137" spans="1:30" x14ac:dyDescent="0.3">
      <c r="A1137" t="s">
        <v>30</v>
      </c>
      <c r="B1137" s="8" t="s">
        <v>31</v>
      </c>
      <c r="C1137" s="8" t="s">
        <v>32</v>
      </c>
      <c r="D1137" s="8" t="s">
        <v>33</v>
      </c>
      <c r="E1137" s="8" t="s">
        <v>34</v>
      </c>
      <c r="F1137" s="8" t="s">
        <v>35</v>
      </c>
      <c r="G1137">
        <v>8421999000</v>
      </c>
      <c r="H1137" t="s">
        <v>36</v>
      </c>
      <c r="I1137" t="s">
        <v>430</v>
      </c>
      <c r="J1137" t="s">
        <v>38</v>
      </c>
      <c r="K1137" t="s">
        <v>39</v>
      </c>
      <c r="L1137">
        <v>8</v>
      </c>
      <c r="M1137">
        <v>1</v>
      </c>
      <c r="N1137" t="s">
        <v>64</v>
      </c>
      <c r="O1137">
        <v>0</v>
      </c>
      <c r="P1137">
        <v>1088.97</v>
      </c>
      <c r="Q1137">
        <v>136.41999999999999</v>
      </c>
      <c r="R1137">
        <v>7.44</v>
      </c>
      <c r="S1137">
        <v>1232.83</v>
      </c>
      <c r="T1137" t="s">
        <v>41</v>
      </c>
      <c r="U1137" t="s">
        <v>41</v>
      </c>
      <c r="V1137" t="s">
        <v>38</v>
      </c>
      <c r="W1137" t="s">
        <v>1025</v>
      </c>
      <c r="X1137">
        <v>1088.97</v>
      </c>
      <c r="Y1137" s="9">
        <f t="shared" si="87"/>
        <v>1088.97</v>
      </c>
      <c r="Z1137" s="9">
        <f t="shared" si="88"/>
        <v>2041.8187500000001</v>
      </c>
      <c r="AA1137" s="5">
        <f t="shared" si="89"/>
        <v>2268.46063125</v>
      </c>
      <c r="AB1137" s="6">
        <f t="shared" si="90"/>
        <v>3307.5421931249998</v>
      </c>
      <c r="AD1137" s="10">
        <f t="shared" si="86"/>
        <v>4141.2780433125008</v>
      </c>
    </row>
    <row r="1138" spans="1:30" x14ac:dyDescent="0.3">
      <c r="A1138" t="s">
        <v>30</v>
      </c>
      <c r="B1138" s="8" t="s">
        <v>32</v>
      </c>
      <c r="C1138" s="8" t="s">
        <v>32</v>
      </c>
      <c r="D1138" s="8" t="s">
        <v>33</v>
      </c>
      <c r="E1138" s="8" t="s">
        <v>34</v>
      </c>
      <c r="F1138" s="8" t="s">
        <v>35</v>
      </c>
      <c r="G1138">
        <v>8413913000</v>
      </c>
      <c r="H1138" t="s">
        <v>1026</v>
      </c>
      <c r="I1138" t="s">
        <v>1027</v>
      </c>
      <c r="J1138" t="s">
        <v>38</v>
      </c>
      <c r="K1138" t="s">
        <v>39</v>
      </c>
      <c r="L1138">
        <v>8</v>
      </c>
      <c r="M1138">
        <v>1</v>
      </c>
      <c r="N1138" t="s">
        <v>64</v>
      </c>
      <c r="O1138">
        <v>0</v>
      </c>
      <c r="P1138">
        <v>454.92</v>
      </c>
      <c r="Q1138">
        <v>25.75</v>
      </c>
      <c r="R1138">
        <v>2.9</v>
      </c>
      <c r="S1138">
        <v>483.58</v>
      </c>
      <c r="T1138" t="s">
        <v>41</v>
      </c>
      <c r="U1138" t="s">
        <v>41</v>
      </c>
      <c r="V1138" t="s">
        <v>38</v>
      </c>
      <c r="W1138" t="s">
        <v>1028</v>
      </c>
      <c r="X1138">
        <v>454.92</v>
      </c>
      <c r="Y1138" s="9">
        <f t="shared" si="87"/>
        <v>454.92</v>
      </c>
      <c r="Z1138" s="9">
        <f t="shared" si="88"/>
        <v>852.97500000000002</v>
      </c>
      <c r="AA1138" s="5">
        <f t="shared" si="89"/>
        <v>947.65522499999997</v>
      </c>
      <c r="AB1138" s="6">
        <f t="shared" si="90"/>
        <v>1381.7342025</v>
      </c>
      <c r="AD1138" s="10">
        <f t="shared" ref="AD1138:AD1201" si="91">SUM(Z1138)*2.02823</f>
        <v>1730.0294842500002</v>
      </c>
    </row>
    <row r="1139" spans="1:30" x14ac:dyDescent="0.3">
      <c r="A1139" t="s">
        <v>168</v>
      </c>
      <c r="B1139" s="8" t="s">
        <v>32</v>
      </c>
      <c r="C1139" s="8" t="s">
        <v>32</v>
      </c>
      <c r="E1139" s="8" t="s">
        <v>70</v>
      </c>
      <c r="F1139" s="8" t="s">
        <v>71</v>
      </c>
      <c r="G1139">
        <v>8482800000</v>
      </c>
      <c r="H1139" t="s">
        <v>674</v>
      </c>
      <c r="I1139" t="s">
        <v>81</v>
      </c>
      <c r="J1139" t="s">
        <v>38</v>
      </c>
      <c r="K1139" t="s">
        <v>39</v>
      </c>
      <c r="L1139">
        <v>0</v>
      </c>
      <c r="M1139">
        <v>1</v>
      </c>
      <c r="N1139" t="s">
        <v>64</v>
      </c>
      <c r="O1139">
        <v>0</v>
      </c>
      <c r="P1139">
        <v>3438.29</v>
      </c>
      <c r="Q1139">
        <v>263.95</v>
      </c>
      <c r="R1139">
        <v>24.76</v>
      </c>
      <c r="S1139">
        <v>3727</v>
      </c>
      <c r="T1139" t="s">
        <v>41</v>
      </c>
      <c r="U1139" t="s">
        <v>41</v>
      </c>
      <c r="V1139" t="s">
        <v>38</v>
      </c>
      <c r="W1139" t="s">
        <v>1029</v>
      </c>
      <c r="X1139">
        <v>3438.29</v>
      </c>
      <c r="Y1139" s="9">
        <f t="shared" si="87"/>
        <v>3438.29</v>
      </c>
      <c r="Z1139" s="9">
        <f t="shared" si="88"/>
        <v>6446.7937499999998</v>
      </c>
      <c r="AA1139" s="5">
        <f t="shared" si="89"/>
        <v>7162.3878562499995</v>
      </c>
      <c r="AB1139" s="6">
        <f t="shared" si="90"/>
        <v>10443.161195625</v>
      </c>
      <c r="AD1139" s="10">
        <f t="shared" si="91"/>
        <v>13075.580487562502</v>
      </c>
    </row>
    <row r="1140" spans="1:30" x14ac:dyDescent="0.3">
      <c r="A1140" t="s">
        <v>30</v>
      </c>
      <c r="B1140" s="8" t="s">
        <v>32</v>
      </c>
      <c r="C1140" s="8" t="s">
        <v>32</v>
      </c>
      <c r="D1140" s="8" t="s">
        <v>33</v>
      </c>
      <c r="E1140" s="8" t="s">
        <v>34</v>
      </c>
      <c r="F1140" s="8" t="s">
        <v>35</v>
      </c>
      <c r="G1140">
        <v>8483309000</v>
      </c>
      <c r="H1140" t="s">
        <v>177</v>
      </c>
      <c r="I1140" t="s">
        <v>1030</v>
      </c>
      <c r="J1140" t="s">
        <v>38</v>
      </c>
      <c r="K1140" t="s">
        <v>39</v>
      </c>
      <c r="L1140">
        <v>4</v>
      </c>
      <c r="M1140">
        <v>1</v>
      </c>
      <c r="N1140" t="s">
        <v>64</v>
      </c>
      <c r="O1140">
        <v>0</v>
      </c>
      <c r="P1140">
        <v>665.28</v>
      </c>
      <c r="Q1140">
        <v>34.83</v>
      </c>
      <c r="R1140">
        <v>4.34</v>
      </c>
      <c r="S1140">
        <v>704.45</v>
      </c>
      <c r="T1140" t="s">
        <v>41</v>
      </c>
      <c r="U1140" t="s">
        <v>41</v>
      </c>
      <c r="V1140" t="s">
        <v>38</v>
      </c>
      <c r="W1140" t="s">
        <v>1031</v>
      </c>
      <c r="X1140">
        <v>665.28</v>
      </c>
      <c r="Y1140" s="9">
        <f t="shared" si="87"/>
        <v>665.28</v>
      </c>
      <c r="Z1140" s="9">
        <f t="shared" si="88"/>
        <v>1247.3999999999999</v>
      </c>
      <c r="AA1140" s="5">
        <f t="shared" si="89"/>
        <v>1385.8613999999998</v>
      </c>
      <c r="AB1140" s="6">
        <f t="shared" si="90"/>
        <v>2020.6632599999996</v>
      </c>
      <c r="AD1140" s="10">
        <f t="shared" si="91"/>
        <v>2530.0141020000001</v>
      </c>
    </row>
    <row r="1141" spans="1:30" x14ac:dyDescent="0.3">
      <c r="A1141" t="s">
        <v>30</v>
      </c>
      <c r="B1141" s="8" t="s">
        <v>32</v>
      </c>
      <c r="C1141" s="8" t="s">
        <v>32</v>
      </c>
      <c r="D1141" s="8" t="s">
        <v>69</v>
      </c>
      <c r="E1141" s="8" t="s">
        <v>70</v>
      </c>
      <c r="F1141" s="8" t="s">
        <v>71</v>
      </c>
      <c r="G1141">
        <v>8482300000</v>
      </c>
      <c r="H1141" t="s">
        <v>1032</v>
      </c>
      <c r="I1141" t="s">
        <v>675</v>
      </c>
      <c r="J1141" t="s">
        <v>38</v>
      </c>
      <c r="K1141" t="s">
        <v>39</v>
      </c>
      <c r="L1141">
        <v>8</v>
      </c>
      <c r="M1141">
        <v>1</v>
      </c>
      <c r="N1141" t="s">
        <v>64</v>
      </c>
      <c r="O1141">
        <v>0</v>
      </c>
      <c r="P1141">
        <v>813.25</v>
      </c>
      <c r="Q1141">
        <v>53.24</v>
      </c>
      <c r="R1141">
        <v>5.27</v>
      </c>
      <c r="S1141">
        <v>871.76</v>
      </c>
      <c r="T1141" t="s">
        <v>41</v>
      </c>
      <c r="U1141" t="s">
        <v>41</v>
      </c>
      <c r="V1141" t="s">
        <v>38</v>
      </c>
      <c r="W1141" t="s">
        <v>1033</v>
      </c>
      <c r="X1141">
        <v>813.25</v>
      </c>
      <c r="Y1141" s="9">
        <f t="shared" si="87"/>
        <v>813.25</v>
      </c>
      <c r="Z1141" s="9">
        <f t="shared" si="88"/>
        <v>1524.84375</v>
      </c>
      <c r="AA1141" s="5">
        <f t="shared" si="89"/>
        <v>1694.1014062500001</v>
      </c>
      <c r="AB1141" s="6">
        <f t="shared" si="90"/>
        <v>2470.094390625</v>
      </c>
      <c r="AD1141" s="10">
        <f t="shared" si="91"/>
        <v>3092.7338390625005</v>
      </c>
    </row>
    <row r="1142" spans="1:30" x14ac:dyDescent="0.3">
      <c r="A1142" t="s">
        <v>30</v>
      </c>
      <c r="B1142" s="8" t="s">
        <v>32</v>
      </c>
      <c r="C1142" s="8" t="s">
        <v>32</v>
      </c>
      <c r="D1142" s="8" t="s">
        <v>69</v>
      </c>
      <c r="E1142" s="8" t="s">
        <v>70</v>
      </c>
      <c r="F1142" s="8" t="s">
        <v>71</v>
      </c>
      <c r="G1142">
        <v>8421999000</v>
      </c>
      <c r="H1142" t="s">
        <v>36</v>
      </c>
      <c r="I1142" t="s">
        <v>478</v>
      </c>
      <c r="J1142" t="s">
        <v>38</v>
      </c>
      <c r="K1142" t="s">
        <v>39</v>
      </c>
      <c r="L1142">
        <v>8</v>
      </c>
      <c r="M1142">
        <v>1</v>
      </c>
      <c r="N1142" t="s">
        <v>64</v>
      </c>
      <c r="O1142">
        <v>0</v>
      </c>
      <c r="P1142">
        <v>320.35000000000002</v>
      </c>
      <c r="Q1142">
        <v>20.97</v>
      </c>
      <c r="R1142">
        <v>2.08</v>
      </c>
      <c r="S1142">
        <v>343.4</v>
      </c>
      <c r="T1142" t="s">
        <v>41</v>
      </c>
      <c r="U1142" t="s">
        <v>41</v>
      </c>
      <c r="V1142" t="s">
        <v>38</v>
      </c>
      <c r="W1142" t="s">
        <v>1034</v>
      </c>
      <c r="X1142">
        <v>320.35000000000002</v>
      </c>
      <c r="Y1142" s="9">
        <f t="shared" si="87"/>
        <v>320.35000000000002</v>
      </c>
      <c r="Z1142" s="9">
        <f t="shared" si="88"/>
        <v>600.65625</v>
      </c>
      <c r="AA1142" s="5">
        <f t="shared" si="89"/>
        <v>667.32909374999997</v>
      </c>
      <c r="AB1142" s="6">
        <f t="shared" si="90"/>
        <v>973.00305937499991</v>
      </c>
      <c r="AD1142" s="10">
        <f t="shared" si="91"/>
        <v>1218.2690259375001</v>
      </c>
    </row>
    <row r="1143" spans="1:30" x14ac:dyDescent="0.3">
      <c r="A1143" t="s">
        <v>30</v>
      </c>
      <c r="B1143" s="8" t="s">
        <v>32</v>
      </c>
      <c r="C1143" s="8" t="s">
        <v>32</v>
      </c>
      <c r="D1143" s="8" t="s">
        <v>69</v>
      </c>
      <c r="E1143" s="8" t="s">
        <v>70</v>
      </c>
      <c r="F1143" s="8" t="s">
        <v>71</v>
      </c>
      <c r="G1143">
        <v>7318290000</v>
      </c>
      <c r="H1143" t="s">
        <v>759</v>
      </c>
      <c r="I1143" t="s">
        <v>1035</v>
      </c>
      <c r="J1143" t="s">
        <v>38</v>
      </c>
      <c r="K1143" t="s">
        <v>39</v>
      </c>
      <c r="L1143">
        <v>8</v>
      </c>
      <c r="M1143">
        <v>1</v>
      </c>
      <c r="N1143" t="s">
        <v>40</v>
      </c>
      <c r="O1143">
        <v>6.41</v>
      </c>
      <c r="P1143">
        <v>84.93</v>
      </c>
      <c r="Q1143">
        <v>5.56</v>
      </c>
      <c r="R1143">
        <v>0.55000000000000004</v>
      </c>
      <c r="S1143">
        <v>91.04</v>
      </c>
      <c r="T1143" t="s">
        <v>41</v>
      </c>
      <c r="U1143" t="s">
        <v>41</v>
      </c>
      <c r="V1143" t="s">
        <v>38</v>
      </c>
      <c r="W1143" t="s">
        <v>1036</v>
      </c>
      <c r="X1143">
        <v>84.93</v>
      </c>
      <c r="Y1143" s="9">
        <f t="shared" si="87"/>
        <v>84.93</v>
      </c>
      <c r="Z1143" s="9">
        <f t="shared" si="88"/>
        <v>159.24375000000001</v>
      </c>
      <c r="AA1143" s="5">
        <f t="shared" si="89"/>
        <v>176.91980624999999</v>
      </c>
      <c r="AB1143" s="6">
        <f t="shared" si="90"/>
        <v>257.958950625</v>
      </c>
      <c r="AD1143" s="10">
        <f t="shared" si="91"/>
        <v>322.98295106250004</v>
      </c>
    </row>
    <row r="1144" spans="1:30" x14ac:dyDescent="0.3">
      <c r="A1144" t="s">
        <v>30</v>
      </c>
      <c r="B1144" s="8" t="s">
        <v>32</v>
      </c>
      <c r="C1144" s="8" t="s">
        <v>32</v>
      </c>
      <c r="D1144" s="8" t="s">
        <v>69</v>
      </c>
      <c r="E1144" s="8" t="s">
        <v>70</v>
      </c>
      <c r="F1144" s="8" t="s">
        <v>71</v>
      </c>
      <c r="G1144">
        <v>7318290000</v>
      </c>
      <c r="H1144" t="s">
        <v>759</v>
      </c>
      <c r="I1144" t="s">
        <v>1035</v>
      </c>
      <c r="J1144" t="s">
        <v>38</v>
      </c>
      <c r="K1144" t="s">
        <v>39</v>
      </c>
      <c r="L1144">
        <v>8</v>
      </c>
      <c r="M1144">
        <v>1</v>
      </c>
      <c r="N1144" t="s">
        <v>40</v>
      </c>
      <c r="O1144">
        <v>12.63</v>
      </c>
      <c r="P1144">
        <v>167.35</v>
      </c>
      <c r="Q1144">
        <v>10.95</v>
      </c>
      <c r="R1144">
        <v>1.0900000000000001</v>
      </c>
      <c r="S1144">
        <v>179.39</v>
      </c>
      <c r="T1144" t="s">
        <v>41</v>
      </c>
      <c r="U1144" t="s">
        <v>41</v>
      </c>
      <c r="V1144" t="s">
        <v>38</v>
      </c>
      <c r="W1144" t="s">
        <v>1037</v>
      </c>
      <c r="X1144">
        <v>167.35</v>
      </c>
      <c r="Y1144" s="9">
        <f t="shared" si="87"/>
        <v>167.35</v>
      </c>
      <c r="Z1144" s="9">
        <f t="shared" si="88"/>
        <v>313.78125</v>
      </c>
      <c r="AA1144" s="5">
        <f t="shared" si="89"/>
        <v>348.61096874999998</v>
      </c>
      <c r="AB1144" s="6">
        <f t="shared" si="90"/>
        <v>508.29424687499994</v>
      </c>
      <c r="AD1144" s="10">
        <f t="shared" si="91"/>
        <v>636.42054468750007</v>
      </c>
    </row>
    <row r="1145" spans="1:30" x14ac:dyDescent="0.3">
      <c r="A1145" t="s">
        <v>168</v>
      </c>
      <c r="B1145" s="8" t="s">
        <v>32</v>
      </c>
      <c r="C1145" s="8" t="s">
        <v>32</v>
      </c>
      <c r="D1145" s="8" t="s">
        <v>33</v>
      </c>
      <c r="E1145" s="8" t="s">
        <v>34</v>
      </c>
      <c r="F1145" s="8" t="s">
        <v>35</v>
      </c>
      <c r="G1145">
        <v>7326909090</v>
      </c>
      <c r="H1145" t="s">
        <v>53</v>
      </c>
      <c r="I1145" t="s">
        <v>1038</v>
      </c>
      <c r="J1145" t="s">
        <v>38</v>
      </c>
      <c r="K1145" t="s">
        <v>39</v>
      </c>
      <c r="L1145">
        <v>11</v>
      </c>
      <c r="M1145">
        <v>1</v>
      </c>
      <c r="N1145" t="s">
        <v>64</v>
      </c>
      <c r="O1145">
        <v>176.57</v>
      </c>
      <c r="P1145">
        <v>701.54</v>
      </c>
      <c r="Q1145">
        <v>67.19</v>
      </c>
      <c r="R1145">
        <v>4.7300000000000004</v>
      </c>
      <c r="S1145">
        <v>773.47</v>
      </c>
      <c r="T1145" t="s">
        <v>41</v>
      </c>
      <c r="U1145" t="s">
        <v>43</v>
      </c>
      <c r="V1145" t="s">
        <v>38</v>
      </c>
      <c r="W1145" t="s">
        <v>1039</v>
      </c>
      <c r="X1145">
        <v>701.54</v>
      </c>
      <c r="Y1145" s="9">
        <f t="shared" si="87"/>
        <v>701.54</v>
      </c>
      <c r="Z1145" s="9">
        <f t="shared" si="88"/>
        <v>1315.3874999999998</v>
      </c>
      <c r="AA1145" s="5">
        <f t="shared" si="89"/>
        <v>1461.3955124999998</v>
      </c>
      <c r="AB1145" s="6">
        <f t="shared" si="90"/>
        <v>2130.7962112499995</v>
      </c>
      <c r="AD1145" s="10">
        <f t="shared" si="91"/>
        <v>2667.9083891249998</v>
      </c>
    </row>
    <row r="1146" spans="1:30" x14ac:dyDescent="0.3">
      <c r="A1146" t="s">
        <v>168</v>
      </c>
      <c r="B1146" s="8" t="s">
        <v>32</v>
      </c>
      <c r="C1146" s="8" t="s">
        <v>32</v>
      </c>
      <c r="D1146" s="8" t="s">
        <v>33</v>
      </c>
      <c r="E1146" s="8" t="s">
        <v>34</v>
      </c>
      <c r="F1146" s="8" t="s">
        <v>35</v>
      </c>
      <c r="G1146">
        <v>8481909090</v>
      </c>
      <c r="H1146" t="s">
        <v>53</v>
      </c>
      <c r="I1146" t="s">
        <v>668</v>
      </c>
      <c r="J1146" t="s">
        <v>38</v>
      </c>
      <c r="K1146" t="s">
        <v>39</v>
      </c>
      <c r="L1146">
        <v>11</v>
      </c>
      <c r="M1146">
        <v>1</v>
      </c>
      <c r="N1146" t="s">
        <v>64</v>
      </c>
      <c r="O1146">
        <v>0</v>
      </c>
      <c r="P1146">
        <v>360.14</v>
      </c>
      <c r="Q1146">
        <v>34.49</v>
      </c>
      <c r="R1146">
        <v>2.4300000000000002</v>
      </c>
      <c r="S1146">
        <v>397.06</v>
      </c>
      <c r="T1146" t="s">
        <v>41</v>
      </c>
      <c r="U1146" t="s">
        <v>43</v>
      </c>
      <c r="V1146" t="s">
        <v>38</v>
      </c>
      <c r="W1146" t="s">
        <v>1040</v>
      </c>
      <c r="X1146">
        <v>360.14</v>
      </c>
      <c r="Y1146" s="9">
        <f t="shared" si="87"/>
        <v>360.14</v>
      </c>
      <c r="Z1146" s="9">
        <f t="shared" si="88"/>
        <v>675.26249999999993</v>
      </c>
      <c r="AA1146" s="5">
        <f t="shared" si="89"/>
        <v>750.21663749999993</v>
      </c>
      <c r="AB1146" s="6">
        <f t="shared" si="90"/>
        <v>1093.8577237499999</v>
      </c>
      <c r="AD1146" s="10">
        <f t="shared" si="91"/>
        <v>1369.587660375</v>
      </c>
    </row>
    <row r="1147" spans="1:30" x14ac:dyDescent="0.3">
      <c r="A1147" t="s">
        <v>30</v>
      </c>
      <c r="B1147" s="8" t="s">
        <v>32</v>
      </c>
      <c r="C1147" s="8" t="s">
        <v>32</v>
      </c>
      <c r="D1147" s="8" t="s">
        <v>69</v>
      </c>
      <c r="E1147" s="8" t="s">
        <v>70</v>
      </c>
      <c r="F1147" s="8" t="s">
        <v>71</v>
      </c>
      <c r="G1147">
        <v>8481909090</v>
      </c>
      <c r="H1147" t="s">
        <v>238</v>
      </c>
      <c r="I1147" t="s">
        <v>1041</v>
      </c>
      <c r="J1147" t="s">
        <v>38</v>
      </c>
      <c r="K1147" t="s">
        <v>39</v>
      </c>
      <c r="L1147">
        <v>13</v>
      </c>
      <c r="M1147">
        <v>1</v>
      </c>
      <c r="N1147" t="s">
        <v>64</v>
      </c>
      <c r="O1147">
        <v>0</v>
      </c>
      <c r="P1147">
        <v>105.64</v>
      </c>
      <c r="Q1147">
        <v>7.5</v>
      </c>
      <c r="R1147">
        <v>0.69</v>
      </c>
      <c r="S1147">
        <v>113.83</v>
      </c>
      <c r="T1147" t="s">
        <v>41</v>
      </c>
      <c r="U1147" t="s">
        <v>41</v>
      </c>
      <c r="V1147" t="s">
        <v>38</v>
      </c>
      <c r="W1147" t="s">
        <v>1042</v>
      </c>
      <c r="X1147">
        <v>105.64</v>
      </c>
      <c r="Y1147" s="9">
        <f t="shared" si="87"/>
        <v>105.64</v>
      </c>
      <c r="Z1147" s="9">
        <f t="shared" si="88"/>
        <v>198.07499999999999</v>
      </c>
      <c r="AA1147" s="5">
        <f t="shared" si="89"/>
        <v>220.06132499999998</v>
      </c>
      <c r="AB1147" s="6">
        <f t="shared" si="90"/>
        <v>320.86169249999995</v>
      </c>
      <c r="AD1147" s="10">
        <f t="shared" si="91"/>
        <v>401.74165725</v>
      </c>
    </row>
    <row r="1148" spans="1:30" x14ac:dyDescent="0.3">
      <c r="A1148" t="s">
        <v>30</v>
      </c>
      <c r="B1148" s="8" t="s">
        <v>32</v>
      </c>
      <c r="C1148" s="8" t="s">
        <v>32</v>
      </c>
      <c r="D1148" s="8" t="s">
        <v>33</v>
      </c>
      <c r="E1148" s="8" t="s">
        <v>34</v>
      </c>
      <c r="F1148" s="8" t="s">
        <v>35</v>
      </c>
      <c r="G1148">
        <v>8484900000</v>
      </c>
      <c r="H1148" t="s">
        <v>36</v>
      </c>
      <c r="I1148" t="s">
        <v>644</v>
      </c>
      <c r="J1148" t="s">
        <v>38</v>
      </c>
      <c r="K1148" t="s">
        <v>39</v>
      </c>
      <c r="L1148">
        <v>8</v>
      </c>
      <c r="M1148">
        <v>1</v>
      </c>
      <c r="N1148" t="s">
        <v>64</v>
      </c>
      <c r="O1148">
        <v>0</v>
      </c>
      <c r="P1148">
        <v>124.11</v>
      </c>
      <c r="Q1148">
        <v>7.03</v>
      </c>
      <c r="R1148">
        <v>0.79</v>
      </c>
      <c r="S1148">
        <v>131.93</v>
      </c>
      <c r="T1148" t="s">
        <v>41</v>
      </c>
      <c r="U1148" t="s">
        <v>41</v>
      </c>
      <c r="V1148" t="s">
        <v>38</v>
      </c>
      <c r="W1148" t="s">
        <v>1043</v>
      </c>
      <c r="X1148">
        <v>124.11</v>
      </c>
      <c r="Y1148" s="9">
        <f t="shared" si="87"/>
        <v>124.11</v>
      </c>
      <c r="Z1148" s="9">
        <f t="shared" si="88"/>
        <v>232.70625000000001</v>
      </c>
      <c r="AA1148" s="5">
        <f t="shared" si="89"/>
        <v>258.53664375</v>
      </c>
      <c r="AB1148" s="6">
        <f t="shared" si="90"/>
        <v>376.960854375</v>
      </c>
      <c r="AD1148" s="10">
        <f t="shared" si="91"/>
        <v>471.98179743750006</v>
      </c>
    </row>
    <row r="1149" spans="1:30" x14ac:dyDescent="0.3">
      <c r="A1149" t="s">
        <v>30</v>
      </c>
      <c r="B1149" s="8" t="s">
        <v>32</v>
      </c>
      <c r="C1149" s="8" t="s">
        <v>32</v>
      </c>
      <c r="D1149" s="8" t="s">
        <v>33</v>
      </c>
      <c r="E1149" s="8" t="s">
        <v>34</v>
      </c>
      <c r="F1149" s="8" t="s">
        <v>35</v>
      </c>
      <c r="G1149">
        <v>8482500000</v>
      </c>
      <c r="H1149" t="s">
        <v>690</v>
      </c>
      <c r="I1149" t="s">
        <v>81</v>
      </c>
      <c r="J1149" t="s">
        <v>38</v>
      </c>
      <c r="K1149" t="s">
        <v>39</v>
      </c>
      <c r="L1149">
        <v>8</v>
      </c>
      <c r="M1149">
        <v>2</v>
      </c>
      <c r="N1149" t="s">
        <v>64</v>
      </c>
      <c r="O1149">
        <v>0</v>
      </c>
      <c r="P1149">
        <v>422.06</v>
      </c>
      <c r="Q1149">
        <v>23.9</v>
      </c>
      <c r="R1149">
        <v>2.69</v>
      </c>
      <c r="S1149">
        <v>448.65</v>
      </c>
      <c r="T1149" t="s">
        <v>41</v>
      </c>
      <c r="U1149" t="s">
        <v>41</v>
      </c>
      <c r="V1149" t="s">
        <v>38</v>
      </c>
      <c r="W1149" t="s">
        <v>1044</v>
      </c>
      <c r="X1149">
        <v>211.03</v>
      </c>
      <c r="Y1149" s="9">
        <f t="shared" si="87"/>
        <v>211.03</v>
      </c>
      <c r="Z1149" s="9">
        <f t="shared" si="88"/>
        <v>395.68124999999998</v>
      </c>
      <c r="AA1149" s="5">
        <f t="shared" si="89"/>
        <v>439.60186874999999</v>
      </c>
      <c r="AB1149" s="6">
        <f t="shared" si="90"/>
        <v>640.96405687499987</v>
      </c>
      <c r="AD1149" s="10">
        <f t="shared" si="91"/>
        <v>802.53258168750006</v>
      </c>
    </row>
    <row r="1150" spans="1:30" x14ac:dyDescent="0.3">
      <c r="A1150" t="s">
        <v>30</v>
      </c>
      <c r="B1150" s="8" t="s">
        <v>32</v>
      </c>
      <c r="C1150" s="8" t="s">
        <v>32</v>
      </c>
      <c r="D1150" s="8" t="s">
        <v>33</v>
      </c>
      <c r="E1150" s="8" t="s">
        <v>34</v>
      </c>
      <c r="F1150" s="8" t="s">
        <v>35</v>
      </c>
      <c r="G1150">
        <v>8484900000</v>
      </c>
      <c r="H1150" t="s">
        <v>36</v>
      </c>
      <c r="I1150" t="s">
        <v>1045</v>
      </c>
      <c r="J1150" t="s">
        <v>38</v>
      </c>
      <c r="K1150" t="s">
        <v>39</v>
      </c>
      <c r="L1150">
        <v>8</v>
      </c>
      <c r="M1150">
        <v>2</v>
      </c>
      <c r="N1150" t="s">
        <v>64</v>
      </c>
      <c r="O1150">
        <v>0</v>
      </c>
      <c r="P1150">
        <v>940.36</v>
      </c>
      <c r="Q1150">
        <v>53.24</v>
      </c>
      <c r="R1150">
        <v>6</v>
      </c>
      <c r="S1150">
        <v>999.6</v>
      </c>
      <c r="T1150" t="s">
        <v>41</v>
      </c>
      <c r="U1150" t="s">
        <v>41</v>
      </c>
      <c r="V1150" t="s">
        <v>38</v>
      </c>
      <c r="W1150" t="s">
        <v>1046</v>
      </c>
      <c r="X1150">
        <v>470.18</v>
      </c>
      <c r="Y1150" s="9">
        <f t="shared" si="87"/>
        <v>470.18</v>
      </c>
      <c r="Z1150" s="9">
        <f t="shared" si="88"/>
        <v>881.58749999999998</v>
      </c>
      <c r="AA1150" s="5">
        <f t="shared" si="89"/>
        <v>979.44371249999995</v>
      </c>
      <c r="AB1150" s="6">
        <f t="shared" si="90"/>
        <v>1428.0835912499999</v>
      </c>
      <c r="AD1150" s="10">
        <f t="shared" si="91"/>
        <v>1788.0622151250002</v>
      </c>
    </row>
    <row r="1151" spans="1:30" x14ac:dyDescent="0.3">
      <c r="A1151" t="s">
        <v>30</v>
      </c>
      <c r="B1151" s="8" t="s">
        <v>32</v>
      </c>
      <c r="C1151" s="8" t="s">
        <v>32</v>
      </c>
      <c r="D1151" s="8" t="s">
        <v>33</v>
      </c>
      <c r="E1151" s="8" t="s">
        <v>34</v>
      </c>
      <c r="F1151" s="8" t="s">
        <v>35</v>
      </c>
      <c r="G1151">
        <v>8482500000</v>
      </c>
      <c r="H1151" t="s">
        <v>83</v>
      </c>
      <c r="I1151" t="s">
        <v>81</v>
      </c>
      <c r="J1151" t="s">
        <v>38</v>
      </c>
      <c r="K1151" t="s">
        <v>39</v>
      </c>
      <c r="L1151">
        <v>8</v>
      </c>
      <c r="M1151">
        <v>1</v>
      </c>
      <c r="N1151" t="s">
        <v>64</v>
      </c>
      <c r="O1151">
        <v>0</v>
      </c>
      <c r="P1151">
        <v>777.84</v>
      </c>
      <c r="Q1151">
        <v>111.94</v>
      </c>
      <c r="R1151">
        <v>5.47</v>
      </c>
      <c r="S1151">
        <v>895.26</v>
      </c>
      <c r="T1151" t="s">
        <v>41</v>
      </c>
      <c r="U1151" t="s">
        <v>41</v>
      </c>
      <c r="V1151" t="s">
        <v>38</v>
      </c>
      <c r="W1151" t="s">
        <v>1047</v>
      </c>
      <c r="X1151">
        <v>777.84</v>
      </c>
      <c r="Y1151" s="9">
        <f t="shared" si="87"/>
        <v>777.84</v>
      </c>
      <c r="Z1151" s="9">
        <f t="shared" si="88"/>
        <v>1458.45</v>
      </c>
      <c r="AA1151" s="5">
        <f t="shared" si="89"/>
        <v>1620.3379500000001</v>
      </c>
      <c r="AB1151" s="6">
        <f t="shared" si="90"/>
        <v>2362.5431549999998</v>
      </c>
      <c r="AD1151" s="10">
        <f t="shared" si="91"/>
        <v>2958.0720435000003</v>
      </c>
    </row>
    <row r="1152" spans="1:30" x14ac:dyDescent="0.3">
      <c r="A1152" t="s">
        <v>30</v>
      </c>
      <c r="B1152" s="8" t="s">
        <v>32</v>
      </c>
      <c r="C1152" s="8" t="s">
        <v>32</v>
      </c>
      <c r="D1152" s="8" t="s">
        <v>33</v>
      </c>
      <c r="E1152" s="8" t="s">
        <v>34</v>
      </c>
      <c r="F1152" s="8" t="s">
        <v>35</v>
      </c>
      <c r="G1152">
        <v>8482500000</v>
      </c>
      <c r="H1152" t="s">
        <v>83</v>
      </c>
      <c r="I1152" t="s">
        <v>81</v>
      </c>
      <c r="J1152" t="s">
        <v>38</v>
      </c>
      <c r="K1152" t="s">
        <v>39</v>
      </c>
      <c r="L1152">
        <v>1</v>
      </c>
      <c r="M1152">
        <v>2</v>
      </c>
      <c r="N1152" t="s">
        <v>64</v>
      </c>
      <c r="O1152">
        <v>0</v>
      </c>
      <c r="P1152">
        <v>1573.62</v>
      </c>
      <c r="Q1152">
        <v>0.39</v>
      </c>
      <c r="R1152">
        <v>15.74</v>
      </c>
      <c r="S1152">
        <v>1589.75</v>
      </c>
      <c r="T1152" t="s">
        <v>41</v>
      </c>
      <c r="U1152" t="s">
        <v>41</v>
      </c>
      <c r="V1152" t="s">
        <v>38</v>
      </c>
      <c r="W1152" t="s">
        <v>1047</v>
      </c>
      <c r="X1152">
        <v>786.81</v>
      </c>
      <c r="Y1152" s="9">
        <f t="shared" si="87"/>
        <v>786.81</v>
      </c>
      <c r="Z1152" s="9">
        <f t="shared" si="88"/>
        <v>1475.26875</v>
      </c>
      <c r="AA1152" s="5">
        <f t="shared" si="89"/>
        <v>1639.02358125</v>
      </c>
      <c r="AB1152" s="6">
        <f t="shared" si="90"/>
        <v>2389.787848125</v>
      </c>
      <c r="AD1152" s="10">
        <f t="shared" si="91"/>
        <v>2992.1843368125001</v>
      </c>
    </row>
    <row r="1153" spans="1:30" x14ac:dyDescent="0.3">
      <c r="A1153" t="s">
        <v>168</v>
      </c>
      <c r="B1153" s="8" t="s">
        <v>32</v>
      </c>
      <c r="C1153" s="8" t="s">
        <v>32</v>
      </c>
      <c r="D1153" s="8" t="s">
        <v>33</v>
      </c>
      <c r="E1153" s="8" t="s">
        <v>34</v>
      </c>
      <c r="F1153" s="8" t="s">
        <v>35</v>
      </c>
      <c r="G1153">
        <v>8481809990</v>
      </c>
      <c r="H1153" t="s">
        <v>53</v>
      </c>
      <c r="I1153" t="s">
        <v>973</v>
      </c>
      <c r="J1153" t="s">
        <v>38</v>
      </c>
      <c r="K1153" t="s">
        <v>39</v>
      </c>
      <c r="L1153">
        <v>11</v>
      </c>
      <c r="M1153">
        <v>1</v>
      </c>
      <c r="N1153" t="s">
        <v>64</v>
      </c>
      <c r="O1153">
        <v>0</v>
      </c>
      <c r="P1153">
        <v>809.53</v>
      </c>
      <c r="Q1153">
        <v>77.540000000000006</v>
      </c>
      <c r="R1153">
        <v>5.46</v>
      </c>
      <c r="S1153">
        <v>892.53</v>
      </c>
      <c r="T1153" t="s">
        <v>41</v>
      </c>
      <c r="U1153" t="s">
        <v>43</v>
      </c>
      <c r="V1153" t="s">
        <v>38</v>
      </c>
      <c r="W1153" t="s">
        <v>1047</v>
      </c>
      <c r="X1153">
        <v>809.53</v>
      </c>
      <c r="Y1153" s="9">
        <f t="shared" si="87"/>
        <v>809.53</v>
      </c>
      <c r="Z1153" s="9">
        <f t="shared" si="88"/>
        <v>1517.8687499999999</v>
      </c>
      <c r="AA1153" s="5">
        <f t="shared" si="89"/>
        <v>1686.3521812499998</v>
      </c>
      <c r="AB1153" s="6">
        <f t="shared" si="90"/>
        <v>2458.7955881249995</v>
      </c>
      <c r="AD1153" s="10">
        <f t="shared" si="91"/>
        <v>3078.5869348125002</v>
      </c>
    </row>
    <row r="1154" spans="1:30" x14ac:dyDescent="0.3">
      <c r="A1154" t="s">
        <v>168</v>
      </c>
      <c r="B1154" s="8" t="s">
        <v>32</v>
      </c>
      <c r="C1154" s="8" t="s">
        <v>32</v>
      </c>
      <c r="D1154" s="8" t="s">
        <v>33</v>
      </c>
      <c r="E1154" s="8" t="s">
        <v>34</v>
      </c>
      <c r="F1154" s="8" t="s">
        <v>35</v>
      </c>
      <c r="G1154">
        <v>8481809990</v>
      </c>
      <c r="H1154" t="s">
        <v>53</v>
      </c>
      <c r="I1154" t="s">
        <v>973</v>
      </c>
      <c r="J1154" t="s">
        <v>38</v>
      </c>
      <c r="K1154" t="s">
        <v>39</v>
      </c>
      <c r="L1154">
        <v>11</v>
      </c>
      <c r="M1154">
        <v>1</v>
      </c>
      <c r="N1154" t="s">
        <v>64</v>
      </c>
      <c r="O1154">
        <v>0</v>
      </c>
      <c r="P1154">
        <v>809.53</v>
      </c>
      <c r="Q1154">
        <v>77.540000000000006</v>
      </c>
      <c r="R1154">
        <v>5.46</v>
      </c>
      <c r="S1154">
        <v>892.53</v>
      </c>
      <c r="T1154" t="s">
        <v>41</v>
      </c>
      <c r="U1154" t="s">
        <v>43</v>
      </c>
      <c r="V1154" t="s">
        <v>38</v>
      </c>
      <c r="W1154" t="s">
        <v>1047</v>
      </c>
      <c r="X1154">
        <v>809.53</v>
      </c>
      <c r="Y1154" s="9">
        <f t="shared" si="87"/>
        <v>809.53</v>
      </c>
      <c r="Z1154" s="9">
        <f t="shared" si="88"/>
        <v>1517.8687499999999</v>
      </c>
      <c r="AA1154" s="5">
        <f t="shared" si="89"/>
        <v>1686.3521812499998</v>
      </c>
      <c r="AB1154" s="6">
        <f t="shared" si="90"/>
        <v>2458.7955881249995</v>
      </c>
      <c r="AD1154" s="10">
        <f t="shared" si="91"/>
        <v>3078.5869348125002</v>
      </c>
    </row>
    <row r="1155" spans="1:30" x14ac:dyDescent="0.3">
      <c r="A1155" t="s">
        <v>30</v>
      </c>
      <c r="B1155" s="8" t="s">
        <v>32</v>
      </c>
      <c r="C1155" s="8" t="s">
        <v>32</v>
      </c>
      <c r="D1155" s="8" t="s">
        <v>33</v>
      </c>
      <c r="E1155" s="8" t="s">
        <v>34</v>
      </c>
      <c r="F1155" s="8" t="s">
        <v>35</v>
      </c>
      <c r="G1155">
        <v>8481909090</v>
      </c>
      <c r="H1155" t="s">
        <v>238</v>
      </c>
      <c r="I1155" t="s">
        <v>360</v>
      </c>
      <c r="J1155" t="s">
        <v>38</v>
      </c>
      <c r="K1155" t="s">
        <v>39</v>
      </c>
      <c r="L1155">
        <v>6</v>
      </c>
      <c r="M1155">
        <v>1</v>
      </c>
      <c r="N1155" t="s">
        <v>64</v>
      </c>
      <c r="O1155">
        <v>0</v>
      </c>
      <c r="P1155">
        <v>363.73</v>
      </c>
      <c r="Q1155">
        <v>43.99</v>
      </c>
      <c r="R1155">
        <v>2.5299999999999998</v>
      </c>
      <c r="S1155">
        <v>410.25</v>
      </c>
      <c r="T1155" t="s">
        <v>41</v>
      </c>
      <c r="U1155" t="s">
        <v>43</v>
      </c>
      <c r="V1155" t="s">
        <v>38</v>
      </c>
      <c r="W1155" t="s">
        <v>1048</v>
      </c>
      <c r="X1155">
        <v>363.73</v>
      </c>
      <c r="Y1155" s="9">
        <f t="shared" ref="Y1155:Y1218" si="92">SUM(P1155)/M1155</f>
        <v>363.73</v>
      </c>
      <c r="Z1155" s="9">
        <f t="shared" ref="Z1155:Z1218" si="93">SUM(Y1155)*1.875</f>
        <v>681.99375000000009</v>
      </c>
      <c r="AA1155" s="5">
        <f t="shared" ref="AA1155:AA1218" si="94">SUM(Z1155)*1.111</f>
        <v>757.69505625000011</v>
      </c>
      <c r="AB1155" s="6">
        <f t="shared" ref="AB1155:AB1218" si="95">SUM(Z1155)*1.6199</f>
        <v>1104.7616756250002</v>
      </c>
      <c r="AD1155" s="10">
        <f t="shared" si="91"/>
        <v>1383.2401835625003</v>
      </c>
    </row>
    <row r="1156" spans="1:30" x14ac:dyDescent="0.3">
      <c r="A1156" t="s">
        <v>30</v>
      </c>
      <c r="B1156" s="8" t="s">
        <v>32</v>
      </c>
      <c r="C1156" s="8" t="s">
        <v>32</v>
      </c>
      <c r="D1156" s="8" t="s">
        <v>69</v>
      </c>
      <c r="E1156" s="8" t="s">
        <v>70</v>
      </c>
      <c r="F1156" s="8" t="s">
        <v>71</v>
      </c>
      <c r="G1156">
        <v>8481909090</v>
      </c>
      <c r="H1156" t="s">
        <v>53</v>
      </c>
      <c r="I1156" t="s">
        <v>978</v>
      </c>
      <c r="J1156" t="s">
        <v>38</v>
      </c>
      <c r="K1156" t="s">
        <v>39</v>
      </c>
      <c r="L1156">
        <v>13</v>
      </c>
      <c r="M1156">
        <v>1</v>
      </c>
      <c r="N1156" t="s">
        <v>64</v>
      </c>
      <c r="O1156">
        <v>0</v>
      </c>
      <c r="P1156">
        <v>373.98</v>
      </c>
      <c r="Q1156">
        <v>19.97</v>
      </c>
      <c r="R1156">
        <v>2.4</v>
      </c>
      <c r="S1156">
        <v>396.35</v>
      </c>
      <c r="T1156" t="s">
        <v>72</v>
      </c>
      <c r="U1156" t="s">
        <v>72</v>
      </c>
      <c r="V1156" t="s">
        <v>38</v>
      </c>
      <c r="W1156" t="s">
        <v>1048</v>
      </c>
      <c r="X1156">
        <v>373.98</v>
      </c>
      <c r="Y1156" s="9">
        <f t="shared" si="92"/>
        <v>373.98</v>
      </c>
      <c r="Z1156" s="9">
        <f t="shared" si="93"/>
        <v>701.21250000000009</v>
      </c>
      <c r="AA1156" s="5">
        <f t="shared" si="94"/>
        <v>779.04708750000009</v>
      </c>
      <c r="AB1156" s="6">
        <f t="shared" si="95"/>
        <v>1135.8941287500002</v>
      </c>
      <c r="AD1156" s="10">
        <f t="shared" si="91"/>
        <v>1422.2202288750004</v>
      </c>
    </row>
    <row r="1157" spans="1:30" x14ac:dyDescent="0.3">
      <c r="A1157" t="s">
        <v>30</v>
      </c>
      <c r="B1157" s="8" t="s">
        <v>32</v>
      </c>
      <c r="C1157" s="8" t="s">
        <v>32</v>
      </c>
      <c r="D1157" s="8" t="s">
        <v>33</v>
      </c>
      <c r="E1157" s="8" t="s">
        <v>34</v>
      </c>
      <c r="F1157" s="8" t="s">
        <v>35</v>
      </c>
      <c r="G1157">
        <v>8481909090</v>
      </c>
      <c r="H1157" t="s">
        <v>53</v>
      </c>
      <c r="I1157" t="s">
        <v>978</v>
      </c>
      <c r="J1157" t="s">
        <v>38</v>
      </c>
      <c r="K1157" t="s">
        <v>39</v>
      </c>
      <c r="L1157">
        <v>8</v>
      </c>
      <c r="M1157">
        <v>2</v>
      </c>
      <c r="N1157" t="s">
        <v>64</v>
      </c>
      <c r="O1157">
        <v>0</v>
      </c>
      <c r="P1157">
        <v>760.47</v>
      </c>
      <c r="Q1157">
        <v>43.05</v>
      </c>
      <c r="R1157">
        <v>4.8499999999999996</v>
      </c>
      <c r="S1157">
        <v>808.37</v>
      </c>
      <c r="T1157" t="s">
        <v>41</v>
      </c>
      <c r="U1157" t="s">
        <v>41</v>
      </c>
      <c r="V1157" t="s">
        <v>38</v>
      </c>
      <c r="W1157" t="s">
        <v>1048</v>
      </c>
      <c r="X1157">
        <v>380.23</v>
      </c>
      <c r="Y1157" s="9">
        <f t="shared" si="92"/>
        <v>380.23500000000001</v>
      </c>
      <c r="Z1157" s="9">
        <f t="shared" si="93"/>
        <v>712.94062500000007</v>
      </c>
      <c r="AA1157" s="5">
        <f t="shared" si="94"/>
        <v>792.07703437500004</v>
      </c>
      <c r="AB1157" s="6">
        <f t="shared" si="95"/>
        <v>1154.8925184375</v>
      </c>
      <c r="AD1157" s="10">
        <f t="shared" si="91"/>
        <v>1446.0075638437502</v>
      </c>
    </row>
    <row r="1158" spans="1:30" x14ac:dyDescent="0.3">
      <c r="A1158" t="s">
        <v>168</v>
      </c>
      <c r="B1158" s="8" t="s">
        <v>32</v>
      </c>
      <c r="C1158" s="8" t="s">
        <v>32</v>
      </c>
      <c r="D1158" s="8" t="s">
        <v>33</v>
      </c>
      <c r="E1158" s="8" t="s">
        <v>34</v>
      </c>
      <c r="F1158" s="8" t="s">
        <v>35</v>
      </c>
      <c r="G1158">
        <v>8483309000</v>
      </c>
      <c r="H1158" t="s">
        <v>177</v>
      </c>
      <c r="I1158" t="s">
        <v>1049</v>
      </c>
      <c r="J1158" t="s">
        <v>38</v>
      </c>
      <c r="K1158" t="s">
        <v>39</v>
      </c>
      <c r="L1158">
        <v>11</v>
      </c>
      <c r="M1158">
        <v>1</v>
      </c>
      <c r="N1158" t="s">
        <v>64</v>
      </c>
      <c r="O1158">
        <v>0</v>
      </c>
      <c r="P1158">
        <v>148.81</v>
      </c>
      <c r="Q1158">
        <v>14.25</v>
      </c>
      <c r="R1158">
        <v>1</v>
      </c>
      <c r="S1158">
        <v>164.06</v>
      </c>
      <c r="T1158" t="s">
        <v>41</v>
      </c>
      <c r="U1158" t="s">
        <v>43</v>
      </c>
      <c r="V1158" t="s">
        <v>38</v>
      </c>
      <c r="W1158" t="s">
        <v>1050</v>
      </c>
      <c r="X1158">
        <v>148.81</v>
      </c>
      <c r="Y1158" s="9">
        <f t="shared" si="92"/>
        <v>148.81</v>
      </c>
      <c r="Z1158" s="9">
        <f t="shared" si="93"/>
        <v>279.01875000000001</v>
      </c>
      <c r="AA1158" s="5">
        <f t="shared" si="94"/>
        <v>309.98983125000001</v>
      </c>
      <c r="AB1158" s="6">
        <f t="shared" si="95"/>
        <v>451.98247312500001</v>
      </c>
      <c r="AD1158" s="10">
        <f t="shared" si="91"/>
        <v>565.91419931250005</v>
      </c>
    </row>
    <row r="1159" spans="1:30" x14ac:dyDescent="0.3">
      <c r="A1159" t="s">
        <v>30</v>
      </c>
      <c r="B1159" s="8" t="s">
        <v>32</v>
      </c>
      <c r="C1159" s="8" t="s">
        <v>32</v>
      </c>
      <c r="D1159" s="8" t="s">
        <v>33</v>
      </c>
      <c r="E1159" s="8" t="s">
        <v>34</v>
      </c>
      <c r="F1159" s="8" t="s">
        <v>35</v>
      </c>
      <c r="G1159">
        <v>8483309000</v>
      </c>
      <c r="H1159" t="s">
        <v>36</v>
      </c>
      <c r="I1159" t="s">
        <v>1051</v>
      </c>
      <c r="J1159" t="s">
        <v>38</v>
      </c>
      <c r="K1159" t="s">
        <v>39</v>
      </c>
      <c r="L1159">
        <v>8</v>
      </c>
      <c r="M1159">
        <v>1</v>
      </c>
      <c r="N1159" t="s">
        <v>64</v>
      </c>
      <c r="O1159">
        <v>0</v>
      </c>
      <c r="P1159">
        <v>147.91</v>
      </c>
      <c r="Q1159">
        <v>15.79</v>
      </c>
      <c r="R1159">
        <v>0.99</v>
      </c>
      <c r="S1159">
        <v>164.69</v>
      </c>
      <c r="T1159" t="s">
        <v>41</v>
      </c>
      <c r="U1159" t="s">
        <v>41</v>
      </c>
      <c r="V1159" t="s">
        <v>38</v>
      </c>
      <c r="W1159" t="s">
        <v>1050</v>
      </c>
      <c r="X1159">
        <v>147.91</v>
      </c>
      <c r="Y1159" s="9">
        <f t="shared" si="92"/>
        <v>147.91</v>
      </c>
      <c r="Z1159" s="9">
        <f t="shared" si="93"/>
        <v>277.33125000000001</v>
      </c>
      <c r="AA1159" s="5">
        <f t="shared" si="94"/>
        <v>308.11501874999999</v>
      </c>
      <c r="AB1159" s="6">
        <f t="shared" si="95"/>
        <v>449.24889187499997</v>
      </c>
      <c r="AD1159" s="10">
        <f t="shared" si="91"/>
        <v>562.49156118750011</v>
      </c>
    </row>
    <row r="1160" spans="1:30" x14ac:dyDescent="0.3">
      <c r="A1160" t="s">
        <v>30</v>
      </c>
      <c r="B1160" s="8" t="s">
        <v>32</v>
      </c>
      <c r="C1160" s="8" t="s">
        <v>32</v>
      </c>
      <c r="D1160" s="8" t="s">
        <v>33</v>
      </c>
      <c r="E1160" s="8" t="s">
        <v>34</v>
      </c>
      <c r="F1160" s="8" t="s">
        <v>35</v>
      </c>
      <c r="G1160">
        <v>8483309000</v>
      </c>
      <c r="H1160" t="s">
        <v>36</v>
      </c>
      <c r="I1160" t="s">
        <v>1052</v>
      </c>
      <c r="J1160" t="s">
        <v>38</v>
      </c>
      <c r="K1160" t="s">
        <v>39</v>
      </c>
      <c r="L1160">
        <v>8</v>
      </c>
      <c r="M1160">
        <v>1</v>
      </c>
      <c r="N1160" t="s">
        <v>64</v>
      </c>
      <c r="O1160">
        <v>0</v>
      </c>
      <c r="P1160">
        <v>147.78</v>
      </c>
      <c r="Q1160">
        <v>18.510000000000002</v>
      </c>
      <c r="R1160">
        <v>1.01</v>
      </c>
      <c r="S1160">
        <v>167.3</v>
      </c>
      <c r="T1160" t="s">
        <v>41</v>
      </c>
      <c r="U1160" t="s">
        <v>41</v>
      </c>
      <c r="V1160" t="s">
        <v>38</v>
      </c>
      <c r="W1160" t="s">
        <v>1050</v>
      </c>
      <c r="X1160">
        <v>147.78</v>
      </c>
      <c r="Y1160" s="9">
        <f t="shared" si="92"/>
        <v>147.78</v>
      </c>
      <c r="Z1160" s="9">
        <f t="shared" si="93"/>
        <v>277.08749999999998</v>
      </c>
      <c r="AA1160" s="5">
        <f t="shared" si="94"/>
        <v>307.84421249999997</v>
      </c>
      <c r="AB1160" s="6">
        <f t="shared" si="95"/>
        <v>448.85404124999991</v>
      </c>
      <c r="AD1160" s="10">
        <f t="shared" si="91"/>
        <v>561.997180125</v>
      </c>
    </row>
    <row r="1161" spans="1:30" x14ac:dyDescent="0.3">
      <c r="A1161" t="s">
        <v>30</v>
      </c>
      <c r="B1161" s="8" t="s">
        <v>32</v>
      </c>
      <c r="C1161" s="8" t="s">
        <v>32</v>
      </c>
      <c r="D1161" s="8" t="s">
        <v>33</v>
      </c>
      <c r="E1161" s="8" t="s">
        <v>34</v>
      </c>
      <c r="F1161" s="8" t="s">
        <v>35</v>
      </c>
      <c r="G1161">
        <v>4016930000</v>
      </c>
      <c r="H1161" t="s">
        <v>141</v>
      </c>
      <c r="I1161" t="s">
        <v>1053</v>
      </c>
      <c r="J1161" t="s">
        <v>38</v>
      </c>
      <c r="K1161" t="s">
        <v>39</v>
      </c>
      <c r="L1161">
        <v>6</v>
      </c>
      <c r="M1161">
        <v>1</v>
      </c>
      <c r="N1161" t="s">
        <v>64</v>
      </c>
      <c r="O1161">
        <v>0</v>
      </c>
      <c r="P1161">
        <v>129.21</v>
      </c>
      <c r="Q1161">
        <v>8.77</v>
      </c>
      <c r="R1161">
        <v>0.84</v>
      </c>
      <c r="S1161">
        <v>138.81</v>
      </c>
      <c r="T1161" t="s">
        <v>41</v>
      </c>
      <c r="U1161" t="s">
        <v>41</v>
      </c>
      <c r="V1161" t="s">
        <v>38</v>
      </c>
      <c r="W1161" t="s">
        <v>1054</v>
      </c>
      <c r="X1161">
        <v>129.21</v>
      </c>
      <c r="Y1161" s="9">
        <f t="shared" si="92"/>
        <v>129.21</v>
      </c>
      <c r="Z1161" s="9">
        <f t="shared" si="93"/>
        <v>242.26875000000001</v>
      </c>
      <c r="AA1161" s="5">
        <f t="shared" si="94"/>
        <v>269.16058125000001</v>
      </c>
      <c r="AB1161" s="6">
        <f t="shared" si="95"/>
        <v>392.45114812499997</v>
      </c>
      <c r="AD1161" s="10">
        <f t="shared" si="91"/>
        <v>491.37674681250007</v>
      </c>
    </row>
    <row r="1162" spans="1:30" x14ac:dyDescent="0.3">
      <c r="A1162" t="s">
        <v>30</v>
      </c>
      <c r="B1162" s="8" t="s">
        <v>32</v>
      </c>
      <c r="C1162" s="8" t="s">
        <v>32</v>
      </c>
      <c r="D1162" s="8" t="s">
        <v>69</v>
      </c>
      <c r="E1162" s="8" t="s">
        <v>70</v>
      </c>
      <c r="F1162" s="8" t="s">
        <v>71</v>
      </c>
      <c r="G1162">
        <v>8421999000</v>
      </c>
      <c r="H1162" t="s">
        <v>36</v>
      </c>
      <c r="I1162" t="s">
        <v>478</v>
      </c>
      <c r="J1162" t="s">
        <v>38</v>
      </c>
      <c r="K1162" t="s">
        <v>39</v>
      </c>
      <c r="L1162">
        <v>13</v>
      </c>
      <c r="M1162">
        <v>1</v>
      </c>
      <c r="N1162" t="s">
        <v>64</v>
      </c>
      <c r="O1162">
        <v>0</v>
      </c>
      <c r="P1162">
        <v>286.74</v>
      </c>
      <c r="Q1162">
        <v>15.31</v>
      </c>
      <c r="R1162">
        <v>1.84</v>
      </c>
      <c r="S1162">
        <v>303.89</v>
      </c>
      <c r="T1162" t="s">
        <v>72</v>
      </c>
      <c r="U1162" t="s">
        <v>72</v>
      </c>
      <c r="V1162" t="s">
        <v>38</v>
      </c>
      <c r="W1162" t="s">
        <v>1055</v>
      </c>
      <c r="X1162">
        <v>286.74</v>
      </c>
      <c r="Y1162" s="9">
        <f t="shared" si="92"/>
        <v>286.74</v>
      </c>
      <c r="Z1162" s="9">
        <f t="shared" si="93"/>
        <v>537.63750000000005</v>
      </c>
      <c r="AA1162" s="5">
        <f t="shared" si="94"/>
        <v>597.31526250000002</v>
      </c>
      <c r="AB1162" s="6">
        <f t="shared" si="95"/>
        <v>870.91898624999999</v>
      </c>
      <c r="AD1162" s="10">
        <f t="shared" si="91"/>
        <v>1090.4525066250003</v>
      </c>
    </row>
    <row r="1163" spans="1:30" x14ac:dyDescent="0.3">
      <c r="A1163" t="s">
        <v>30</v>
      </c>
      <c r="B1163" s="8" t="s">
        <v>32</v>
      </c>
      <c r="C1163" s="8" t="s">
        <v>32</v>
      </c>
      <c r="D1163" s="8" t="s">
        <v>33</v>
      </c>
      <c r="E1163" s="8" t="s">
        <v>34</v>
      </c>
      <c r="F1163" s="8" t="s">
        <v>35</v>
      </c>
      <c r="G1163">
        <v>8421999000</v>
      </c>
      <c r="H1163" t="s">
        <v>36</v>
      </c>
      <c r="I1163" t="s">
        <v>478</v>
      </c>
      <c r="J1163" t="s">
        <v>38</v>
      </c>
      <c r="K1163" t="s">
        <v>39</v>
      </c>
      <c r="L1163">
        <v>8</v>
      </c>
      <c r="M1163">
        <v>1</v>
      </c>
      <c r="N1163" t="s">
        <v>64</v>
      </c>
      <c r="O1163">
        <v>0</v>
      </c>
      <c r="P1163">
        <v>293.25</v>
      </c>
      <c r="Q1163">
        <v>31.3</v>
      </c>
      <c r="R1163">
        <v>1.97</v>
      </c>
      <c r="S1163">
        <v>326.52</v>
      </c>
      <c r="T1163" t="s">
        <v>41</v>
      </c>
      <c r="U1163" t="s">
        <v>41</v>
      </c>
      <c r="V1163" t="s">
        <v>38</v>
      </c>
      <c r="W1163" t="s">
        <v>1055</v>
      </c>
      <c r="X1163">
        <v>293.25</v>
      </c>
      <c r="Y1163" s="9">
        <f t="shared" si="92"/>
        <v>293.25</v>
      </c>
      <c r="Z1163" s="9">
        <f t="shared" si="93"/>
        <v>549.84375</v>
      </c>
      <c r="AA1163" s="5">
        <f t="shared" si="94"/>
        <v>610.87640624999995</v>
      </c>
      <c r="AB1163" s="6">
        <f t="shared" si="95"/>
        <v>890.69189062499993</v>
      </c>
      <c r="AD1163" s="10">
        <f t="shared" si="91"/>
        <v>1115.2095890625001</v>
      </c>
    </row>
    <row r="1164" spans="1:30" x14ac:dyDescent="0.3">
      <c r="A1164" t="s">
        <v>168</v>
      </c>
      <c r="B1164" s="8" t="s">
        <v>32</v>
      </c>
      <c r="C1164" s="8" t="s">
        <v>32</v>
      </c>
      <c r="E1164" s="8" t="s">
        <v>70</v>
      </c>
      <c r="F1164" s="8" t="s">
        <v>71</v>
      </c>
      <c r="G1164">
        <v>8421999000</v>
      </c>
      <c r="H1164" t="s">
        <v>36</v>
      </c>
      <c r="I1164" t="s">
        <v>1056</v>
      </c>
      <c r="J1164" t="s">
        <v>38</v>
      </c>
      <c r="K1164" t="s">
        <v>39</v>
      </c>
      <c r="L1164">
        <v>0</v>
      </c>
      <c r="M1164">
        <v>1</v>
      </c>
      <c r="N1164" t="s">
        <v>64</v>
      </c>
      <c r="O1164">
        <v>0</v>
      </c>
      <c r="P1164">
        <v>248.33</v>
      </c>
      <c r="Q1164">
        <v>19.059999999999999</v>
      </c>
      <c r="R1164">
        <v>1.79</v>
      </c>
      <c r="S1164">
        <v>269.18</v>
      </c>
      <c r="T1164" t="s">
        <v>41</v>
      </c>
      <c r="U1164" t="s">
        <v>41</v>
      </c>
      <c r="V1164" t="s">
        <v>38</v>
      </c>
      <c r="W1164" t="s">
        <v>1055</v>
      </c>
      <c r="X1164">
        <v>248.33</v>
      </c>
      <c r="Y1164" s="9">
        <f t="shared" si="92"/>
        <v>248.33</v>
      </c>
      <c r="Z1164" s="9">
        <f t="shared" si="93"/>
        <v>465.61875000000003</v>
      </c>
      <c r="AA1164" s="5">
        <f t="shared" si="94"/>
        <v>517.30243125000004</v>
      </c>
      <c r="AB1164" s="6">
        <f t="shared" si="95"/>
        <v>754.25581312500003</v>
      </c>
      <c r="AD1164" s="10">
        <f t="shared" si="91"/>
        <v>944.38191731250015</v>
      </c>
    </row>
    <row r="1165" spans="1:30" x14ac:dyDescent="0.3">
      <c r="A1165" t="s">
        <v>168</v>
      </c>
      <c r="B1165" s="8" t="s">
        <v>32</v>
      </c>
      <c r="C1165" s="8" t="s">
        <v>32</v>
      </c>
      <c r="D1165" s="8" t="s">
        <v>33</v>
      </c>
      <c r="E1165" s="8" t="s">
        <v>34</v>
      </c>
      <c r="F1165" s="8" t="s">
        <v>35</v>
      </c>
      <c r="G1165">
        <v>8421999000</v>
      </c>
      <c r="H1165" t="s">
        <v>36</v>
      </c>
      <c r="I1165" t="s">
        <v>1057</v>
      </c>
      <c r="J1165" t="s">
        <v>38</v>
      </c>
      <c r="K1165" t="s">
        <v>39</v>
      </c>
      <c r="L1165">
        <v>11</v>
      </c>
      <c r="M1165">
        <v>3</v>
      </c>
      <c r="N1165" t="s">
        <v>64</v>
      </c>
      <c r="O1165">
        <v>0</v>
      </c>
      <c r="P1165">
        <v>1029.06</v>
      </c>
      <c r="Q1165">
        <v>98.56</v>
      </c>
      <c r="R1165">
        <v>6.94</v>
      </c>
      <c r="S1165">
        <v>1134.56</v>
      </c>
      <c r="T1165" t="s">
        <v>41</v>
      </c>
      <c r="U1165" t="s">
        <v>43</v>
      </c>
      <c r="V1165" t="s">
        <v>38</v>
      </c>
      <c r="W1165" t="s">
        <v>1058</v>
      </c>
      <c r="X1165">
        <v>343.02</v>
      </c>
      <c r="Y1165" s="9">
        <f t="shared" si="92"/>
        <v>343.02</v>
      </c>
      <c r="Z1165" s="9">
        <f t="shared" si="93"/>
        <v>643.16249999999991</v>
      </c>
      <c r="AA1165" s="5">
        <f t="shared" si="94"/>
        <v>714.55353749999995</v>
      </c>
      <c r="AB1165" s="6">
        <f t="shared" si="95"/>
        <v>1041.8589337499998</v>
      </c>
      <c r="AD1165" s="10">
        <f t="shared" si="91"/>
        <v>1304.4814773749999</v>
      </c>
    </row>
    <row r="1166" spans="1:30" x14ac:dyDescent="0.3">
      <c r="A1166" t="s">
        <v>30</v>
      </c>
      <c r="B1166" s="8" t="s">
        <v>32</v>
      </c>
      <c r="C1166" s="8" t="s">
        <v>32</v>
      </c>
      <c r="D1166" s="8" t="s">
        <v>69</v>
      </c>
      <c r="E1166" s="8" t="s">
        <v>70</v>
      </c>
      <c r="F1166" s="8" t="s">
        <v>71</v>
      </c>
      <c r="G1166">
        <v>8421999000</v>
      </c>
      <c r="H1166" t="s">
        <v>36</v>
      </c>
      <c r="I1166" t="s">
        <v>746</v>
      </c>
      <c r="J1166" t="s">
        <v>38</v>
      </c>
      <c r="K1166" t="s">
        <v>39</v>
      </c>
      <c r="L1166">
        <v>13</v>
      </c>
      <c r="M1166">
        <v>2</v>
      </c>
      <c r="N1166" t="s">
        <v>64</v>
      </c>
      <c r="O1166">
        <v>0</v>
      </c>
      <c r="P1166">
        <v>666.78</v>
      </c>
      <c r="Q1166">
        <v>35.6</v>
      </c>
      <c r="R1166">
        <v>4.28</v>
      </c>
      <c r="S1166">
        <v>706.66</v>
      </c>
      <c r="T1166" t="s">
        <v>72</v>
      </c>
      <c r="U1166" t="s">
        <v>72</v>
      </c>
      <c r="V1166" t="s">
        <v>38</v>
      </c>
      <c r="W1166" t="s">
        <v>1058</v>
      </c>
      <c r="X1166">
        <v>333.39</v>
      </c>
      <c r="Y1166" s="9">
        <f t="shared" si="92"/>
        <v>333.39</v>
      </c>
      <c r="Z1166" s="9">
        <f t="shared" si="93"/>
        <v>625.10624999999993</v>
      </c>
      <c r="AA1166" s="5">
        <f t="shared" si="94"/>
        <v>694.49304374999997</v>
      </c>
      <c r="AB1166" s="6">
        <f t="shared" si="95"/>
        <v>1012.6096143749999</v>
      </c>
      <c r="AD1166" s="10">
        <f t="shared" si="91"/>
        <v>1267.8592494375</v>
      </c>
    </row>
    <row r="1167" spans="1:30" x14ac:dyDescent="0.3">
      <c r="A1167" t="s">
        <v>168</v>
      </c>
      <c r="B1167" s="8" t="s">
        <v>32</v>
      </c>
      <c r="C1167" s="8" t="s">
        <v>32</v>
      </c>
      <c r="E1167" s="8" t="s">
        <v>70</v>
      </c>
      <c r="F1167" s="8" t="s">
        <v>71</v>
      </c>
      <c r="G1167">
        <v>8421999000</v>
      </c>
      <c r="H1167" t="s">
        <v>36</v>
      </c>
      <c r="I1167" t="s">
        <v>215</v>
      </c>
      <c r="J1167" t="s">
        <v>38</v>
      </c>
      <c r="K1167" t="s">
        <v>39</v>
      </c>
      <c r="L1167">
        <v>0</v>
      </c>
      <c r="M1167">
        <v>1</v>
      </c>
      <c r="N1167" t="s">
        <v>64</v>
      </c>
      <c r="O1167">
        <v>0</v>
      </c>
      <c r="P1167">
        <v>288.73</v>
      </c>
      <c r="Q1167">
        <v>22.16</v>
      </c>
      <c r="R1167">
        <v>2.08</v>
      </c>
      <c r="S1167">
        <v>312.97000000000003</v>
      </c>
      <c r="T1167" t="s">
        <v>41</v>
      </c>
      <c r="U1167" t="s">
        <v>41</v>
      </c>
      <c r="V1167" t="s">
        <v>38</v>
      </c>
      <c r="W1167" t="s">
        <v>1058</v>
      </c>
      <c r="X1167">
        <v>288.73</v>
      </c>
      <c r="Y1167" s="9">
        <f t="shared" si="92"/>
        <v>288.73</v>
      </c>
      <c r="Z1167" s="9">
        <f t="shared" si="93"/>
        <v>541.36875000000009</v>
      </c>
      <c r="AA1167" s="5">
        <f t="shared" si="94"/>
        <v>601.46068125000011</v>
      </c>
      <c r="AB1167" s="6">
        <f t="shared" si="95"/>
        <v>876.96323812500009</v>
      </c>
      <c r="AD1167" s="10">
        <f t="shared" si="91"/>
        <v>1098.0203398125002</v>
      </c>
    </row>
    <row r="1168" spans="1:30" x14ac:dyDescent="0.3">
      <c r="A1168" t="s">
        <v>30</v>
      </c>
      <c r="B1168" s="8" t="s">
        <v>32</v>
      </c>
      <c r="C1168" s="8" t="s">
        <v>32</v>
      </c>
      <c r="D1168" s="8" t="s">
        <v>33</v>
      </c>
      <c r="E1168" s="8" t="s">
        <v>34</v>
      </c>
      <c r="F1168" s="8" t="s">
        <v>35</v>
      </c>
      <c r="G1168">
        <v>8484900000</v>
      </c>
      <c r="H1168" t="s">
        <v>36</v>
      </c>
      <c r="I1168" t="s">
        <v>1059</v>
      </c>
      <c r="J1168" t="s">
        <v>38</v>
      </c>
      <c r="K1168" t="s">
        <v>39</v>
      </c>
      <c r="L1168">
        <v>8</v>
      </c>
      <c r="M1168">
        <v>2</v>
      </c>
      <c r="N1168" t="s">
        <v>64</v>
      </c>
      <c r="O1168">
        <v>0</v>
      </c>
      <c r="P1168">
        <v>136.87</v>
      </c>
      <c r="Q1168">
        <v>7.75</v>
      </c>
      <c r="R1168">
        <v>0.87</v>
      </c>
      <c r="S1168">
        <v>145.49</v>
      </c>
      <c r="T1168" t="s">
        <v>41</v>
      </c>
      <c r="U1168" t="s">
        <v>41</v>
      </c>
      <c r="V1168" t="s">
        <v>38</v>
      </c>
      <c r="W1168" t="s">
        <v>1060</v>
      </c>
      <c r="X1168">
        <v>68.44</v>
      </c>
      <c r="Y1168" s="9">
        <f t="shared" si="92"/>
        <v>68.435000000000002</v>
      </c>
      <c r="Z1168" s="9">
        <f t="shared" si="93"/>
        <v>128.31562500000001</v>
      </c>
      <c r="AA1168" s="5">
        <f t="shared" si="94"/>
        <v>142.55865937500002</v>
      </c>
      <c r="AB1168" s="6">
        <f t="shared" si="95"/>
        <v>207.85848093750002</v>
      </c>
      <c r="AD1168" s="10">
        <f t="shared" si="91"/>
        <v>260.25360009375004</v>
      </c>
    </row>
    <row r="1169" spans="1:30" x14ac:dyDescent="0.3">
      <c r="A1169" t="s">
        <v>30</v>
      </c>
      <c r="B1169" s="8" t="s">
        <v>32</v>
      </c>
      <c r="C1169" s="8" t="s">
        <v>32</v>
      </c>
      <c r="D1169" s="8" t="s">
        <v>33</v>
      </c>
      <c r="E1169" s="8" t="s">
        <v>34</v>
      </c>
      <c r="F1169" s="8" t="s">
        <v>35</v>
      </c>
      <c r="G1169">
        <v>8484900000</v>
      </c>
      <c r="H1169" t="s">
        <v>36</v>
      </c>
      <c r="I1169" t="s">
        <v>1061</v>
      </c>
      <c r="J1169" t="s">
        <v>38</v>
      </c>
      <c r="K1169" t="s">
        <v>39</v>
      </c>
      <c r="L1169">
        <v>8</v>
      </c>
      <c r="M1169">
        <v>2</v>
      </c>
      <c r="N1169" t="s">
        <v>64</v>
      </c>
      <c r="O1169">
        <v>0</v>
      </c>
      <c r="P1169">
        <v>288.70999999999998</v>
      </c>
      <c r="Q1169">
        <v>16.34</v>
      </c>
      <c r="R1169">
        <v>1.84</v>
      </c>
      <c r="S1169">
        <v>306.89999999999998</v>
      </c>
      <c r="T1169" t="s">
        <v>41</v>
      </c>
      <c r="U1169" t="s">
        <v>41</v>
      </c>
      <c r="V1169" t="s">
        <v>38</v>
      </c>
      <c r="W1169" t="s">
        <v>1062</v>
      </c>
      <c r="X1169">
        <v>144.35</v>
      </c>
      <c r="Y1169" s="9">
        <f t="shared" si="92"/>
        <v>144.35499999999999</v>
      </c>
      <c r="Z1169" s="9">
        <f t="shared" si="93"/>
        <v>270.66562499999998</v>
      </c>
      <c r="AA1169" s="5">
        <f t="shared" si="94"/>
        <v>300.70950937499998</v>
      </c>
      <c r="AB1169" s="6">
        <f t="shared" si="95"/>
        <v>438.45124593749995</v>
      </c>
      <c r="AD1169" s="10">
        <f t="shared" si="91"/>
        <v>548.97214059375005</v>
      </c>
    </row>
    <row r="1170" spans="1:30" x14ac:dyDescent="0.3">
      <c r="A1170" t="s">
        <v>30</v>
      </c>
      <c r="B1170" s="8" t="s">
        <v>32</v>
      </c>
      <c r="C1170" s="8" t="s">
        <v>32</v>
      </c>
      <c r="D1170" s="8" t="s">
        <v>33</v>
      </c>
      <c r="E1170" s="8" t="s">
        <v>34</v>
      </c>
      <c r="F1170" s="8" t="s">
        <v>35</v>
      </c>
      <c r="G1170">
        <v>8421999000</v>
      </c>
      <c r="H1170" t="s">
        <v>36</v>
      </c>
      <c r="I1170" t="s">
        <v>1063</v>
      </c>
      <c r="J1170" t="s">
        <v>38</v>
      </c>
      <c r="K1170" t="s">
        <v>39</v>
      </c>
      <c r="L1170">
        <v>8</v>
      </c>
      <c r="M1170">
        <v>1</v>
      </c>
      <c r="N1170" t="s">
        <v>64</v>
      </c>
      <c r="O1170">
        <v>0</v>
      </c>
      <c r="P1170">
        <v>389.31</v>
      </c>
      <c r="Q1170">
        <v>56.03</v>
      </c>
      <c r="R1170">
        <v>2.74</v>
      </c>
      <c r="S1170">
        <v>448.08</v>
      </c>
      <c r="T1170" t="s">
        <v>41</v>
      </c>
      <c r="U1170" t="s">
        <v>41</v>
      </c>
      <c r="V1170" t="s">
        <v>38</v>
      </c>
      <c r="W1170" t="s">
        <v>1064</v>
      </c>
      <c r="X1170">
        <v>389.31</v>
      </c>
      <c r="Y1170" s="9">
        <f t="shared" si="92"/>
        <v>389.31</v>
      </c>
      <c r="Z1170" s="9">
        <f t="shared" si="93"/>
        <v>729.95624999999995</v>
      </c>
      <c r="AA1170" s="5">
        <f t="shared" si="94"/>
        <v>810.98139374999994</v>
      </c>
      <c r="AB1170" s="6">
        <f t="shared" si="95"/>
        <v>1182.4561293749998</v>
      </c>
      <c r="AD1170" s="10">
        <f t="shared" si="91"/>
        <v>1480.5191649375001</v>
      </c>
    </row>
    <row r="1171" spans="1:30" x14ac:dyDescent="0.3">
      <c r="A1171" t="s">
        <v>30</v>
      </c>
      <c r="B1171" s="8" t="s">
        <v>32</v>
      </c>
      <c r="C1171" s="8" t="s">
        <v>32</v>
      </c>
      <c r="D1171" s="8" t="s">
        <v>33</v>
      </c>
      <c r="E1171" s="8" t="s">
        <v>34</v>
      </c>
      <c r="F1171" s="8" t="s">
        <v>35</v>
      </c>
      <c r="G1171">
        <v>4016930000</v>
      </c>
      <c r="H1171" t="s">
        <v>141</v>
      </c>
      <c r="I1171" t="s">
        <v>1053</v>
      </c>
      <c r="J1171" t="s">
        <v>38</v>
      </c>
      <c r="K1171" t="s">
        <v>39</v>
      </c>
      <c r="L1171">
        <v>3</v>
      </c>
      <c r="M1171">
        <v>1</v>
      </c>
      <c r="N1171" t="s">
        <v>64</v>
      </c>
      <c r="O1171">
        <v>0</v>
      </c>
      <c r="P1171">
        <v>402.56</v>
      </c>
      <c r="Q1171">
        <v>17.23</v>
      </c>
      <c r="R1171">
        <v>2.6</v>
      </c>
      <c r="S1171">
        <v>422.38</v>
      </c>
      <c r="T1171" t="s">
        <v>41</v>
      </c>
      <c r="U1171" t="s">
        <v>43</v>
      </c>
      <c r="V1171" t="s">
        <v>38</v>
      </c>
      <c r="W1171" t="s">
        <v>1065</v>
      </c>
      <c r="X1171">
        <v>402.56</v>
      </c>
      <c r="Y1171" s="9">
        <f t="shared" si="92"/>
        <v>402.56</v>
      </c>
      <c r="Z1171" s="9">
        <f t="shared" si="93"/>
        <v>754.8</v>
      </c>
      <c r="AA1171" s="5">
        <f t="shared" si="94"/>
        <v>838.58279999999991</v>
      </c>
      <c r="AB1171" s="6">
        <f t="shared" si="95"/>
        <v>1222.7005199999999</v>
      </c>
      <c r="AD1171" s="10">
        <f t="shared" si="91"/>
        <v>1530.9080040000001</v>
      </c>
    </row>
    <row r="1172" spans="1:30" x14ac:dyDescent="0.3">
      <c r="A1172" t="s">
        <v>30</v>
      </c>
      <c r="B1172" s="8" t="s">
        <v>32</v>
      </c>
      <c r="C1172" s="8" t="s">
        <v>32</v>
      </c>
      <c r="D1172" s="8" t="s">
        <v>33</v>
      </c>
      <c r="E1172" s="8" t="s">
        <v>34</v>
      </c>
      <c r="F1172" s="8" t="s">
        <v>35</v>
      </c>
      <c r="G1172">
        <v>4016930000</v>
      </c>
      <c r="H1172" t="s">
        <v>141</v>
      </c>
      <c r="I1172" t="s">
        <v>1053</v>
      </c>
      <c r="J1172" t="s">
        <v>38</v>
      </c>
      <c r="K1172" t="s">
        <v>39</v>
      </c>
      <c r="L1172">
        <v>8</v>
      </c>
      <c r="M1172">
        <v>1</v>
      </c>
      <c r="N1172" t="s">
        <v>64</v>
      </c>
      <c r="O1172">
        <v>0</v>
      </c>
      <c r="P1172">
        <v>401.5</v>
      </c>
      <c r="Q1172">
        <v>22.73</v>
      </c>
      <c r="R1172">
        <v>2.56</v>
      </c>
      <c r="S1172">
        <v>426.8</v>
      </c>
      <c r="T1172" t="s">
        <v>41</v>
      </c>
      <c r="U1172" t="s">
        <v>41</v>
      </c>
      <c r="V1172" t="s">
        <v>38</v>
      </c>
      <c r="W1172" t="s">
        <v>1065</v>
      </c>
      <c r="X1172">
        <v>401.5</v>
      </c>
      <c r="Y1172" s="9">
        <f t="shared" si="92"/>
        <v>401.5</v>
      </c>
      <c r="Z1172" s="9">
        <f t="shared" si="93"/>
        <v>752.8125</v>
      </c>
      <c r="AA1172" s="5">
        <f t="shared" si="94"/>
        <v>836.37468749999994</v>
      </c>
      <c r="AB1172" s="6">
        <f t="shared" si="95"/>
        <v>1219.4809687499999</v>
      </c>
      <c r="AD1172" s="10">
        <f t="shared" si="91"/>
        <v>1526.8768968750001</v>
      </c>
    </row>
    <row r="1173" spans="1:30" x14ac:dyDescent="0.3">
      <c r="A1173" t="s">
        <v>30</v>
      </c>
      <c r="B1173" s="8" t="s">
        <v>31</v>
      </c>
      <c r="C1173" s="8" t="s">
        <v>32</v>
      </c>
      <c r="D1173" s="8" t="s">
        <v>33</v>
      </c>
      <c r="E1173" s="8" t="s">
        <v>34</v>
      </c>
      <c r="F1173" s="8" t="s">
        <v>35</v>
      </c>
      <c r="G1173">
        <v>8421999000</v>
      </c>
      <c r="H1173" t="s">
        <v>36</v>
      </c>
      <c r="I1173" t="s">
        <v>430</v>
      </c>
      <c r="J1173" t="s">
        <v>38</v>
      </c>
      <c r="K1173" t="s">
        <v>39</v>
      </c>
      <c r="L1173">
        <v>8</v>
      </c>
      <c r="M1173">
        <v>1</v>
      </c>
      <c r="N1173" t="s">
        <v>64</v>
      </c>
      <c r="O1173">
        <v>0</v>
      </c>
      <c r="P1173">
        <v>886.87</v>
      </c>
      <c r="Q1173">
        <v>111.1</v>
      </c>
      <c r="R1173">
        <v>6.06</v>
      </c>
      <c r="S1173">
        <v>1004.03</v>
      </c>
      <c r="T1173" t="s">
        <v>41</v>
      </c>
      <c r="U1173" t="s">
        <v>41</v>
      </c>
      <c r="V1173" t="s">
        <v>38</v>
      </c>
      <c r="W1173" t="s">
        <v>1066</v>
      </c>
      <c r="X1173">
        <v>886.87</v>
      </c>
      <c r="Y1173" s="9">
        <f t="shared" si="92"/>
        <v>886.87</v>
      </c>
      <c r="Z1173" s="9">
        <f t="shared" si="93"/>
        <v>1662.8812499999999</v>
      </c>
      <c r="AA1173" s="5">
        <f t="shared" si="94"/>
        <v>1847.4610687499999</v>
      </c>
      <c r="AB1173" s="6">
        <f t="shared" si="95"/>
        <v>2693.7013368749995</v>
      </c>
      <c r="AD1173" s="10">
        <f t="shared" si="91"/>
        <v>3372.7056376875003</v>
      </c>
    </row>
    <row r="1174" spans="1:30" x14ac:dyDescent="0.3">
      <c r="A1174" t="s">
        <v>30</v>
      </c>
      <c r="B1174" s="8" t="s">
        <v>31</v>
      </c>
      <c r="C1174" s="8" t="s">
        <v>32</v>
      </c>
      <c r="D1174" s="8" t="s">
        <v>33</v>
      </c>
      <c r="E1174" s="8" t="s">
        <v>34</v>
      </c>
      <c r="F1174" s="8" t="s">
        <v>35</v>
      </c>
      <c r="G1174">
        <v>8421999000</v>
      </c>
      <c r="H1174" t="s">
        <v>36</v>
      </c>
      <c r="I1174" t="s">
        <v>430</v>
      </c>
      <c r="J1174" t="s">
        <v>38</v>
      </c>
      <c r="K1174" t="s">
        <v>39</v>
      </c>
      <c r="L1174">
        <v>4</v>
      </c>
      <c r="M1174">
        <v>1</v>
      </c>
      <c r="N1174" t="s">
        <v>64</v>
      </c>
      <c r="O1174">
        <v>0</v>
      </c>
      <c r="P1174">
        <v>1194.0899999999999</v>
      </c>
      <c r="Q1174">
        <v>62.52</v>
      </c>
      <c r="R1174">
        <v>7.78</v>
      </c>
      <c r="S1174">
        <v>1264.4000000000001</v>
      </c>
      <c r="T1174" t="s">
        <v>41</v>
      </c>
      <c r="U1174" t="s">
        <v>41</v>
      </c>
      <c r="V1174" t="s">
        <v>38</v>
      </c>
      <c r="W1174" t="s">
        <v>1067</v>
      </c>
      <c r="X1174">
        <v>1194.0899999999999</v>
      </c>
      <c r="Y1174" s="9">
        <f t="shared" si="92"/>
        <v>1194.0899999999999</v>
      </c>
      <c r="Z1174" s="9">
        <f t="shared" si="93"/>
        <v>2238.9187499999998</v>
      </c>
      <c r="AA1174" s="5">
        <f t="shared" si="94"/>
        <v>2487.4387312499998</v>
      </c>
      <c r="AB1174" s="6">
        <f t="shared" si="95"/>
        <v>3626.8244831249995</v>
      </c>
      <c r="AD1174" s="10">
        <f t="shared" si="91"/>
        <v>4541.0421763125005</v>
      </c>
    </row>
    <row r="1175" spans="1:30" x14ac:dyDescent="0.3">
      <c r="A1175" t="s">
        <v>168</v>
      </c>
      <c r="B1175" s="8" t="s">
        <v>32</v>
      </c>
      <c r="C1175" s="8" t="s">
        <v>32</v>
      </c>
      <c r="E1175" s="8" t="s">
        <v>70</v>
      </c>
      <c r="F1175" s="8" t="s">
        <v>71</v>
      </c>
      <c r="G1175">
        <v>8421999000</v>
      </c>
      <c r="H1175" t="s">
        <v>36</v>
      </c>
      <c r="I1175" t="s">
        <v>215</v>
      </c>
      <c r="J1175" t="s">
        <v>38</v>
      </c>
      <c r="K1175" t="s">
        <v>39</v>
      </c>
      <c r="L1175">
        <v>0</v>
      </c>
      <c r="M1175">
        <v>1</v>
      </c>
      <c r="N1175" t="s">
        <v>64</v>
      </c>
      <c r="O1175">
        <v>0</v>
      </c>
      <c r="P1175">
        <v>1485.39</v>
      </c>
      <c r="Q1175">
        <v>114.03</v>
      </c>
      <c r="R1175">
        <v>10.7</v>
      </c>
      <c r="S1175">
        <v>1610.11</v>
      </c>
      <c r="T1175" t="s">
        <v>41</v>
      </c>
      <c r="U1175" t="s">
        <v>41</v>
      </c>
      <c r="V1175" t="s">
        <v>38</v>
      </c>
      <c r="W1175" t="s">
        <v>1068</v>
      </c>
      <c r="X1175">
        <v>1485.39</v>
      </c>
      <c r="Y1175" s="9">
        <f t="shared" si="92"/>
        <v>1485.39</v>
      </c>
      <c r="Z1175" s="9">
        <f t="shared" si="93"/>
        <v>2785.1062500000003</v>
      </c>
      <c r="AA1175" s="5">
        <f t="shared" si="94"/>
        <v>3094.2530437500004</v>
      </c>
      <c r="AB1175" s="6">
        <f t="shared" si="95"/>
        <v>4511.5936143750005</v>
      </c>
      <c r="AD1175" s="10">
        <f t="shared" si="91"/>
        <v>5648.8360494375011</v>
      </c>
    </row>
    <row r="1176" spans="1:30" x14ac:dyDescent="0.3">
      <c r="A1176" t="s">
        <v>30</v>
      </c>
      <c r="B1176" s="8" t="s">
        <v>32</v>
      </c>
      <c r="C1176" s="8" t="s">
        <v>32</v>
      </c>
      <c r="D1176" s="8" t="s">
        <v>69</v>
      </c>
      <c r="E1176" s="8" t="s">
        <v>70</v>
      </c>
      <c r="F1176" s="8" t="s">
        <v>71</v>
      </c>
      <c r="G1176">
        <v>8421299090</v>
      </c>
      <c r="H1176" t="s">
        <v>243</v>
      </c>
      <c r="I1176" t="s">
        <v>241</v>
      </c>
      <c r="J1176" t="s">
        <v>38</v>
      </c>
      <c r="K1176" t="s">
        <v>39</v>
      </c>
      <c r="L1176">
        <v>13</v>
      </c>
      <c r="M1176">
        <v>3</v>
      </c>
      <c r="N1176" t="s">
        <v>64</v>
      </c>
      <c r="O1176">
        <v>0</v>
      </c>
      <c r="P1176">
        <v>878.25</v>
      </c>
      <c r="Q1176">
        <v>46.89</v>
      </c>
      <c r="R1176">
        <v>5.64</v>
      </c>
      <c r="S1176">
        <v>930.78</v>
      </c>
      <c r="T1176" t="s">
        <v>72</v>
      </c>
      <c r="U1176" t="s">
        <v>72</v>
      </c>
      <c r="V1176" t="s">
        <v>38</v>
      </c>
      <c r="W1176" t="s">
        <v>1069</v>
      </c>
      <c r="X1176">
        <v>292.75</v>
      </c>
      <c r="Y1176" s="9">
        <f t="shared" si="92"/>
        <v>292.75</v>
      </c>
      <c r="Z1176" s="9">
        <f t="shared" si="93"/>
        <v>548.90625</v>
      </c>
      <c r="AA1176" s="5">
        <f t="shared" si="94"/>
        <v>609.83484375</v>
      </c>
      <c r="AB1176" s="6">
        <f t="shared" si="95"/>
        <v>889.17323437499999</v>
      </c>
      <c r="AD1176" s="10">
        <f t="shared" si="91"/>
        <v>1113.3081234375002</v>
      </c>
    </row>
    <row r="1177" spans="1:30" x14ac:dyDescent="0.3">
      <c r="A1177" t="s">
        <v>30</v>
      </c>
      <c r="B1177" s="8" t="s">
        <v>32</v>
      </c>
      <c r="C1177" s="8" t="s">
        <v>32</v>
      </c>
      <c r="D1177" s="8" t="s">
        <v>33</v>
      </c>
      <c r="E1177" s="8" t="s">
        <v>34</v>
      </c>
      <c r="F1177" s="8" t="s">
        <v>35</v>
      </c>
      <c r="G1177">
        <v>8421299090</v>
      </c>
      <c r="H1177" t="s">
        <v>243</v>
      </c>
      <c r="I1177" t="s">
        <v>215</v>
      </c>
      <c r="J1177" t="s">
        <v>38</v>
      </c>
      <c r="K1177" t="s">
        <v>39</v>
      </c>
      <c r="L1177">
        <v>8</v>
      </c>
      <c r="M1177">
        <v>2</v>
      </c>
      <c r="N1177" t="s">
        <v>64</v>
      </c>
      <c r="O1177">
        <v>0</v>
      </c>
      <c r="P1177">
        <v>598.79</v>
      </c>
      <c r="Q1177">
        <v>63.92</v>
      </c>
      <c r="R1177">
        <v>4.01</v>
      </c>
      <c r="S1177">
        <v>666.72</v>
      </c>
      <c r="T1177" t="s">
        <v>41</v>
      </c>
      <c r="U1177" t="s">
        <v>41</v>
      </c>
      <c r="V1177" t="s">
        <v>38</v>
      </c>
      <c r="W1177" t="s">
        <v>1069</v>
      </c>
      <c r="X1177">
        <v>299.39999999999998</v>
      </c>
      <c r="Y1177" s="9">
        <f t="shared" si="92"/>
        <v>299.39499999999998</v>
      </c>
      <c r="Z1177" s="9">
        <f t="shared" si="93"/>
        <v>561.36562499999991</v>
      </c>
      <c r="AA1177" s="5">
        <f t="shared" si="94"/>
        <v>623.67720937499985</v>
      </c>
      <c r="AB1177" s="6">
        <f t="shared" si="95"/>
        <v>909.35617593749976</v>
      </c>
      <c r="AD1177" s="10">
        <f t="shared" si="91"/>
        <v>1138.5786015937499</v>
      </c>
    </row>
    <row r="1178" spans="1:30" x14ac:dyDescent="0.3">
      <c r="A1178" t="s">
        <v>168</v>
      </c>
      <c r="B1178" s="8" t="s">
        <v>32</v>
      </c>
      <c r="C1178" s="8" t="s">
        <v>32</v>
      </c>
      <c r="E1178" s="8" t="s">
        <v>70</v>
      </c>
      <c r="F1178" s="8" t="s">
        <v>71</v>
      </c>
      <c r="G1178">
        <v>8421299090</v>
      </c>
      <c r="H1178" t="s">
        <v>243</v>
      </c>
      <c r="I1178" t="s">
        <v>241</v>
      </c>
      <c r="J1178" t="s">
        <v>38</v>
      </c>
      <c r="K1178" t="s">
        <v>39</v>
      </c>
      <c r="L1178">
        <v>0</v>
      </c>
      <c r="M1178">
        <v>4</v>
      </c>
      <c r="N1178" t="s">
        <v>64</v>
      </c>
      <c r="O1178">
        <v>0</v>
      </c>
      <c r="P1178">
        <v>1090.46</v>
      </c>
      <c r="Q1178">
        <v>83.71</v>
      </c>
      <c r="R1178">
        <v>7.85</v>
      </c>
      <c r="S1178">
        <v>1182.03</v>
      </c>
      <c r="T1178" t="s">
        <v>41</v>
      </c>
      <c r="U1178" t="s">
        <v>41</v>
      </c>
      <c r="V1178" t="s">
        <v>38</v>
      </c>
      <c r="W1178" t="s">
        <v>1069</v>
      </c>
      <c r="X1178">
        <v>272.62</v>
      </c>
      <c r="Y1178" s="9">
        <f t="shared" si="92"/>
        <v>272.61500000000001</v>
      </c>
      <c r="Z1178" s="9">
        <f t="shared" si="93"/>
        <v>511.15312500000005</v>
      </c>
      <c r="AA1178" s="5">
        <f t="shared" si="94"/>
        <v>567.89112187500007</v>
      </c>
      <c r="AB1178" s="6">
        <f t="shared" si="95"/>
        <v>828.01694718750002</v>
      </c>
      <c r="AD1178" s="10">
        <f t="shared" si="91"/>
        <v>1036.7361027187501</v>
      </c>
    </row>
    <row r="1179" spans="1:30" x14ac:dyDescent="0.3">
      <c r="A1179" t="s">
        <v>30</v>
      </c>
      <c r="B1179" s="8" t="s">
        <v>32</v>
      </c>
      <c r="C1179" s="8" t="s">
        <v>32</v>
      </c>
      <c r="D1179" s="8" t="s">
        <v>33</v>
      </c>
      <c r="E1179" s="8" t="s">
        <v>34</v>
      </c>
      <c r="F1179" s="8" t="s">
        <v>35</v>
      </c>
      <c r="G1179">
        <v>8421999000</v>
      </c>
      <c r="H1179" t="s">
        <v>36</v>
      </c>
      <c r="I1179" t="s">
        <v>560</v>
      </c>
      <c r="J1179" t="s">
        <v>38</v>
      </c>
      <c r="K1179" t="s">
        <v>39</v>
      </c>
      <c r="L1179">
        <v>7</v>
      </c>
      <c r="M1179">
        <v>1</v>
      </c>
      <c r="N1179" t="s">
        <v>64</v>
      </c>
      <c r="O1179">
        <v>0</v>
      </c>
      <c r="P1179">
        <v>945.25</v>
      </c>
      <c r="Q1179">
        <v>149.34</v>
      </c>
      <c r="R1179">
        <v>5.83</v>
      </c>
      <c r="S1179">
        <v>1100.4100000000001</v>
      </c>
      <c r="T1179" t="s">
        <v>41</v>
      </c>
      <c r="U1179" t="s">
        <v>41</v>
      </c>
      <c r="V1179" t="s">
        <v>38</v>
      </c>
      <c r="W1179" t="s">
        <v>1070</v>
      </c>
      <c r="X1179">
        <v>945.25</v>
      </c>
      <c r="Y1179" s="9">
        <f t="shared" si="92"/>
        <v>945.25</v>
      </c>
      <c r="Z1179" s="9">
        <f t="shared" si="93"/>
        <v>1772.34375</v>
      </c>
      <c r="AA1179" s="5">
        <f t="shared" si="94"/>
        <v>1969.0739062499999</v>
      </c>
      <c r="AB1179" s="6">
        <f t="shared" si="95"/>
        <v>2871.0196406249997</v>
      </c>
      <c r="AD1179" s="10">
        <f t="shared" si="91"/>
        <v>3594.7207640625002</v>
      </c>
    </row>
    <row r="1180" spans="1:30" x14ac:dyDescent="0.3">
      <c r="A1180" t="s">
        <v>30</v>
      </c>
      <c r="B1180" s="8" t="s">
        <v>32</v>
      </c>
      <c r="C1180" s="8" t="s">
        <v>32</v>
      </c>
      <c r="D1180" s="8" t="s">
        <v>69</v>
      </c>
      <c r="E1180" s="8" t="s">
        <v>70</v>
      </c>
      <c r="F1180" s="8" t="s">
        <v>71</v>
      </c>
      <c r="G1180">
        <v>8421999000</v>
      </c>
      <c r="H1180" t="s">
        <v>36</v>
      </c>
      <c r="I1180" t="s">
        <v>678</v>
      </c>
      <c r="J1180" t="s">
        <v>38</v>
      </c>
      <c r="K1180" t="s">
        <v>39</v>
      </c>
      <c r="L1180">
        <v>13</v>
      </c>
      <c r="M1180">
        <v>2</v>
      </c>
      <c r="N1180" t="s">
        <v>64</v>
      </c>
      <c r="O1180">
        <v>0</v>
      </c>
      <c r="P1180">
        <v>1793.74</v>
      </c>
      <c r="Q1180">
        <v>127.36</v>
      </c>
      <c r="R1180">
        <v>11.73</v>
      </c>
      <c r="S1180">
        <v>1932.82</v>
      </c>
      <c r="T1180" t="s">
        <v>41</v>
      </c>
      <c r="U1180" t="s">
        <v>41</v>
      </c>
      <c r="V1180" t="s">
        <v>38</v>
      </c>
      <c r="W1180" t="s">
        <v>1070</v>
      </c>
      <c r="X1180">
        <v>896.87</v>
      </c>
      <c r="Y1180" s="9">
        <f t="shared" si="92"/>
        <v>896.87</v>
      </c>
      <c r="Z1180" s="9">
        <f t="shared" si="93"/>
        <v>1681.6312499999999</v>
      </c>
      <c r="AA1180" s="5">
        <f t="shared" si="94"/>
        <v>1868.2923187499998</v>
      </c>
      <c r="AB1180" s="6">
        <f t="shared" si="95"/>
        <v>2724.0744618749995</v>
      </c>
      <c r="AD1180" s="10">
        <f t="shared" si="91"/>
        <v>3410.7349501875001</v>
      </c>
    </row>
    <row r="1181" spans="1:30" x14ac:dyDescent="0.3">
      <c r="A1181" t="s">
        <v>30</v>
      </c>
      <c r="B1181" s="8" t="s">
        <v>32</v>
      </c>
      <c r="C1181" s="8" t="s">
        <v>32</v>
      </c>
      <c r="D1181" s="8" t="s">
        <v>69</v>
      </c>
      <c r="E1181" s="8" t="s">
        <v>70</v>
      </c>
      <c r="F1181" s="8" t="s">
        <v>71</v>
      </c>
      <c r="G1181">
        <v>8421999000</v>
      </c>
      <c r="H1181" t="s">
        <v>36</v>
      </c>
      <c r="I1181" t="s">
        <v>560</v>
      </c>
      <c r="J1181" t="s">
        <v>38</v>
      </c>
      <c r="K1181" t="s">
        <v>39</v>
      </c>
      <c r="L1181">
        <v>13</v>
      </c>
      <c r="M1181">
        <v>1</v>
      </c>
      <c r="N1181" t="s">
        <v>64</v>
      </c>
      <c r="O1181">
        <v>0</v>
      </c>
      <c r="P1181">
        <v>896.87</v>
      </c>
      <c r="Q1181">
        <v>47.88</v>
      </c>
      <c r="R1181">
        <v>5.76</v>
      </c>
      <c r="S1181">
        <v>950.52</v>
      </c>
      <c r="T1181" t="s">
        <v>72</v>
      </c>
      <c r="U1181" t="s">
        <v>72</v>
      </c>
      <c r="V1181" t="s">
        <v>38</v>
      </c>
      <c r="W1181" t="s">
        <v>1070</v>
      </c>
      <c r="X1181">
        <v>896.87</v>
      </c>
      <c r="Y1181" s="9">
        <f t="shared" si="92"/>
        <v>896.87</v>
      </c>
      <c r="Z1181" s="9">
        <f t="shared" si="93"/>
        <v>1681.6312499999999</v>
      </c>
      <c r="AA1181" s="5">
        <f t="shared" si="94"/>
        <v>1868.2923187499998</v>
      </c>
      <c r="AB1181" s="6">
        <f t="shared" si="95"/>
        <v>2724.0744618749995</v>
      </c>
      <c r="AD1181" s="10">
        <f t="shared" si="91"/>
        <v>3410.7349501875001</v>
      </c>
    </row>
    <row r="1182" spans="1:30" x14ac:dyDescent="0.3">
      <c r="A1182" t="s">
        <v>30</v>
      </c>
      <c r="B1182" s="8" t="s">
        <v>32</v>
      </c>
      <c r="C1182" s="8" t="s">
        <v>32</v>
      </c>
      <c r="D1182" s="8" t="s">
        <v>69</v>
      </c>
      <c r="E1182" s="8" t="s">
        <v>70</v>
      </c>
      <c r="F1182" s="8" t="s">
        <v>71</v>
      </c>
      <c r="G1182">
        <v>8421999000</v>
      </c>
      <c r="H1182" t="s">
        <v>36</v>
      </c>
      <c r="I1182" t="s">
        <v>560</v>
      </c>
      <c r="J1182" t="s">
        <v>38</v>
      </c>
      <c r="K1182" t="s">
        <v>39</v>
      </c>
      <c r="L1182">
        <v>8</v>
      </c>
      <c r="M1182">
        <v>1</v>
      </c>
      <c r="N1182" t="s">
        <v>64</v>
      </c>
      <c r="O1182">
        <v>0</v>
      </c>
      <c r="P1182">
        <v>896.87</v>
      </c>
      <c r="Q1182">
        <v>58.71</v>
      </c>
      <c r="R1182">
        <v>5.82</v>
      </c>
      <c r="S1182">
        <v>961.4</v>
      </c>
      <c r="T1182" t="s">
        <v>41</v>
      </c>
      <c r="U1182" t="s">
        <v>41</v>
      </c>
      <c r="V1182" t="s">
        <v>38</v>
      </c>
      <c r="W1182" t="s">
        <v>1070</v>
      </c>
      <c r="X1182">
        <v>896.87</v>
      </c>
      <c r="Y1182" s="9">
        <f t="shared" si="92"/>
        <v>896.87</v>
      </c>
      <c r="Z1182" s="9">
        <f t="shared" si="93"/>
        <v>1681.6312499999999</v>
      </c>
      <c r="AA1182" s="5">
        <f t="shared" si="94"/>
        <v>1868.2923187499998</v>
      </c>
      <c r="AB1182" s="6">
        <f t="shared" si="95"/>
        <v>2724.0744618749995</v>
      </c>
      <c r="AD1182" s="10">
        <f t="shared" si="91"/>
        <v>3410.7349501875001</v>
      </c>
    </row>
    <row r="1183" spans="1:30" x14ac:dyDescent="0.3">
      <c r="A1183" t="s">
        <v>30</v>
      </c>
      <c r="B1183" s="8" t="s">
        <v>32</v>
      </c>
      <c r="C1183" s="8" t="s">
        <v>32</v>
      </c>
      <c r="D1183" s="8" t="s">
        <v>69</v>
      </c>
      <c r="E1183" s="8" t="s">
        <v>70</v>
      </c>
      <c r="F1183" s="8" t="s">
        <v>71</v>
      </c>
      <c r="G1183">
        <v>8421999000</v>
      </c>
      <c r="H1183" t="s">
        <v>36</v>
      </c>
      <c r="I1183" t="s">
        <v>560</v>
      </c>
      <c r="J1183" t="s">
        <v>38</v>
      </c>
      <c r="K1183" t="s">
        <v>39</v>
      </c>
      <c r="L1183">
        <v>8</v>
      </c>
      <c r="M1183">
        <v>2</v>
      </c>
      <c r="N1183" t="s">
        <v>64</v>
      </c>
      <c r="O1183">
        <v>0</v>
      </c>
      <c r="P1183">
        <v>1793.74</v>
      </c>
      <c r="Q1183">
        <v>117.42</v>
      </c>
      <c r="R1183">
        <v>11.63</v>
      </c>
      <c r="S1183">
        <v>1922.8</v>
      </c>
      <c r="T1183" t="s">
        <v>41</v>
      </c>
      <c r="U1183" t="s">
        <v>41</v>
      </c>
      <c r="V1183" t="s">
        <v>38</v>
      </c>
      <c r="W1183" t="s">
        <v>1070</v>
      </c>
      <c r="X1183">
        <v>896.87</v>
      </c>
      <c r="Y1183" s="9">
        <f t="shared" si="92"/>
        <v>896.87</v>
      </c>
      <c r="Z1183" s="9">
        <f t="shared" si="93"/>
        <v>1681.6312499999999</v>
      </c>
      <c r="AA1183" s="5">
        <f t="shared" si="94"/>
        <v>1868.2923187499998</v>
      </c>
      <c r="AB1183" s="6">
        <f t="shared" si="95"/>
        <v>2724.0744618749995</v>
      </c>
      <c r="AD1183" s="10">
        <f t="shared" si="91"/>
        <v>3410.7349501875001</v>
      </c>
    </row>
    <row r="1184" spans="1:30" x14ac:dyDescent="0.3">
      <c r="A1184" t="s">
        <v>168</v>
      </c>
      <c r="B1184" s="8" t="s">
        <v>32</v>
      </c>
      <c r="C1184" s="8" t="s">
        <v>32</v>
      </c>
      <c r="E1184" s="8" t="s">
        <v>70</v>
      </c>
      <c r="F1184" s="8" t="s">
        <v>71</v>
      </c>
      <c r="G1184">
        <v>8421999000</v>
      </c>
      <c r="H1184" t="s">
        <v>36</v>
      </c>
      <c r="I1184" t="s">
        <v>560</v>
      </c>
      <c r="J1184" t="s">
        <v>38</v>
      </c>
      <c r="K1184" t="s">
        <v>39</v>
      </c>
      <c r="L1184">
        <v>0</v>
      </c>
      <c r="M1184">
        <v>1</v>
      </c>
      <c r="N1184" t="s">
        <v>64</v>
      </c>
      <c r="O1184">
        <v>0</v>
      </c>
      <c r="P1184">
        <v>776.72</v>
      </c>
      <c r="Q1184">
        <v>59.63</v>
      </c>
      <c r="R1184">
        <v>5.59</v>
      </c>
      <c r="S1184">
        <v>841.94</v>
      </c>
      <c r="T1184" t="s">
        <v>41</v>
      </c>
      <c r="U1184" t="s">
        <v>41</v>
      </c>
      <c r="V1184" t="s">
        <v>38</v>
      </c>
      <c r="W1184" t="s">
        <v>1070</v>
      </c>
      <c r="X1184">
        <v>776.72</v>
      </c>
      <c r="Y1184" s="9">
        <f t="shared" si="92"/>
        <v>776.72</v>
      </c>
      <c r="Z1184" s="9">
        <f t="shared" si="93"/>
        <v>1456.3500000000001</v>
      </c>
      <c r="AA1184" s="5">
        <f t="shared" si="94"/>
        <v>1618.00485</v>
      </c>
      <c r="AB1184" s="6">
        <f t="shared" si="95"/>
        <v>2359.141365</v>
      </c>
      <c r="AD1184" s="10">
        <f t="shared" si="91"/>
        <v>2953.8127605000004</v>
      </c>
    </row>
    <row r="1185" spans="1:30" x14ac:dyDescent="0.3">
      <c r="A1185" t="s">
        <v>30</v>
      </c>
      <c r="B1185" s="8" t="s">
        <v>32</v>
      </c>
      <c r="C1185" s="8" t="s">
        <v>32</v>
      </c>
      <c r="D1185" s="8" t="s">
        <v>33</v>
      </c>
      <c r="E1185" s="8" t="s">
        <v>34</v>
      </c>
      <c r="F1185" s="8" t="s">
        <v>35</v>
      </c>
      <c r="G1185">
        <v>8481809990</v>
      </c>
      <c r="H1185" t="s">
        <v>160</v>
      </c>
      <c r="I1185" t="s">
        <v>360</v>
      </c>
      <c r="J1185" t="s">
        <v>38</v>
      </c>
      <c r="K1185" t="s">
        <v>39</v>
      </c>
      <c r="L1185">
        <v>6</v>
      </c>
      <c r="M1185">
        <v>1</v>
      </c>
      <c r="N1185" t="s">
        <v>64</v>
      </c>
      <c r="O1185">
        <v>0</v>
      </c>
      <c r="P1185">
        <v>431.64</v>
      </c>
      <c r="Q1185">
        <v>52.2</v>
      </c>
      <c r="R1185">
        <v>3.01</v>
      </c>
      <c r="S1185">
        <v>486.84</v>
      </c>
      <c r="T1185" t="s">
        <v>41</v>
      </c>
      <c r="U1185" t="s">
        <v>43</v>
      </c>
      <c r="V1185" t="s">
        <v>38</v>
      </c>
      <c r="W1185" t="s">
        <v>1071</v>
      </c>
      <c r="X1185">
        <v>431.64</v>
      </c>
      <c r="Y1185" s="9">
        <f t="shared" si="92"/>
        <v>431.64</v>
      </c>
      <c r="Z1185" s="9">
        <f t="shared" si="93"/>
        <v>809.32499999999993</v>
      </c>
      <c r="AA1185" s="5">
        <f t="shared" si="94"/>
        <v>899.16007499999989</v>
      </c>
      <c r="AB1185" s="6">
        <f t="shared" si="95"/>
        <v>1311.0255674999999</v>
      </c>
      <c r="AD1185" s="10">
        <f t="shared" si="91"/>
        <v>1641.4972447499999</v>
      </c>
    </row>
    <row r="1186" spans="1:30" x14ac:dyDescent="0.3">
      <c r="A1186" t="s">
        <v>30</v>
      </c>
      <c r="B1186" s="8" t="s">
        <v>32</v>
      </c>
      <c r="C1186" s="8" t="s">
        <v>32</v>
      </c>
      <c r="D1186" s="8" t="s">
        <v>69</v>
      </c>
      <c r="E1186" s="8" t="s">
        <v>70</v>
      </c>
      <c r="F1186" s="8" t="s">
        <v>71</v>
      </c>
      <c r="G1186">
        <v>8481809990</v>
      </c>
      <c r="H1186" t="s">
        <v>160</v>
      </c>
      <c r="I1186" t="s">
        <v>784</v>
      </c>
      <c r="J1186" t="s">
        <v>38</v>
      </c>
      <c r="K1186" t="s">
        <v>39</v>
      </c>
      <c r="L1186">
        <v>13</v>
      </c>
      <c r="M1186">
        <v>1</v>
      </c>
      <c r="N1186" t="s">
        <v>64</v>
      </c>
      <c r="O1186">
        <v>0</v>
      </c>
      <c r="P1186">
        <v>418.68</v>
      </c>
      <c r="Q1186">
        <v>29.73</v>
      </c>
      <c r="R1186">
        <v>2.74</v>
      </c>
      <c r="S1186">
        <v>451.14</v>
      </c>
      <c r="T1186" t="s">
        <v>41</v>
      </c>
      <c r="U1186" t="s">
        <v>41</v>
      </c>
      <c r="V1186" t="s">
        <v>38</v>
      </c>
      <c r="W1186" t="s">
        <v>1071</v>
      </c>
      <c r="X1186">
        <v>418.68</v>
      </c>
      <c r="Y1186" s="9">
        <f t="shared" si="92"/>
        <v>418.68</v>
      </c>
      <c r="Z1186" s="9">
        <f t="shared" si="93"/>
        <v>785.02499999999998</v>
      </c>
      <c r="AA1186" s="5">
        <f t="shared" si="94"/>
        <v>872.16277500000001</v>
      </c>
      <c r="AB1186" s="6">
        <f t="shared" si="95"/>
        <v>1271.6619974999999</v>
      </c>
      <c r="AD1186" s="10">
        <f t="shared" si="91"/>
        <v>1592.2112557500002</v>
      </c>
    </row>
    <row r="1187" spans="1:30" x14ac:dyDescent="0.3">
      <c r="A1187" t="s">
        <v>30</v>
      </c>
      <c r="B1187" s="8" t="s">
        <v>32</v>
      </c>
      <c r="C1187" s="8" t="s">
        <v>32</v>
      </c>
      <c r="D1187" s="8" t="s">
        <v>69</v>
      </c>
      <c r="E1187" s="8" t="s">
        <v>70</v>
      </c>
      <c r="F1187" s="8" t="s">
        <v>71</v>
      </c>
      <c r="G1187">
        <v>8481809990</v>
      </c>
      <c r="H1187" t="s">
        <v>53</v>
      </c>
      <c r="I1187" t="s">
        <v>659</v>
      </c>
      <c r="J1187" t="s">
        <v>38</v>
      </c>
      <c r="K1187" t="s">
        <v>39</v>
      </c>
      <c r="L1187">
        <v>8</v>
      </c>
      <c r="M1187">
        <v>2</v>
      </c>
      <c r="N1187" t="s">
        <v>64</v>
      </c>
      <c r="O1187">
        <v>0</v>
      </c>
      <c r="P1187">
        <v>887.6</v>
      </c>
      <c r="Q1187">
        <v>58.1</v>
      </c>
      <c r="R1187">
        <v>5.76</v>
      </c>
      <c r="S1187">
        <v>951.46</v>
      </c>
      <c r="T1187" t="s">
        <v>41</v>
      </c>
      <c r="U1187" t="s">
        <v>41</v>
      </c>
      <c r="V1187" t="s">
        <v>38</v>
      </c>
      <c r="W1187" t="s">
        <v>1071</v>
      </c>
      <c r="X1187">
        <v>443.8</v>
      </c>
      <c r="Y1187" s="9">
        <f t="shared" si="92"/>
        <v>443.8</v>
      </c>
      <c r="Z1187" s="9">
        <f t="shared" si="93"/>
        <v>832.125</v>
      </c>
      <c r="AA1187" s="5">
        <f t="shared" si="94"/>
        <v>924.49087499999996</v>
      </c>
      <c r="AB1187" s="6">
        <f t="shared" si="95"/>
        <v>1347.9592874999998</v>
      </c>
      <c r="AD1187" s="10">
        <f t="shared" si="91"/>
        <v>1687.7408887500001</v>
      </c>
    </row>
    <row r="1188" spans="1:30" x14ac:dyDescent="0.3">
      <c r="A1188" t="s">
        <v>30</v>
      </c>
      <c r="B1188" s="8" t="s">
        <v>32</v>
      </c>
      <c r="C1188" s="8" t="s">
        <v>32</v>
      </c>
      <c r="D1188" s="8" t="s">
        <v>69</v>
      </c>
      <c r="E1188" s="8" t="s">
        <v>70</v>
      </c>
      <c r="F1188" s="8" t="s">
        <v>71</v>
      </c>
      <c r="G1188">
        <v>8484900000</v>
      </c>
      <c r="H1188" t="s">
        <v>36</v>
      </c>
      <c r="I1188" t="s">
        <v>1072</v>
      </c>
      <c r="J1188" t="s">
        <v>38</v>
      </c>
      <c r="K1188" t="s">
        <v>39</v>
      </c>
      <c r="L1188">
        <v>8</v>
      </c>
      <c r="M1188">
        <v>2</v>
      </c>
      <c r="N1188" t="s">
        <v>64</v>
      </c>
      <c r="O1188">
        <v>0</v>
      </c>
      <c r="P1188">
        <v>753.76</v>
      </c>
      <c r="Q1188">
        <v>49.34</v>
      </c>
      <c r="R1188">
        <v>4.8899999999999997</v>
      </c>
      <c r="S1188">
        <v>807.99</v>
      </c>
      <c r="T1188" t="s">
        <v>41</v>
      </c>
      <c r="U1188" t="s">
        <v>41</v>
      </c>
      <c r="V1188" t="s">
        <v>38</v>
      </c>
      <c r="W1188" t="s">
        <v>1073</v>
      </c>
      <c r="X1188">
        <v>376.88</v>
      </c>
      <c r="Y1188" s="9">
        <f t="shared" si="92"/>
        <v>376.88</v>
      </c>
      <c r="Z1188" s="9">
        <f t="shared" si="93"/>
        <v>706.65</v>
      </c>
      <c r="AA1188" s="5">
        <f t="shared" si="94"/>
        <v>785.08814999999993</v>
      </c>
      <c r="AB1188" s="6">
        <f t="shared" si="95"/>
        <v>1144.7023349999999</v>
      </c>
      <c r="AD1188" s="10">
        <f t="shared" si="91"/>
        <v>1433.2487295000001</v>
      </c>
    </row>
    <row r="1189" spans="1:30" x14ac:dyDescent="0.3">
      <c r="A1189" t="s">
        <v>168</v>
      </c>
      <c r="B1189" s="8" t="s">
        <v>32</v>
      </c>
      <c r="C1189" s="8" t="s">
        <v>32</v>
      </c>
      <c r="D1189" s="8" t="s">
        <v>33</v>
      </c>
      <c r="E1189" s="8" t="s">
        <v>34</v>
      </c>
      <c r="F1189" s="8" t="s">
        <v>35</v>
      </c>
      <c r="G1189">
        <v>8484900000</v>
      </c>
      <c r="H1189" t="s">
        <v>177</v>
      </c>
      <c r="I1189" t="s">
        <v>726</v>
      </c>
      <c r="J1189" t="s">
        <v>38</v>
      </c>
      <c r="K1189" t="s">
        <v>39</v>
      </c>
      <c r="L1189">
        <v>11</v>
      </c>
      <c r="M1189">
        <v>1</v>
      </c>
      <c r="N1189" t="s">
        <v>64</v>
      </c>
      <c r="O1189">
        <v>0</v>
      </c>
      <c r="P1189">
        <v>273.94</v>
      </c>
      <c r="Q1189">
        <v>26.24</v>
      </c>
      <c r="R1189">
        <v>1.85</v>
      </c>
      <c r="S1189">
        <v>302.02</v>
      </c>
      <c r="T1189" t="s">
        <v>41</v>
      </c>
      <c r="U1189" t="s">
        <v>43</v>
      </c>
      <c r="V1189" t="s">
        <v>38</v>
      </c>
      <c r="W1189" t="s">
        <v>1074</v>
      </c>
      <c r="X1189">
        <v>273.94</v>
      </c>
      <c r="Y1189" s="9">
        <f t="shared" si="92"/>
        <v>273.94</v>
      </c>
      <c r="Z1189" s="9">
        <f t="shared" si="93"/>
        <v>513.63750000000005</v>
      </c>
      <c r="AA1189" s="5">
        <f t="shared" si="94"/>
        <v>570.65126250000003</v>
      </c>
      <c r="AB1189" s="6">
        <f t="shared" si="95"/>
        <v>832.04138625000007</v>
      </c>
      <c r="AD1189" s="10">
        <f t="shared" si="91"/>
        <v>1041.7749866250001</v>
      </c>
    </row>
    <row r="1190" spans="1:30" x14ac:dyDescent="0.3">
      <c r="A1190" t="s">
        <v>30</v>
      </c>
      <c r="B1190" s="8" t="s">
        <v>32</v>
      </c>
      <c r="C1190" s="8" t="s">
        <v>32</v>
      </c>
      <c r="D1190" s="8" t="s">
        <v>69</v>
      </c>
      <c r="E1190" s="8" t="s">
        <v>70</v>
      </c>
      <c r="F1190" s="8" t="s">
        <v>71</v>
      </c>
      <c r="G1190">
        <v>8482800000</v>
      </c>
      <c r="H1190" t="s">
        <v>674</v>
      </c>
      <c r="I1190" t="s">
        <v>675</v>
      </c>
      <c r="J1190" t="s">
        <v>38</v>
      </c>
      <c r="K1190" t="s">
        <v>39</v>
      </c>
      <c r="L1190">
        <v>13</v>
      </c>
      <c r="M1190">
        <v>1</v>
      </c>
      <c r="N1190" t="s">
        <v>64</v>
      </c>
      <c r="O1190">
        <v>0</v>
      </c>
      <c r="P1190">
        <v>2159.5500000000002</v>
      </c>
      <c r="Q1190">
        <v>115.3</v>
      </c>
      <c r="R1190">
        <v>13.88</v>
      </c>
      <c r="S1190">
        <v>2288.73</v>
      </c>
      <c r="T1190" t="s">
        <v>72</v>
      </c>
      <c r="U1190" t="s">
        <v>72</v>
      </c>
      <c r="V1190" t="s">
        <v>38</v>
      </c>
      <c r="W1190" t="s">
        <v>1075</v>
      </c>
      <c r="X1190">
        <v>2159.5500000000002</v>
      </c>
      <c r="Y1190" s="9">
        <f t="shared" si="92"/>
        <v>2159.5500000000002</v>
      </c>
      <c r="Z1190" s="9">
        <f t="shared" si="93"/>
        <v>4049.1562500000005</v>
      </c>
      <c r="AA1190" s="5">
        <f t="shared" si="94"/>
        <v>4498.6125937500001</v>
      </c>
      <c r="AB1190" s="6">
        <f t="shared" si="95"/>
        <v>6559.228209375</v>
      </c>
      <c r="AD1190" s="10">
        <f t="shared" si="91"/>
        <v>8212.6201809375016</v>
      </c>
    </row>
    <row r="1191" spans="1:30" x14ac:dyDescent="0.3">
      <c r="A1191" t="s">
        <v>30</v>
      </c>
      <c r="B1191" s="8" t="s">
        <v>32</v>
      </c>
      <c r="C1191" s="8" t="s">
        <v>32</v>
      </c>
      <c r="D1191" s="8" t="s">
        <v>33</v>
      </c>
      <c r="E1191" s="8" t="s">
        <v>34</v>
      </c>
      <c r="F1191" s="8" t="s">
        <v>35</v>
      </c>
      <c r="G1191">
        <v>8484900000</v>
      </c>
      <c r="H1191" t="s">
        <v>36</v>
      </c>
      <c r="I1191" t="s">
        <v>1076</v>
      </c>
      <c r="J1191" t="s">
        <v>38</v>
      </c>
      <c r="K1191" t="s">
        <v>39</v>
      </c>
      <c r="L1191">
        <v>8</v>
      </c>
      <c r="M1191">
        <v>1</v>
      </c>
      <c r="N1191" t="s">
        <v>64</v>
      </c>
      <c r="O1191">
        <v>0</v>
      </c>
      <c r="P1191">
        <v>1243.81</v>
      </c>
      <c r="Q1191">
        <v>155.82</v>
      </c>
      <c r="R1191">
        <v>8.5</v>
      </c>
      <c r="S1191">
        <v>1408.12</v>
      </c>
      <c r="T1191" t="s">
        <v>41</v>
      </c>
      <c r="U1191" t="s">
        <v>41</v>
      </c>
      <c r="V1191" t="s">
        <v>38</v>
      </c>
      <c r="W1191" t="s">
        <v>1077</v>
      </c>
      <c r="X1191">
        <v>1243.81</v>
      </c>
      <c r="Y1191" s="9">
        <f t="shared" si="92"/>
        <v>1243.81</v>
      </c>
      <c r="Z1191" s="9">
        <f t="shared" si="93"/>
        <v>2332.1437499999997</v>
      </c>
      <c r="AA1191" s="5">
        <f t="shared" si="94"/>
        <v>2591.0117062499999</v>
      </c>
      <c r="AB1191" s="6">
        <f t="shared" si="95"/>
        <v>3777.8396606249994</v>
      </c>
      <c r="AD1191" s="10">
        <f t="shared" si="91"/>
        <v>4730.1239180624998</v>
      </c>
    </row>
    <row r="1192" spans="1:30" x14ac:dyDescent="0.3">
      <c r="A1192" t="s">
        <v>30</v>
      </c>
      <c r="B1192" s="8" t="s">
        <v>32</v>
      </c>
      <c r="C1192" s="8" t="s">
        <v>32</v>
      </c>
      <c r="D1192" s="8" t="s">
        <v>33</v>
      </c>
      <c r="E1192" s="8" t="s">
        <v>34</v>
      </c>
      <c r="F1192" s="8" t="s">
        <v>35</v>
      </c>
      <c r="G1192">
        <v>8484900000</v>
      </c>
      <c r="H1192" t="s">
        <v>36</v>
      </c>
      <c r="I1192" t="s">
        <v>1076</v>
      </c>
      <c r="J1192" t="s">
        <v>38</v>
      </c>
      <c r="K1192" t="s">
        <v>39</v>
      </c>
      <c r="L1192">
        <v>8</v>
      </c>
      <c r="M1192">
        <v>1</v>
      </c>
      <c r="N1192" t="s">
        <v>64</v>
      </c>
      <c r="O1192">
        <v>0</v>
      </c>
      <c r="P1192">
        <v>1237.67</v>
      </c>
      <c r="Q1192">
        <v>70.069999999999993</v>
      </c>
      <c r="R1192">
        <v>7.9</v>
      </c>
      <c r="S1192">
        <v>1315.64</v>
      </c>
      <c r="T1192" t="s">
        <v>41</v>
      </c>
      <c r="U1192" t="s">
        <v>41</v>
      </c>
      <c r="V1192" t="s">
        <v>38</v>
      </c>
      <c r="W1192" t="s">
        <v>1077</v>
      </c>
      <c r="X1192">
        <v>1237.67</v>
      </c>
      <c r="Y1192" s="9">
        <f t="shared" si="92"/>
        <v>1237.67</v>
      </c>
      <c r="Z1192" s="9">
        <f t="shared" si="93"/>
        <v>2320.6312500000004</v>
      </c>
      <c r="AA1192" s="5">
        <f t="shared" si="94"/>
        <v>2578.2213187500006</v>
      </c>
      <c r="AB1192" s="6">
        <f t="shared" si="95"/>
        <v>3759.1905618750002</v>
      </c>
      <c r="AD1192" s="10">
        <f t="shared" si="91"/>
        <v>4706.7739201875011</v>
      </c>
    </row>
    <row r="1193" spans="1:30" x14ac:dyDescent="0.3">
      <c r="A1193" t="s">
        <v>30</v>
      </c>
      <c r="B1193" s="8" t="s">
        <v>32</v>
      </c>
      <c r="C1193" s="8" t="s">
        <v>32</v>
      </c>
      <c r="D1193" s="8" t="s">
        <v>33</v>
      </c>
      <c r="E1193" s="8" t="s">
        <v>34</v>
      </c>
      <c r="F1193" s="8" t="s">
        <v>35</v>
      </c>
      <c r="G1193">
        <v>8481809990</v>
      </c>
      <c r="H1193" t="s">
        <v>160</v>
      </c>
      <c r="I1193" t="s">
        <v>1078</v>
      </c>
      <c r="J1193" t="s">
        <v>38</v>
      </c>
      <c r="K1193" t="s">
        <v>39</v>
      </c>
      <c r="L1193">
        <v>16</v>
      </c>
      <c r="M1193">
        <v>1</v>
      </c>
      <c r="N1193" t="s">
        <v>64</v>
      </c>
      <c r="O1193">
        <v>0</v>
      </c>
      <c r="P1193">
        <v>1064.3499999999999</v>
      </c>
      <c r="Q1193">
        <v>146.9</v>
      </c>
      <c r="R1193">
        <v>7.1</v>
      </c>
      <c r="S1193">
        <v>1218.3499999999999</v>
      </c>
      <c r="T1193" t="s">
        <v>41</v>
      </c>
      <c r="U1193" t="s">
        <v>41</v>
      </c>
      <c r="V1193" t="s">
        <v>38</v>
      </c>
      <c r="W1193" t="s">
        <v>1079</v>
      </c>
      <c r="X1193">
        <v>1064.3499999999999</v>
      </c>
      <c r="Y1193" s="9">
        <f t="shared" si="92"/>
        <v>1064.3499999999999</v>
      </c>
      <c r="Z1193" s="9">
        <f t="shared" si="93"/>
        <v>1995.6562499999998</v>
      </c>
      <c r="AA1193" s="5">
        <f t="shared" si="94"/>
        <v>2217.1740937499999</v>
      </c>
      <c r="AB1193" s="6">
        <f t="shared" si="95"/>
        <v>3232.7635593749992</v>
      </c>
      <c r="AD1193" s="10">
        <f t="shared" si="91"/>
        <v>4047.6498759374999</v>
      </c>
    </row>
    <row r="1194" spans="1:30" x14ac:dyDescent="0.3">
      <c r="A1194" t="s">
        <v>30</v>
      </c>
      <c r="B1194" s="8" t="s">
        <v>58</v>
      </c>
      <c r="C1194" s="8" t="s">
        <v>32</v>
      </c>
      <c r="D1194" s="8" t="s">
        <v>69</v>
      </c>
      <c r="E1194" s="8" t="s">
        <v>70</v>
      </c>
      <c r="F1194" s="8" t="s">
        <v>71</v>
      </c>
      <c r="G1194">
        <v>2710193900</v>
      </c>
      <c r="H1194" t="s">
        <v>424</v>
      </c>
      <c r="I1194" t="s">
        <v>482</v>
      </c>
      <c r="J1194" t="s">
        <v>38</v>
      </c>
      <c r="K1194" t="s">
        <v>39</v>
      </c>
      <c r="L1194">
        <v>12</v>
      </c>
      <c r="M1194">
        <v>1</v>
      </c>
      <c r="N1194" t="s">
        <v>491</v>
      </c>
      <c r="O1194">
        <v>236.04</v>
      </c>
      <c r="P1194">
        <v>2345.14</v>
      </c>
      <c r="Q1194">
        <v>144.31</v>
      </c>
      <c r="R1194">
        <v>15.22</v>
      </c>
      <c r="S1194">
        <v>2504.67</v>
      </c>
      <c r="T1194" t="s">
        <v>492</v>
      </c>
      <c r="U1194" t="s">
        <v>492</v>
      </c>
      <c r="V1194" t="s">
        <v>38</v>
      </c>
      <c r="W1194" t="s">
        <v>1080</v>
      </c>
      <c r="X1194">
        <v>2345.14</v>
      </c>
      <c r="Y1194" s="9">
        <f t="shared" si="92"/>
        <v>2345.14</v>
      </c>
      <c r="Z1194" s="9">
        <f t="shared" si="93"/>
        <v>4397.1374999999998</v>
      </c>
      <c r="AA1194" s="5">
        <f t="shared" si="94"/>
        <v>4885.2197624999999</v>
      </c>
      <c r="AB1194" s="6">
        <f t="shared" si="95"/>
        <v>7122.9230362499993</v>
      </c>
      <c r="AD1194" s="10">
        <f t="shared" si="91"/>
        <v>8918.4061916250012</v>
      </c>
    </row>
    <row r="1195" spans="1:30" x14ac:dyDescent="0.3">
      <c r="A1195" t="s">
        <v>30</v>
      </c>
      <c r="B1195" s="8" t="s">
        <v>58</v>
      </c>
      <c r="C1195" s="8" t="s">
        <v>32</v>
      </c>
      <c r="D1195" s="8" t="s">
        <v>69</v>
      </c>
      <c r="E1195" s="8" t="s">
        <v>70</v>
      </c>
      <c r="F1195" s="8" t="s">
        <v>71</v>
      </c>
      <c r="G1195">
        <v>2710193900</v>
      </c>
      <c r="H1195" t="s">
        <v>424</v>
      </c>
      <c r="I1195" t="s">
        <v>482</v>
      </c>
      <c r="J1195" t="s">
        <v>38</v>
      </c>
      <c r="K1195" t="s">
        <v>39</v>
      </c>
      <c r="L1195">
        <v>12</v>
      </c>
      <c r="M1195">
        <v>1</v>
      </c>
      <c r="N1195" t="s">
        <v>491</v>
      </c>
      <c r="O1195">
        <v>236.04</v>
      </c>
      <c r="P1195">
        <v>2345.14</v>
      </c>
      <c r="Q1195">
        <v>144.31</v>
      </c>
      <c r="R1195">
        <v>15.22</v>
      </c>
      <c r="S1195">
        <v>2504.67</v>
      </c>
      <c r="T1195" t="s">
        <v>492</v>
      </c>
      <c r="U1195" t="s">
        <v>492</v>
      </c>
      <c r="V1195" t="s">
        <v>38</v>
      </c>
      <c r="W1195" t="s">
        <v>1080</v>
      </c>
      <c r="X1195">
        <v>2345.14</v>
      </c>
      <c r="Y1195" s="9">
        <f t="shared" si="92"/>
        <v>2345.14</v>
      </c>
      <c r="Z1195" s="9">
        <f t="shared" si="93"/>
        <v>4397.1374999999998</v>
      </c>
      <c r="AA1195" s="5">
        <f t="shared" si="94"/>
        <v>4885.2197624999999</v>
      </c>
      <c r="AB1195" s="6">
        <f t="shared" si="95"/>
        <v>7122.9230362499993</v>
      </c>
      <c r="AD1195" s="10">
        <f t="shared" si="91"/>
        <v>8918.4061916250012</v>
      </c>
    </row>
    <row r="1196" spans="1:30" x14ac:dyDescent="0.3">
      <c r="A1196" t="s">
        <v>30</v>
      </c>
      <c r="B1196" s="8" t="s">
        <v>58</v>
      </c>
      <c r="C1196" s="8" t="s">
        <v>32</v>
      </c>
      <c r="D1196" s="8" t="s">
        <v>69</v>
      </c>
      <c r="E1196" s="8" t="s">
        <v>70</v>
      </c>
      <c r="F1196" s="8" t="s">
        <v>71</v>
      </c>
      <c r="G1196">
        <v>2710193900</v>
      </c>
      <c r="H1196" t="s">
        <v>424</v>
      </c>
      <c r="I1196" t="s">
        <v>482</v>
      </c>
      <c r="J1196" t="s">
        <v>38</v>
      </c>
      <c r="K1196" t="s">
        <v>39</v>
      </c>
      <c r="L1196">
        <v>12</v>
      </c>
      <c r="M1196">
        <v>1</v>
      </c>
      <c r="N1196" t="s">
        <v>491</v>
      </c>
      <c r="O1196">
        <v>236.04</v>
      </c>
      <c r="P1196">
        <v>2345.14</v>
      </c>
      <c r="Q1196">
        <v>144.31</v>
      </c>
      <c r="R1196">
        <v>15.22</v>
      </c>
      <c r="S1196">
        <v>2504.67</v>
      </c>
      <c r="T1196" t="s">
        <v>492</v>
      </c>
      <c r="U1196" t="s">
        <v>492</v>
      </c>
      <c r="V1196" t="s">
        <v>38</v>
      </c>
      <c r="W1196" t="s">
        <v>1080</v>
      </c>
      <c r="X1196">
        <v>2345.14</v>
      </c>
      <c r="Y1196" s="9">
        <f t="shared" si="92"/>
        <v>2345.14</v>
      </c>
      <c r="Z1196" s="9">
        <f t="shared" si="93"/>
        <v>4397.1374999999998</v>
      </c>
      <c r="AA1196" s="5">
        <f t="shared" si="94"/>
        <v>4885.2197624999999</v>
      </c>
      <c r="AB1196" s="6">
        <f t="shared" si="95"/>
        <v>7122.9230362499993</v>
      </c>
      <c r="AD1196" s="10">
        <f t="shared" si="91"/>
        <v>8918.4061916250012</v>
      </c>
    </row>
    <row r="1197" spans="1:30" x14ac:dyDescent="0.3">
      <c r="A1197" t="s">
        <v>30</v>
      </c>
      <c r="B1197" s="8" t="s">
        <v>58</v>
      </c>
      <c r="C1197" s="8" t="s">
        <v>32</v>
      </c>
      <c r="D1197" s="8" t="s">
        <v>69</v>
      </c>
      <c r="E1197" s="8" t="s">
        <v>70</v>
      </c>
      <c r="F1197" s="8" t="s">
        <v>71</v>
      </c>
      <c r="G1197">
        <v>2710193900</v>
      </c>
      <c r="H1197" t="s">
        <v>424</v>
      </c>
      <c r="I1197" t="s">
        <v>482</v>
      </c>
      <c r="J1197" t="s">
        <v>38</v>
      </c>
      <c r="K1197" t="s">
        <v>39</v>
      </c>
      <c r="L1197">
        <v>12</v>
      </c>
      <c r="M1197">
        <v>1</v>
      </c>
      <c r="N1197" t="s">
        <v>491</v>
      </c>
      <c r="O1197">
        <v>236.04</v>
      </c>
      <c r="P1197">
        <v>2345.14</v>
      </c>
      <c r="Q1197">
        <v>144.31</v>
      </c>
      <c r="R1197">
        <v>15.22</v>
      </c>
      <c r="S1197">
        <v>2504.67</v>
      </c>
      <c r="T1197" t="s">
        <v>492</v>
      </c>
      <c r="U1197" t="s">
        <v>492</v>
      </c>
      <c r="V1197" t="s">
        <v>38</v>
      </c>
      <c r="W1197" t="s">
        <v>1080</v>
      </c>
      <c r="X1197">
        <v>2345.14</v>
      </c>
      <c r="Y1197" s="9">
        <f t="shared" si="92"/>
        <v>2345.14</v>
      </c>
      <c r="Z1197" s="9">
        <f t="shared" si="93"/>
        <v>4397.1374999999998</v>
      </c>
      <c r="AA1197" s="5">
        <f t="shared" si="94"/>
        <v>4885.2197624999999</v>
      </c>
      <c r="AB1197" s="6">
        <f t="shared" si="95"/>
        <v>7122.9230362499993</v>
      </c>
      <c r="AD1197" s="10">
        <f t="shared" si="91"/>
        <v>8918.4061916250012</v>
      </c>
    </row>
    <row r="1198" spans="1:30" x14ac:dyDescent="0.3">
      <c r="A1198" t="s">
        <v>30</v>
      </c>
      <c r="B1198" s="8" t="s">
        <v>214</v>
      </c>
      <c r="C1198" s="8" t="s">
        <v>32</v>
      </c>
      <c r="D1198" s="8" t="s">
        <v>69</v>
      </c>
      <c r="E1198" s="8" t="s">
        <v>70</v>
      </c>
      <c r="F1198" s="8" t="s">
        <v>71</v>
      </c>
      <c r="G1198">
        <v>2710193900</v>
      </c>
      <c r="H1198" t="s">
        <v>36</v>
      </c>
      <c r="I1198" t="s">
        <v>482</v>
      </c>
      <c r="J1198" t="s">
        <v>38</v>
      </c>
      <c r="K1198" t="s">
        <v>39</v>
      </c>
      <c r="L1198">
        <v>10</v>
      </c>
      <c r="M1198">
        <v>1</v>
      </c>
      <c r="N1198" t="s">
        <v>491</v>
      </c>
      <c r="O1198">
        <v>236.05</v>
      </c>
      <c r="P1198">
        <v>2345.14</v>
      </c>
      <c r="Q1198">
        <v>107.91</v>
      </c>
      <c r="R1198">
        <v>15.32</v>
      </c>
      <c r="S1198">
        <v>2468.37</v>
      </c>
      <c r="T1198" t="s">
        <v>492</v>
      </c>
      <c r="U1198" t="s">
        <v>492</v>
      </c>
      <c r="V1198" t="s">
        <v>38</v>
      </c>
      <c r="W1198" t="s">
        <v>1080</v>
      </c>
      <c r="X1198">
        <v>2345.14</v>
      </c>
      <c r="Y1198" s="9">
        <f t="shared" si="92"/>
        <v>2345.14</v>
      </c>
      <c r="Z1198" s="9">
        <f t="shared" si="93"/>
        <v>4397.1374999999998</v>
      </c>
      <c r="AA1198" s="5">
        <f t="shared" si="94"/>
        <v>4885.2197624999999</v>
      </c>
      <c r="AB1198" s="6">
        <f t="shared" si="95"/>
        <v>7122.9230362499993</v>
      </c>
      <c r="AD1198" s="10">
        <f t="shared" si="91"/>
        <v>8918.4061916250012</v>
      </c>
    </row>
    <row r="1199" spans="1:30" x14ac:dyDescent="0.3">
      <c r="A1199" t="s">
        <v>30</v>
      </c>
      <c r="B1199" s="8" t="s">
        <v>214</v>
      </c>
      <c r="C1199" s="8" t="s">
        <v>32</v>
      </c>
      <c r="D1199" s="8" t="s">
        <v>69</v>
      </c>
      <c r="E1199" s="8" t="s">
        <v>70</v>
      </c>
      <c r="F1199" s="8" t="s">
        <v>71</v>
      </c>
      <c r="G1199">
        <v>2710193900</v>
      </c>
      <c r="H1199" t="s">
        <v>36</v>
      </c>
      <c r="I1199" t="s">
        <v>482</v>
      </c>
      <c r="J1199" t="s">
        <v>38</v>
      </c>
      <c r="K1199" t="s">
        <v>39</v>
      </c>
      <c r="L1199">
        <v>10</v>
      </c>
      <c r="M1199">
        <v>1</v>
      </c>
      <c r="N1199" t="s">
        <v>491</v>
      </c>
      <c r="O1199">
        <v>236.05</v>
      </c>
      <c r="P1199">
        <v>2345.14</v>
      </c>
      <c r="Q1199">
        <v>107.91</v>
      </c>
      <c r="R1199">
        <v>15.32</v>
      </c>
      <c r="S1199">
        <v>2468.37</v>
      </c>
      <c r="T1199" t="s">
        <v>492</v>
      </c>
      <c r="U1199" t="s">
        <v>492</v>
      </c>
      <c r="V1199" t="s">
        <v>38</v>
      </c>
      <c r="W1199" t="s">
        <v>1080</v>
      </c>
      <c r="X1199">
        <v>2345.14</v>
      </c>
      <c r="Y1199" s="9">
        <f t="shared" si="92"/>
        <v>2345.14</v>
      </c>
      <c r="Z1199" s="9">
        <f t="shared" si="93"/>
        <v>4397.1374999999998</v>
      </c>
      <c r="AA1199" s="5">
        <f t="shared" si="94"/>
        <v>4885.2197624999999</v>
      </c>
      <c r="AB1199" s="6">
        <f t="shared" si="95"/>
        <v>7122.9230362499993</v>
      </c>
      <c r="AD1199" s="10">
        <f t="shared" si="91"/>
        <v>8918.4061916250012</v>
      </c>
    </row>
    <row r="1200" spans="1:30" x14ac:dyDescent="0.3">
      <c r="A1200" t="s">
        <v>30</v>
      </c>
      <c r="B1200" s="8" t="s">
        <v>31</v>
      </c>
      <c r="C1200" s="8" t="s">
        <v>32</v>
      </c>
      <c r="D1200" s="8" t="s">
        <v>33</v>
      </c>
      <c r="E1200" s="8" t="s">
        <v>34</v>
      </c>
      <c r="F1200" s="8" t="s">
        <v>35</v>
      </c>
      <c r="G1200">
        <v>2710193900</v>
      </c>
      <c r="H1200" t="s">
        <v>36</v>
      </c>
      <c r="I1200" t="s">
        <v>482</v>
      </c>
      <c r="J1200" t="s">
        <v>38</v>
      </c>
      <c r="K1200" t="s">
        <v>39</v>
      </c>
      <c r="L1200">
        <v>8</v>
      </c>
      <c r="M1200">
        <v>2</v>
      </c>
      <c r="N1200" t="s">
        <v>491</v>
      </c>
      <c r="O1200">
        <v>3.24</v>
      </c>
      <c r="P1200">
        <v>32.17</v>
      </c>
      <c r="Q1200">
        <v>4.03</v>
      </c>
      <c r="R1200">
        <v>0.22</v>
      </c>
      <c r="S1200">
        <v>36.409999999999997</v>
      </c>
      <c r="T1200" t="s">
        <v>41</v>
      </c>
      <c r="U1200" t="s">
        <v>1081</v>
      </c>
      <c r="V1200" t="s">
        <v>38</v>
      </c>
      <c r="W1200" t="s">
        <v>1082</v>
      </c>
      <c r="X1200">
        <v>16.079999999999998</v>
      </c>
      <c r="Y1200" s="9">
        <f t="shared" si="92"/>
        <v>16.085000000000001</v>
      </c>
      <c r="Z1200" s="9">
        <f t="shared" si="93"/>
        <v>30.159375000000001</v>
      </c>
      <c r="AA1200" s="5">
        <f t="shared" si="94"/>
        <v>33.507065625000003</v>
      </c>
      <c r="AB1200" s="6">
        <f t="shared" si="95"/>
        <v>48.855171562499997</v>
      </c>
      <c r="AD1200" s="10">
        <f t="shared" si="91"/>
        <v>61.170149156250005</v>
      </c>
    </row>
    <row r="1201" spans="1:30" x14ac:dyDescent="0.3">
      <c r="A1201" t="s">
        <v>30</v>
      </c>
      <c r="B1201" s="8" t="s">
        <v>156</v>
      </c>
      <c r="C1201" s="8" t="s">
        <v>32</v>
      </c>
      <c r="D1201" s="8" t="s">
        <v>69</v>
      </c>
      <c r="E1201" s="8" t="s">
        <v>70</v>
      </c>
      <c r="F1201" s="8" t="s">
        <v>71</v>
      </c>
      <c r="G1201">
        <v>2710193900</v>
      </c>
      <c r="H1201" t="s">
        <v>36</v>
      </c>
      <c r="I1201" t="s">
        <v>482</v>
      </c>
      <c r="J1201" t="s">
        <v>38</v>
      </c>
      <c r="K1201" t="s">
        <v>39</v>
      </c>
      <c r="L1201">
        <v>8</v>
      </c>
      <c r="M1201">
        <v>3</v>
      </c>
      <c r="N1201" t="s">
        <v>491</v>
      </c>
      <c r="O1201">
        <v>8.56</v>
      </c>
      <c r="P1201">
        <v>85.02</v>
      </c>
      <c r="Q1201">
        <v>5.57</v>
      </c>
      <c r="R1201">
        <v>0.55000000000000004</v>
      </c>
      <c r="S1201">
        <v>91.14</v>
      </c>
      <c r="T1201" t="s">
        <v>41</v>
      </c>
      <c r="U1201" t="s">
        <v>41</v>
      </c>
      <c r="V1201" t="s">
        <v>38</v>
      </c>
      <c r="W1201" t="s">
        <v>1083</v>
      </c>
      <c r="X1201">
        <v>28.34</v>
      </c>
      <c r="Y1201" s="9">
        <f t="shared" si="92"/>
        <v>28.34</v>
      </c>
      <c r="Z1201" s="9">
        <f t="shared" si="93"/>
        <v>53.137500000000003</v>
      </c>
      <c r="AA1201" s="5">
        <f t="shared" si="94"/>
        <v>59.035762500000004</v>
      </c>
      <c r="AB1201" s="6">
        <f t="shared" si="95"/>
        <v>86.077436250000005</v>
      </c>
      <c r="AD1201" s="10">
        <f t="shared" si="91"/>
        <v>107.77507162500001</v>
      </c>
    </row>
    <row r="1202" spans="1:30" x14ac:dyDescent="0.3">
      <c r="A1202" t="s">
        <v>30</v>
      </c>
      <c r="B1202" s="8" t="s">
        <v>156</v>
      </c>
      <c r="C1202" s="8" t="s">
        <v>32</v>
      </c>
      <c r="D1202" s="8" t="s">
        <v>33</v>
      </c>
      <c r="E1202" s="8" t="s">
        <v>34</v>
      </c>
      <c r="F1202" s="8" t="s">
        <v>35</v>
      </c>
      <c r="G1202">
        <v>2710193900</v>
      </c>
      <c r="H1202" t="s">
        <v>36</v>
      </c>
      <c r="I1202" t="s">
        <v>482</v>
      </c>
      <c r="J1202" t="s">
        <v>38</v>
      </c>
      <c r="K1202" t="s">
        <v>39</v>
      </c>
      <c r="L1202">
        <v>8</v>
      </c>
      <c r="M1202">
        <v>4</v>
      </c>
      <c r="N1202" t="s">
        <v>491</v>
      </c>
      <c r="O1202">
        <v>11.66</v>
      </c>
      <c r="P1202">
        <v>115.83</v>
      </c>
      <c r="Q1202">
        <v>14.51</v>
      </c>
      <c r="R1202">
        <v>0.79</v>
      </c>
      <c r="S1202">
        <v>131.13</v>
      </c>
      <c r="T1202" t="s">
        <v>41</v>
      </c>
      <c r="U1202" t="s">
        <v>1081</v>
      </c>
      <c r="V1202" t="s">
        <v>38</v>
      </c>
      <c r="W1202" t="s">
        <v>1083</v>
      </c>
      <c r="X1202">
        <v>28.96</v>
      </c>
      <c r="Y1202" s="9">
        <f t="shared" si="92"/>
        <v>28.9575</v>
      </c>
      <c r="Z1202" s="9">
        <f t="shared" si="93"/>
        <v>54.295312500000001</v>
      </c>
      <c r="AA1202" s="5">
        <f t="shared" si="94"/>
        <v>60.322092187500004</v>
      </c>
      <c r="AB1202" s="6">
        <f t="shared" si="95"/>
        <v>87.952976718749994</v>
      </c>
      <c r="AD1202" s="10">
        <f t="shared" ref="AD1202:AD1265" si="96">SUM(Z1202)*2.02823</f>
        <v>110.12338167187501</v>
      </c>
    </row>
    <row r="1203" spans="1:30" x14ac:dyDescent="0.3">
      <c r="A1203" t="s">
        <v>30</v>
      </c>
      <c r="B1203" s="8" t="s">
        <v>32</v>
      </c>
      <c r="C1203" s="8" t="s">
        <v>32</v>
      </c>
      <c r="D1203" s="8" t="s">
        <v>33</v>
      </c>
      <c r="E1203" s="8" t="s">
        <v>34</v>
      </c>
      <c r="F1203" s="8" t="s">
        <v>35</v>
      </c>
      <c r="G1203">
        <v>8414901000</v>
      </c>
      <c r="H1203" t="s">
        <v>302</v>
      </c>
      <c r="I1203" t="s">
        <v>1084</v>
      </c>
      <c r="J1203" t="s">
        <v>38</v>
      </c>
      <c r="K1203" t="s">
        <v>39</v>
      </c>
      <c r="L1203">
        <v>8</v>
      </c>
      <c r="M1203">
        <v>1</v>
      </c>
      <c r="N1203" t="s">
        <v>64</v>
      </c>
      <c r="O1203">
        <v>0</v>
      </c>
      <c r="P1203">
        <v>873.85</v>
      </c>
      <c r="Q1203">
        <v>93.28</v>
      </c>
      <c r="R1203">
        <v>5.86</v>
      </c>
      <c r="S1203">
        <v>972.98</v>
      </c>
      <c r="T1203" t="s">
        <v>41</v>
      </c>
      <c r="U1203" t="s">
        <v>41</v>
      </c>
      <c r="V1203" t="s">
        <v>38</v>
      </c>
      <c r="W1203" t="s">
        <v>1085</v>
      </c>
      <c r="X1203">
        <v>873.85</v>
      </c>
      <c r="Y1203" s="9">
        <f t="shared" si="92"/>
        <v>873.85</v>
      </c>
      <c r="Z1203" s="9">
        <f t="shared" si="93"/>
        <v>1638.46875</v>
      </c>
      <c r="AA1203" s="5">
        <f t="shared" si="94"/>
        <v>1820.33878125</v>
      </c>
      <c r="AB1203" s="6">
        <f t="shared" si="95"/>
        <v>2654.1555281249998</v>
      </c>
      <c r="AD1203" s="10">
        <f t="shared" si="96"/>
        <v>3323.1914728125003</v>
      </c>
    </row>
    <row r="1204" spans="1:30" x14ac:dyDescent="0.3">
      <c r="A1204" t="s">
        <v>168</v>
      </c>
      <c r="B1204" s="8" t="s">
        <v>32</v>
      </c>
      <c r="C1204" s="8" t="s">
        <v>32</v>
      </c>
      <c r="E1204" s="8" t="s">
        <v>70</v>
      </c>
      <c r="F1204" s="8" t="s">
        <v>71</v>
      </c>
      <c r="G1204">
        <v>8414901000</v>
      </c>
      <c r="H1204" t="s">
        <v>302</v>
      </c>
      <c r="I1204" t="s">
        <v>1086</v>
      </c>
      <c r="J1204" t="s">
        <v>38</v>
      </c>
      <c r="K1204" t="s">
        <v>39</v>
      </c>
      <c r="L1204">
        <v>0</v>
      </c>
      <c r="M1204">
        <v>1</v>
      </c>
      <c r="N1204" t="s">
        <v>64</v>
      </c>
      <c r="O1204">
        <v>0</v>
      </c>
      <c r="P1204">
        <v>802.51</v>
      </c>
      <c r="Q1204">
        <v>61.6</v>
      </c>
      <c r="R1204">
        <v>5.78</v>
      </c>
      <c r="S1204">
        <v>869.9</v>
      </c>
      <c r="T1204" t="s">
        <v>41</v>
      </c>
      <c r="U1204" t="s">
        <v>41</v>
      </c>
      <c r="V1204" t="s">
        <v>38</v>
      </c>
      <c r="W1204" t="s">
        <v>1085</v>
      </c>
      <c r="X1204">
        <v>802.51</v>
      </c>
      <c r="Y1204" s="9">
        <f t="shared" si="92"/>
        <v>802.51</v>
      </c>
      <c r="Z1204" s="9">
        <f t="shared" si="93"/>
        <v>1504.70625</v>
      </c>
      <c r="AA1204" s="5">
        <f t="shared" si="94"/>
        <v>1671.7286437499999</v>
      </c>
      <c r="AB1204" s="6">
        <f t="shared" si="95"/>
        <v>2437.4736543749996</v>
      </c>
      <c r="AD1204" s="10">
        <f t="shared" si="96"/>
        <v>3051.8903574375004</v>
      </c>
    </row>
    <row r="1205" spans="1:30" x14ac:dyDescent="0.3">
      <c r="A1205" t="s">
        <v>30</v>
      </c>
      <c r="B1205" s="8" t="s">
        <v>31</v>
      </c>
      <c r="C1205" s="8" t="s">
        <v>32</v>
      </c>
      <c r="D1205" s="8" t="s">
        <v>33</v>
      </c>
      <c r="E1205" s="8" t="s">
        <v>34</v>
      </c>
      <c r="F1205" s="8" t="s">
        <v>35</v>
      </c>
      <c r="G1205">
        <v>8421999000</v>
      </c>
      <c r="H1205" t="s">
        <v>36</v>
      </c>
      <c r="I1205" t="s">
        <v>228</v>
      </c>
      <c r="J1205" t="s">
        <v>38</v>
      </c>
      <c r="K1205" t="s">
        <v>39</v>
      </c>
      <c r="L1205">
        <v>8</v>
      </c>
      <c r="M1205">
        <v>5</v>
      </c>
      <c r="N1205" t="s">
        <v>64</v>
      </c>
      <c r="O1205">
        <v>0</v>
      </c>
      <c r="P1205">
        <v>103.2</v>
      </c>
      <c r="Q1205">
        <v>12.93</v>
      </c>
      <c r="R1205">
        <v>0.7</v>
      </c>
      <c r="S1205">
        <v>116.83</v>
      </c>
      <c r="T1205" t="s">
        <v>41</v>
      </c>
      <c r="U1205" t="s">
        <v>41</v>
      </c>
      <c r="V1205" t="s">
        <v>38</v>
      </c>
      <c r="W1205" t="s">
        <v>1087</v>
      </c>
      <c r="X1205">
        <v>20.64</v>
      </c>
      <c r="Y1205" s="9">
        <f t="shared" si="92"/>
        <v>20.64</v>
      </c>
      <c r="Z1205" s="9">
        <f t="shared" si="93"/>
        <v>38.700000000000003</v>
      </c>
      <c r="AA1205" s="5">
        <f t="shared" si="94"/>
        <v>42.995699999999999</v>
      </c>
      <c r="AB1205" s="6">
        <f t="shared" si="95"/>
        <v>62.690130000000003</v>
      </c>
      <c r="AD1205" s="10">
        <f t="shared" si="96"/>
        <v>78.492501000000019</v>
      </c>
    </row>
    <row r="1206" spans="1:30" x14ac:dyDescent="0.3">
      <c r="A1206" t="s">
        <v>30</v>
      </c>
      <c r="B1206" s="8" t="s">
        <v>31</v>
      </c>
      <c r="C1206" s="8" t="s">
        <v>32</v>
      </c>
      <c r="D1206" s="8" t="s">
        <v>33</v>
      </c>
      <c r="E1206" s="8" t="s">
        <v>34</v>
      </c>
      <c r="F1206" s="8" t="s">
        <v>35</v>
      </c>
      <c r="G1206">
        <v>8421999000</v>
      </c>
      <c r="H1206" t="s">
        <v>36</v>
      </c>
      <c r="I1206" t="s">
        <v>257</v>
      </c>
      <c r="J1206" t="s">
        <v>38</v>
      </c>
      <c r="K1206" t="s">
        <v>39</v>
      </c>
      <c r="L1206">
        <v>7</v>
      </c>
      <c r="M1206">
        <v>8</v>
      </c>
      <c r="N1206" t="s">
        <v>64</v>
      </c>
      <c r="O1206">
        <v>0</v>
      </c>
      <c r="P1206">
        <v>387.85</v>
      </c>
      <c r="Q1206">
        <v>61.28</v>
      </c>
      <c r="R1206">
        <v>2.39</v>
      </c>
      <c r="S1206">
        <v>451.52</v>
      </c>
      <c r="T1206" t="s">
        <v>41</v>
      </c>
      <c r="U1206" t="s">
        <v>41</v>
      </c>
      <c r="V1206" t="s">
        <v>38</v>
      </c>
      <c r="W1206" t="s">
        <v>1088</v>
      </c>
      <c r="X1206">
        <v>48.48</v>
      </c>
      <c r="Y1206" s="9">
        <f t="shared" si="92"/>
        <v>48.481250000000003</v>
      </c>
      <c r="Z1206" s="9">
        <f t="shared" si="93"/>
        <v>90.90234375</v>
      </c>
      <c r="AA1206" s="5">
        <f t="shared" si="94"/>
        <v>100.99250390624999</v>
      </c>
      <c r="AB1206" s="6">
        <f t="shared" si="95"/>
        <v>147.25270664062498</v>
      </c>
      <c r="AD1206" s="10">
        <f t="shared" si="96"/>
        <v>184.37086066406252</v>
      </c>
    </row>
    <row r="1207" spans="1:30" x14ac:dyDescent="0.3">
      <c r="A1207" t="s">
        <v>30</v>
      </c>
      <c r="B1207" s="8" t="s">
        <v>31</v>
      </c>
      <c r="C1207" s="8" t="s">
        <v>32</v>
      </c>
      <c r="D1207" s="8" t="s">
        <v>69</v>
      </c>
      <c r="E1207" s="8" t="s">
        <v>70</v>
      </c>
      <c r="F1207" s="8" t="s">
        <v>71</v>
      </c>
      <c r="G1207">
        <v>8421999000</v>
      </c>
      <c r="H1207" t="s">
        <v>36</v>
      </c>
      <c r="I1207" t="s">
        <v>166</v>
      </c>
      <c r="J1207" t="s">
        <v>38</v>
      </c>
      <c r="K1207" t="s">
        <v>39</v>
      </c>
      <c r="L1207">
        <v>9</v>
      </c>
      <c r="M1207">
        <v>4</v>
      </c>
      <c r="N1207" t="s">
        <v>64</v>
      </c>
      <c r="O1207">
        <v>0</v>
      </c>
      <c r="P1207">
        <v>168.6</v>
      </c>
      <c r="Q1207">
        <v>8.5</v>
      </c>
      <c r="R1207">
        <v>1.07</v>
      </c>
      <c r="S1207">
        <v>178.17</v>
      </c>
      <c r="T1207" t="s">
        <v>41</v>
      </c>
      <c r="U1207" t="s">
        <v>43</v>
      </c>
      <c r="V1207" t="s">
        <v>38</v>
      </c>
      <c r="W1207" t="s">
        <v>1088</v>
      </c>
      <c r="X1207">
        <v>42.15</v>
      </c>
      <c r="Y1207" s="9">
        <f t="shared" si="92"/>
        <v>42.15</v>
      </c>
      <c r="Z1207" s="9">
        <f t="shared" si="93"/>
        <v>79.03125</v>
      </c>
      <c r="AA1207" s="5">
        <f t="shared" si="94"/>
        <v>87.803718750000002</v>
      </c>
      <c r="AB1207" s="6">
        <f t="shared" si="95"/>
        <v>128.022721875</v>
      </c>
      <c r="AD1207" s="10">
        <f t="shared" si="96"/>
        <v>160.29355218750001</v>
      </c>
    </row>
    <row r="1208" spans="1:30" x14ac:dyDescent="0.3">
      <c r="A1208" t="s">
        <v>30</v>
      </c>
      <c r="B1208" s="8" t="s">
        <v>31</v>
      </c>
      <c r="C1208" s="8" t="s">
        <v>32</v>
      </c>
      <c r="D1208" s="8" t="s">
        <v>69</v>
      </c>
      <c r="E1208" s="8" t="s">
        <v>70</v>
      </c>
      <c r="F1208" s="8" t="s">
        <v>71</v>
      </c>
      <c r="G1208">
        <v>8421999000</v>
      </c>
      <c r="H1208" t="s">
        <v>36</v>
      </c>
      <c r="I1208" t="s">
        <v>1089</v>
      </c>
      <c r="J1208" t="s">
        <v>38</v>
      </c>
      <c r="K1208" t="s">
        <v>39</v>
      </c>
      <c r="L1208">
        <v>9</v>
      </c>
      <c r="M1208">
        <v>4</v>
      </c>
      <c r="N1208" t="s">
        <v>64</v>
      </c>
      <c r="O1208">
        <v>0</v>
      </c>
      <c r="P1208">
        <v>80.72</v>
      </c>
      <c r="Q1208">
        <v>4.07</v>
      </c>
      <c r="R1208">
        <v>0.51</v>
      </c>
      <c r="S1208">
        <v>85.3</v>
      </c>
      <c r="T1208" t="s">
        <v>41</v>
      </c>
      <c r="U1208" t="s">
        <v>43</v>
      </c>
      <c r="V1208" t="s">
        <v>38</v>
      </c>
      <c r="W1208" t="s">
        <v>1090</v>
      </c>
      <c r="X1208">
        <v>20.18</v>
      </c>
      <c r="Y1208" s="9">
        <f t="shared" si="92"/>
        <v>20.18</v>
      </c>
      <c r="Z1208" s="9">
        <f t="shared" si="93"/>
        <v>37.837499999999999</v>
      </c>
      <c r="AA1208" s="5">
        <f t="shared" si="94"/>
        <v>42.037462499999997</v>
      </c>
      <c r="AB1208" s="6">
        <f t="shared" si="95"/>
        <v>61.292966249999992</v>
      </c>
      <c r="AD1208" s="10">
        <f t="shared" si="96"/>
        <v>76.743152625000008</v>
      </c>
    </row>
    <row r="1209" spans="1:30" x14ac:dyDescent="0.3">
      <c r="A1209" t="s">
        <v>30</v>
      </c>
      <c r="B1209" s="8" t="s">
        <v>32</v>
      </c>
      <c r="C1209" s="8" t="s">
        <v>32</v>
      </c>
      <c r="D1209" s="8" t="s">
        <v>33</v>
      </c>
      <c r="E1209" s="8" t="s">
        <v>34</v>
      </c>
      <c r="F1209" s="8" t="s">
        <v>35</v>
      </c>
      <c r="G1209">
        <v>8487909000</v>
      </c>
      <c r="H1209" t="s">
        <v>424</v>
      </c>
      <c r="I1209" t="s">
        <v>1091</v>
      </c>
      <c r="J1209" t="s">
        <v>38</v>
      </c>
      <c r="K1209" t="s">
        <v>39</v>
      </c>
      <c r="L1209">
        <v>3</v>
      </c>
      <c r="M1209">
        <v>1</v>
      </c>
      <c r="N1209" t="s">
        <v>64</v>
      </c>
      <c r="O1209">
        <v>0</v>
      </c>
      <c r="P1209">
        <v>1162.3800000000001</v>
      </c>
      <c r="Q1209">
        <v>49.74</v>
      </c>
      <c r="R1209">
        <v>7.5</v>
      </c>
      <c r="S1209">
        <v>1219.6199999999999</v>
      </c>
      <c r="T1209" t="s">
        <v>41</v>
      </c>
      <c r="U1209" t="s">
        <v>43</v>
      </c>
      <c r="V1209" t="s">
        <v>38</v>
      </c>
      <c r="W1209" t="s">
        <v>1092</v>
      </c>
      <c r="X1209">
        <v>1162.3800000000001</v>
      </c>
      <c r="Y1209" s="9">
        <f t="shared" si="92"/>
        <v>1162.3800000000001</v>
      </c>
      <c r="Z1209" s="9">
        <f t="shared" si="93"/>
        <v>2179.4625000000001</v>
      </c>
      <c r="AA1209" s="5">
        <f t="shared" si="94"/>
        <v>2421.3828375000003</v>
      </c>
      <c r="AB1209" s="6">
        <f t="shared" si="95"/>
        <v>3530.51130375</v>
      </c>
      <c r="AD1209" s="10">
        <f t="shared" si="96"/>
        <v>4420.4512263750003</v>
      </c>
    </row>
    <row r="1210" spans="1:30" x14ac:dyDescent="0.3">
      <c r="A1210" t="s">
        <v>30</v>
      </c>
      <c r="B1210" s="8" t="s">
        <v>32</v>
      </c>
      <c r="C1210" s="8" t="s">
        <v>32</v>
      </c>
      <c r="D1210" s="8" t="s">
        <v>33</v>
      </c>
      <c r="E1210" s="8" t="s">
        <v>34</v>
      </c>
      <c r="F1210" s="8" t="s">
        <v>35</v>
      </c>
      <c r="G1210">
        <v>2818200000</v>
      </c>
      <c r="H1210" t="s">
        <v>1093</v>
      </c>
      <c r="I1210" t="s">
        <v>1094</v>
      </c>
      <c r="J1210" t="s">
        <v>38</v>
      </c>
      <c r="K1210" t="s">
        <v>39</v>
      </c>
      <c r="L1210">
        <v>16</v>
      </c>
      <c r="M1210">
        <v>1</v>
      </c>
      <c r="N1210" t="s">
        <v>40</v>
      </c>
      <c r="O1210">
        <v>0</v>
      </c>
      <c r="P1210">
        <v>2393.9</v>
      </c>
      <c r="Q1210">
        <v>330.4</v>
      </c>
      <c r="R1210">
        <v>15.97</v>
      </c>
      <c r="S1210">
        <v>2740.27</v>
      </c>
      <c r="T1210" t="s">
        <v>41</v>
      </c>
      <c r="U1210" t="s">
        <v>41</v>
      </c>
      <c r="V1210" t="s">
        <v>38</v>
      </c>
      <c r="W1210" t="s">
        <v>1095</v>
      </c>
      <c r="X1210">
        <v>2393.9</v>
      </c>
      <c r="Y1210" s="9">
        <f t="shared" si="92"/>
        <v>2393.9</v>
      </c>
      <c r="Z1210" s="9">
        <f t="shared" si="93"/>
        <v>4488.5625</v>
      </c>
      <c r="AA1210" s="5">
        <f t="shared" si="94"/>
        <v>4986.7929375000003</v>
      </c>
      <c r="AB1210" s="6">
        <f t="shared" si="95"/>
        <v>7271.0223937499995</v>
      </c>
      <c r="AD1210" s="10">
        <f t="shared" si="96"/>
        <v>9103.8371193750008</v>
      </c>
    </row>
    <row r="1211" spans="1:30" x14ac:dyDescent="0.3">
      <c r="A1211" t="s">
        <v>30</v>
      </c>
      <c r="B1211" s="8" t="s">
        <v>32</v>
      </c>
      <c r="C1211" s="8" t="s">
        <v>32</v>
      </c>
      <c r="D1211" s="8" t="s">
        <v>69</v>
      </c>
      <c r="E1211" s="8" t="s">
        <v>70</v>
      </c>
      <c r="F1211" s="8" t="s">
        <v>71</v>
      </c>
      <c r="G1211">
        <v>2818200000</v>
      </c>
      <c r="H1211" t="s">
        <v>405</v>
      </c>
      <c r="I1211" t="s">
        <v>1094</v>
      </c>
      <c r="J1211" t="s">
        <v>38</v>
      </c>
      <c r="K1211" t="s">
        <v>39</v>
      </c>
      <c r="L1211">
        <v>13</v>
      </c>
      <c r="M1211">
        <v>1</v>
      </c>
      <c r="N1211" t="s">
        <v>40</v>
      </c>
      <c r="O1211">
        <v>0</v>
      </c>
      <c r="P1211">
        <v>2333.4</v>
      </c>
      <c r="Q1211">
        <v>124.58</v>
      </c>
      <c r="R1211">
        <v>14.99</v>
      </c>
      <c r="S1211">
        <v>2472.9699999999998</v>
      </c>
      <c r="T1211" t="s">
        <v>72</v>
      </c>
      <c r="U1211" t="s">
        <v>72</v>
      </c>
      <c r="V1211" t="s">
        <v>38</v>
      </c>
      <c r="W1211" t="s">
        <v>1095</v>
      </c>
      <c r="X1211">
        <v>2333.4</v>
      </c>
      <c r="Y1211" s="9">
        <f t="shared" si="92"/>
        <v>2333.4</v>
      </c>
      <c r="Z1211" s="9">
        <f t="shared" si="93"/>
        <v>4375.125</v>
      </c>
      <c r="AA1211" s="5">
        <f t="shared" si="94"/>
        <v>4860.7638749999996</v>
      </c>
      <c r="AB1211" s="6">
        <f t="shared" si="95"/>
        <v>7087.2649874999997</v>
      </c>
      <c r="AD1211" s="10">
        <f t="shared" si="96"/>
        <v>8873.7597787500017</v>
      </c>
    </row>
    <row r="1212" spans="1:30" x14ac:dyDescent="0.3">
      <c r="A1212" t="s">
        <v>168</v>
      </c>
      <c r="B1212" s="8" t="s">
        <v>32</v>
      </c>
      <c r="C1212" s="8" t="s">
        <v>32</v>
      </c>
      <c r="D1212" s="8" t="s">
        <v>33</v>
      </c>
      <c r="E1212" s="8" t="s">
        <v>34</v>
      </c>
      <c r="F1212" s="8" t="s">
        <v>35</v>
      </c>
      <c r="G1212">
        <v>8421999000</v>
      </c>
      <c r="H1212" t="s">
        <v>36</v>
      </c>
      <c r="I1212" t="s">
        <v>539</v>
      </c>
      <c r="J1212" t="s">
        <v>38</v>
      </c>
      <c r="K1212" t="s">
        <v>39</v>
      </c>
      <c r="L1212">
        <v>11</v>
      </c>
      <c r="M1212">
        <v>10</v>
      </c>
      <c r="N1212" t="s">
        <v>64</v>
      </c>
      <c r="O1212">
        <v>0</v>
      </c>
      <c r="P1212">
        <v>798.41</v>
      </c>
      <c r="Q1212">
        <v>76.47</v>
      </c>
      <c r="R1212">
        <v>5.39</v>
      </c>
      <c r="S1212">
        <v>880.27</v>
      </c>
      <c r="T1212" t="s">
        <v>41</v>
      </c>
      <c r="U1212" t="s">
        <v>43</v>
      </c>
      <c r="V1212" t="s">
        <v>38</v>
      </c>
      <c r="W1212" t="s">
        <v>1096</v>
      </c>
      <c r="X1212">
        <v>79.84</v>
      </c>
      <c r="Y1212" s="9">
        <f t="shared" si="92"/>
        <v>79.840999999999994</v>
      </c>
      <c r="Z1212" s="9">
        <f t="shared" si="93"/>
        <v>149.701875</v>
      </c>
      <c r="AA1212" s="5">
        <f t="shared" si="94"/>
        <v>166.31878312500001</v>
      </c>
      <c r="AB1212" s="6">
        <f t="shared" si="95"/>
        <v>242.50206731249997</v>
      </c>
      <c r="AD1212" s="10">
        <f t="shared" si="96"/>
        <v>303.62983393125</v>
      </c>
    </row>
    <row r="1213" spans="1:30" x14ac:dyDescent="0.3">
      <c r="A1213" t="s">
        <v>30</v>
      </c>
      <c r="B1213" s="8" t="s">
        <v>32</v>
      </c>
      <c r="C1213" s="8" t="s">
        <v>32</v>
      </c>
      <c r="D1213" s="8" t="s">
        <v>69</v>
      </c>
      <c r="E1213" s="8" t="s">
        <v>70</v>
      </c>
      <c r="F1213" s="8" t="s">
        <v>71</v>
      </c>
      <c r="G1213">
        <v>8421999000</v>
      </c>
      <c r="H1213" t="s">
        <v>36</v>
      </c>
      <c r="I1213" t="s">
        <v>539</v>
      </c>
      <c r="J1213" t="s">
        <v>38</v>
      </c>
      <c r="K1213" t="s">
        <v>39</v>
      </c>
      <c r="L1213">
        <v>13</v>
      </c>
      <c r="M1213">
        <v>10</v>
      </c>
      <c r="N1213" t="s">
        <v>64</v>
      </c>
      <c r="O1213">
        <v>0</v>
      </c>
      <c r="P1213">
        <v>776</v>
      </c>
      <c r="Q1213">
        <v>41.43</v>
      </c>
      <c r="R1213">
        <v>4.99</v>
      </c>
      <c r="S1213">
        <v>822.42</v>
      </c>
      <c r="T1213" t="s">
        <v>72</v>
      </c>
      <c r="U1213" t="s">
        <v>72</v>
      </c>
      <c r="V1213" t="s">
        <v>38</v>
      </c>
      <c r="W1213" t="s">
        <v>1096</v>
      </c>
      <c r="X1213">
        <v>77.599999999999994</v>
      </c>
      <c r="Y1213" s="9">
        <f t="shared" si="92"/>
        <v>77.599999999999994</v>
      </c>
      <c r="Z1213" s="9">
        <f t="shared" si="93"/>
        <v>145.5</v>
      </c>
      <c r="AA1213" s="5">
        <f t="shared" si="94"/>
        <v>161.65049999999999</v>
      </c>
      <c r="AB1213" s="6">
        <f t="shared" si="95"/>
        <v>235.69544999999999</v>
      </c>
      <c r="AD1213" s="10">
        <f t="shared" si="96"/>
        <v>295.10746500000005</v>
      </c>
    </row>
    <row r="1214" spans="1:30" x14ac:dyDescent="0.3">
      <c r="A1214" t="s">
        <v>30</v>
      </c>
      <c r="B1214" s="8" t="s">
        <v>32</v>
      </c>
      <c r="C1214" s="8" t="s">
        <v>32</v>
      </c>
      <c r="D1214" s="8" t="s">
        <v>69</v>
      </c>
      <c r="E1214" s="8" t="s">
        <v>70</v>
      </c>
      <c r="F1214" s="8" t="s">
        <v>71</v>
      </c>
      <c r="G1214">
        <v>8421999000</v>
      </c>
      <c r="H1214" t="s">
        <v>36</v>
      </c>
      <c r="I1214" t="s">
        <v>539</v>
      </c>
      <c r="J1214" t="s">
        <v>38</v>
      </c>
      <c r="K1214" t="s">
        <v>39</v>
      </c>
      <c r="L1214">
        <v>8</v>
      </c>
      <c r="M1214">
        <v>10</v>
      </c>
      <c r="N1214" t="s">
        <v>64</v>
      </c>
      <c r="O1214">
        <v>0</v>
      </c>
      <c r="P1214">
        <v>776</v>
      </c>
      <c r="Q1214">
        <v>50.8</v>
      </c>
      <c r="R1214">
        <v>5.03</v>
      </c>
      <c r="S1214">
        <v>831.83</v>
      </c>
      <c r="T1214" t="s">
        <v>41</v>
      </c>
      <c r="U1214" t="s">
        <v>41</v>
      </c>
      <c r="V1214" t="s">
        <v>38</v>
      </c>
      <c r="W1214" t="s">
        <v>1096</v>
      </c>
      <c r="X1214">
        <v>77.599999999999994</v>
      </c>
      <c r="Y1214" s="9">
        <f t="shared" si="92"/>
        <v>77.599999999999994</v>
      </c>
      <c r="Z1214" s="9">
        <f t="shared" si="93"/>
        <v>145.5</v>
      </c>
      <c r="AA1214" s="5">
        <f t="shared" si="94"/>
        <v>161.65049999999999</v>
      </c>
      <c r="AB1214" s="6">
        <f t="shared" si="95"/>
        <v>235.69544999999999</v>
      </c>
      <c r="AD1214" s="10">
        <f t="shared" si="96"/>
        <v>295.10746500000005</v>
      </c>
    </row>
    <row r="1215" spans="1:30" x14ac:dyDescent="0.3">
      <c r="A1215" t="s">
        <v>30</v>
      </c>
      <c r="B1215" s="8" t="s">
        <v>32</v>
      </c>
      <c r="C1215" s="8" t="s">
        <v>32</v>
      </c>
      <c r="D1215" s="8" t="s">
        <v>33</v>
      </c>
      <c r="E1215" s="8" t="s">
        <v>34</v>
      </c>
      <c r="F1215" s="8" t="s">
        <v>35</v>
      </c>
      <c r="G1215">
        <v>8421999000</v>
      </c>
      <c r="H1215" t="s">
        <v>36</v>
      </c>
      <c r="I1215" t="s">
        <v>478</v>
      </c>
      <c r="J1215" t="s">
        <v>38</v>
      </c>
      <c r="K1215" t="s">
        <v>39</v>
      </c>
      <c r="L1215">
        <v>8</v>
      </c>
      <c r="M1215">
        <v>8</v>
      </c>
      <c r="N1215" t="s">
        <v>64</v>
      </c>
      <c r="O1215">
        <v>0</v>
      </c>
      <c r="P1215">
        <v>634.89</v>
      </c>
      <c r="Q1215">
        <v>67.77</v>
      </c>
      <c r="R1215">
        <v>4.26</v>
      </c>
      <c r="S1215">
        <v>706.92</v>
      </c>
      <c r="T1215" t="s">
        <v>41</v>
      </c>
      <c r="U1215" t="s">
        <v>41</v>
      </c>
      <c r="V1215" t="s">
        <v>38</v>
      </c>
      <c r="W1215" t="s">
        <v>1096</v>
      </c>
      <c r="X1215">
        <v>79.36</v>
      </c>
      <c r="Y1215" s="9">
        <f t="shared" si="92"/>
        <v>79.361249999999998</v>
      </c>
      <c r="Z1215" s="9">
        <f t="shared" si="93"/>
        <v>148.80234375000001</v>
      </c>
      <c r="AA1215" s="5">
        <f t="shared" si="94"/>
        <v>165.31940390625002</v>
      </c>
      <c r="AB1215" s="6">
        <f t="shared" si="95"/>
        <v>241.04491664062499</v>
      </c>
      <c r="AD1215" s="10">
        <f t="shared" si="96"/>
        <v>301.80537766406252</v>
      </c>
    </row>
    <row r="1216" spans="1:30" x14ac:dyDescent="0.3">
      <c r="A1216" t="s">
        <v>168</v>
      </c>
      <c r="B1216" s="8" t="s">
        <v>32</v>
      </c>
      <c r="C1216" s="8" t="s">
        <v>32</v>
      </c>
      <c r="E1216" s="8" t="s">
        <v>70</v>
      </c>
      <c r="F1216" s="8" t="s">
        <v>71</v>
      </c>
      <c r="G1216">
        <v>8421999000</v>
      </c>
      <c r="H1216" t="s">
        <v>36</v>
      </c>
      <c r="I1216" t="s">
        <v>539</v>
      </c>
      <c r="J1216" t="s">
        <v>38</v>
      </c>
      <c r="K1216" t="s">
        <v>39</v>
      </c>
      <c r="L1216">
        <v>0</v>
      </c>
      <c r="M1216">
        <v>10</v>
      </c>
      <c r="N1216" t="s">
        <v>64</v>
      </c>
      <c r="O1216">
        <v>0</v>
      </c>
      <c r="P1216">
        <v>672.06</v>
      </c>
      <c r="Q1216">
        <v>51.59</v>
      </c>
      <c r="R1216">
        <v>4.84</v>
      </c>
      <c r="S1216">
        <v>728.5</v>
      </c>
      <c r="T1216" t="s">
        <v>41</v>
      </c>
      <c r="U1216" t="s">
        <v>41</v>
      </c>
      <c r="V1216" t="s">
        <v>38</v>
      </c>
      <c r="W1216" t="s">
        <v>1096</v>
      </c>
      <c r="X1216">
        <v>67.209999999999994</v>
      </c>
      <c r="Y1216" s="9">
        <f t="shared" si="92"/>
        <v>67.205999999999989</v>
      </c>
      <c r="Z1216" s="9">
        <f t="shared" si="93"/>
        <v>126.01124999999998</v>
      </c>
      <c r="AA1216" s="5">
        <f t="shared" si="94"/>
        <v>139.99849874999998</v>
      </c>
      <c r="AB1216" s="6">
        <f t="shared" si="95"/>
        <v>204.12562387499995</v>
      </c>
      <c r="AD1216" s="10">
        <f t="shared" si="96"/>
        <v>255.57979758749997</v>
      </c>
    </row>
    <row r="1217" spans="1:30" x14ac:dyDescent="0.3">
      <c r="A1217" t="s">
        <v>30</v>
      </c>
      <c r="B1217" s="8" t="s">
        <v>32</v>
      </c>
      <c r="C1217" s="8" t="s">
        <v>32</v>
      </c>
      <c r="D1217" s="8" t="s">
        <v>33</v>
      </c>
      <c r="E1217" s="8" t="s">
        <v>34</v>
      </c>
      <c r="F1217" s="8" t="s">
        <v>35</v>
      </c>
      <c r="G1217">
        <v>8481809990</v>
      </c>
      <c r="H1217" t="s">
        <v>53</v>
      </c>
      <c r="I1217" t="s">
        <v>692</v>
      </c>
      <c r="J1217" t="s">
        <v>38</v>
      </c>
      <c r="K1217" t="s">
        <v>39</v>
      </c>
      <c r="L1217">
        <v>12</v>
      </c>
      <c r="M1217">
        <v>1</v>
      </c>
      <c r="N1217" t="s">
        <v>64</v>
      </c>
      <c r="O1217">
        <v>0</v>
      </c>
      <c r="P1217">
        <v>596.65</v>
      </c>
      <c r="Q1217">
        <v>68.510000000000005</v>
      </c>
      <c r="R1217">
        <v>3.97</v>
      </c>
      <c r="S1217">
        <v>669.14</v>
      </c>
      <c r="T1217" t="s">
        <v>41</v>
      </c>
      <c r="U1217" t="s">
        <v>41</v>
      </c>
      <c r="V1217" t="s">
        <v>38</v>
      </c>
      <c r="W1217" t="s">
        <v>1097</v>
      </c>
      <c r="X1217">
        <v>596.65</v>
      </c>
      <c r="Y1217" s="9">
        <f t="shared" si="92"/>
        <v>596.65</v>
      </c>
      <c r="Z1217" s="9">
        <f t="shared" si="93"/>
        <v>1118.71875</v>
      </c>
      <c r="AA1217" s="5">
        <f t="shared" si="94"/>
        <v>1242.89653125</v>
      </c>
      <c r="AB1217" s="6">
        <f t="shared" si="95"/>
        <v>1812.2125031249998</v>
      </c>
      <c r="AD1217" s="10">
        <f t="shared" si="96"/>
        <v>2269.0189303125003</v>
      </c>
    </row>
    <row r="1218" spans="1:30" x14ac:dyDescent="0.3">
      <c r="A1218" t="s">
        <v>30</v>
      </c>
      <c r="B1218" s="8" t="s">
        <v>32</v>
      </c>
      <c r="C1218" s="8" t="s">
        <v>32</v>
      </c>
      <c r="D1218" s="8" t="s">
        <v>69</v>
      </c>
      <c r="E1218" s="8" t="s">
        <v>70</v>
      </c>
      <c r="F1218" s="8" t="s">
        <v>71</v>
      </c>
      <c r="G1218">
        <v>8421299090</v>
      </c>
      <c r="H1218" t="s">
        <v>36</v>
      </c>
      <c r="I1218" t="s">
        <v>746</v>
      </c>
      <c r="J1218" t="s">
        <v>38</v>
      </c>
      <c r="K1218" t="s">
        <v>39</v>
      </c>
      <c r="L1218">
        <v>13</v>
      </c>
      <c r="M1218">
        <v>2</v>
      </c>
      <c r="N1218" t="s">
        <v>64</v>
      </c>
      <c r="O1218">
        <v>0</v>
      </c>
      <c r="P1218">
        <v>859.96</v>
      </c>
      <c r="Q1218">
        <v>61.06</v>
      </c>
      <c r="R1218">
        <v>5.62</v>
      </c>
      <c r="S1218">
        <v>926.64</v>
      </c>
      <c r="T1218" t="s">
        <v>41</v>
      </c>
      <c r="U1218" t="s">
        <v>41</v>
      </c>
      <c r="V1218" t="s">
        <v>38</v>
      </c>
      <c r="W1218" t="s">
        <v>1098</v>
      </c>
      <c r="X1218">
        <v>429.98</v>
      </c>
      <c r="Y1218" s="9">
        <f t="shared" si="92"/>
        <v>429.98</v>
      </c>
      <c r="Z1218" s="9">
        <f t="shared" si="93"/>
        <v>806.21250000000009</v>
      </c>
      <c r="AA1218" s="5">
        <f t="shared" si="94"/>
        <v>895.70208750000006</v>
      </c>
      <c r="AB1218" s="6">
        <f t="shared" si="95"/>
        <v>1305.98362875</v>
      </c>
      <c r="AD1218" s="10">
        <f t="shared" si="96"/>
        <v>1635.1843788750004</v>
      </c>
    </row>
    <row r="1219" spans="1:30" x14ac:dyDescent="0.3">
      <c r="A1219" t="s">
        <v>30</v>
      </c>
      <c r="B1219" s="8" t="s">
        <v>32</v>
      </c>
      <c r="C1219" s="8" t="s">
        <v>32</v>
      </c>
      <c r="D1219" s="8" t="s">
        <v>69</v>
      </c>
      <c r="E1219" s="8" t="s">
        <v>70</v>
      </c>
      <c r="F1219" s="8" t="s">
        <v>71</v>
      </c>
      <c r="G1219">
        <v>8481909090</v>
      </c>
      <c r="H1219" t="s">
        <v>238</v>
      </c>
      <c r="I1219" t="s">
        <v>746</v>
      </c>
      <c r="J1219" t="s">
        <v>38</v>
      </c>
      <c r="K1219" t="s">
        <v>39</v>
      </c>
      <c r="L1219">
        <v>13</v>
      </c>
      <c r="M1219">
        <v>1</v>
      </c>
      <c r="N1219" t="s">
        <v>64</v>
      </c>
      <c r="O1219">
        <v>0</v>
      </c>
      <c r="P1219">
        <v>494.07</v>
      </c>
      <c r="Q1219">
        <v>35.08</v>
      </c>
      <c r="R1219">
        <v>3.23</v>
      </c>
      <c r="S1219">
        <v>532.38</v>
      </c>
      <c r="T1219" t="s">
        <v>41</v>
      </c>
      <c r="U1219" t="s">
        <v>41</v>
      </c>
      <c r="V1219" t="s">
        <v>38</v>
      </c>
      <c r="W1219" t="s">
        <v>1099</v>
      </c>
      <c r="X1219">
        <v>494.07</v>
      </c>
      <c r="Y1219" s="9">
        <f t="shared" ref="Y1219:Y1282" si="97">SUM(P1219)/M1219</f>
        <v>494.07</v>
      </c>
      <c r="Z1219" s="9">
        <f t="shared" ref="Z1219:Z1282" si="98">SUM(Y1219)*1.875</f>
        <v>926.38125000000002</v>
      </c>
      <c r="AA1219" s="5">
        <f t="shared" ref="AA1219:AA1282" si="99">SUM(Z1219)*1.111</f>
        <v>1029.20956875</v>
      </c>
      <c r="AB1219" s="6">
        <f t="shared" ref="AB1219:AB1282" si="100">SUM(Z1219)*1.6199</f>
        <v>1500.6449868749999</v>
      </c>
      <c r="AD1219" s="10">
        <f t="shared" si="96"/>
        <v>1878.9142426875003</v>
      </c>
    </row>
    <row r="1220" spans="1:30" x14ac:dyDescent="0.3">
      <c r="A1220" t="s">
        <v>30</v>
      </c>
      <c r="B1220" s="8" t="s">
        <v>32</v>
      </c>
      <c r="C1220" s="8" t="s">
        <v>32</v>
      </c>
      <c r="D1220" s="8" t="s">
        <v>69</v>
      </c>
      <c r="E1220" s="8" t="s">
        <v>70</v>
      </c>
      <c r="F1220" s="8" t="s">
        <v>71</v>
      </c>
      <c r="G1220">
        <v>8481909090</v>
      </c>
      <c r="H1220" t="s">
        <v>238</v>
      </c>
      <c r="I1220" t="s">
        <v>746</v>
      </c>
      <c r="J1220" t="s">
        <v>38</v>
      </c>
      <c r="K1220" t="s">
        <v>39</v>
      </c>
      <c r="L1220">
        <v>13</v>
      </c>
      <c r="M1220">
        <v>1</v>
      </c>
      <c r="N1220" t="s">
        <v>64</v>
      </c>
      <c r="O1220">
        <v>0</v>
      </c>
      <c r="P1220">
        <v>494.07</v>
      </c>
      <c r="Q1220">
        <v>35.08</v>
      </c>
      <c r="R1220">
        <v>3.23</v>
      </c>
      <c r="S1220">
        <v>532.38</v>
      </c>
      <c r="T1220" t="s">
        <v>41</v>
      </c>
      <c r="U1220" t="s">
        <v>41</v>
      </c>
      <c r="V1220" t="s">
        <v>38</v>
      </c>
      <c r="W1220" t="s">
        <v>1099</v>
      </c>
      <c r="X1220">
        <v>494.07</v>
      </c>
      <c r="Y1220" s="9">
        <f t="shared" si="97"/>
        <v>494.07</v>
      </c>
      <c r="Z1220" s="9">
        <f t="shared" si="98"/>
        <v>926.38125000000002</v>
      </c>
      <c r="AA1220" s="5">
        <f t="shared" si="99"/>
        <v>1029.20956875</v>
      </c>
      <c r="AB1220" s="6">
        <f t="shared" si="100"/>
        <v>1500.6449868749999</v>
      </c>
      <c r="AD1220" s="10">
        <f t="shared" si="96"/>
        <v>1878.9142426875003</v>
      </c>
    </row>
    <row r="1221" spans="1:30" x14ac:dyDescent="0.3">
      <c r="A1221" t="s">
        <v>30</v>
      </c>
      <c r="B1221" s="8" t="s">
        <v>32</v>
      </c>
      <c r="C1221" s="8" t="s">
        <v>32</v>
      </c>
      <c r="D1221" s="8" t="s">
        <v>69</v>
      </c>
      <c r="E1221" s="8" t="s">
        <v>70</v>
      </c>
      <c r="F1221" s="8" t="s">
        <v>71</v>
      </c>
      <c r="G1221">
        <v>8481909090</v>
      </c>
      <c r="H1221" t="s">
        <v>238</v>
      </c>
      <c r="I1221" t="s">
        <v>746</v>
      </c>
      <c r="J1221" t="s">
        <v>38</v>
      </c>
      <c r="K1221" t="s">
        <v>39</v>
      </c>
      <c r="L1221">
        <v>13</v>
      </c>
      <c r="M1221">
        <v>1</v>
      </c>
      <c r="N1221" t="s">
        <v>64</v>
      </c>
      <c r="O1221">
        <v>0</v>
      </c>
      <c r="P1221">
        <v>439.76</v>
      </c>
      <c r="Q1221">
        <v>31.22</v>
      </c>
      <c r="R1221">
        <v>2.88</v>
      </c>
      <c r="S1221">
        <v>473.86</v>
      </c>
      <c r="T1221" t="s">
        <v>41</v>
      </c>
      <c r="U1221" t="s">
        <v>41</v>
      </c>
      <c r="V1221" t="s">
        <v>38</v>
      </c>
      <c r="W1221" t="s">
        <v>1099</v>
      </c>
      <c r="X1221">
        <v>439.76</v>
      </c>
      <c r="Y1221" s="9">
        <f t="shared" si="97"/>
        <v>439.76</v>
      </c>
      <c r="Z1221" s="9">
        <f t="shared" si="98"/>
        <v>824.55</v>
      </c>
      <c r="AA1221" s="5">
        <f t="shared" si="99"/>
        <v>916.07504999999992</v>
      </c>
      <c r="AB1221" s="6">
        <f t="shared" si="100"/>
        <v>1335.6885449999997</v>
      </c>
      <c r="AD1221" s="10">
        <f t="shared" si="96"/>
        <v>1672.3770465</v>
      </c>
    </row>
    <row r="1222" spans="1:30" x14ac:dyDescent="0.3">
      <c r="A1222" t="s">
        <v>30</v>
      </c>
      <c r="B1222" s="8" t="s">
        <v>32</v>
      </c>
      <c r="C1222" s="8" t="s">
        <v>32</v>
      </c>
      <c r="D1222" s="8" t="s">
        <v>69</v>
      </c>
      <c r="E1222" s="8" t="s">
        <v>70</v>
      </c>
      <c r="F1222" s="8" t="s">
        <v>71</v>
      </c>
      <c r="G1222">
        <v>8481909090</v>
      </c>
      <c r="H1222" t="s">
        <v>238</v>
      </c>
      <c r="I1222" t="s">
        <v>746</v>
      </c>
      <c r="J1222" t="s">
        <v>38</v>
      </c>
      <c r="K1222" t="s">
        <v>39</v>
      </c>
      <c r="L1222">
        <v>13</v>
      </c>
      <c r="M1222">
        <v>1</v>
      </c>
      <c r="N1222" t="s">
        <v>64</v>
      </c>
      <c r="O1222">
        <v>0</v>
      </c>
      <c r="P1222">
        <v>439.76</v>
      </c>
      <c r="Q1222">
        <v>31.22</v>
      </c>
      <c r="R1222">
        <v>2.88</v>
      </c>
      <c r="S1222">
        <v>473.86</v>
      </c>
      <c r="T1222" t="s">
        <v>41</v>
      </c>
      <c r="U1222" t="s">
        <v>41</v>
      </c>
      <c r="V1222" t="s">
        <v>38</v>
      </c>
      <c r="W1222" t="s">
        <v>1099</v>
      </c>
      <c r="X1222">
        <v>439.76</v>
      </c>
      <c r="Y1222" s="9">
        <f t="shared" si="97"/>
        <v>439.76</v>
      </c>
      <c r="Z1222" s="9">
        <f t="shared" si="98"/>
        <v>824.55</v>
      </c>
      <c r="AA1222" s="5">
        <f t="shared" si="99"/>
        <v>916.07504999999992</v>
      </c>
      <c r="AB1222" s="6">
        <f t="shared" si="100"/>
        <v>1335.6885449999997</v>
      </c>
      <c r="AD1222" s="10">
        <f t="shared" si="96"/>
        <v>1672.3770465</v>
      </c>
    </row>
    <row r="1223" spans="1:30" x14ac:dyDescent="0.3">
      <c r="A1223" t="s">
        <v>30</v>
      </c>
      <c r="B1223" s="8" t="s">
        <v>32</v>
      </c>
      <c r="C1223" s="8" t="s">
        <v>32</v>
      </c>
      <c r="D1223" s="8" t="s">
        <v>33</v>
      </c>
      <c r="E1223" s="8" t="s">
        <v>34</v>
      </c>
      <c r="F1223" s="8" t="s">
        <v>35</v>
      </c>
      <c r="G1223">
        <v>8481909090</v>
      </c>
      <c r="H1223" t="s">
        <v>53</v>
      </c>
      <c r="I1223" t="s">
        <v>746</v>
      </c>
      <c r="J1223" t="s">
        <v>38</v>
      </c>
      <c r="K1223" t="s">
        <v>39</v>
      </c>
      <c r="L1223">
        <v>4</v>
      </c>
      <c r="M1223">
        <v>1</v>
      </c>
      <c r="N1223" t="s">
        <v>64</v>
      </c>
      <c r="O1223">
        <v>0</v>
      </c>
      <c r="P1223">
        <v>423.59</v>
      </c>
      <c r="Q1223">
        <v>22.18</v>
      </c>
      <c r="R1223">
        <v>2.76</v>
      </c>
      <c r="S1223">
        <v>448.53</v>
      </c>
      <c r="T1223" t="s">
        <v>41</v>
      </c>
      <c r="U1223" t="s">
        <v>41</v>
      </c>
      <c r="V1223" t="s">
        <v>38</v>
      </c>
      <c r="W1223" t="s">
        <v>1100</v>
      </c>
      <c r="X1223">
        <v>423.59</v>
      </c>
      <c r="Y1223" s="9">
        <f t="shared" si="97"/>
        <v>423.59</v>
      </c>
      <c r="Z1223" s="9">
        <f t="shared" si="98"/>
        <v>794.23124999999993</v>
      </c>
      <c r="AA1223" s="5">
        <f t="shared" si="99"/>
        <v>882.39091874999997</v>
      </c>
      <c r="AB1223" s="6">
        <f t="shared" si="100"/>
        <v>1286.5752018749997</v>
      </c>
      <c r="AD1223" s="10">
        <f t="shared" si="96"/>
        <v>1610.8836481875001</v>
      </c>
    </row>
    <row r="1224" spans="1:30" x14ac:dyDescent="0.3">
      <c r="A1224" t="s">
        <v>30</v>
      </c>
      <c r="B1224" s="8" t="s">
        <v>32</v>
      </c>
      <c r="C1224" s="8" t="s">
        <v>32</v>
      </c>
      <c r="D1224" s="8" t="s">
        <v>69</v>
      </c>
      <c r="E1224" s="8" t="s">
        <v>70</v>
      </c>
      <c r="F1224" s="8" t="s">
        <v>71</v>
      </c>
      <c r="G1224">
        <v>3926904000</v>
      </c>
      <c r="H1224" t="s">
        <v>141</v>
      </c>
      <c r="I1224" t="s">
        <v>1101</v>
      </c>
      <c r="J1224" t="s">
        <v>38</v>
      </c>
      <c r="K1224" t="s">
        <v>39</v>
      </c>
      <c r="L1224">
        <v>13</v>
      </c>
      <c r="M1224">
        <v>2</v>
      </c>
      <c r="N1224" t="s">
        <v>64</v>
      </c>
      <c r="O1224">
        <v>142.75</v>
      </c>
      <c r="P1224">
        <v>709.2</v>
      </c>
      <c r="Q1224">
        <v>37.86</v>
      </c>
      <c r="R1224">
        <v>4.5599999999999996</v>
      </c>
      <c r="S1224">
        <v>751.62</v>
      </c>
      <c r="T1224" t="s">
        <v>72</v>
      </c>
      <c r="U1224" t="s">
        <v>72</v>
      </c>
      <c r="V1224" t="s">
        <v>38</v>
      </c>
      <c r="W1224" t="s">
        <v>1102</v>
      </c>
      <c r="X1224">
        <v>354.6</v>
      </c>
      <c r="Y1224" s="9">
        <f t="shared" si="97"/>
        <v>354.6</v>
      </c>
      <c r="Z1224" s="9">
        <f t="shared" si="98"/>
        <v>664.875</v>
      </c>
      <c r="AA1224" s="5">
        <f t="shared" si="99"/>
        <v>738.67612499999996</v>
      </c>
      <c r="AB1224" s="6">
        <f t="shared" si="100"/>
        <v>1077.0310124999999</v>
      </c>
      <c r="AD1224" s="10">
        <f t="shared" si="96"/>
        <v>1348.5194212500001</v>
      </c>
    </row>
    <row r="1225" spans="1:30" x14ac:dyDescent="0.3">
      <c r="A1225" t="s">
        <v>30</v>
      </c>
      <c r="B1225" s="8" t="s">
        <v>32</v>
      </c>
      <c r="C1225" s="8" t="s">
        <v>32</v>
      </c>
      <c r="D1225" s="8" t="s">
        <v>69</v>
      </c>
      <c r="E1225" s="8" t="s">
        <v>70</v>
      </c>
      <c r="F1225" s="8" t="s">
        <v>71</v>
      </c>
      <c r="G1225">
        <v>7616999090</v>
      </c>
      <c r="H1225" t="s">
        <v>36</v>
      </c>
      <c r="I1225" t="s">
        <v>1103</v>
      </c>
      <c r="J1225" t="s">
        <v>38</v>
      </c>
      <c r="K1225" t="s">
        <v>39</v>
      </c>
      <c r="L1225">
        <v>9</v>
      </c>
      <c r="M1225">
        <v>1</v>
      </c>
      <c r="N1225" t="s">
        <v>40</v>
      </c>
      <c r="O1225">
        <v>31.36</v>
      </c>
      <c r="P1225">
        <v>311.58999999999997</v>
      </c>
      <c r="Q1225">
        <v>15.7</v>
      </c>
      <c r="R1225">
        <v>1.98</v>
      </c>
      <c r="S1225">
        <v>329.27</v>
      </c>
      <c r="T1225" t="s">
        <v>41</v>
      </c>
      <c r="U1225" t="s">
        <v>43</v>
      </c>
      <c r="V1225" t="s">
        <v>38</v>
      </c>
      <c r="W1225" t="s">
        <v>1104</v>
      </c>
      <c r="X1225">
        <v>311.58999999999997</v>
      </c>
      <c r="Y1225" s="9">
        <f t="shared" si="97"/>
        <v>311.58999999999997</v>
      </c>
      <c r="Z1225" s="9">
        <f t="shared" si="98"/>
        <v>584.23124999999993</v>
      </c>
      <c r="AA1225" s="5">
        <f t="shared" si="99"/>
        <v>649.08091874999991</v>
      </c>
      <c r="AB1225" s="6">
        <f t="shared" si="100"/>
        <v>946.39620187499986</v>
      </c>
      <c r="AD1225" s="10">
        <f t="shared" si="96"/>
        <v>1184.9553481875</v>
      </c>
    </row>
    <row r="1226" spans="1:30" x14ac:dyDescent="0.3">
      <c r="A1226" t="s">
        <v>30</v>
      </c>
      <c r="B1226" s="8" t="s">
        <v>32</v>
      </c>
      <c r="C1226" s="8" t="s">
        <v>32</v>
      </c>
      <c r="D1226" s="8" t="s">
        <v>69</v>
      </c>
      <c r="E1226" s="8" t="s">
        <v>70</v>
      </c>
      <c r="F1226" s="8" t="s">
        <v>71</v>
      </c>
      <c r="G1226">
        <v>7616999090</v>
      </c>
      <c r="H1226" t="s">
        <v>36</v>
      </c>
      <c r="I1226" t="s">
        <v>1103</v>
      </c>
      <c r="J1226" t="s">
        <v>38</v>
      </c>
      <c r="K1226" t="s">
        <v>39</v>
      </c>
      <c r="L1226">
        <v>9</v>
      </c>
      <c r="M1226">
        <v>2</v>
      </c>
      <c r="N1226" t="s">
        <v>40</v>
      </c>
      <c r="O1226">
        <v>68.56</v>
      </c>
      <c r="P1226">
        <v>681.32</v>
      </c>
      <c r="Q1226">
        <v>34.33</v>
      </c>
      <c r="R1226">
        <v>4.33</v>
      </c>
      <c r="S1226">
        <v>719.98</v>
      </c>
      <c r="T1226" t="s">
        <v>41</v>
      </c>
      <c r="U1226" t="s">
        <v>43</v>
      </c>
      <c r="V1226" t="s">
        <v>38</v>
      </c>
      <c r="W1226" t="s">
        <v>1105</v>
      </c>
      <c r="X1226">
        <v>340.66</v>
      </c>
      <c r="Y1226" s="9">
        <f t="shared" si="97"/>
        <v>340.66</v>
      </c>
      <c r="Z1226" s="9">
        <f t="shared" si="98"/>
        <v>638.73750000000007</v>
      </c>
      <c r="AA1226" s="5">
        <f t="shared" si="99"/>
        <v>709.63736250000011</v>
      </c>
      <c r="AB1226" s="6">
        <f t="shared" si="100"/>
        <v>1034.69087625</v>
      </c>
      <c r="AD1226" s="10">
        <f t="shared" si="96"/>
        <v>1295.5065596250004</v>
      </c>
    </row>
    <row r="1227" spans="1:30" x14ac:dyDescent="0.3">
      <c r="A1227" t="s">
        <v>30</v>
      </c>
      <c r="B1227" s="8" t="s">
        <v>32</v>
      </c>
      <c r="C1227" s="8" t="s">
        <v>32</v>
      </c>
      <c r="D1227" s="8" t="s">
        <v>33</v>
      </c>
      <c r="E1227" s="8" t="s">
        <v>34</v>
      </c>
      <c r="F1227" s="8" t="s">
        <v>35</v>
      </c>
      <c r="G1227">
        <v>8481909090</v>
      </c>
      <c r="H1227" t="s">
        <v>238</v>
      </c>
      <c r="I1227" t="s">
        <v>863</v>
      </c>
      <c r="J1227" t="s">
        <v>38</v>
      </c>
      <c r="K1227" t="s">
        <v>39</v>
      </c>
      <c r="L1227">
        <v>6</v>
      </c>
      <c r="M1227">
        <v>1</v>
      </c>
      <c r="N1227" t="s">
        <v>64</v>
      </c>
      <c r="O1227">
        <v>0</v>
      </c>
      <c r="P1227">
        <v>726.19</v>
      </c>
      <c r="Q1227">
        <v>87.82</v>
      </c>
      <c r="R1227">
        <v>5.0599999999999996</v>
      </c>
      <c r="S1227">
        <v>819.07</v>
      </c>
      <c r="T1227" t="s">
        <v>41</v>
      </c>
      <c r="U1227" t="s">
        <v>43</v>
      </c>
      <c r="V1227" t="s">
        <v>38</v>
      </c>
      <c r="W1227" t="s">
        <v>1106</v>
      </c>
      <c r="X1227">
        <v>726.19</v>
      </c>
      <c r="Y1227" s="9">
        <f t="shared" si="97"/>
        <v>726.19</v>
      </c>
      <c r="Z1227" s="9">
        <f t="shared" si="98"/>
        <v>1361.60625</v>
      </c>
      <c r="AA1227" s="5">
        <f t="shared" si="99"/>
        <v>1512.74454375</v>
      </c>
      <c r="AB1227" s="6">
        <f t="shared" si="100"/>
        <v>2205.6659643749999</v>
      </c>
      <c r="AD1227" s="10">
        <f t="shared" si="96"/>
        <v>2761.6506444375004</v>
      </c>
    </row>
    <row r="1228" spans="1:30" x14ac:dyDescent="0.3">
      <c r="A1228" t="s">
        <v>30</v>
      </c>
      <c r="B1228" s="8" t="s">
        <v>32</v>
      </c>
      <c r="C1228" s="8" t="s">
        <v>32</v>
      </c>
      <c r="D1228" s="8" t="s">
        <v>33</v>
      </c>
      <c r="E1228" s="8" t="s">
        <v>34</v>
      </c>
      <c r="F1228" s="8" t="s">
        <v>35</v>
      </c>
      <c r="G1228">
        <v>8487909000</v>
      </c>
      <c r="H1228" t="s">
        <v>36</v>
      </c>
      <c r="I1228" t="s">
        <v>644</v>
      </c>
      <c r="J1228" t="s">
        <v>38</v>
      </c>
      <c r="K1228" t="s">
        <v>39</v>
      </c>
      <c r="L1228">
        <v>10</v>
      </c>
      <c r="M1228">
        <v>2</v>
      </c>
      <c r="N1228" t="s">
        <v>64</v>
      </c>
      <c r="O1228">
        <v>0</v>
      </c>
      <c r="P1228">
        <v>875.53</v>
      </c>
      <c r="Q1228">
        <v>72.87</v>
      </c>
      <c r="R1228">
        <v>5.74</v>
      </c>
      <c r="S1228">
        <v>954.14</v>
      </c>
      <c r="T1228" t="s">
        <v>41</v>
      </c>
      <c r="U1228" t="s">
        <v>43</v>
      </c>
      <c r="V1228" t="s">
        <v>38</v>
      </c>
      <c r="W1228" t="s">
        <v>1107</v>
      </c>
      <c r="X1228">
        <v>437.77</v>
      </c>
      <c r="Y1228" s="9">
        <f t="shared" si="97"/>
        <v>437.76499999999999</v>
      </c>
      <c r="Z1228" s="9">
        <f t="shared" si="98"/>
        <v>820.80937499999993</v>
      </c>
      <c r="AA1228" s="5">
        <f t="shared" si="99"/>
        <v>911.91921562499988</v>
      </c>
      <c r="AB1228" s="6">
        <f t="shared" si="100"/>
        <v>1329.6291065624998</v>
      </c>
      <c r="AD1228" s="10">
        <f t="shared" si="96"/>
        <v>1664.7901986562499</v>
      </c>
    </row>
    <row r="1229" spans="1:30" x14ac:dyDescent="0.3">
      <c r="A1229" t="s">
        <v>30</v>
      </c>
      <c r="B1229" s="8" t="s">
        <v>32</v>
      </c>
      <c r="C1229" s="8" t="s">
        <v>32</v>
      </c>
      <c r="D1229" s="8" t="s">
        <v>33</v>
      </c>
      <c r="E1229" s="8" t="s">
        <v>34</v>
      </c>
      <c r="F1229" s="8" t="s">
        <v>35</v>
      </c>
      <c r="G1229">
        <v>8487909000</v>
      </c>
      <c r="H1229" t="s">
        <v>36</v>
      </c>
      <c r="I1229" t="s">
        <v>644</v>
      </c>
      <c r="J1229" t="s">
        <v>38</v>
      </c>
      <c r="K1229" t="s">
        <v>39</v>
      </c>
      <c r="L1229">
        <v>10</v>
      </c>
      <c r="M1229">
        <v>2</v>
      </c>
      <c r="N1229" t="s">
        <v>64</v>
      </c>
      <c r="O1229">
        <v>0</v>
      </c>
      <c r="P1229">
        <v>1375.16</v>
      </c>
      <c r="Q1229">
        <v>114.46</v>
      </c>
      <c r="R1229">
        <v>9.01</v>
      </c>
      <c r="S1229">
        <v>1498.62</v>
      </c>
      <c r="T1229" t="s">
        <v>41</v>
      </c>
      <c r="U1229" t="s">
        <v>43</v>
      </c>
      <c r="V1229" t="s">
        <v>38</v>
      </c>
      <c r="W1229" t="s">
        <v>1108</v>
      </c>
      <c r="X1229">
        <v>687.58</v>
      </c>
      <c r="Y1229" s="9">
        <f t="shared" si="97"/>
        <v>687.58</v>
      </c>
      <c r="Z1229" s="9">
        <f t="shared" si="98"/>
        <v>1289.2125000000001</v>
      </c>
      <c r="AA1229" s="5">
        <f t="shared" si="99"/>
        <v>1432.3150875000001</v>
      </c>
      <c r="AB1229" s="6">
        <f t="shared" si="100"/>
        <v>2088.3953287499999</v>
      </c>
      <c r="AD1229" s="10">
        <f t="shared" si="96"/>
        <v>2614.8194688750004</v>
      </c>
    </row>
    <row r="1230" spans="1:30" x14ac:dyDescent="0.3">
      <c r="A1230" t="s">
        <v>30</v>
      </c>
      <c r="B1230" s="8" t="s">
        <v>32</v>
      </c>
      <c r="C1230" s="8" t="s">
        <v>32</v>
      </c>
      <c r="D1230" s="8" t="s">
        <v>33</v>
      </c>
      <c r="E1230" s="8" t="s">
        <v>34</v>
      </c>
      <c r="F1230" s="8" t="s">
        <v>35</v>
      </c>
      <c r="G1230">
        <v>8487909000</v>
      </c>
      <c r="H1230" t="s">
        <v>36</v>
      </c>
      <c r="I1230" t="s">
        <v>644</v>
      </c>
      <c r="J1230" t="s">
        <v>38</v>
      </c>
      <c r="K1230" t="s">
        <v>39</v>
      </c>
      <c r="L1230">
        <v>10</v>
      </c>
      <c r="M1230">
        <v>2</v>
      </c>
      <c r="N1230" t="s">
        <v>64</v>
      </c>
      <c r="O1230">
        <v>0</v>
      </c>
      <c r="P1230">
        <v>1831.58</v>
      </c>
      <c r="Q1230">
        <v>152.44999999999999</v>
      </c>
      <c r="R1230">
        <v>12</v>
      </c>
      <c r="S1230">
        <v>1996.02</v>
      </c>
      <c r="T1230" t="s">
        <v>41</v>
      </c>
      <c r="U1230" t="s">
        <v>43</v>
      </c>
      <c r="V1230" t="s">
        <v>38</v>
      </c>
      <c r="W1230" t="s">
        <v>1109</v>
      </c>
      <c r="X1230">
        <v>915.79</v>
      </c>
      <c r="Y1230" s="9">
        <f t="shared" si="97"/>
        <v>915.79</v>
      </c>
      <c r="Z1230" s="9">
        <f t="shared" si="98"/>
        <v>1717.1062499999998</v>
      </c>
      <c r="AA1230" s="5">
        <f t="shared" si="99"/>
        <v>1907.7050437499997</v>
      </c>
      <c r="AB1230" s="6">
        <f t="shared" si="100"/>
        <v>2781.5404143749997</v>
      </c>
      <c r="AD1230" s="10">
        <f t="shared" si="96"/>
        <v>3482.6864094375001</v>
      </c>
    </row>
    <row r="1231" spans="1:30" x14ac:dyDescent="0.3">
      <c r="A1231" t="s">
        <v>30</v>
      </c>
      <c r="B1231" s="8" t="s">
        <v>32</v>
      </c>
      <c r="C1231" s="8" t="s">
        <v>32</v>
      </c>
      <c r="D1231" s="8" t="s">
        <v>33</v>
      </c>
      <c r="E1231" s="8" t="s">
        <v>34</v>
      </c>
      <c r="F1231" s="8" t="s">
        <v>35</v>
      </c>
      <c r="G1231">
        <v>8487909000</v>
      </c>
      <c r="H1231" t="s">
        <v>36</v>
      </c>
      <c r="I1231" t="s">
        <v>644</v>
      </c>
      <c r="J1231" t="s">
        <v>38</v>
      </c>
      <c r="K1231" t="s">
        <v>39</v>
      </c>
      <c r="L1231">
        <v>10</v>
      </c>
      <c r="M1231">
        <v>2</v>
      </c>
      <c r="N1231" t="s">
        <v>64</v>
      </c>
      <c r="O1231">
        <v>0</v>
      </c>
      <c r="P1231">
        <v>3214.94</v>
      </c>
      <c r="Q1231">
        <v>267.58</v>
      </c>
      <c r="R1231">
        <v>21.06</v>
      </c>
      <c r="S1231">
        <v>3503.58</v>
      </c>
      <c r="T1231" t="s">
        <v>41</v>
      </c>
      <c r="U1231" t="s">
        <v>43</v>
      </c>
      <c r="V1231" t="s">
        <v>38</v>
      </c>
      <c r="W1231" t="s">
        <v>1110</v>
      </c>
      <c r="X1231">
        <v>1607.47</v>
      </c>
      <c r="Y1231" s="9">
        <f t="shared" si="97"/>
        <v>1607.47</v>
      </c>
      <c r="Z1231" s="9">
        <f t="shared" si="98"/>
        <v>3014.0062499999999</v>
      </c>
      <c r="AA1231" s="5">
        <f t="shared" si="99"/>
        <v>3348.5609437499998</v>
      </c>
      <c r="AB1231" s="6">
        <f t="shared" si="100"/>
        <v>4882.3887243749996</v>
      </c>
      <c r="AD1231" s="10">
        <f t="shared" si="96"/>
        <v>6113.0978964375008</v>
      </c>
    </row>
    <row r="1232" spans="1:30" x14ac:dyDescent="0.3">
      <c r="A1232" t="s">
        <v>30</v>
      </c>
      <c r="B1232" s="8" t="s">
        <v>249</v>
      </c>
      <c r="C1232" s="8" t="s">
        <v>32</v>
      </c>
      <c r="D1232" s="8" t="s">
        <v>33</v>
      </c>
      <c r="E1232" s="8" t="s">
        <v>34</v>
      </c>
      <c r="F1232" s="8" t="s">
        <v>35</v>
      </c>
      <c r="G1232">
        <v>3802100000</v>
      </c>
      <c r="H1232" t="s">
        <v>752</v>
      </c>
      <c r="I1232" t="s">
        <v>1111</v>
      </c>
      <c r="J1232" t="s">
        <v>38</v>
      </c>
      <c r="K1232" t="s">
        <v>39</v>
      </c>
      <c r="L1232">
        <v>7</v>
      </c>
      <c r="M1232">
        <v>1</v>
      </c>
      <c r="N1232" t="s">
        <v>40</v>
      </c>
      <c r="O1232">
        <v>0</v>
      </c>
      <c r="P1232">
        <v>68.510000000000005</v>
      </c>
      <c r="Q1232">
        <v>10.82</v>
      </c>
      <c r="R1232">
        <v>0.42</v>
      </c>
      <c r="S1232">
        <v>79.75</v>
      </c>
      <c r="T1232" t="s">
        <v>41</v>
      </c>
      <c r="U1232" t="s">
        <v>41</v>
      </c>
      <c r="V1232" t="s">
        <v>38</v>
      </c>
      <c r="W1232" t="s">
        <v>1112</v>
      </c>
      <c r="X1232">
        <v>68.510000000000005</v>
      </c>
      <c r="Y1232" s="9">
        <f t="shared" si="97"/>
        <v>68.510000000000005</v>
      </c>
      <c r="Z1232" s="9">
        <f t="shared" si="98"/>
        <v>128.45625000000001</v>
      </c>
      <c r="AA1232" s="5">
        <f t="shared" si="99"/>
        <v>142.71489375000002</v>
      </c>
      <c r="AB1232" s="6">
        <f t="shared" si="100"/>
        <v>208.086279375</v>
      </c>
      <c r="AD1232" s="10">
        <f t="shared" si="96"/>
        <v>260.53881993750002</v>
      </c>
    </row>
    <row r="1233" spans="1:30" x14ac:dyDescent="0.3">
      <c r="A1233" t="s">
        <v>30</v>
      </c>
      <c r="B1233" s="8" t="s">
        <v>249</v>
      </c>
      <c r="C1233" s="8" t="s">
        <v>32</v>
      </c>
      <c r="D1233" s="8" t="s">
        <v>33</v>
      </c>
      <c r="E1233" s="8" t="s">
        <v>34</v>
      </c>
      <c r="F1233" s="8" t="s">
        <v>35</v>
      </c>
      <c r="G1233">
        <v>3802100000</v>
      </c>
      <c r="H1233" t="s">
        <v>755</v>
      </c>
      <c r="I1233" t="s">
        <v>1113</v>
      </c>
      <c r="J1233" t="s">
        <v>38</v>
      </c>
      <c r="K1233" t="s">
        <v>39</v>
      </c>
      <c r="L1233">
        <v>12</v>
      </c>
      <c r="M1233">
        <v>2</v>
      </c>
      <c r="N1233" t="s">
        <v>40</v>
      </c>
      <c r="O1233">
        <v>0</v>
      </c>
      <c r="P1233">
        <v>127.45</v>
      </c>
      <c r="Q1233">
        <v>14.63</v>
      </c>
      <c r="R1233">
        <v>0.85</v>
      </c>
      <c r="S1233">
        <v>142.93</v>
      </c>
      <c r="T1233" t="s">
        <v>41</v>
      </c>
      <c r="U1233" t="s">
        <v>41</v>
      </c>
      <c r="V1233" t="s">
        <v>38</v>
      </c>
      <c r="W1233" t="s">
        <v>1112</v>
      </c>
      <c r="X1233">
        <v>63.72</v>
      </c>
      <c r="Y1233" s="9">
        <f t="shared" si="97"/>
        <v>63.725000000000001</v>
      </c>
      <c r="Z1233" s="9">
        <f t="shared" si="98"/>
        <v>119.484375</v>
      </c>
      <c r="AA1233" s="5">
        <f t="shared" si="99"/>
        <v>132.74714062499999</v>
      </c>
      <c r="AB1233" s="6">
        <f t="shared" si="100"/>
        <v>193.5527390625</v>
      </c>
      <c r="AD1233" s="10">
        <f t="shared" si="96"/>
        <v>242.34179390625002</v>
      </c>
    </row>
    <row r="1234" spans="1:30" x14ac:dyDescent="0.3">
      <c r="A1234" t="s">
        <v>30</v>
      </c>
      <c r="B1234" s="8" t="s">
        <v>249</v>
      </c>
      <c r="C1234" s="8" t="s">
        <v>32</v>
      </c>
      <c r="D1234" s="8" t="s">
        <v>33</v>
      </c>
      <c r="E1234" s="8" t="s">
        <v>34</v>
      </c>
      <c r="F1234" s="8" t="s">
        <v>35</v>
      </c>
      <c r="G1234">
        <v>3802100000</v>
      </c>
      <c r="H1234" t="s">
        <v>752</v>
      </c>
      <c r="I1234" t="s">
        <v>1114</v>
      </c>
      <c r="J1234" t="s">
        <v>38</v>
      </c>
      <c r="K1234" t="s">
        <v>39</v>
      </c>
      <c r="L1234">
        <v>6</v>
      </c>
      <c r="M1234">
        <v>1</v>
      </c>
      <c r="N1234" t="s">
        <v>40</v>
      </c>
      <c r="O1234">
        <v>0</v>
      </c>
      <c r="P1234">
        <v>98.7</v>
      </c>
      <c r="Q1234">
        <v>11.94</v>
      </c>
      <c r="R1234">
        <v>0.69</v>
      </c>
      <c r="S1234">
        <v>111.33</v>
      </c>
      <c r="T1234" t="s">
        <v>41</v>
      </c>
      <c r="U1234" t="s">
        <v>43</v>
      </c>
      <c r="V1234" t="s">
        <v>38</v>
      </c>
      <c r="W1234" t="s">
        <v>1115</v>
      </c>
      <c r="X1234">
        <v>98.7</v>
      </c>
      <c r="Y1234" s="9">
        <f t="shared" si="97"/>
        <v>98.7</v>
      </c>
      <c r="Z1234" s="9">
        <f t="shared" si="98"/>
        <v>185.0625</v>
      </c>
      <c r="AA1234" s="5">
        <f t="shared" si="99"/>
        <v>205.60443749999999</v>
      </c>
      <c r="AB1234" s="6">
        <f t="shared" si="100"/>
        <v>299.78274375000001</v>
      </c>
      <c r="AD1234" s="10">
        <f t="shared" si="96"/>
        <v>375.34931437500006</v>
      </c>
    </row>
    <row r="1235" spans="1:30" x14ac:dyDescent="0.3">
      <c r="A1235" t="s">
        <v>30</v>
      </c>
      <c r="B1235" s="8" t="s">
        <v>249</v>
      </c>
      <c r="C1235" s="8" t="s">
        <v>32</v>
      </c>
      <c r="D1235" s="8" t="s">
        <v>69</v>
      </c>
      <c r="E1235" s="8" t="s">
        <v>70</v>
      </c>
      <c r="F1235" s="8" t="s">
        <v>71</v>
      </c>
      <c r="G1235">
        <v>3802100000</v>
      </c>
      <c r="H1235" t="s">
        <v>752</v>
      </c>
      <c r="I1235" t="s">
        <v>1111</v>
      </c>
      <c r="J1235" t="s">
        <v>38</v>
      </c>
      <c r="K1235" t="s">
        <v>39</v>
      </c>
      <c r="L1235">
        <v>13</v>
      </c>
      <c r="M1235">
        <v>1</v>
      </c>
      <c r="N1235" t="s">
        <v>40</v>
      </c>
      <c r="O1235">
        <v>0</v>
      </c>
      <c r="P1235">
        <v>89.21</v>
      </c>
      <c r="Q1235">
        <v>6.33</v>
      </c>
      <c r="R1235">
        <v>0.57999999999999996</v>
      </c>
      <c r="S1235">
        <v>96.13</v>
      </c>
      <c r="T1235" t="s">
        <v>41</v>
      </c>
      <c r="U1235" t="s">
        <v>41</v>
      </c>
      <c r="V1235" t="s">
        <v>38</v>
      </c>
      <c r="W1235" t="s">
        <v>1115</v>
      </c>
      <c r="X1235">
        <v>89.21</v>
      </c>
      <c r="Y1235" s="9">
        <f t="shared" si="97"/>
        <v>89.21</v>
      </c>
      <c r="Z1235" s="9">
        <f t="shared" si="98"/>
        <v>167.26874999999998</v>
      </c>
      <c r="AA1235" s="5">
        <f t="shared" si="99"/>
        <v>185.83558124999999</v>
      </c>
      <c r="AB1235" s="6">
        <f t="shared" si="100"/>
        <v>270.95864812499997</v>
      </c>
      <c r="AD1235" s="10">
        <f t="shared" si="96"/>
        <v>339.2594968125</v>
      </c>
    </row>
    <row r="1236" spans="1:30" x14ac:dyDescent="0.3">
      <c r="A1236" t="s">
        <v>30</v>
      </c>
      <c r="B1236" s="8" t="s">
        <v>32</v>
      </c>
      <c r="C1236" s="8" t="s">
        <v>32</v>
      </c>
      <c r="D1236" s="8" t="s">
        <v>33</v>
      </c>
      <c r="E1236" s="8" t="s">
        <v>34</v>
      </c>
      <c r="F1236" s="8" t="s">
        <v>35</v>
      </c>
      <c r="G1236">
        <v>3802100000</v>
      </c>
      <c r="H1236" t="s">
        <v>752</v>
      </c>
      <c r="I1236" t="s">
        <v>1116</v>
      </c>
      <c r="J1236" t="s">
        <v>38</v>
      </c>
      <c r="K1236" t="s">
        <v>39</v>
      </c>
      <c r="L1236">
        <v>1</v>
      </c>
      <c r="M1236">
        <v>1</v>
      </c>
      <c r="N1236" t="s">
        <v>40</v>
      </c>
      <c r="O1236">
        <v>0</v>
      </c>
      <c r="P1236">
        <v>170.81</v>
      </c>
      <c r="Q1236">
        <v>0.04</v>
      </c>
      <c r="R1236">
        <v>1.71</v>
      </c>
      <c r="S1236">
        <v>172.56</v>
      </c>
      <c r="T1236" t="s">
        <v>41</v>
      </c>
      <c r="U1236" t="s">
        <v>41</v>
      </c>
      <c r="V1236" t="s">
        <v>38</v>
      </c>
      <c r="W1236" t="s">
        <v>1117</v>
      </c>
      <c r="X1236">
        <v>170.81</v>
      </c>
      <c r="Y1236" s="9">
        <f t="shared" si="97"/>
        <v>170.81</v>
      </c>
      <c r="Z1236" s="9">
        <f t="shared" si="98"/>
        <v>320.26875000000001</v>
      </c>
      <c r="AA1236" s="5">
        <f t="shared" si="99"/>
        <v>355.81858125000002</v>
      </c>
      <c r="AB1236" s="6">
        <f t="shared" si="100"/>
        <v>518.80334812499996</v>
      </c>
      <c r="AD1236" s="10">
        <f t="shared" si="96"/>
        <v>649.57868681250011</v>
      </c>
    </row>
    <row r="1237" spans="1:30" x14ac:dyDescent="0.3">
      <c r="A1237" t="s">
        <v>30</v>
      </c>
      <c r="B1237" s="8" t="s">
        <v>32</v>
      </c>
      <c r="C1237" s="8" t="s">
        <v>32</v>
      </c>
      <c r="D1237" s="8" t="s">
        <v>69</v>
      </c>
      <c r="E1237" s="8" t="s">
        <v>70</v>
      </c>
      <c r="F1237" s="8" t="s">
        <v>71</v>
      </c>
      <c r="G1237">
        <v>3802100000</v>
      </c>
      <c r="H1237" t="s">
        <v>755</v>
      </c>
      <c r="I1237" t="s">
        <v>1118</v>
      </c>
      <c r="J1237" t="s">
        <v>38</v>
      </c>
      <c r="K1237" t="s">
        <v>39</v>
      </c>
      <c r="L1237">
        <v>13</v>
      </c>
      <c r="M1237">
        <v>1</v>
      </c>
      <c r="N1237" t="s">
        <v>40</v>
      </c>
      <c r="O1237">
        <v>0</v>
      </c>
      <c r="P1237">
        <v>170.81</v>
      </c>
      <c r="Q1237">
        <v>9.1199999999999992</v>
      </c>
      <c r="R1237">
        <v>1.1000000000000001</v>
      </c>
      <c r="S1237">
        <v>181.03</v>
      </c>
      <c r="T1237" t="s">
        <v>72</v>
      </c>
      <c r="U1237" t="s">
        <v>72</v>
      </c>
      <c r="V1237" t="s">
        <v>38</v>
      </c>
      <c r="W1237" t="s">
        <v>1117</v>
      </c>
      <c r="X1237">
        <v>170.81</v>
      </c>
      <c r="Y1237" s="9">
        <f t="shared" si="97"/>
        <v>170.81</v>
      </c>
      <c r="Z1237" s="9">
        <f t="shared" si="98"/>
        <v>320.26875000000001</v>
      </c>
      <c r="AA1237" s="5">
        <f t="shared" si="99"/>
        <v>355.81858125000002</v>
      </c>
      <c r="AB1237" s="6">
        <f t="shared" si="100"/>
        <v>518.80334812499996</v>
      </c>
      <c r="AD1237" s="10">
        <f t="shared" si="96"/>
        <v>649.57868681250011</v>
      </c>
    </row>
    <row r="1238" spans="1:30" x14ac:dyDescent="0.3">
      <c r="A1238" t="s">
        <v>30</v>
      </c>
      <c r="B1238" s="8" t="s">
        <v>32</v>
      </c>
      <c r="C1238" s="8" t="s">
        <v>32</v>
      </c>
      <c r="D1238" s="8" t="s">
        <v>33</v>
      </c>
      <c r="E1238" s="8" t="s">
        <v>34</v>
      </c>
      <c r="F1238" s="8" t="s">
        <v>35</v>
      </c>
      <c r="G1238">
        <v>8421999000</v>
      </c>
      <c r="H1238" t="s">
        <v>36</v>
      </c>
      <c r="I1238" t="s">
        <v>1119</v>
      </c>
      <c r="J1238" t="s">
        <v>38</v>
      </c>
      <c r="K1238" t="s">
        <v>39</v>
      </c>
      <c r="L1238">
        <v>8</v>
      </c>
      <c r="M1238">
        <v>3</v>
      </c>
      <c r="N1238" t="s">
        <v>64</v>
      </c>
      <c r="O1238">
        <v>0</v>
      </c>
      <c r="P1238">
        <v>2150.58</v>
      </c>
      <c r="Q1238">
        <v>269.41000000000003</v>
      </c>
      <c r="R1238">
        <v>14.69</v>
      </c>
      <c r="S1238">
        <v>2434.67</v>
      </c>
      <c r="T1238" t="s">
        <v>41</v>
      </c>
      <c r="U1238" t="s">
        <v>41</v>
      </c>
      <c r="V1238" t="s">
        <v>38</v>
      </c>
      <c r="W1238" t="s">
        <v>1120</v>
      </c>
      <c r="X1238">
        <v>716.86</v>
      </c>
      <c r="Y1238" s="9">
        <f t="shared" si="97"/>
        <v>716.86</v>
      </c>
      <c r="Z1238" s="9">
        <f t="shared" si="98"/>
        <v>1344.1125</v>
      </c>
      <c r="AA1238" s="5">
        <f t="shared" si="99"/>
        <v>1493.3089874999998</v>
      </c>
      <c r="AB1238" s="6">
        <f t="shared" si="100"/>
        <v>2177.32783875</v>
      </c>
      <c r="AD1238" s="10">
        <f t="shared" si="96"/>
        <v>2726.169295875</v>
      </c>
    </row>
    <row r="1239" spans="1:30" x14ac:dyDescent="0.3">
      <c r="A1239" t="s">
        <v>30</v>
      </c>
      <c r="B1239" s="8" t="s">
        <v>32</v>
      </c>
      <c r="C1239" s="8" t="s">
        <v>32</v>
      </c>
      <c r="D1239" s="8" t="s">
        <v>33</v>
      </c>
      <c r="E1239" s="8" t="s">
        <v>34</v>
      </c>
      <c r="F1239" s="8" t="s">
        <v>35</v>
      </c>
      <c r="G1239">
        <v>8421999000</v>
      </c>
      <c r="H1239" t="s">
        <v>36</v>
      </c>
      <c r="I1239" t="s">
        <v>1119</v>
      </c>
      <c r="J1239" t="s">
        <v>38</v>
      </c>
      <c r="K1239" t="s">
        <v>39</v>
      </c>
      <c r="L1239">
        <v>8</v>
      </c>
      <c r="M1239">
        <v>1</v>
      </c>
      <c r="N1239" t="s">
        <v>64</v>
      </c>
      <c r="O1239">
        <v>0</v>
      </c>
      <c r="P1239">
        <v>713.32</v>
      </c>
      <c r="Q1239">
        <v>40.380000000000003</v>
      </c>
      <c r="R1239">
        <v>4.55</v>
      </c>
      <c r="S1239">
        <v>758.26</v>
      </c>
      <c r="T1239" t="s">
        <v>41</v>
      </c>
      <c r="U1239" t="s">
        <v>41</v>
      </c>
      <c r="V1239" t="s">
        <v>38</v>
      </c>
      <c r="W1239" t="s">
        <v>1120</v>
      </c>
      <c r="X1239">
        <v>713.32</v>
      </c>
      <c r="Y1239" s="9">
        <f t="shared" si="97"/>
        <v>713.32</v>
      </c>
      <c r="Z1239" s="9">
        <f t="shared" si="98"/>
        <v>1337.4750000000001</v>
      </c>
      <c r="AA1239" s="5">
        <f t="shared" si="99"/>
        <v>1485.9347250000001</v>
      </c>
      <c r="AB1239" s="6">
        <f t="shared" si="100"/>
        <v>2166.5757524999999</v>
      </c>
      <c r="AD1239" s="10">
        <f t="shared" si="96"/>
        <v>2712.7069192500007</v>
      </c>
    </row>
    <row r="1240" spans="1:30" x14ac:dyDescent="0.3">
      <c r="A1240" t="s">
        <v>30</v>
      </c>
      <c r="B1240" s="8" t="s">
        <v>32</v>
      </c>
      <c r="C1240" s="8" t="s">
        <v>32</v>
      </c>
      <c r="D1240" s="8" t="s">
        <v>33</v>
      </c>
      <c r="E1240" s="8" t="s">
        <v>34</v>
      </c>
      <c r="F1240" s="8" t="s">
        <v>35</v>
      </c>
      <c r="G1240">
        <v>8421999000</v>
      </c>
      <c r="H1240" t="s">
        <v>36</v>
      </c>
      <c r="I1240" t="s">
        <v>1119</v>
      </c>
      <c r="J1240" t="s">
        <v>38</v>
      </c>
      <c r="K1240" t="s">
        <v>39</v>
      </c>
      <c r="L1240">
        <v>8</v>
      </c>
      <c r="M1240">
        <v>1</v>
      </c>
      <c r="N1240" t="s">
        <v>64</v>
      </c>
      <c r="O1240">
        <v>0</v>
      </c>
      <c r="P1240">
        <v>713.32</v>
      </c>
      <c r="Q1240">
        <v>40.380000000000003</v>
      </c>
      <c r="R1240">
        <v>4.55</v>
      </c>
      <c r="S1240">
        <v>758.26</v>
      </c>
      <c r="T1240" t="s">
        <v>41</v>
      </c>
      <c r="U1240" t="s">
        <v>41</v>
      </c>
      <c r="V1240" t="s">
        <v>38</v>
      </c>
      <c r="W1240" t="s">
        <v>1120</v>
      </c>
      <c r="X1240">
        <v>713.32</v>
      </c>
      <c r="Y1240" s="9">
        <f t="shared" si="97"/>
        <v>713.32</v>
      </c>
      <c r="Z1240" s="9">
        <f t="shared" si="98"/>
        <v>1337.4750000000001</v>
      </c>
      <c r="AA1240" s="5">
        <f t="shared" si="99"/>
        <v>1485.9347250000001</v>
      </c>
      <c r="AB1240" s="6">
        <f t="shared" si="100"/>
        <v>2166.5757524999999</v>
      </c>
      <c r="AD1240" s="10">
        <f t="shared" si="96"/>
        <v>2712.7069192500007</v>
      </c>
    </row>
    <row r="1241" spans="1:30" x14ac:dyDescent="0.3">
      <c r="A1241" t="s">
        <v>30</v>
      </c>
      <c r="B1241" s="8" t="s">
        <v>32</v>
      </c>
      <c r="C1241" s="8" t="s">
        <v>32</v>
      </c>
      <c r="D1241" s="8" t="s">
        <v>33</v>
      </c>
      <c r="E1241" s="8" t="s">
        <v>34</v>
      </c>
      <c r="F1241" s="8" t="s">
        <v>35</v>
      </c>
      <c r="G1241">
        <v>8481805900</v>
      </c>
      <c r="H1241" t="s">
        <v>53</v>
      </c>
      <c r="I1241" t="s">
        <v>1119</v>
      </c>
      <c r="J1241" t="s">
        <v>38</v>
      </c>
      <c r="K1241" t="s">
        <v>39</v>
      </c>
      <c r="L1241">
        <v>8</v>
      </c>
      <c r="M1241">
        <v>1</v>
      </c>
      <c r="N1241" t="s">
        <v>64</v>
      </c>
      <c r="O1241">
        <v>0</v>
      </c>
      <c r="P1241">
        <v>1813.81</v>
      </c>
      <c r="Q1241">
        <v>102.69</v>
      </c>
      <c r="R1241">
        <v>11.58</v>
      </c>
      <c r="S1241">
        <v>1928.07</v>
      </c>
      <c r="T1241" t="s">
        <v>41</v>
      </c>
      <c r="U1241" t="s">
        <v>41</v>
      </c>
      <c r="V1241" t="s">
        <v>38</v>
      </c>
      <c r="W1241" t="s">
        <v>1121</v>
      </c>
      <c r="X1241">
        <v>1813.81</v>
      </c>
      <c r="Y1241" s="9">
        <f t="shared" si="97"/>
        <v>1813.81</v>
      </c>
      <c r="Z1241" s="9">
        <f t="shared" si="98"/>
        <v>3400.8937499999997</v>
      </c>
      <c r="AA1241" s="5">
        <f t="shared" si="99"/>
        <v>3778.3929562499998</v>
      </c>
      <c r="AB1241" s="6">
        <f t="shared" si="100"/>
        <v>5509.1077856249995</v>
      </c>
      <c r="AD1241" s="10">
        <f t="shared" si="96"/>
        <v>6897.7947305625003</v>
      </c>
    </row>
    <row r="1242" spans="1:30" x14ac:dyDescent="0.3">
      <c r="A1242" t="s">
        <v>168</v>
      </c>
      <c r="B1242" s="8" t="s">
        <v>32</v>
      </c>
      <c r="C1242" s="8" t="s">
        <v>32</v>
      </c>
      <c r="E1242" s="8" t="s">
        <v>70</v>
      </c>
      <c r="F1242" s="8" t="s">
        <v>71</v>
      </c>
      <c r="G1242">
        <v>8481805900</v>
      </c>
      <c r="H1242" t="s">
        <v>53</v>
      </c>
      <c r="I1242" t="s">
        <v>1119</v>
      </c>
      <c r="J1242" t="s">
        <v>38</v>
      </c>
      <c r="K1242" t="s">
        <v>39</v>
      </c>
      <c r="L1242">
        <v>0</v>
      </c>
      <c r="M1242">
        <v>1</v>
      </c>
      <c r="N1242" t="s">
        <v>64</v>
      </c>
      <c r="O1242">
        <v>0</v>
      </c>
      <c r="P1242">
        <v>1557.98</v>
      </c>
      <c r="Q1242">
        <v>119.6</v>
      </c>
      <c r="R1242">
        <v>11.22</v>
      </c>
      <c r="S1242">
        <v>1688.81</v>
      </c>
      <c r="T1242" t="s">
        <v>41</v>
      </c>
      <c r="U1242" t="s">
        <v>41</v>
      </c>
      <c r="V1242" t="s">
        <v>38</v>
      </c>
      <c r="W1242" t="s">
        <v>1121</v>
      </c>
      <c r="X1242">
        <v>1557.98</v>
      </c>
      <c r="Y1242" s="9">
        <f t="shared" si="97"/>
        <v>1557.98</v>
      </c>
      <c r="Z1242" s="9">
        <f t="shared" si="98"/>
        <v>2921.2125000000001</v>
      </c>
      <c r="AA1242" s="5">
        <f t="shared" si="99"/>
        <v>3245.4670875000002</v>
      </c>
      <c r="AB1242" s="6">
        <f t="shared" si="100"/>
        <v>4732.07212875</v>
      </c>
      <c r="AD1242" s="10">
        <f t="shared" si="96"/>
        <v>5924.8908288750008</v>
      </c>
    </row>
    <row r="1243" spans="1:30" x14ac:dyDescent="0.3">
      <c r="A1243" t="s">
        <v>30</v>
      </c>
      <c r="B1243" s="8" t="s">
        <v>32</v>
      </c>
      <c r="C1243" s="8" t="s">
        <v>32</v>
      </c>
      <c r="D1243" s="8" t="s">
        <v>33</v>
      </c>
      <c r="E1243" s="8" t="s">
        <v>34</v>
      </c>
      <c r="F1243" s="8" t="s">
        <v>35</v>
      </c>
      <c r="G1243">
        <v>4010320000</v>
      </c>
      <c r="H1243" t="s">
        <v>59</v>
      </c>
      <c r="I1243" t="s">
        <v>60</v>
      </c>
      <c r="J1243" t="s">
        <v>38</v>
      </c>
      <c r="K1243" t="s">
        <v>39</v>
      </c>
      <c r="L1243">
        <v>8</v>
      </c>
      <c r="M1243">
        <v>1</v>
      </c>
      <c r="N1243" t="s">
        <v>40</v>
      </c>
      <c r="O1243">
        <v>0</v>
      </c>
      <c r="P1243">
        <v>15.25</v>
      </c>
      <c r="Q1243">
        <v>0.86</v>
      </c>
      <c r="R1243">
        <v>0.1</v>
      </c>
      <c r="S1243">
        <v>16.21</v>
      </c>
      <c r="T1243" t="s">
        <v>41</v>
      </c>
      <c r="U1243" t="s">
        <v>41</v>
      </c>
      <c r="V1243" t="s">
        <v>38</v>
      </c>
      <c r="W1243" t="s">
        <v>1122</v>
      </c>
      <c r="X1243">
        <v>15.25</v>
      </c>
      <c r="Y1243" s="9">
        <f t="shared" si="97"/>
        <v>15.25</v>
      </c>
      <c r="Z1243" s="9">
        <f t="shared" si="98"/>
        <v>28.59375</v>
      </c>
      <c r="AA1243" s="5">
        <f t="shared" si="99"/>
        <v>31.767656249999998</v>
      </c>
      <c r="AB1243" s="6">
        <f t="shared" si="100"/>
        <v>46.319015624999999</v>
      </c>
      <c r="AD1243" s="10">
        <f t="shared" si="96"/>
        <v>57.994701562500005</v>
      </c>
    </row>
    <row r="1244" spans="1:30" x14ac:dyDescent="0.3">
      <c r="A1244" t="s">
        <v>30</v>
      </c>
      <c r="B1244" s="8" t="s">
        <v>32</v>
      </c>
      <c r="C1244" s="8" t="s">
        <v>32</v>
      </c>
      <c r="D1244" s="8" t="s">
        <v>33</v>
      </c>
      <c r="E1244" s="8" t="s">
        <v>34</v>
      </c>
      <c r="F1244" s="8" t="s">
        <v>35</v>
      </c>
      <c r="G1244">
        <v>8421999000</v>
      </c>
      <c r="H1244" t="s">
        <v>36</v>
      </c>
      <c r="I1244" t="s">
        <v>661</v>
      </c>
      <c r="J1244" t="s">
        <v>38</v>
      </c>
      <c r="K1244" t="s">
        <v>39</v>
      </c>
      <c r="L1244">
        <v>6</v>
      </c>
      <c r="M1244">
        <v>1</v>
      </c>
      <c r="N1244" t="s">
        <v>64</v>
      </c>
      <c r="O1244">
        <v>0</v>
      </c>
      <c r="P1244">
        <v>1306.44</v>
      </c>
      <c r="Q1244">
        <v>157.99</v>
      </c>
      <c r="R1244">
        <v>9.1</v>
      </c>
      <c r="S1244">
        <v>1473.53</v>
      </c>
      <c r="T1244" t="s">
        <v>41</v>
      </c>
      <c r="U1244" t="s">
        <v>43</v>
      </c>
      <c r="V1244" t="s">
        <v>38</v>
      </c>
      <c r="W1244" t="s">
        <v>1123</v>
      </c>
      <c r="X1244">
        <v>1306.44</v>
      </c>
      <c r="Y1244" s="9">
        <f t="shared" si="97"/>
        <v>1306.44</v>
      </c>
      <c r="Z1244" s="9">
        <f t="shared" si="98"/>
        <v>2449.5750000000003</v>
      </c>
      <c r="AA1244" s="5">
        <f t="shared" si="99"/>
        <v>2721.4778250000004</v>
      </c>
      <c r="AB1244" s="6">
        <f t="shared" si="100"/>
        <v>3968.0665425000002</v>
      </c>
      <c r="AD1244" s="10">
        <f t="shared" si="96"/>
        <v>4968.3015022500012</v>
      </c>
    </row>
    <row r="1245" spans="1:30" x14ac:dyDescent="0.3">
      <c r="A1245" t="s">
        <v>30</v>
      </c>
      <c r="B1245" s="8" t="s">
        <v>32</v>
      </c>
      <c r="C1245" s="8" t="s">
        <v>32</v>
      </c>
      <c r="D1245" s="8" t="s">
        <v>33</v>
      </c>
      <c r="E1245" s="8" t="s">
        <v>34</v>
      </c>
      <c r="F1245" s="8" t="s">
        <v>35</v>
      </c>
      <c r="G1245">
        <v>7415210000</v>
      </c>
      <c r="H1245" t="s">
        <v>132</v>
      </c>
      <c r="I1245" t="s">
        <v>56</v>
      </c>
      <c r="J1245" t="s">
        <v>38</v>
      </c>
      <c r="K1245" t="s">
        <v>39</v>
      </c>
      <c r="L1245">
        <v>6</v>
      </c>
      <c r="M1245">
        <v>1</v>
      </c>
      <c r="N1245" t="s">
        <v>40</v>
      </c>
      <c r="O1245">
        <v>114.58</v>
      </c>
      <c r="P1245">
        <v>758.59</v>
      </c>
      <c r="Q1245">
        <v>91.74</v>
      </c>
      <c r="R1245">
        <v>5.28</v>
      </c>
      <c r="S1245">
        <v>855.61</v>
      </c>
      <c r="T1245" t="s">
        <v>41</v>
      </c>
      <c r="U1245" t="s">
        <v>43</v>
      </c>
      <c r="V1245" t="s">
        <v>38</v>
      </c>
      <c r="W1245" t="s">
        <v>1124</v>
      </c>
      <c r="X1245">
        <v>758.59</v>
      </c>
      <c r="Y1245" s="9">
        <f t="shared" si="97"/>
        <v>758.59</v>
      </c>
      <c r="Z1245" s="9">
        <f t="shared" si="98"/>
        <v>1422.35625</v>
      </c>
      <c r="AA1245" s="5">
        <f t="shared" si="99"/>
        <v>1580.23779375</v>
      </c>
      <c r="AB1245" s="6">
        <f t="shared" si="100"/>
        <v>2304.0748893750001</v>
      </c>
      <c r="AD1245" s="10">
        <f t="shared" si="96"/>
        <v>2884.8656169375004</v>
      </c>
    </row>
    <row r="1246" spans="1:30" x14ac:dyDescent="0.3">
      <c r="A1246" t="s">
        <v>30</v>
      </c>
      <c r="B1246" s="8" t="s">
        <v>32</v>
      </c>
      <c r="C1246" s="8" t="s">
        <v>32</v>
      </c>
      <c r="D1246" s="8" t="s">
        <v>33</v>
      </c>
      <c r="E1246" s="8" t="s">
        <v>34</v>
      </c>
      <c r="F1246" s="8" t="s">
        <v>35</v>
      </c>
      <c r="G1246">
        <v>8482500000</v>
      </c>
      <c r="H1246" t="s">
        <v>83</v>
      </c>
      <c r="I1246" t="s">
        <v>81</v>
      </c>
      <c r="J1246" t="s">
        <v>38</v>
      </c>
      <c r="K1246" t="s">
        <v>39</v>
      </c>
      <c r="L1246">
        <v>6</v>
      </c>
      <c r="M1246">
        <v>1</v>
      </c>
      <c r="N1246" t="s">
        <v>64</v>
      </c>
      <c r="O1246">
        <v>0</v>
      </c>
      <c r="P1246">
        <v>1626.51</v>
      </c>
      <c r="Q1246">
        <v>110.37</v>
      </c>
      <c r="R1246">
        <v>10.57</v>
      </c>
      <c r="S1246">
        <v>1747.46</v>
      </c>
      <c r="T1246" t="s">
        <v>41</v>
      </c>
      <c r="U1246" t="s">
        <v>41</v>
      </c>
      <c r="V1246" t="s">
        <v>38</v>
      </c>
      <c r="W1246" t="s">
        <v>1125</v>
      </c>
      <c r="X1246">
        <v>1626.51</v>
      </c>
      <c r="Y1246" s="9">
        <f t="shared" si="97"/>
        <v>1626.51</v>
      </c>
      <c r="Z1246" s="9">
        <f t="shared" si="98"/>
        <v>3049.7062500000002</v>
      </c>
      <c r="AA1246" s="5">
        <f t="shared" si="99"/>
        <v>3388.2236437500001</v>
      </c>
      <c r="AB1246" s="6">
        <f t="shared" si="100"/>
        <v>4940.2191543749996</v>
      </c>
      <c r="AD1246" s="10">
        <f t="shared" si="96"/>
        <v>6185.5057074375009</v>
      </c>
    </row>
    <row r="1247" spans="1:30" x14ac:dyDescent="0.3">
      <c r="A1247" t="s">
        <v>30</v>
      </c>
      <c r="B1247" s="8" t="s">
        <v>32</v>
      </c>
      <c r="C1247" s="8" t="s">
        <v>32</v>
      </c>
      <c r="D1247" s="8" t="s">
        <v>33</v>
      </c>
      <c r="E1247" s="8" t="s">
        <v>34</v>
      </c>
      <c r="F1247" s="8" t="s">
        <v>35</v>
      </c>
      <c r="G1247">
        <v>8483309000</v>
      </c>
      <c r="H1247" t="s">
        <v>36</v>
      </c>
      <c r="I1247" t="s">
        <v>771</v>
      </c>
      <c r="J1247" t="s">
        <v>38</v>
      </c>
      <c r="K1247" t="s">
        <v>39</v>
      </c>
      <c r="L1247">
        <v>8</v>
      </c>
      <c r="M1247">
        <v>2</v>
      </c>
      <c r="N1247" t="s">
        <v>64</v>
      </c>
      <c r="O1247">
        <v>0</v>
      </c>
      <c r="P1247">
        <v>432.21</v>
      </c>
      <c r="Q1247">
        <v>54.14</v>
      </c>
      <c r="R1247">
        <v>2.95</v>
      </c>
      <c r="S1247">
        <v>489.3</v>
      </c>
      <c r="T1247" t="s">
        <v>41</v>
      </c>
      <c r="U1247" t="s">
        <v>41</v>
      </c>
      <c r="V1247" t="s">
        <v>38</v>
      </c>
      <c r="W1247" t="s">
        <v>1126</v>
      </c>
      <c r="X1247">
        <v>216.1</v>
      </c>
      <c r="Y1247" s="9">
        <f t="shared" si="97"/>
        <v>216.10499999999999</v>
      </c>
      <c r="Z1247" s="9">
        <f t="shared" si="98"/>
        <v>405.19687499999998</v>
      </c>
      <c r="AA1247" s="5">
        <f t="shared" si="99"/>
        <v>450.17372812499997</v>
      </c>
      <c r="AB1247" s="6">
        <f t="shared" si="100"/>
        <v>656.37841781249995</v>
      </c>
      <c r="AD1247" s="10">
        <f t="shared" si="96"/>
        <v>821.83245778125001</v>
      </c>
    </row>
    <row r="1248" spans="1:30" x14ac:dyDescent="0.3">
      <c r="A1248" t="s">
        <v>30</v>
      </c>
      <c r="B1248" s="8" t="s">
        <v>32</v>
      </c>
      <c r="C1248" s="8" t="s">
        <v>32</v>
      </c>
      <c r="D1248" s="8" t="s">
        <v>33</v>
      </c>
      <c r="E1248" s="8" t="s">
        <v>34</v>
      </c>
      <c r="F1248" s="8" t="s">
        <v>35</v>
      </c>
      <c r="G1248">
        <v>8482500000</v>
      </c>
      <c r="H1248" t="s">
        <v>83</v>
      </c>
      <c r="I1248" t="s">
        <v>81</v>
      </c>
      <c r="J1248" t="s">
        <v>38</v>
      </c>
      <c r="K1248" t="s">
        <v>39</v>
      </c>
      <c r="L1248">
        <v>6</v>
      </c>
      <c r="M1248">
        <v>1</v>
      </c>
      <c r="N1248" t="s">
        <v>64</v>
      </c>
      <c r="O1248">
        <v>0</v>
      </c>
      <c r="P1248">
        <v>1281.5899999999999</v>
      </c>
      <c r="Q1248">
        <v>86.97</v>
      </c>
      <c r="R1248">
        <v>8.33</v>
      </c>
      <c r="S1248">
        <v>1376.89</v>
      </c>
      <c r="T1248" t="s">
        <v>41</v>
      </c>
      <c r="U1248" t="s">
        <v>41</v>
      </c>
      <c r="V1248" t="s">
        <v>38</v>
      </c>
      <c r="W1248" t="s">
        <v>1127</v>
      </c>
      <c r="X1248">
        <v>1281.5899999999999</v>
      </c>
      <c r="Y1248" s="9">
        <f t="shared" si="97"/>
        <v>1281.5899999999999</v>
      </c>
      <c r="Z1248" s="9">
        <f t="shared" si="98"/>
        <v>2402.9812499999998</v>
      </c>
      <c r="AA1248" s="5">
        <f t="shared" si="99"/>
        <v>2669.7121687499998</v>
      </c>
      <c r="AB1248" s="6">
        <f t="shared" si="100"/>
        <v>3892.5893268749996</v>
      </c>
      <c r="AD1248" s="10">
        <f t="shared" si="96"/>
        <v>4873.7986606875002</v>
      </c>
    </row>
    <row r="1249" spans="1:30" x14ac:dyDescent="0.3">
      <c r="A1249" t="s">
        <v>30</v>
      </c>
      <c r="B1249" s="8" t="s">
        <v>32</v>
      </c>
      <c r="C1249" s="8" t="s">
        <v>32</v>
      </c>
      <c r="D1249" s="8" t="s">
        <v>33</v>
      </c>
      <c r="E1249" s="8" t="s">
        <v>34</v>
      </c>
      <c r="F1249" s="8" t="s">
        <v>35</v>
      </c>
      <c r="G1249">
        <v>8484900000</v>
      </c>
      <c r="H1249" t="s">
        <v>177</v>
      </c>
      <c r="I1249" t="s">
        <v>1128</v>
      </c>
      <c r="J1249" t="s">
        <v>38</v>
      </c>
      <c r="K1249" t="s">
        <v>39</v>
      </c>
      <c r="L1249">
        <v>6</v>
      </c>
      <c r="M1249">
        <v>1</v>
      </c>
      <c r="N1249" t="s">
        <v>64</v>
      </c>
      <c r="O1249">
        <v>0</v>
      </c>
      <c r="P1249">
        <v>956.73</v>
      </c>
      <c r="Q1249">
        <v>115.7</v>
      </c>
      <c r="R1249">
        <v>6.66</v>
      </c>
      <c r="S1249">
        <v>1079.0899999999999</v>
      </c>
      <c r="T1249" t="s">
        <v>41</v>
      </c>
      <c r="U1249" t="s">
        <v>43</v>
      </c>
      <c r="V1249" t="s">
        <v>38</v>
      </c>
      <c r="W1249" t="s">
        <v>1129</v>
      </c>
      <c r="X1249">
        <v>956.73</v>
      </c>
      <c r="Y1249" s="9">
        <f t="shared" si="97"/>
        <v>956.73</v>
      </c>
      <c r="Z1249" s="9">
        <f t="shared" si="98"/>
        <v>1793.8687500000001</v>
      </c>
      <c r="AA1249" s="5">
        <f t="shared" si="99"/>
        <v>1992.98818125</v>
      </c>
      <c r="AB1249" s="6">
        <f t="shared" si="100"/>
        <v>2905.887988125</v>
      </c>
      <c r="AD1249" s="10">
        <f t="shared" si="96"/>
        <v>3638.3784148125005</v>
      </c>
    </row>
    <row r="1250" spans="1:30" x14ac:dyDescent="0.3">
      <c r="A1250" t="s">
        <v>30</v>
      </c>
      <c r="B1250" s="8" t="s">
        <v>32</v>
      </c>
      <c r="C1250" s="8" t="s">
        <v>32</v>
      </c>
      <c r="D1250" s="8" t="s">
        <v>33</v>
      </c>
      <c r="E1250" s="8" t="s">
        <v>34</v>
      </c>
      <c r="F1250" s="8" t="s">
        <v>35</v>
      </c>
      <c r="G1250">
        <v>8481809990</v>
      </c>
      <c r="H1250" t="s">
        <v>160</v>
      </c>
      <c r="I1250" t="s">
        <v>1130</v>
      </c>
      <c r="J1250" t="s">
        <v>38</v>
      </c>
      <c r="K1250" t="s">
        <v>39</v>
      </c>
      <c r="L1250">
        <v>6</v>
      </c>
      <c r="M1250">
        <v>1</v>
      </c>
      <c r="N1250" t="s">
        <v>64</v>
      </c>
      <c r="O1250">
        <v>0</v>
      </c>
      <c r="P1250">
        <v>1013.08</v>
      </c>
      <c r="Q1250">
        <v>122.52</v>
      </c>
      <c r="R1250">
        <v>7.06</v>
      </c>
      <c r="S1250">
        <v>1142.6500000000001</v>
      </c>
      <c r="T1250" t="s">
        <v>41</v>
      </c>
      <c r="U1250" t="s">
        <v>43</v>
      </c>
      <c r="V1250" t="s">
        <v>38</v>
      </c>
      <c r="W1250" t="s">
        <v>1131</v>
      </c>
      <c r="X1250">
        <v>1013.08</v>
      </c>
      <c r="Y1250" s="9">
        <f t="shared" si="97"/>
        <v>1013.08</v>
      </c>
      <c r="Z1250" s="9">
        <f t="shared" si="98"/>
        <v>1899.5250000000001</v>
      </c>
      <c r="AA1250" s="5">
        <f t="shared" si="99"/>
        <v>2110.3722750000002</v>
      </c>
      <c r="AB1250" s="6">
        <f t="shared" si="100"/>
        <v>3077.0405474999998</v>
      </c>
      <c r="AD1250" s="10">
        <f t="shared" si="96"/>
        <v>3852.6735907500006</v>
      </c>
    </row>
    <row r="1251" spans="1:30" x14ac:dyDescent="0.3">
      <c r="A1251" t="s">
        <v>30</v>
      </c>
      <c r="B1251" s="8" t="s">
        <v>32</v>
      </c>
      <c r="C1251" s="8" t="s">
        <v>32</v>
      </c>
      <c r="D1251" s="8" t="s">
        <v>33</v>
      </c>
      <c r="E1251" s="8" t="s">
        <v>34</v>
      </c>
      <c r="F1251" s="8" t="s">
        <v>35</v>
      </c>
      <c r="G1251">
        <v>8481909090</v>
      </c>
      <c r="H1251" t="s">
        <v>238</v>
      </c>
      <c r="I1251" t="s">
        <v>313</v>
      </c>
      <c r="J1251" t="s">
        <v>38</v>
      </c>
      <c r="K1251" t="s">
        <v>39</v>
      </c>
      <c r="L1251">
        <v>6</v>
      </c>
      <c r="M1251">
        <v>1</v>
      </c>
      <c r="N1251" t="s">
        <v>64</v>
      </c>
      <c r="O1251">
        <v>0</v>
      </c>
      <c r="P1251">
        <v>334.67</v>
      </c>
      <c r="Q1251">
        <v>40.47</v>
      </c>
      <c r="R1251">
        <v>2.33</v>
      </c>
      <c r="S1251">
        <v>377.47</v>
      </c>
      <c r="T1251" t="s">
        <v>41</v>
      </c>
      <c r="U1251" t="s">
        <v>43</v>
      </c>
      <c r="V1251" t="s">
        <v>38</v>
      </c>
      <c r="W1251" t="s">
        <v>1132</v>
      </c>
      <c r="X1251">
        <v>334.67</v>
      </c>
      <c r="Y1251" s="9">
        <f t="shared" si="97"/>
        <v>334.67</v>
      </c>
      <c r="Z1251" s="9">
        <f t="shared" si="98"/>
        <v>627.50625000000002</v>
      </c>
      <c r="AA1251" s="5">
        <f t="shared" si="99"/>
        <v>697.15944375000004</v>
      </c>
      <c r="AB1251" s="6">
        <f t="shared" si="100"/>
        <v>1016.4973743749999</v>
      </c>
      <c r="AD1251" s="10">
        <f t="shared" si="96"/>
        <v>1272.7270014375001</v>
      </c>
    </row>
    <row r="1252" spans="1:30" x14ac:dyDescent="0.3">
      <c r="A1252" t="s">
        <v>30</v>
      </c>
      <c r="B1252" s="8" t="s">
        <v>66</v>
      </c>
      <c r="C1252" s="8" t="s">
        <v>32</v>
      </c>
      <c r="D1252" s="8" t="s">
        <v>33</v>
      </c>
      <c r="E1252" s="8" t="s">
        <v>34</v>
      </c>
      <c r="F1252" s="8" t="s">
        <v>35</v>
      </c>
      <c r="G1252">
        <v>8481400090</v>
      </c>
      <c r="H1252" t="s">
        <v>53</v>
      </c>
      <c r="I1252" t="s">
        <v>591</v>
      </c>
      <c r="J1252" t="s">
        <v>38</v>
      </c>
      <c r="K1252" t="s">
        <v>39</v>
      </c>
      <c r="L1252">
        <v>8</v>
      </c>
      <c r="M1252">
        <v>1</v>
      </c>
      <c r="N1252" t="s">
        <v>64</v>
      </c>
      <c r="O1252">
        <v>0</v>
      </c>
      <c r="P1252">
        <v>41.03</v>
      </c>
      <c r="Q1252">
        <v>2.3199999999999998</v>
      </c>
      <c r="R1252">
        <v>0.26</v>
      </c>
      <c r="S1252">
        <v>43.61</v>
      </c>
      <c r="T1252" t="s">
        <v>41</v>
      </c>
      <c r="U1252" t="s">
        <v>41</v>
      </c>
      <c r="V1252" t="s">
        <v>38</v>
      </c>
      <c r="W1252" t="s">
        <v>1133</v>
      </c>
      <c r="X1252">
        <v>41.03</v>
      </c>
      <c r="Y1252" s="9">
        <f t="shared" si="97"/>
        <v>41.03</v>
      </c>
      <c r="Z1252" s="9">
        <f t="shared" si="98"/>
        <v>76.931250000000006</v>
      </c>
      <c r="AA1252" s="5">
        <f t="shared" si="99"/>
        <v>85.47061875</v>
      </c>
      <c r="AB1252" s="6">
        <f t="shared" si="100"/>
        <v>124.620931875</v>
      </c>
      <c r="AD1252" s="10">
        <f t="shared" si="96"/>
        <v>156.03426918750003</v>
      </c>
    </row>
    <row r="1253" spans="1:30" x14ac:dyDescent="0.3">
      <c r="A1253" t="s">
        <v>30</v>
      </c>
      <c r="B1253" s="8" t="s">
        <v>32</v>
      </c>
      <c r="C1253" s="8" t="s">
        <v>32</v>
      </c>
      <c r="D1253" s="8" t="s">
        <v>33</v>
      </c>
      <c r="E1253" s="8" t="s">
        <v>34</v>
      </c>
      <c r="F1253" s="8" t="s">
        <v>35</v>
      </c>
      <c r="G1253">
        <v>8481300000</v>
      </c>
      <c r="H1253" t="s">
        <v>488</v>
      </c>
      <c r="I1253" t="s">
        <v>1134</v>
      </c>
      <c r="J1253" t="s">
        <v>38</v>
      </c>
      <c r="K1253" t="s">
        <v>39</v>
      </c>
      <c r="L1253">
        <v>3</v>
      </c>
      <c r="M1253">
        <v>10</v>
      </c>
      <c r="N1253" t="s">
        <v>64</v>
      </c>
      <c r="O1253">
        <v>0</v>
      </c>
      <c r="P1253">
        <v>357.09</v>
      </c>
      <c r="Q1253">
        <v>15.28</v>
      </c>
      <c r="R1253">
        <v>2.2999999999999998</v>
      </c>
      <c r="S1253">
        <v>374.68</v>
      </c>
      <c r="T1253" t="s">
        <v>41</v>
      </c>
      <c r="U1253" t="s">
        <v>43</v>
      </c>
      <c r="V1253" t="s">
        <v>38</v>
      </c>
      <c r="W1253" t="s">
        <v>1135</v>
      </c>
      <c r="X1253">
        <v>35.71</v>
      </c>
      <c r="Y1253" s="9">
        <f t="shared" si="97"/>
        <v>35.708999999999996</v>
      </c>
      <c r="Z1253" s="9">
        <f t="shared" si="98"/>
        <v>66.954374999999999</v>
      </c>
      <c r="AA1253" s="5">
        <f t="shared" si="99"/>
        <v>74.386310624999993</v>
      </c>
      <c r="AB1253" s="6">
        <f t="shared" si="100"/>
        <v>108.45939206249999</v>
      </c>
      <c r="AD1253" s="10">
        <f t="shared" si="96"/>
        <v>135.79887200625001</v>
      </c>
    </row>
    <row r="1254" spans="1:30" x14ac:dyDescent="0.3">
      <c r="A1254" t="s">
        <v>30</v>
      </c>
      <c r="B1254" s="8" t="s">
        <v>32</v>
      </c>
      <c r="C1254" s="8" t="s">
        <v>32</v>
      </c>
      <c r="D1254" s="8" t="s">
        <v>33</v>
      </c>
      <c r="E1254" s="8" t="s">
        <v>34</v>
      </c>
      <c r="F1254" s="8" t="s">
        <v>35</v>
      </c>
      <c r="G1254">
        <v>8481300000</v>
      </c>
      <c r="H1254" t="s">
        <v>488</v>
      </c>
      <c r="I1254" t="s">
        <v>843</v>
      </c>
      <c r="J1254" t="s">
        <v>38</v>
      </c>
      <c r="K1254" t="s">
        <v>39</v>
      </c>
      <c r="L1254">
        <v>8</v>
      </c>
      <c r="M1254">
        <v>6</v>
      </c>
      <c r="N1254" t="s">
        <v>64</v>
      </c>
      <c r="O1254">
        <v>0</v>
      </c>
      <c r="P1254">
        <v>214.95</v>
      </c>
      <c r="Q1254">
        <v>22.95</v>
      </c>
      <c r="R1254">
        <v>1.44</v>
      </c>
      <c r="S1254">
        <v>239.34</v>
      </c>
      <c r="T1254" t="s">
        <v>41</v>
      </c>
      <c r="U1254" t="s">
        <v>41</v>
      </c>
      <c r="V1254" t="s">
        <v>38</v>
      </c>
      <c r="W1254" t="s">
        <v>1135</v>
      </c>
      <c r="X1254">
        <v>35.83</v>
      </c>
      <c r="Y1254" s="9">
        <f t="shared" si="97"/>
        <v>35.824999999999996</v>
      </c>
      <c r="Z1254" s="9">
        <f t="shared" si="98"/>
        <v>67.171874999999986</v>
      </c>
      <c r="AA1254" s="5">
        <f t="shared" si="99"/>
        <v>74.627953124999976</v>
      </c>
      <c r="AB1254" s="6">
        <f t="shared" si="100"/>
        <v>108.81172031249997</v>
      </c>
      <c r="AD1254" s="10">
        <f t="shared" si="96"/>
        <v>136.24001203124999</v>
      </c>
    </row>
    <row r="1255" spans="1:30" x14ac:dyDescent="0.3">
      <c r="A1255" t="s">
        <v>30</v>
      </c>
      <c r="B1255" s="8" t="s">
        <v>66</v>
      </c>
      <c r="C1255" s="8" t="s">
        <v>32</v>
      </c>
      <c r="D1255" s="8" t="s">
        <v>69</v>
      </c>
      <c r="E1255" s="8" t="s">
        <v>70</v>
      </c>
      <c r="F1255" s="8" t="s">
        <v>71</v>
      </c>
      <c r="G1255">
        <v>7311009000</v>
      </c>
      <c r="H1255" t="s">
        <v>36</v>
      </c>
      <c r="I1255" t="s">
        <v>1136</v>
      </c>
      <c r="J1255" t="s">
        <v>38</v>
      </c>
      <c r="K1255" t="s">
        <v>39</v>
      </c>
      <c r="L1255">
        <v>4</v>
      </c>
      <c r="M1255">
        <v>1</v>
      </c>
      <c r="N1255" t="s">
        <v>64</v>
      </c>
      <c r="O1255">
        <v>53.28</v>
      </c>
      <c r="P1255">
        <v>715.17</v>
      </c>
      <c r="Q1255">
        <v>66.650000000000006</v>
      </c>
      <c r="R1255">
        <v>4.78</v>
      </c>
      <c r="S1255">
        <v>786.6</v>
      </c>
      <c r="T1255" t="s">
        <v>1137</v>
      </c>
      <c r="U1255" t="s">
        <v>1137</v>
      </c>
      <c r="V1255" t="s">
        <v>38</v>
      </c>
      <c r="W1255" t="s">
        <v>1138</v>
      </c>
      <c r="X1255">
        <v>715.17</v>
      </c>
      <c r="Y1255" s="9">
        <f t="shared" si="97"/>
        <v>715.17</v>
      </c>
      <c r="Z1255" s="9">
        <f t="shared" si="98"/>
        <v>1340.9437499999999</v>
      </c>
      <c r="AA1255" s="5">
        <f t="shared" si="99"/>
        <v>1489.78850625</v>
      </c>
      <c r="AB1255" s="6">
        <f t="shared" si="100"/>
        <v>2172.1947806249996</v>
      </c>
      <c r="AD1255" s="10">
        <f t="shared" si="96"/>
        <v>2719.7423420625</v>
      </c>
    </row>
    <row r="1256" spans="1:30" x14ac:dyDescent="0.3">
      <c r="A1256" t="s">
        <v>168</v>
      </c>
      <c r="B1256" s="8" t="s">
        <v>66</v>
      </c>
      <c r="C1256" s="8" t="s">
        <v>32</v>
      </c>
      <c r="D1256" s="8" t="s">
        <v>69</v>
      </c>
      <c r="E1256" s="8" t="s">
        <v>70</v>
      </c>
      <c r="F1256" s="8" t="s">
        <v>71</v>
      </c>
      <c r="G1256">
        <v>7311009000</v>
      </c>
      <c r="H1256" t="s">
        <v>36</v>
      </c>
      <c r="I1256" t="s">
        <v>1139</v>
      </c>
      <c r="J1256" t="s">
        <v>38</v>
      </c>
      <c r="K1256" t="s">
        <v>39</v>
      </c>
      <c r="L1256">
        <v>6</v>
      </c>
      <c r="M1256">
        <v>1</v>
      </c>
      <c r="N1256" t="s">
        <v>64</v>
      </c>
      <c r="O1256">
        <v>56.09</v>
      </c>
      <c r="P1256">
        <v>736</v>
      </c>
      <c r="Q1256">
        <v>71.8</v>
      </c>
      <c r="R1256">
        <v>5.05</v>
      </c>
      <c r="S1256">
        <v>812.85</v>
      </c>
      <c r="T1256" t="s">
        <v>1139</v>
      </c>
      <c r="U1256" t="s">
        <v>1139</v>
      </c>
      <c r="V1256" t="s">
        <v>38</v>
      </c>
      <c r="W1256" t="s">
        <v>1138</v>
      </c>
      <c r="X1256">
        <v>736</v>
      </c>
      <c r="Y1256" s="9">
        <f t="shared" si="97"/>
        <v>736</v>
      </c>
      <c r="Z1256" s="9">
        <f t="shared" si="98"/>
        <v>1380</v>
      </c>
      <c r="AA1256" s="5">
        <f t="shared" si="99"/>
        <v>1533.18</v>
      </c>
      <c r="AB1256" s="6">
        <f t="shared" si="100"/>
        <v>2235.462</v>
      </c>
      <c r="AD1256" s="10">
        <f t="shared" si="96"/>
        <v>2798.9574000000002</v>
      </c>
    </row>
    <row r="1257" spans="1:30" x14ac:dyDescent="0.3">
      <c r="A1257" t="s">
        <v>168</v>
      </c>
      <c r="B1257" s="8" t="s">
        <v>66</v>
      </c>
      <c r="C1257" s="8" t="s">
        <v>32</v>
      </c>
      <c r="D1257" s="8" t="s">
        <v>69</v>
      </c>
      <c r="E1257" s="8" t="s">
        <v>70</v>
      </c>
      <c r="F1257" s="8" t="s">
        <v>71</v>
      </c>
      <c r="G1257">
        <v>7311009000</v>
      </c>
      <c r="H1257" t="s">
        <v>36</v>
      </c>
      <c r="I1257" t="s">
        <v>1139</v>
      </c>
      <c r="J1257" t="s">
        <v>38</v>
      </c>
      <c r="K1257" t="s">
        <v>39</v>
      </c>
      <c r="L1257">
        <v>6</v>
      </c>
      <c r="M1257">
        <v>1</v>
      </c>
      <c r="N1257" t="s">
        <v>64</v>
      </c>
      <c r="O1257">
        <v>56.09</v>
      </c>
      <c r="P1257">
        <v>736</v>
      </c>
      <c r="Q1257">
        <v>71.8</v>
      </c>
      <c r="R1257">
        <v>5.05</v>
      </c>
      <c r="S1257">
        <v>812.85</v>
      </c>
      <c r="T1257" t="s">
        <v>1139</v>
      </c>
      <c r="U1257" t="s">
        <v>1139</v>
      </c>
      <c r="V1257" t="s">
        <v>38</v>
      </c>
      <c r="W1257" t="s">
        <v>1138</v>
      </c>
      <c r="X1257">
        <v>736</v>
      </c>
      <c r="Y1257" s="9">
        <f t="shared" si="97"/>
        <v>736</v>
      </c>
      <c r="Z1257" s="9">
        <f t="shared" si="98"/>
        <v>1380</v>
      </c>
      <c r="AA1257" s="5">
        <f t="shared" si="99"/>
        <v>1533.18</v>
      </c>
      <c r="AB1257" s="6">
        <f t="shared" si="100"/>
        <v>2235.462</v>
      </c>
      <c r="AD1257" s="10">
        <f t="shared" si="96"/>
        <v>2798.9574000000002</v>
      </c>
    </row>
    <row r="1258" spans="1:30" x14ac:dyDescent="0.3">
      <c r="A1258" t="s">
        <v>168</v>
      </c>
      <c r="B1258" s="8" t="s">
        <v>31</v>
      </c>
      <c r="C1258" s="8" t="s">
        <v>32</v>
      </c>
      <c r="E1258" s="8" t="s">
        <v>70</v>
      </c>
      <c r="F1258" s="8" t="s">
        <v>71</v>
      </c>
      <c r="G1258">
        <v>7311009000</v>
      </c>
      <c r="H1258" t="s">
        <v>36</v>
      </c>
      <c r="I1258" t="s">
        <v>1139</v>
      </c>
      <c r="J1258" t="s">
        <v>38</v>
      </c>
      <c r="K1258" t="s">
        <v>39</v>
      </c>
      <c r="L1258">
        <v>0</v>
      </c>
      <c r="M1258">
        <v>1</v>
      </c>
      <c r="N1258" t="s">
        <v>64</v>
      </c>
      <c r="O1258">
        <v>1592.1</v>
      </c>
      <c r="P1258">
        <v>6300</v>
      </c>
      <c r="Q1258">
        <v>4143.93</v>
      </c>
      <c r="R1258">
        <v>68.400000000000006</v>
      </c>
      <c r="S1258">
        <v>10512.33</v>
      </c>
      <c r="T1258" t="s">
        <v>1139</v>
      </c>
      <c r="U1258" t="s">
        <v>1139</v>
      </c>
      <c r="V1258" t="s">
        <v>38</v>
      </c>
      <c r="W1258" t="s">
        <v>1140</v>
      </c>
      <c r="X1258">
        <v>6300</v>
      </c>
      <c r="Y1258" s="9">
        <f t="shared" si="97"/>
        <v>6300</v>
      </c>
      <c r="Z1258" s="9">
        <f t="shared" si="98"/>
        <v>11812.5</v>
      </c>
      <c r="AA1258" s="5">
        <f t="shared" si="99"/>
        <v>13123.6875</v>
      </c>
      <c r="AB1258" s="6">
        <f t="shared" si="100"/>
        <v>19135.068749999999</v>
      </c>
      <c r="AD1258" s="10">
        <f t="shared" si="96"/>
        <v>23958.466875000002</v>
      </c>
    </row>
    <row r="1259" spans="1:30" x14ac:dyDescent="0.3">
      <c r="A1259" t="s">
        <v>30</v>
      </c>
      <c r="B1259" s="8" t="s">
        <v>66</v>
      </c>
      <c r="C1259" s="8" t="s">
        <v>32</v>
      </c>
      <c r="D1259" s="8" t="s">
        <v>69</v>
      </c>
      <c r="E1259" s="8" t="s">
        <v>70</v>
      </c>
      <c r="F1259" s="8" t="s">
        <v>71</v>
      </c>
      <c r="G1259">
        <v>7311009000</v>
      </c>
      <c r="H1259" t="s">
        <v>36</v>
      </c>
      <c r="I1259" t="s">
        <v>1139</v>
      </c>
      <c r="J1259" t="s">
        <v>38</v>
      </c>
      <c r="K1259" t="s">
        <v>39</v>
      </c>
      <c r="L1259">
        <v>12</v>
      </c>
      <c r="M1259">
        <v>1</v>
      </c>
      <c r="N1259" t="s">
        <v>64</v>
      </c>
      <c r="O1259">
        <v>101.15</v>
      </c>
      <c r="P1259">
        <v>1357.2</v>
      </c>
      <c r="Q1259">
        <v>246.9</v>
      </c>
      <c r="R1259">
        <v>9.65</v>
      </c>
      <c r="S1259">
        <v>1613.75</v>
      </c>
      <c r="T1259" t="s">
        <v>1139</v>
      </c>
      <c r="U1259" t="s">
        <v>1139</v>
      </c>
      <c r="V1259" t="s">
        <v>38</v>
      </c>
      <c r="W1259" t="s">
        <v>1141</v>
      </c>
      <c r="X1259">
        <v>1357.2</v>
      </c>
      <c r="Y1259" s="9">
        <f t="shared" si="97"/>
        <v>1357.2</v>
      </c>
      <c r="Z1259" s="9">
        <f t="shared" si="98"/>
        <v>2544.75</v>
      </c>
      <c r="AA1259" s="5">
        <f t="shared" si="99"/>
        <v>2827.2172500000001</v>
      </c>
      <c r="AB1259" s="6">
        <f t="shared" si="100"/>
        <v>4122.2405250000002</v>
      </c>
      <c r="AD1259" s="10">
        <f t="shared" si="96"/>
        <v>5161.3382925000005</v>
      </c>
    </row>
    <row r="1260" spans="1:30" x14ac:dyDescent="0.3">
      <c r="A1260" t="s">
        <v>30</v>
      </c>
      <c r="B1260" s="8" t="s">
        <v>66</v>
      </c>
      <c r="C1260" s="8" t="s">
        <v>32</v>
      </c>
      <c r="D1260" s="8" t="s">
        <v>69</v>
      </c>
      <c r="E1260" s="8" t="s">
        <v>70</v>
      </c>
      <c r="F1260" s="8" t="s">
        <v>71</v>
      </c>
      <c r="G1260">
        <v>7311009000</v>
      </c>
      <c r="H1260" t="s">
        <v>36</v>
      </c>
      <c r="I1260" t="s">
        <v>1139</v>
      </c>
      <c r="J1260" t="s">
        <v>38</v>
      </c>
      <c r="K1260" t="s">
        <v>39</v>
      </c>
      <c r="L1260">
        <v>12</v>
      </c>
      <c r="M1260">
        <v>1</v>
      </c>
      <c r="N1260" t="s">
        <v>64</v>
      </c>
      <c r="O1260">
        <v>101.15</v>
      </c>
      <c r="P1260">
        <v>1357.2</v>
      </c>
      <c r="Q1260">
        <v>246.9</v>
      </c>
      <c r="R1260">
        <v>9.65</v>
      </c>
      <c r="S1260">
        <v>1613.75</v>
      </c>
      <c r="T1260" t="s">
        <v>1139</v>
      </c>
      <c r="U1260" t="s">
        <v>1139</v>
      </c>
      <c r="V1260" t="s">
        <v>38</v>
      </c>
      <c r="W1260" t="s">
        <v>1141</v>
      </c>
      <c r="X1260">
        <v>1357.2</v>
      </c>
      <c r="Y1260" s="9">
        <f t="shared" si="97"/>
        <v>1357.2</v>
      </c>
      <c r="Z1260" s="9">
        <f t="shared" si="98"/>
        <v>2544.75</v>
      </c>
      <c r="AA1260" s="5">
        <f t="shared" si="99"/>
        <v>2827.2172500000001</v>
      </c>
      <c r="AB1260" s="6">
        <f t="shared" si="100"/>
        <v>4122.2405250000002</v>
      </c>
      <c r="AD1260" s="10">
        <f t="shared" si="96"/>
        <v>5161.3382925000005</v>
      </c>
    </row>
    <row r="1261" spans="1:30" x14ac:dyDescent="0.3">
      <c r="A1261" t="s">
        <v>30</v>
      </c>
      <c r="B1261" s="8" t="s">
        <v>66</v>
      </c>
      <c r="C1261" s="8" t="s">
        <v>32</v>
      </c>
      <c r="D1261" s="8" t="s">
        <v>69</v>
      </c>
      <c r="E1261" s="8" t="s">
        <v>70</v>
      </c>
      <c r="F1261" s="8" t="s">
        <v>71</v>
      </c>
      <c r="G1261">
        <v>7311009000</v>
      </c>
      <c r="H1261" t="s">
        <v>36</v>
      </c>
      <c r="I1261" t="s">
        <v>1139</v>
      </c>
      <c r="J1261" t="s">
        <v>38</v>
      </c>
      <c r="K1261" t="s">
        <v>39</v>
      </c>
      <c r="L1261">
        <v>12</v>
      </c>
      <c r="M1261">
        <v>1</v>
      </c>
      <c r="N1261" t="s">
        <v>64</v>
      </c>
      <c r="O1261">
        <v>101.15</v>
      </c>
      <c r="P1261">
        <v>1357.2</v>
      </c>
      <c r="Q1261">
        <v>246.9</v>
      </c>
      <c r="R1261">
        <v>9.65</v>
      </c>
      <c r="S1261">
        <v>1613.75</v>
      </c>
      <c r="T1261" t="s">
        <v>1139</v>
      </c>
      <c r="U1261" t="s">
        <v>1139</v>
      </c>
      <c r="V1261" t="s">
        <v>38</v>
      </c>
      <c r="W1261" t="s">
        <v>1141</v>
      </c>
      <c r="X1261">
        <v>1357.2</v>
      </c>
      <c r="Y1261" s="9">
        <f t="shared" si="97"/>
        <v>1357.2</v>
      </c>
      <c r="Z1261" s="9">
        <f t="shared" si="98"/>
        <v>2544.75</v>
      </c>
      <c r="AA1261" s="5">
        <f t="shared" si="99"/>
        <v>2827.2172500000001</v>
      </c>
      <c r="AB1261" s="6">
        <f t="shared" si="100"/>
        <v>4122.2405250000002</v>
      </c>
      <c r="AD1261" s="10">
        <f t="shared" si="96"/>
        <v>5161.3382925000005</v>
      </c>
    </row>
    <row r="1262" spans="1:30" x14ac:dyDescent="0.3">
      <c r="A1262" t="s">
        <v>168</v>
      </c>
      <c r="B1262" s="8" t="s">
        <v>66</v>
      </c>
      <c r="C1262" s="8" t="s">
        <v>32</v>
      </c>
      <c r="D1262" s="8" t="s">
        <v>69</v>
      </c>
      <c r="E1262" s="8" t="s">
        <v>70</v>
      </c>
      <c r="F1262" s="8" t="s">
        <v>71</v>
      </c>
      <c r="G1262">
        <v>7311009000</v>
      </c>
      <c r="H1262" t="s">
        <v>36</v>
      </c>
      <c r="I1262" t="s">
        <v>1139</v>
      </c>
      <c r="J1262" t="s">
        <v>38</v>
      </c>
      <c r="K1262" t="s">
        <v>39</v>
      </c>
      <c r="L1262">
        <v>6</v>
      </c>
      <c r="M1262">
        <v>1</v>
      </c>
      <c r="N1262" t="s">
        <v>64</v>
      </c>
      <c r="O1262">
        <v>116.53</v>
      </c>
      <c r="P1262">
        <v>1529</v>
      </c>
      <c r="Q1262">
        <v>149.15</v>
      </c>
      <c r="R1262">
        <v>10.5</v>
      </c>
      <c r="S1262">
        <v>1688.65</v>
      </c>
      <c r="T1262" t="s">
        <v>1139</v>
      </c>
      <c r="U1262" t="s">
        <v>1139</v>
      </c>
      <c r="V1262" t="s">
        <v>38</v>
      </c>
      <c r="W1262" t="s">
        <v>1141</v>
      </c>
      <c r="X1262">
        <v>1529</v>
      </c>
      <c r="Y1262" s="9">
        <f t="shared" si="97"/>
        <v>1529</v>
      </c>
      <c r="Z1262" s="9">
        <f t="shared" si="98"/>
        <v>2866.875</v>
      </c>
      <c r="AA1262" s="5">
        <f t="shared" si="99"/>
        <v>3185.098125</v>
      </c>
      <c r="AB1262" s="6">
        <f t="shared" si="100"/>
        <v>4644.0508124999997</v>
      </c>
      <c r="AD1262" s="10">
        <f t="shared" si="96"/>
        <v>5814.6818812500005</v>
      </c>
    </row>
    <row r="1263" spans="1:30" x14ac:dyDescent="0.3">
      <c r="A1263" t="s">
        <v>30</v>
      </c>
      <c r="B1263" s="8" t="s">
        <v>66</v>
      </c>
      <c r="C1263" s="8" t="s">
        <v>32</v>
      </c>
      <c r="D1263" s="8" t="s">
        <v>69</v>
      </c>
      <c r="E1263" s="8" t="s">
        <v>70</v>
      </c>
      <c r="F1263" s="8" t="s">
        <v>71</v>
      </c>
      <c r="G1263">
        <v>7311009000</v>
      </c>
      <c r="H1263" t="s">
        <v>36</v>
      </c>
      <c r="I1263" t="s">
        <v>1139</v>
      </c>
      <c r="J1263" t="s">
        <v>38</v>
      </c>
      <c r="K1263" t="s">
        <v>39</v>
      </c>
      <c r="L1263">
        <v>5</v>
      </c>
      <c r="M1263">
        <v>1</v>
      </c>
      <c r="N1263" t="s">
        <v>64</v>
      </c>
      <c r="O1263">
        <v>229.74</v>
      </c>
      <c r="P1263">
        <v>3083</v>
      </c>
      <c r="Q1263">
        <v>418.85</v>
      </c>
      <c r="R1263">
        <v>21.54</v>
      </c>
      <c r="S1263">
        <v>3523.39</v>
      </c>
      <c r="T1263" t="s">
        <v>1139</v>
      </c>
      <c r="U1263" t="s">
        <v>1139</v>
      </c>
      <c r="V1263" t="s">
        <v>38</v>
      </c>
      <c r="W1263" t="s">
        <v>1142</v>
      </c>
      <c r="X1263">
        <v>3083</v>
      </c>
      <c r="Y1263" s="9">
        <f t="shared" si="97"/>
        <v>3083</v>
      </c>
      <c r="Z1263" s="9">
        <f t="shared" si="98"/>
        <v>5780.625</v>
      </c>
      <c r="AA1263" s="5">
        <f t="shared" si="99"/>
        <v>6422.274375</v>
      </c>
      <c r="AB1263" s="6">
        <f t="shared" si="100"/>
        <v>9364.0344374999986</v>
      </c>
      <c r="AD1263" s="10">
        <f t="shared" si="96"/>
        <v>11724.437043750002</v>
      </c>
    </row>
    <row r="1264" spans="1:30" x14ac:dyDescent="0.3">
      <c r="A1264" t="s">
        <v>30</v>
      </c>
      <c r="B1264" s="8" t="s">
        <v>66</v>
      </c>
      <c r="C1264" s="8" t="s">
        <v>32</v>
      </c>
      <c r="D1264" s="8" t="s">
        <v>69</v>
      </c>
      <c r="E1264" s="8" t="s">
        <v>70</v>
      </c>
      <c r="F1264" s="8" t="s">
        <v>71</v>
      </c>
      <c r="G1264">
        <v>7311009000</v>
      </c>
      <c r="H1264" t="s">
        <v>36</v>
      </c>
      <c r="I1264" t="s">
        <v>1139</v>
      </c>
      <c r="J1264" t="s">
        <v>38</v>
      </c>
      <c r="K1264" t="s">
        <v>39</v>
      </c>
      <c r="L1264">
        <v>5</v>
      </c>
      <c r="M1264">
        <v>1</v>
      </c>
      <c r="N1264" t="s">
        <v>64</v>
      </c>
      <c r="O1264">
        <v>229.74</v>
      </c>
      <c r="P1264">
        <v>3083</v>
      </c>
      <c r="Q1264">
        <v>418.85</v>
      </c>
      <c r="R1264">
        <v>21.54</v>
      </c>
      <c r="S1264">
        <v>3523.39</v>
      </c>
      <c r="T1264" t="s">
        <v>1139</v>
      </c>
      <c r="U1264" t="s">
        <v>1139</v>
      </c>
      <c r="V1264" t="s">
        <v>38</v>
      </c>
      <c r="W1264" t="s">
        <v>1142</v>
      </c>
      <c r="X1264">
        <v>3083</v>
      </c>
      <c r="Y1264" s="9">
        <f t="shared" si="97"/>
        <v>3083</v>
      </c>
      <c r="Z1264" s="9">
        <f t="shared" si="98"/>
        <v>5780.625</v>
      </c>
      <c r="AA1264" s="5">
        <f t="shared" si="99"/>
        <v>6422.274375</v>
      </c>
      <c r="AB1264" s="6">
        <f t="shared" si="100"/>
        <v>9364.0344374999986</v>
      </c>
      <c r="AD1264" s="10">
        <f t="shared" si="96"/>
        <v>11724.437043750002</v>
      </c>
    </row>
    <row r="1265" spans="1:30" x14ac:dyDescent="0.3">
      <c r="A1265" t="s">
        <v>30</v>
      </c>
      <c r="B1265" s="8" t="s">
        <v>66</v>
      </c>
      <c r="C1265" s="8" t="s">
        <v>32</v>
      </c>
      <c r="D1265" s="8" t="s">
        <v>69</v>
      </c>
      <c r="E1265" s="8" t="s">
        <v>70</v>
      </c>
      <c r="F1265" s="8" t="s">
        <v>71</v>
      </c>
      <c r="G1265">
        <v>7311009000</v>
      </c>
      <c r="H1265" t="s">
        <v>36</v>
      </c>
      <c r="I1265" t="s">
        <v>1139</v>
      </c>
      <c r="J1265" t="s">
        <v>38</v>
      </c>
      <c r="K1265" t="s">
        <v>39</v>
      </c>
      <c r="L1265">
        <v>7</v>
      </c>
      <c r="M1265">
        <v>1</v>
      </c>
      <c r="N1265" t="s">
        <v>64</v>
      </c>
      <c r="O1265">
        <v>113.9</v>
      </c>
      <c r="P1265">
        <v>1529</v>
      </c>
      <c r="Q1265">
        <v>126.12</v>
      </c>
      <c r="R1265">
        <v>10.23</v>
      </c>
      <c r="S1265">
        <v>1665.34</v>
      </c>
      <c r="T1265" t="s">
        <v>1139</v>
      </c>
      <c r="U1265" t="s">
        <v>1139</v>
      </c>
      <c r="V1265" t="s">
        <v>38</v>
      </c>
      <c r="W1265" t="s">
        <v>1143</v>
      </c>
      <c r="X1265">
        <v>1529</v>
      </c>
      <c r="Y1265" s="9">
        <f t="shared" si="97"/>
        <v>1529</v>
      </c>
      <c r="Z1265" s="9">
        <f t="shared" si="98"/>
        <v>2866.875</v>
      </c>
      <c r="AA1265" s="5">
        <f t="shared" si="99"/>
        <v>3185.098125</v>
      </c>
      <c r="AB1265" s="6">
        <f t="shared" si="100"/>
        <v>4644.0508124999997</v>
      </c>
      <c r="AD1265" s="10">
        <f t="shared" si="96"/>
        <v>5814.6818812500005</v>
      </c>
    </row>
    <row r="1266" spans="1:30" x14ac:dyDescent="0.3">
      <c r="A1266" t="s">
        <v>30</v>
      </c>
      <c r="B1266" s="8" t="s">
        <v>66</v>
      </c>
      <c r="C1266" s="8" t="s">
        <v>32</v>
      </c>
      <c r="D1266" s="8" t="s">
        <v>33</v>
      </c>
      <c r="E1266" s="8" t="s">
        <v>34</v>
      </c>
      <c r="F1266" s="8" t="s">
        <v>35</v>
      </c>
      <c r="G1266">
        <v>8481809990</v>
      </c>
      <c r="H1266" t="s">
        <v>160</v>
      </c>
      <c r="I1266" t="s">
        <v>998</v>
      </c>
      <c r="J1266" t="s">
        <v>38</v>
      </c>
      <c r="K1266" t="s">
        <v>39</v>
      </c>
      <c r="L1266">
        <v>7</v>
      </c>
      <c r="M1266">
        <v>2</v>
      </c>
      <c r="N1266" t="s">
        <v>64</v>
      </c>
      <c r="O1266">
        <v>0</v>
      </c>
      <c r="P1266">
        <v>514.32000000000005</v>
      </c>
      <c r="Q1266">
        <v>81.25</v>
      </c>
      <c r="R1266">
        <v>3.17</v>
      </c>
      <c r="S1266">
        <v>598.75</v>
      </c>
      <c r="T1266" t="s">
        <v>41</v>
      </c>
      <c r="U1266" t="s">
        <v>41</v>
      </c>
      <c r="V1266" t="s">
        <v>38</v>
      </c>
      <c r="W1266" t="s">
        <v>1144</v>
      </c>
      <c r="X1266">
        <v>257.16000000000003</v>
      </c>
      <c r="Y1266" s="9">
        <f t="shared" si="97"/>
        <v>257.16000000000003</v>
      </c>
      <c r="Z1266" s="9">
        <f t="shared" si="98"/>
        <v>482.17500000000007</v>
      </c>
      <c r="AA1266" s="5">
        <f t="shared" si="99"/>
        <v>535.69642500000009</v>
      </c>
      <c r="AB1266" s="6">
        <f t="shared" si="100"/>
        <v>781.07528250000007</v>
      </c>
      <c r="AD1266" s="10">
        <f t="shared" ref="AD1266:AD1329" si="101">SUM(Z1266)*2.02823</f>
        <v>977.96180025000024</v>
      </c>
    </row>
    <row r="1267" spans="1:30" x14ac:dyDescent="0.3">
      <c r="A1267" t="s">
        <v>30</v>
      </c>
      <c r="B1267" s="8" t="s">
        <v>66</v>
      </c>
      <c r="C1267" s="8" t="s">
        <v>32</v>
      </c>
      <c r="D1267" s="8" t="s">
        <v>33</v>
      </c>
      <c r="E1267" s="8" t="s">
        <v>34</v>
      </c>
      <c r="F1267" s="8" t="s">
        <v>35</v>
      </c>
      <c r="G1267">
        <v>8481809990</v>
      </c>
      <c r="H1267" t="s">
        <v>160</v>
      </c>
      <c r="I1267" t="s">
        <v>998</v>
      </c>
      <c r="J1267" t="s">
        <v>38</v>
      </c>
      <c r="K1267" t="s">
        <v>39</v>
      </c>
      <c r="L1267">
        <v>8</v>
      </c>
      <c r="M1267">
        <v>1</v>
      </c>
      <c r="N1267" t="s">
        <v>64</v>
      </c>
      <c r="O1267">
        <v>0</v>
      </c>
      <c r="P1267">
        <v>203.03</v>
      </c>
      <c r="Q1267">
        <v>29.22</v>
      </c>
      <c r="R1267">
        <v>1.43</v>
      </c>
      <c r="S1267">
        <v>233.67</v>
      </c>
      <c r="T1267" t="s">
        <v>41</v>
      </c>
      <c r="U1267" t="s">
        <v>41</v>
      </c>
      <c r="V1267" t="s">
        <v>38</v>
      </c>
      <c r="W1267" t="s">
        <v>1144</v>
      </c>
      <c r="X1267">
        <v>203.03</v>
      </c>
      <c r="Y1267" s="9">
        <f t="shared" si="97"/>
        <v>203.03</v>
      </c>
      <c r="Z1267" s="9">
        <f t="shared" si="98"/>
        <v>380.68124999999998</v>
      </c>
      <c r="AA1267" s="5">
        <f t="shared" si="99"/>
        <v>422.93686874999997</v>
      </c>
      <c r="AB1267" s="6">
        <f t="shared" si="100"/>
        <v>616.66555687499988</v>
      </c>
      <c r="AD1267" s="10">
        <f t="shared" si="101"/>
        <v>772.10913168750005</v>
      </c>
    </row>
    <row r="1268" spans="1:30" x14ac:dyDescent="0.3">
      <c r="A1268" t="s">
        <v>30</v>
      </c>
      <c r="B1268" s="8" t="s">
        <v>66</v>
      </c>
      <c r="C1268" s="8" t="s">
        <v>32</v>
      </c>
      <c r="D1268" s="8" t="s">
        <v>69</v>
      </c>
      <c r="E1268" s="8" t="s">
        <v>70</v>
      </c>
      <c r="F1268" s="8" t="s">
        <v>71</v>
      </c>
      <c r="G1268">
        <v>8481809990</v>
      </c>
      <c r="H1268" t="s">
        <v>160</v>
      </c>
      <c r="I1268" t="s">
        <v>784</v>
      </c>
      <c r="J1268" t="s">
        <v>38</v>
      </c>
      <c r="K1268" t="s">
        <v>39</v>
      </c>
      <c r="L1268">
        <v>9</v>
      </c>
      <c r="M1268">
        <v>2</v>
      </c>
      <c r="N1268" t="s">
        <v>64</v>
      </c>
      <c r="O1268">
        <v>0</v>
      </c>
      <c r="P1268">
        <v>398.78</v>
      </c>
      <c r="Q1268">
        <v>20.100000000000001</v>
      </c>
      <c r="R1268">
        <v>2.5299999999999998</v>
      </c>
      <c r="S1268">
        <v>421.41</v>
      </c>
      <c r="T1268" t="s">
        <v>41</v>
      </c>
      <c r="U1268" t="s">
        <v>43</v>
      </c>
      <c r="V1268" t="s">
        <v>38</v>
      </c>
      <c r="W1268" t="s">
        <v>1144</v>
      </c>
      <c r="X1268">
        <v>199.39</v>
      </c>
      <c r="Y1268" s="9">
        <f t="shared" si="97"/>
        <v>199.39</v>
      </c>
      <c r="Z1268" s="9">
        <f t="shared" si="98"/>
        <v>373.85624999999999</v>
      </c>
      <c r="AA1268" s="5">
        <f t="shared" si="99"/>
        <v>415.35429375000001</v>
      </c>
      <c r="AB1268" s="6">
        <f t="shared" si="100"/>
        <v>605.60973937499989</v>
      </c>
      <c r="AD1268" s="10">
        <f t="shared" si="101"/>
        <v>758.26646193750003</v>
      </c>
    </row>
    <row r="1269" spans="1:30" x14ac:dyDescent="0.3">
      <c r="A1269" t="s">
        <v>30</v>
      </c>
      <c r="B1269" s="8" t="s">
        <v>31</v>
      </c>
      <c r="C1269" s="8" t="s">
        <v>32</v>
      </c>
      <c r="D1269" s="8" t="s">
        <v>33</v>
      </c>
      <c r="E1269" s="8" t="s">
        <v>34</v>
      </c>
      <c r="F1269" s="8" t="s">
        <v>35</v>
      </c>
      <c r="G1269">
        <v>8481805900</v>
      </c>
      <c r="H1269" t="s">
        <v>53</v>
      </c>
      <c r="I1269" t="s">
        <v>1145</v>
      </c>
      <c r="J1269" t="s">
        <v>38</v>
      </c>
      <c r="K1269" t="s">
        <v>39</v>
      </c>
      <c r="L1269">
        <v>12</v>
      </c>
      <c r="M1269">
        <v>2</v>
      </c>
      <c r="N1269" t="s">
        <v>64</v>
      </c>
      <c r="O1269">
        <v>0</v>
      </c>
      <c r="P1269">
        <v>1146.6300000000001</v>
      </c>
      <c r="Q1269">
        <v>131.66</v>
      </c>
      <c r="R1269">
        <v>7.64</v>
      </c>
      <c r="S1269">
        <v>1285.93</v>
      </c>
      <c r="T1269" t="s">
        <v>41</v>
      </c>
      <c r="U1269" t="s">
        <v>41</v>
      </c>
      <c r="V1269" t="s">
        <v>38</v>
      </c>
      <c r="W1269" t="s">
        <v>1146</v>
      </c>
      <c r="X1269">
        <v>573.32000000000005</v>
      </c>
      <c r="Y1269" s="9">
        <f t="shared" si="97"/>
        <v>573.31500000000005</v>
      </c>
      <c r="Z1269" s="9">
        <f t="shared" si="98"/>
        <v>1074.965625</v>
      </c>
      <c r="AA1269" s="5">
        <f t="shared" si="99"/>
        <v>1194.2868093750001</v>
      </c>
      <c r="AB1269" s="6">
        <f t="shared" si="100"/>
        <v>1741.3368159375</v>
      </c>
      <c r="AD1269" s="10">
        <f t="shared" si="101"/>
        <v>2180.2775295937504</v>
      </c>
    </row>
    <row r="1270" spans="1:30" x14ac:dyDescent="0.3">
      <c r="A1270" t="s">
        <v>30</v>
      </c>
      <c r="B1270" s="8" t="s">
        <v>32</v>
      </c>
      <c r="C1270" s="8" t="s">
        <v>32</v>
      </c>
      <c r="D1270" s="8" t="s">
        <v>33</v>
      </c>
      <c r="E1270" s="8" t="s">
        <v>34</v>
      </c>
      <c r="F1270" s="8" t="s">
        <v>35</v>
      </c>
      <c r="G1270">
        <v>8421392000</v>
      </c>
      <c r="H1270" t="s">
        <v>429</v>
      </c>
      <c r="I1270" t="s">
        <v>1147</v>
      </c>
      <c r="J1270" t="s">
        <v>38</v>
      </c>
      <c r="K1270" t="s">
        <v>39</v>
      </c>
      <c r="L1270">
        <v>8</v>
      </c>
      <c r="M1270">
        <v>6</v>
      </c>
      <c r="N1270" t="s">
        <v>64</v>
      </c>
      <c r="O1270">
        <v>0</v>
      </c>
      <c r="P1270">
        <v>956.74</v>
      </c>
      <c r="Q1270">
        <v>137.68</v>
      </c>
      <c r="R1270">
        <v>6.74</v>
      </c>
      <c r="S1270">
        <v>1101.1500000000001</v>
      </c>
      <c r="T1270" t="s">
        <v>41</v>
      </c>
      <c r="U1270" t="s">
        <v>41</v>
      </c>
      <c r="V1270" t="s">
        <v>38</v>
      </c>
      <c r="W1270" t="s">
        <v>1148</v>
      </c>
      <c r="X1270">
        <v>159.46</v>
      </c>
      <c r="Y1270" s="9">
        <f t="shared" si="97"/>
        <v>159.45666666666668</v>
      </c>
      <c r="Z1270" s="9">
        <f t="shared" si="98"/>
        <v>298.98125000000005</v>
      </c>
      <c r="AA1270" s="5">
        <f t="shared" si="99"/>
        <v>332.16816875000006</v>
      </c>
      <c r="AB1270" s="6">
        <f t="shared" si="100"/>
        <v>484.31972687500001</v>
      </c>
      <c r="AD1270" s="10">
        <f t="shared" si="101"/>
        <v>606.40274068750011</v>
      </c>
    </row>
    <row r="1271" spans="1:30" x14ac:dyDescent="0.3">
      <c r="A1271" t="s">
        <v>30</v>
      </c>
      <c r="B1271" s="8" t="s">
        <v>32</v>
      </c>
      <c r="C1271" s="8" t="s">
        <v>32</v>
      </c>
      <c r="D1271" s="8" t="s">
        <v>33</v>
      </c>
      <c r="E1271" s="8" t="s">
        <v>34</v>
      </c>
      <c r="F1271" s="8" t="s">
        <v>35</v>
      </c>
      <c r="G1271">
        <v>8421392000</v>
      </c>
      <c r="H1271" t="s">
        <v>429</v>
      </c>
      <c r="I1271" t="s">
        <v>228</v>
      </c>
      <c r="J1271" t="s">
        <v>38</v>
      </c>
      <c r="K1271" t="s">
        <v>39</v>
      </c>
      <c r="L1271">
        <v>6</v>
      </c>
      <c r="M1271">
        <v>3</v>
      </c>
      <c r="N1271" t="s">
        <v>64</v>
      </c>
      <c r="O1271">
        <v>0</v>
      </c>
      <c r="P1271">
        <v>506.86</v>
      </c>
      <c r="Q1271">
        <v>34.4</v>
      </c>
      <c r="R1271">
        <v>3.3</v>
      </c>
      <c r="S1271">
        <v>544.54999999999995</v>
      </c>
      <c r="T1271" t="s">
        <v>41</v>
      </c>
      <c r="U1271" t="s">
        <v>41</v>
      </c>
      <c r="V1271" t="s">
        <v>38</v>
      </c>
      <c r="W1271" t="s">
        <v>1148</v>
      </c>
      <c r="X1271">
        <v>168.95</v>
      </c>
      <c r="Y1271" s="9">
        <f t="shared" si="97"/>
        <v>168.95333333333335</v>
      </c>
      <c r="Z1271" s="9">
        <f t="shared" si="98"/>
        <v>316.78750000000002</v>
      </c>
      <c r="AA1271" s="5">
        <f t="shared" si="99"/>
        <v>351.95091250000002</v>
      </c>
      <c r="AB1271" s="6">
        <f t="shared" si="100"/>
        <v>513.16407125000001</v>
      </c>
      <c r="AD1271" s="10">
        <f t="shared" si="101"/>
        <v>642.51791112500007</v>
      </c>
    </row>
    <row r="1272" spans="1:30" x14ac:dyDescent="0.3">
      <c r="A1272" t="s">
        <v>30</v>
      </c>
      <c r="B1272" s="8" t="s">
        <v>32</v>
      </c>
      <c r="C1272" s="8" t="s">
        <v>32</v>
      </c>
      <c r="D1272" s="8" t="s">
        <v>33</v>
      </c>
      <c r="E1272" s="8" t="s">
        <v>34</v>
      </c>
      <c r="F1272" s="8" t="s">
        <v>35</v>
      </c>
      <c r="G1272">
        <v>8421392000</v>
      </c>
      <c r="H1272" t="s">
        <v>429</v>
      </c>
      <c r="I1272" t="s">
        <v>228</v>
      </c>
      <c r="J1272" t="s">
        <v>38</v>
      </c>
      <c r="K1272" t="s">
        <v>39</v>
      </c>
      <c r="L1272">
        <v>4</v>
      </c>
      <c r="M1272">
        <v>3</v>
      </c>
      <c r="N1272" t="s">
        <v>64</v>
      </c>
      <c r="O1272">
        <v>0</v>
      </c>
      <c r="P1272">
        <v>480.52</v>
      </c>
      <c r="Q1272">
        <v>25.16</v>
      </c>
      <c r="R1272">
        <v>3.13</v>
      </c>
      <c r="S1272">
        <v>508.81</v>
      </c>
      <c r="T1272" t="s">
        <v>41</v>
      </c>
      <c r="U1272" t="s">
        <v>41</v>
      </c>
      <c r="V1272" t="s">
        <v>38</v>
      </c>
      <c r="W1272" t="s">
        <v>1148</v>
      </c>
      <c r="X1272">
        <v>160.16999999999999</v>
      </c>
      <c r="Y1272" s="9">
        <f t="shared" si="97"/>
        <v>160.17333333333332</v>
      </c>
      <c r="Z1272" s="9">
        <f t="shared" si="98"/>
        <v>300.32499999999999</v>
      </c>
      <c r="AA1272" s="5">
        <f t="shared" si="99"/>
        <v>333.66107499999998</v>
      </c>
      <c r="AB1272" s="6">
        <f t="shared" si="100"/>
        <v>486.49646749999994</v>
      </c>
      <c r="AD1272" s="10">
        <f t="shared" si="101"/>
        <v>609.12817475000008</v>
      </c>
    </row>
    <row r="1273" spans="1:30" x14ac:dyDescent="0.3">
      <c r="A1273" t="s">
        <v>30</v>
      </c>
      <c r="B1273" s="8" t="s">
        <v>52</v>
      </c>
      <c r="C1273" s="8" t="s">
        <v>32</v>
      </c>
      <c r="D1273" s="8" t="s">
        <v>33</v>
      </c>
      <c r="E1273" s="8" t="s">
        <v>34</v>
      </c>
      <c r="F1273" s="8" t="s">
        <v>35</v>
      </c>
      <c r="G1273">
        <v>8421392000</v>
      </c>
      <c r="H1273" t="s">
        <v>429</v>
      </c>
      <c r="I1273" t="s">
        <v>228</v>
      </c>
      <c r="J1273" t="s">
        <v>38</v>
      </c>
      <c r="K1273" t="s">
        <v>39</v>
      </c>
      <c r="L1273">
        <v>8</v>
      </c>
      <c r="M1273">
        <v>1</v>
      </c>
      <c r="N1273" t="s">
        <v>64</v>
      </c>
      <c r="O1273">
        <v>0</v>
      </c>
      <c r="P1273">
        <v>510.6</v>
      </c>
      <c r="Q1273">
        <v>28.91</v>
      </c>
      <c r="R1273">
        <v>3.26</v>
      </c>
      <c r="S1273">
        <v>542.76</v>
      </c>
      <c r="T1273" t="s">
        <v>41</v>
      </c>
      <c r="U1273" t="s">
        <v>41</v>
      </c>
      <c r="V1273" t="s">
        <v>38</v>
      </c>
      <c r="W1273" t="s">
        <v>1149</v>
      </c>
      <c r="X1273">
        <v>510.6</v>
      </c>
      <c r="Y1273" s="9">
        <f t="shared" si="97"/>
        <v>510.6</v>
      </c>
      <c r="Z1273" s="9">
        <f t="shared" si="98"/>
        <v>957.375</v>
      </c>
      <c r="AA1273" s="5">
        <f t="shared" si="99"/>
        <v>1063.6436249999999</v>
      </c>
      <c r="AB1273" s="6">
        <f t="shared" si="100"/>
        <v>1550.8517624999999</v>
      </c>
      <c r="AD1273" s="10">
        <f t="shared" si="101"/>
        <v>1941.7766962500002</v>
      </c>
    </row>
    <row r="1274" spans="1:30" x14ac:dyDescent="0.3">
      <c r="A1274" t="s">
        <v>30</v>
      </c>
      <c r="B1274" s="8" t="s">
        <v>66</v>
      </c>
      <c r="C1274" s="8" t="s">
        <v>32</v>
      </c>
      <c r="D1274" s="8" t="s">
        <v>33</v>
      </c>
      <c r="E1274" s="8" t="s">
        <v>34</v>
      </c>
      <c r="F1274" s="8" t="s">
        <v>35</v>
      </c>
      <c r="G1274">
        <v>8481805900</v>
      </c>
      <c r="H1274" t="s">
        <v>36</v>
      </c>
      <c r="I1274" t="s">
        <v>1150</v>
      </c>
      <c r="J1274" t="s">
        <v>38</v>
      </c>
      <c r="K1274" t="s">
        <v>39</v>
      </c>
      <c r="L1274">
        <v>7</v>
      </c>
      <c r="M1274">
        <v>3</v>
      </c>
      <c r="N1274" t="s">
        <v>64</v>
      </c>
      <c r="O1274">
        <v>0</v>
      </c>
      <c r="P1274">
        <v>217.69</v>
      </c>
      <c r="Q1274">
        <v>34.39</v>
      </c>
      <c r="R1274">
        <v>1.34</v>
      </c>
      <c r="S1274">
        <v>253.43</v>
      </c>
      <c r="T1274" t="s">
        <v>41</v>
      </c>
      <c r="U1274" t="s">
        <v>41</v>
      </c>
      <c r="V1274" t="s">
        <v>38</v>
      </c>
      <c r="W1274" t="s">
        <v>1151</v>
      </c>
      <c r="X1274">
        <v>72.56</v>
      </c>
      <c r="Y1274" s="9">
        <f t="shared" si="97"/>
        <v>72.563333333333333</v>
      </c>
      <c r="Z1274" s="9">
        <f t="shared" si="98"/>
        <v>136.05625000000001</v>
      </c>
      <c r="AA1274" s="5">
        <f t="shared" si="99"/>
        <v>151.15849374999999</v>
      </c>
      <c r="AB1274" s="6">
        <f t="shared" si="100"/>
        <v>220.397519375</v>
      </c>
      <c r="AD1274" s="10">
        <f t="shared" si="101"/>
        <v>275.95336793750005</v>
      </c>
    </row>
    <row r="1275" spans="1:30" x14ac:dyDescent="0.3">
      <c r="A1275" t="s">
        <v>30</v>
      </c>
      <c r="B1275" s="8" t="s">
        <v>66</v>
      </c>
      <c r="C1275" s="8" t="s">
        <v>32</v>
      </c>
      <c r="D1275" s="8" t="s">
        <v>33</v>
      </c>
      <c r="E1275" s="8" t="s">
        <v>34</v>
      </c>
      <c r="F1275" s="8" t="s">
        <v>35</v>
      </c>
      <c r="G1275">
        <v>8481805900</v>
      </c>
      <c r="H1275" t="s">
        <v>36</v>
      </c>
      <c r="I1275" t="s">
        <v>1152</v>
      </c>
      <c r="J1275" t="s">
        <v>38</v>
      </c>
      <c r="K1275" t="s">
        <v>39</v>
      </c>
      <c r="L1275">
        <v>8</v>
      </c>
      <c r="M1275">
        <v>4</v>
      </c>
      <c r="N1275" t="s">
        <v>64</v>
      </c>
      <c r="O1275">
        <v>0</v>
      </c>
      <c r="P1275">
        <v>280.42</v>
      </c>
      <c r="Q1275">
        <v>40.35</v>
      </c>
      <c r="R1275">
        <v>1.97</v>
      </c>
      <c r="S1275">
        <v>322.75</v>
      </c>
      <c r="T1275" t="s">
        <v>41</v>
      </c>
      <c r="U1275" t="s">
        <v>41</v>
      </c>
      <c r="V1275" t="s">
        <v>38</v>
      </c>
      <c r="W1275" t="s">
        <v>1151</v>
      </c>
      <c r="X1275">
        <v>70.11</v>
      </c>
      <c r="Y1275" s="9">
        <f t="shared" si="97"/>
        <v>70.105000000000004</v>
      </c>
      <c r="Z1275" s="9">
        <f t="shared" si="98"/>
        <v>131.44687500000001</v>
      </c>
      <c r="AA1275" s="5">
        <f t="shared" si="99"/>
        <v>146.03747812500001</v>
      </c>
      <c r="AB1275" s="6">
        <f t="shared" si="100"/>
        <v>212.93079281249999</v>
      </c>
      <c r="AD1275" s="10">
        <f t="shared" si="101"/>
        <v>266.60449528125002</v>
      </c>
    </row>
    <row r="1276" spans="1:30" x14ac:dyDescent="0.3">
      <c r="A1276" t="s">
        <v>30</v>
      </c>
      <c r="B1276" s="8" t="s">
        <v>66</v>
      </c>
      <c r="C1276" s="8" t="s">
        <v>32</v>
      </c>
      <c r="D1276" s="8" t="s">
        <v>69</v>
      </c>
      <c r="E1276" s="8" t="s">
        <v>70</v>
      </c>
      <c r="F1276" s="8" t="s">
        <v>71</v>
      </c>
      <c r="G1276">
        <v>8481805900</v>
      </c>
      <c r="H1276" t="s">
        <v>36</v>
      </c>
      <c r="I1276" t="s">
        <v>1152</v>
      </c>
      <c r="J1276" t="s">
        <v>38</v>
      </c>
      <c r="K1276" t="s">
        <v>39</v>
      </c>
      <c r="L1276">
        <v>13</v>
      </c>
      <c r="M1276">
        <v>3</v>
      </c>
      <c r="N1276" t="s">
        <v>64</v>
      </c>
      <c r="O1276">
        <v>0</v>
      </c>
      <c r="P1276">
        <v>206.55</v>
      </c>
      <c r="Q1276">
        <v>14.66</v>
      </c>
      <c r="R1276">
        <v>1.35</v>
      </c>
      <c r="S1276">
        <v>222.57</v>
      </c>
      <c r="T1276" t="s">
        <v>41</v>
      </c>
      <c r="U1276" t="s">
        <v>41</v>
      </c>
      <c r="V1276" t="s">
        <v>38</v>
      </c>
      <c r="W1276" t="s">
        <v>1151</v>
      </c>
      <c r="X1276">
        <v>68.849999999999994</v>
      </c>
      <c r="Y1276" s="9">
        <f t="shared" si="97"/>
        <v>68.850000000000009</v>
      </c>
      <c r="Z1276" s="9">
        <f t="shared" si="98"/>
        <v>129.09375000000003</v>
      </c>
      <c r="AA1276" s="5">
        <f t="shared" si="99"/>
        <v>143.42315625000003</v>
      </c>
      <c r="AB1276" s="6">
        <f t="shared" si="100"/>
        <v>209.11896562500004</v>
      </c>
      <c r="AD1276" s="10">
        <f t="shared" si="101"/>
        <v>261.83181656250008</v>
      </c>
    </row>
    <row r="1277" spans="1:30" x14ac:dyDescent="0.3">
      <c r="A1277" t="s">
        <v>30</v>
      </c>
      <c r="B1277" s="8" t="s">
        <v>66</v>
      </c>
      <c r="C1277" s="8" t="s">
        <v>32</v>
      </c>
      <c r="D1277" s="8" t="s">
        <v>33</v>
      </c>
      <c r="E1277" s="8" t="s">
        <v>34</v>
      </c>
      <c r="F1277" s="8" t="s">
        <v>35</v>
      </c>
      <c r="G1277">
        <v>8481805900</v>
      </c>
      <c r="H1277" t="s">
        <v>36</v>
      </c>
      <c r="I1277" t="s">
        <v>1153</v>
      </c>
      <c r="J1277" t="s">
        <v>38</v>
      </c>
      <c r="K1277" t="s">
        <v>39</v>
      </c>
      <c r="L1277">
        <v>4</v>
      </c>
      <c r="M1277">
        <v>5</v>
      </c>
      <c r="N1277" t="s">
        <v>64</v>
      </c>
      <c r="O1277">
        <v>0</v>
      </c>
      <c r="P1277">
        <v>352.1</v>
      </c>
      <c r="Q1277">
        <v>18.43</v>
      </c>
      <c r="R1277">
        <v>2.2999999999999998</v>
      </c>
      <c r="S1277">
        <v>372.83</v>
      </c>
      <c r="T1277" t="s">
        <v>41</v>
      </c>
      <c r="U1277" t="s">
        <v>41</v>
      </c>
      <c r="V1277" t="s">
        <v>38</v>
      </c>
      <c r="W1277" t="s">
        <v>1151</v>
      </c>
      <c r="X1277">
        <v>70.42</v>
      </c>
      <c r="Y1277" s="9">
        <f t="shared" si="97"/>
        <v>70.42</v>
      </c>
      <c r="Z1277" s="9">
        <f t="shared" si="98"/>
        <v>132.03749999999999</v>
      </c>
      <c r="AA1277" s="5">
        <f t="shared" si="99"/>
        <v>146.69366249999999</v>
      </c>
      <c r="AB1277" s="6">
        <f t="shared" si="100"/>
        <v>213.88754624999999</v>
      </c>
      <c r="AD1277" s="10">
        <f t="shared" si="101"/>
        <v>267.80241862500003</v>
      </c>
    </row>
    <row r="1278" spans="1:30" x14ac:dyDescent="0.3">
      <c r="A1278" t="s">
        <v>30</v>
      </c>
      <c r="B1278" s="8" t="s">
        <v>66</v>
      </c>
      <c r="C1278" s="8" t="s">
        <v>32</v>
      </c>
      <c r="D1278" s="8" t="s">
        <v>69</v>
      </c>
      <c r="E1278" s="8" t="s">
        <v>70</v>
      </c>
      <c r="F1278" s="8" t="s">
        <v>71</v>
      </c>
      <c r="G1278">
        <v>8481805900</v>
      </c>
      <c r="H1278" t="s">
        <v>53</v>
      </c>
      <c r="I1278" t="s">
        <v>1153</v>
      </c>
      <c r="J1278" t="s">
        <v>38</v>
      </c>
      <c r="K1278" t="s">
        <v>39</v>
      </c>
      <c r="L1278">
        <v>8</v>
      </c>
      <c r="M1278">
        <v>4</v>
      </c>
      <c r="N1278" t="s">
        <v>64</v>
      </c>
      <c r="O1278">
        <v>0</v>
      </c>
      <c r="P1278">
        <v>275.39999999999998</v>
      </c>
      <c r="Q1278">
        <v>18.03</v>
      </c>
      <c r="R1278">
        <v>1.79</v>
      </c>
      <c r="S1278">
        <v>295.20999999999998</v>
      </c>
      <c r="T1278" t="s">
        <v>41</v>
      </c>
      <c r="U1278" t="s">
        <v>41</v>
      </c>
      <c r="V1278" t="s">
        <v>38</v>
      </c>
      <c r="W1278" t="s">
        <v>1151</v>
      </c>
      <c r="X1278">
        <v>68.849999999999994</v>
      </c>
      <c r="Y1278" s="9">
        <f t="shared" si="97"/>
        <v>68.849999999999994</v>
      </c>
      <c r="Z1278" s="9">
        <f t="shared" si="98"/>
        <v>129.09375</v>
      </c>
      <c r="AA1278" s="5">
        <f t="shared" si="99"/>
        <v>143.42315625000001</v>
      </c>
      <c r="AB1278" s="6">
        <f t="shared" si="100"/>
        <v>209.11896562499999</v>
      </c>
      <c r="AD1278" s="10">
        <f t="shared" si="101"/>
        <v>261.83181656250002</v>
      </c>
    </row>
    <row r="1279" spans="1:30" x14ac:dyDescent="0.3">
      <c r="A1279" t="s">
        <v>30</v>
      </c>
      <c r="B1279" s="8" t="s">
        <v>66</v>
      </c>
      <c r="C1279" s="8" t="s">
        <v>32</v>
      </c>
      <c r="D1279" s="8" t="s">
        <v>33</v>
      </c>
      <c r="E1279" s="8" t="s">
        <v>34</v>
      </c>
      <c r="F1279" s="8" t="s">
        <v>35</v>
      </c>
      <c r="G1279">
        <v>8481805900</v>
      </c>
      <c r="H1279" t="s">
        <v>53</v>
      </c>
      <c r="I1279" t="s">
        <v>1154</v>
      </c>
      <c r="J1279" t="s">
        <v>38</v>
      </c>
      <c r="K1279" t="s">
        <v>39</v>
      </c>
      <c r="L1279">
        <v>8</v>
      </c>
      <c r="M1279">
        <v>4</v>
      </c>
      <c r="N1279" t="s">
        <v>64</v>
      </c>
      <c r="O1279">
        <v>0</v>
      </c>
      <c r="P1279">
        <v>280</v>
      </c>
      <c r="Q1279">
        <v>15.85</v>
      </c>
      <c r="R1279">
        <v>1.79</v>
      </c>
      <c r="S1279">
        <v>297.64</v>
      </c>
      <c r="T1279" t="s">
        <v>41</v>
      </c>
      <c r="U1279" t="s">
        <v>41</v>
      </c>
      <c r="V1279" t="s">
        <v>38</v>
      </c>
      <c r="W1279" t="s">
        <v>1151</v>
      </c>
      <c r="X1279">
        <v>70</v>
      </c>
      <c r="Y1279" s="9">
        <f t="shared" si="97"/>
        <v>70</v>
      </c>
      <c r="Z1279" s="9">
        <f t="shared" si="98"/>
        <v>131.25</v>
      </c>
      <c r="AA1279" s="5">
        <f t="shared" si="99"/>
        <v>145.81874999999999</v>
      </c>
      <c r="AB1279" s="6">
        <f t="shared" si="100"/>
        <v>212.611875</v>
      </c>
      <c r="AD1279" s="10">
        <f t="shared" si="101"/>
        <v>266.20518750000002</v>
      </c>
    </row>
    <row r="1280" spans="1:30" x14ac:dyDescent="0.3">
      <c r="A1280" t="s">
        <v>30</v>
      </c>
      <c r="B1280" s="8" t="s">
        <v>66</v>
      </c>
      <c r="C1280" s="8" t="s">
        <v>32</v>
      </c>
      <c r="D1280" s="8" t="s">
        <v>33</v>
      </c>
      <c r="E1280" s="8" t="s">
        <v>34</v>
      </c>
      <c r="F1280" s="8" t="s">
        <v>35</v>
      </c>
      <c r="G1280">
        <v>8481805900</v>
      </c>
      <c r="H1280" t="s">
        <v>36</v>
      </c>
      <c r="I1280" t="s">
        <v>1155</v>
      </c>
      <c r="J1280" t="s">
        <v>38</v>
      </c>
      <c r="K1280" t="s">
        <v>39</v>
      </c>
      <c r="L1280">
        <v>6</v>
      </c>
      <c r="M1280">
        <v>1</v>
      </c>
      <c r="N1280" t="s">
        <v>64</v>
      </c>
      <c r="O1280">
        <v>0</v>
      </c>
      <c r="P1280">
        <v>187.05</v>
      </c>
      <c r="Q1280">
        <v>12.69</v>
      </c>
      <c r="R1280">
        <v>1.22</v>
      </c>
      <c r="S1280">
        <v>200.96</v>
      </c>
      <c r="T1280" t="s">
        <v>41</v>
      </c>
      <c r="U1280" t="s">
        <v>41</v>
      </c>
      <c r="V1280" t="s">
        <v>38</v>
      </c>
      <c r="W1280" t="s">
        <v>1156</v>
      </c>
      <c r="X1280">
        <v>187.05</v>
      </c>
      <c r="Y1280" s="9">
        <f t="shared" si="97"/>
        <v>187.05</v>
      </c>
      <c r="Z1280" s="9">
        <f t="shared" si="98"/>
        <v>350.71875</v>
      </c>
      <c r="AA1280" s="5">
        <f t="shared" si="99"/>
        <v>389.64853125000002</v>
      </c>
      <c r="AB1280" s="6">
        <f t="shared" si="100"/>
        <v>568.12930312499998</v>
      </c>
      <c r="AD1280" s="10">
        <f t="shared" si="101"/>
        <v>711.33829031250002</v>
      </c>
    </row>
    <row r="1281" spans="1:30" x14ac:dyDescent="0.3">
      <c r="A1281" t="s">
        <v>168</v>
      </c>
      <c r="B1281" s="8" t="s">
        <v>66</v>
      </c>
      <c r="C1281" s="8" t="s">
        <v>32</v>
      </c>
      <c r="D1281" s="8" t="s">
        <v>33</v>
      </c>
      <c r="E1281" s="8" t="s">
        <v>34</v>
      </c>
      <c r="F1281" s="8" t="s">
        <v>35</v>
      </c>
      <c r="G1281">
        <v>8481805900</v>
      </c>
      <c r="H1281" t="s">
        <v>36</v>
      </c>
      <c r="I1281" t="s">
        <v>1157</v>
      </c>
      <c r="J1281" t="s">
        <v>38</v>
      </c>
      <c r="K1281" t="s">
        <v>39</v>
      </c>
      <c r="L1281">
        <v>11</v>
      </c>
      <c r="M1281">
        <v>1</v>
      </c>
      <c r="N1281" t="s">
        <v>64</v>
      </c>
      <c r="O1281">
        <v>0</v>
      </c>
      <c r="P1281">
        <v>375.54</v>
      </c>
      <c r="Q1281">
        <v>35.97</v>
      </c>
      <c r="R1281">
        <v>2.5299999999999998</v>
      </c>
      <c r="S1281">
        <v>414.05</v>
      </c>
      <c r="T1281" t="s">
        <v>41</v>
      </c>
      <c r="U1281" t="s">
        <v>43</v>
      </c>
      <c r="V1281" t="s">
        <v>38</v>
      </c>
      <c r="W1281" t="s">
        <v>1158</v>
      </c>
      <c r="X1281">
        <v>375.54</v>
      </c>
      <c r="Y1281" s="9">
        <f t="shared" si="97"/>
        <v>375.54</v>
      </c>
      <c r="Z1281" s="9">
        <f t="shared" si="98"/>
        <v>704.13750000000005</v>
      </c>
      <c r="AA1281" s="5">
        <f t="shared" si="99"/>
        <v>782.2967625</v>
      </c>
      <c r="AB1281" s="6">
        <f t="shared" si="100"/>
        <v>1140.63233625</v>
      </c>
      <c r="AD1281" s="10">
        <f t="shared" si="101"/>
        <v>1428.1528016250002</v>
      </c>
    </row>
    <row r="1282" spans="1:30" x14ac:dyDescent="0.3">
      <c r="A1282" t="s">
        <v>30</v>
      </c>
      <c r="B1282" s="8" t="s">
        <v>66</v>
      </c>
      <c r="C1282" s="8" t="s">
        <v>32</v>
      </c>
      <c r="D1282" s="8" t="s">
        <v>69</v>
      </c>
      <c r="E1282" s="8" t="s">
        <v>70</v>
      </c>
      <c r="F1282" s="8" t="s">
        <v>71</v>
      </c>
      <c r="G1282">
        <v>8418699900</v>
      </c>
      <c r="H1282" t="s">
        <v>1159</v>
      </c>
      <c r="I1282" t="s">
        <v>1160</v>
      </c>
      <c r="J1282" t="s">
        <v>38</v>
      </c>
      <c r="K1282" t="s">
        <v>39</v>
      </c>
      <c r="L1282">
        <v>2</v>
      </c>
      <c r="M1282">
        <v>1</v>
      </c>
      <c r="N1282" t="s">
        <v>64</v>
      </c>
      <c r="O1282">
        <v>0</v>
      </c>
      <c r="P1282">
        <v>4825</v>
      </c>
      <c r="Q1282">
        <v>251.07</v>
      </c>
      <c r="R1282">
        <v>32.229999999999997</v>
      </c>
      <c r="S1282">
        <v>5108.3</v>
      </c>
      <c r="T1282" t="s">
        <v>1160</v>
      </c>
      <c r="U1282" t="s">
        <v>1160</v>
      </c>
      <c r="V1282" t="s">
        <v>38</v>
      </c>
      <c r="W1282" t="s">
        <v>1161</v>
      </c>
      <c r="X1282">
        <v>4825</v>
      </c>
      <c r="Y1282" s="9">
        <f t="shared" si="97"/>
        <v>4825</v>
      </c>
      <c r="Z1282" s="9">
        <f t="shared" si="98"/>
        <v>9046.875</v>
      </c>
      <c r="AA1282" s="5">
        <f t="shared" si="99"/>
        <v>10051.078125</v>
      </c>
      <c r="AB1282" s="6">
        <f t="shared" si="100"/>
        <v>14655.0328125</v>
      </c>
      <c r="AD1282" s="10">
        <f t="shared" si="101"/>
        <v>18349.143281250002</v>
      </c>
    </row>
    <row r="1283" spans="1:30" x14ac:dyDescent="0.3">
      <c r="A1283" t="s">
        <v>30</v>
      </c>
      <c r="B1283" s="8" t="s">
        <v>66</v>
      </c>
      <c r="C1283" s="8" t="s">
        <v>32</v>
      </c>
      <c r="D1283" s="8" t="s">
        <v>69</v>
      </c>
      <c r="E1283" s="8" t="s">
        <v>70</v>
      </c>
      <c r="F1283" s="8" t="s">
        <v>71</v>
      </c>
      <c r="G1283">
        <v>8418699900</v>
      </c>
      <c r="H1283" t="s">
        <v>1159</v>
      </c>
      <c r="I1283" t="s">
        <v>1160</v>
      </c>
      <c r="J1283" t="s">
        <v>38</v>
      </c>
      <c r="K1283" t="s">
        <v>39</v>
      </c>
      <c r="L1283">
        <v>12</v>
      </c>
      <c r="M1283">
        <v>1</v>
      </c>
      <c r="N1283" t="s">
        <v>64</v>
      </c>
      <c r="O1283">
        <v>0</v>
      </c>
      <c r="P1283">
        <v>5141.04</v>
      </c>
      <c r="Q1283">
        <v>935.25</v>
      </c>
      <c r="R1283">
        <v>36.549999999999997</v>
      </c>
      <c r="S1283">
        <v>6112.83</v>
      </c>
      <c r="T1283" t="s">
        <v>1160</v>
      </c>
      <c r="U1283" t="s">
        <v>1160</v>
      </c>
      <c r="V1283" t="s">
        <v>38</v>
      </c>
      <c r="W1283" t="s">
        <v>1162</v>
      </c>
      <c r="X1283">
        <v>5141.04</v>
      </c>
      <c r="Y1283" s="9">
        <f t="shared" ref="Y1283:Y1346" si="102">SUM(P1283)/M1283</f>
        <v>5141.04</v>
      </c>
      <c r="Z1283" s="9">
        <f t="shared" ref="Z1283:Z1346" si="103">SUM(Y1283)*1.875</f>
        <v>9639.4500000000007</v>
      </c>
      <c r="AA1283" s="5">
        <f t="shared" ref="AA1283:AA1346" si="104">SUM(Z1283)*1.111</f>
        <v>10709.428950000001</v>
      </c>
      <c r="AB1283" s="6">
        <f t="shared" ref="AB1283:AB1346" si="105">SUM(Z1283)*1.6199</f>
        <v>15614.945055</v>
      </c>
      <c r="AD1283" s="10">
        <f t="shared" si="101"/>
        <v>19551.021673500003</v>
      </c>
    </row>
    <row r="1284" spans="1:30" x14ac:dyDescent="0.3">
      <c r="A1284" t="s">
        <v>30</v>
      </c>
      <c r="B1284" s="8" t="s">
        <v>66</v>
      </c>
      <c r="C1284" s="8" t="s">
        <v>32</v>
      </c>
      <c r="D1284" s="8" t="s">
        <v>69</v>
      </c>
      <c r="E1284" s="8" t="s">
        <v>70</v>
      </c>
      <c r="F1284" s="8" t="s">
        <v>71</v>
      </c>
      <c r="G1284">
        <v>8418699900</v>
      </c>
      <c r="H1284" t="s">
        <v>1159</v>
      </c>
      <c r="I1284" t="s">
        <v>1160</v>
      </c>
      <c r="J1284" t="s">
        <v>38</v>
      </c>
      <c r="K1284" t="s">
        <v>39</v>
      </c>
      <c r="L1284">
        <v>9</v>
      </c>
      <c r="M1284">
        <v>1</v>
      </c>
      <c r="N1284" t="s">
        <v>64</v>
      </c>
      <c r="O1284">
        <v>0</v>
      </c>
      <c r="P1284">
        <v>2971</v>
      </c>
      <c r="Q1284">
        <v>263.49</v>
      </c>
      <c r="R1284">
        <v>19.7</v>
      </c>
      <c r="S1284">
        <v>3254.2</v>
      </c>
      <c r="T1284" t="s">
        <v>1160</v>
      </c>
      <c r="U1284" t="s">
        <v>1160</v>
      </c>
      <c r="V1284" t="s">
        <v>38</v>
      </c>
      <c r="W1284" t="s">
        <v>1163</v>
      </c>
      <c r="X1284">
        <v>2971</v>
      </c>
      <c r="Y1284" s="9">
        <f t="shared" si="102"/>
        <v>2971</v>
      </c>
      <c r="Z1284" s="9">
        <f t="shared" si="103"/>
        <v>5570.625</v>
      </c>
      <c r="AA1284" s="5">
        <f t="shared" si="104"/>
        <v>6188.9643749999996</v>
      </c>
      <c r="AB1284" s="6">
        <f t="shared" si="105"/>
        <v>9023.8554374999985</v>
      </c>
      <c r="AD1284" s="10">
        <f t="shared" si="101"/>
        <v>11298.508743750001</v>
      </c>
    </row>
    <row r="1285" spans="1:30" x14ac:dyDescent="0.3">
      <c r="A1285" t="s">
        <v>30</v>
      </c>
      <c r="B1285" s="8" t="s">
        <v>66</v>
      </c>
      <c r="C1285" s="8" t="s">
        <v>32</v>
      </c>
      <c r="D1285" s="8" t="s">
        <v>69</v>
      </c>
      <c r="E1285" s="8" t="s">
        <v>70</v>
      </c>
      <c r="F1285" s="8" t="s">
        <v>71</v>
      </c>
      <c r="G1285">
        <v>8418699900</v>
      </c>
      <c r="H1285" t="s">
        <v>1159</v>
      </c>
      <c r="I1285" t="s">
        <v>1160</v>
      </c>
      <c r="J1285" t="s">
        <v>38</v>
      </c>
      <c r="K1285" t="s">
        <v>39</v>
      </c>
      <c r="L1285">
        <v>9</v>
      </c>
      <c r="M1285">
        <v>1</v>
      </c>
      <c r="N1285" t="s">
        <v>64</v>
      </c>
      <c r="O1285">
        <v>0</v>
      </c>
      <c r="P1285">
        <v>3244.84</v>
      </c>
      <c r="Q1285">
        <v>287.77999999999997</v>
      </c>
      <c r="R1285">
        <v>21.52</v>
      </c>
      <c r="S1285">
        <v>3554.14</v>
      </c>
      <c r="T1285" t="s">
        <v>1160</v>
      </c>
      <c r="U1285" t="s">
        <v>1160</v>
      </c>
      <c r="V1285" t="s">
        <v>38</v>
      </c>
      <c r="W1285" t="s">
        <v>1164</v>
      </c>
      <c r="X1285">
        <v>3244.84</v>
      </c>
      <c r="Y1285" s="9">
        <f t="shared" si="102"/>
        <v>3244.84</v>
      </c>
      <c r="Z1285" s="9">
        <f t="shared" si="103"/>
        <v>6084.0750000000007</v>
      </c>
      <c r="AA1285" s="5">
        <f t="shared" si="104"/>
        <v>6759.407325000001</v>
      </c>
      <c r="AB1285" s="6">
        <f t="shared" si="105"/>
        <v>9855.5930925000011</v>
      </c>
      <c r="AD1285" s="10">
        <f t="shared" si="101"/>
        <v>12339.903437250003</v>
      </c>
    </row>
    <row r="1286" spans="1:30" x14ac:dyDescent="0.3">
      <c r="A1286" t="s">
        <v>30</v>
      </c>
      <c r="B1286" s="8" t="s">
        <v>66</v>
      </c>
      <c r="C1286" s="8" t="s">
        <v>32</v>
      </c>
      <c r="D1286" s="8" t="s">
        <v>69</v>
      </c>
      <c r="E1286" s="8" t="s">
        <v>70</v>
      </c>
      <c r="F1286" s="8" t="s">
        <v>71</v>
      </c>
      <c r="G1286">
        <v>8418699900</v>
      </c>
      <c r="H1286" t="s">
        <v>1159</v>
      </c>
      <c r="I1286" t="s">
        <v>1160</v>
      </c>
      <c r="J1286" t="s">
        <v>38</v>
      </c>
      <c r="K1286" t="s">
        <v>39</v>
      </c>
      <c r="L1286">
        <v>7</v>
      </c>
      <c r="M1286">
        <v>1</v>
      </c>
      <c r="N1286" t="s">
        <v>64</v>
      </c>
      <c r="O1286">
        <v>0</v>
      </c>
      <c r="P1286">
        <v>3444.7</v>
      </c>
      <c r="Q1286">
        <v>451.95</v>
      </c>
      <c r="R1286">
        <v>23.64</v>
      </c>
      <c r="S1286">
        <v>3920.29</v>
      </c>
      <c r="T1286" t="s">
        <v>1160</v>
      </c>
      <c r="U1286" t="s">
        <v>1160</v>
      </c>
      <c r="V1286" t="s">
        <v>38</v>
      </c>
      <c r="W1286" t="s">
        <v>1165</v>
      </c>
      <c r="X1286">
        <v>3444.7</v>
      </c>
      <c r="Y1286" s="9">
        <f t="shared" si="102"/>
        <v>3444.7</v>
      </c>
      <c r="Z1286" s="9">
        <f t="shared" si="103"/>
        <v>6458.8125</v>
      </c>
      <c r="AA1286" s="5">
        <f t="shared" si="104"/>
        <v>7175.7406874999997</v>
      </c>
      <c r="AB1286" s="6">
        <f t="shared" si="105"/>
        <v>10462.630368749999</v>
      </c>
      <c r="AD1286" s="10">
        <f t="shared" si="101"/>
        <v>13099.957276875</v>
      </c>
    </row>
    <row r="1287" spans="1:30" x14ac:dyDescent="0.3">
      <c r="A1287" t="s">
        <v>30</v>
      </c>
      <c r="B1287" s="8" t="s">
        <v>66</v>
      </c>
      <c r="C1287" s="8" t="s">
        <v>32</v>
      </c>
      <c r="D1287" s="8" t="s">
        <v>69</v>
      </c>
      <c r="E1287" s="8" t="s">
        <v>70</v>
      </c>
      <c r="F1287" s="8" t="s">
        <v>71</v>
      </c>
      <c r="G1287">
        <v>8418699900</v>
      </c>
      <c r="H1287" t="s">
        <v>1159</v>
      </c>
      <c r="I1287" t="s">
        <v>1160</v>
      </c>
      <c r="J1287" t="s">
        <v>38</v>
      </c>
      <c r="K1287" t="s">
        <v>39</v>
      </c>
      <c r="L1287">
        <v>9</v>
      </c>
      <c r="M1287">
        <v>1</v>
      </c>
      <c r="N1287" t="s">
        <v>64</v>
      </c>
      <c r="O1287">
        <v>0</v>
      </c>
      <c r="P1287">
        <v>3708.52</v>
      </c>
      <c r="Q1287">
        <v>328.9</v>
      </c>
      <c r="R1287">
        <v>24.6</v>
      </c>
      <c r="S1287">
        <v>4062.02</v>
      </c>
      <c r="T1287" t="s">
        <v>1160</v>
      </c>
      <c r="U1287" t="s">
        <v>1160</v>
      </c>
      <c r="V1287" t="s">
        <v>38</v>
      </c>
      <c r="W1287" t="s">
        <v>1165</v>
      </c>
      <c r="X1287">
        <v>3708.52</v>
      </c>
      <c r="Y1287" s="9">
        <f t="shared" si="102"/>
        <v>3708.52</v>
      </c>
      <c r="Z1287" s="9">
        <f t="shared" si="103"/>
        <v>6953.4750000000004</v>
      </c>
      <c r="AA1287" s="5">
        <f t="shared" si="104"/>
        <v>7725.3107250000003</v>
      </c>
      <c r="AB1287" s="6">
        <f t="shared" si="105"/>
        <v>11263.9341525</v>
      </c>
      <c r="AD1287" s="10">
        <f t="shared" si="101"/>
        <v>14103.246599250002</v>
      </c>
    </row>
    <row r="1288" spans="1:30" x14ac:dyDescent="0.3">
      <c r="A1288" t="s">
        <v>30</v>
      </c>
      <c r="B1288" s="8" t="s">
        <v>66</v>
      </c>
      <c r="C1288" s="8" t="s">
        <v>32</v>
      </c>
      <c r="D1288" s="8" t="s">
        <v>69</v>
      </c>
      <c r="E1288" s="8" t="s">
        <v>70</v>
      </c>
      <c r="F1288" s="8" t="s">
        <v>71</v>
      </c>
      <c r="G1288">
        <v>8418699900</v>
      </c>
      <c r="H1288" t="s">
        <v>1159</v>
      </c>
      <c r="I1288" t="s">
        <v>1160</v>
      </c>
      <c r="J1288" t="s">
        <v>38</v>
      </c>
      <c r="K1288" t="s">
        <v>39</v>
      </c>
      <c r="L1288">
        <v>7</v>
      </c>
      <c r="M1288">
        <v>1</v>
      </c>
      <c r="N1288" t="s">
        <v>64</v>
      </c>
      <c r="O1288">
        <v>0</v>
      </c>
      <c r="P1288">
        <v>839.8</v>
      </c>
      <c r="Q1288">
        <v>110.18</v>
      </c>
      <c r="R1288">
        <v>5.76</v>
      </c>
      <c r="S1288">
        <v>955.75</v>
      </c>
      <c r="T1288" t="s">
        <v>1160</v>
      </c>
      <c r="U1288" t="s">
        <v>1160</v>
      </c>
      <c r="V1288" t="s">
        <v>38</v>
      </c>
      <c r="W1288" t="s">
        <v>1166</v>
      </c>
      <c r="X1288">
        <v>839.8</v>
      </c>
      <c r="Y1288" s="9">
        <f t="shared" si="102"/>
        <v>839.8</v>
      </c>
      <c r="Z1288" s="9">
        <f t="shared" si="103"/>
        <v>1574.625</v>
      </c>
      <c r="AA1288" s="5">
        <f t="shared" si="104"/>
        <v>1749.408375</v>
      </c>
      <c r="AB1288" s="6">
        <f t="shared" si="105"/>
        <v>2550.7350374999996</v>
      </c>
      <c r="AD1288" s="10">
        <f t="shared" si="101"/>
        <v>3193.7016637500005</v>
      </c>
    </row>
    <row r="1289" spans="1:30" x14ac:dyDescent="0.3">
      <c r="A1289" t="s">
        <v>30</v>
      </c>
      <c r="B1289" s="8" t="s">
        <v>66</v>
      </c>
      <c r="C1289" s="8" t="s">
        <v>32</v>
      </c>
      <c r="D1289" s="8" t="s">
        <v>69</v>
      </c>
      <c r="E1289" s="8" t="s">
        <v>70</v>
      </c>
      <c r="F1289" s="8" t="s">
        <v>71</v>
      </c>
      <c r="G1289">
        <v>8418699900</v>
      </c>
      <c r="H1289" t="s">
        <v>1159</v>
      </c>
      <c r="I1289" t="s">
        <v>1160</v>
      </c>
      <c r="J1289" t="s">
        <v>38</v>
      </c>
      <c r="K1289" t="s">
        <v>39</v>
      </c>
      <c r="L1289">
        <v>7</v>
      </c>
      <c r="M1289">
        <v>1</v>
      </c>
      <c r="N1289" t="s">
        <v>64</v>
      </c>
      <c r="O1289">
        <v>0</v>
      </c>
      <c r="P1289">
        <v>947.15</v>
      </c>
      <c r="Q1289">
        <v>124.27</v>
      </c>
      <c r="R1289">
        <v>6.5</v>
      </c>
      <c r="S1289">
        <v>1077.92</v>
      </c>
      <c r="T1289" t="s">
        <v>1160</v>
      </c>
      <c r="U1289" t="s">
        <v>1160</v>
      </c>
      <c r="V1289" t="s">
        <v>38</v>
      </c>
      <c r="W1289" t="s">
        <v>1167</v>
      </c>
      <c r="X1289">
        <v>947.15</v>
      </c>
      <c r="Y1289" s="9">
        <f t="shared" si="102"/>
        <v>947.15</v>
      </c>
      <c r="Z1289" s="9">
        <f t="shared" si="103"/>
        <v>1775.90625</v>
      </c>
      <c r="AA1289" s="5">
        <f t="shared" si="104"/>
        <v>1973.03184375</v>
      </c>
      <c r="AB1289" s="6">
        <f t="shared" si="105"/>
        <v>2876.7905343749999</v>
      </c>
      <c r="AD1289" s="10">
        <f t="shared" si="101"/>
        <v>3601.9463334375005</v>
      </c>
    </row>
    <row r="1290" spans="1:30" x14ac:dyDescent="0.3">
      <c r="A1290" t="s">
        <v>30</v>
      </c>
      <c r="B1290" s="8" t="s">
        <v>66</v>
      </c>
      <c r="C1290" s="8" t="s">
        <v>32</v>
      </c>
      <c r="D1290" s="8" t="s">
        <v>69</v>
      </c>
      <c r="E1290" s="8" t="s">
        <v>70</v>
      </c>
      <c r="F1290" s="8" t="s">
        <v>71</v>
      </c>
      <c r="G1290">
        <v>8418699900</v>
      </c>
      <c r="H1290" t="s">
        <v>1159</v>
      </c>
      <c r="I1290" t="s">
        <v>1160</v>
      </c>
      <c r="J1290" t="s">
        <v>38</v>
      </c>
      <c r="K1290" t="s">
        <v>39</v>
      </c>
      <c r="L1290">
        <v>12</v>
      </c>
      <c r="M1290">
        <v>1</v>
      </c>
      <c r="N1290" t="s">
        <v>64</v>
      </c>
      <c r="O1290">
        <v>0</v>
      </c>
      <c r="P1290">
        <v>976</v>
      </c>
      <c r="Q1290">
        <v>177.55</v>
      </c>
      <c r="R1290">
        <v>6.94</v>
      </c>
      <c r="S1290">
        <v>1160.49</v>
      </c>
      <c r="T1290" t="s">
        <v>1160</v>
      </c>
      <c r="U1290" t="s">
        <v>1160</v>
      </c>
      <c r="V1290" t="s">
        <v>38</v>
      </c>
      <c r="W1290" t="s">
        <v>1168</v>
      </c>
      <c r="X1290">
        <v>976</v>
      </c>
      <c r="Y1290" s="9">
        <f t="shared" si="102"/>
        <v>976</v>
      </c>
      <c r="Z1290" s="9">
        <f t="shared" si="103"/>
        <v>1830</v>
      </c>
      <c r="AA1290" s="5">
        <f t="shared" si="104"/>
        <v>2033.1299999999999</v>
      </c>
      <c r="AB1290" s="6">
        <f t="shared" si="105"/>
        <v>2964.4169999999999</v>
      </c>
      <c r="AD1290" s="10">
        <f t="shared" si="101"/>
        <v>3711.6609000000003</v>
      </c>
    </row>
    <row r="1291" spans="1:30" x14ac:dyDescent="0.3">
      <c r="A1291" t="s">
        <v>30</v>
      </c>
      <c r="B1291" s="8" t="s">
        <v>66</v>
      </c>
      <c r="C1291" s="8" t="s">
        <v>32</v>
      </c>
      <c r="D1291" s="8" t="s">
        <v>69</v>
      </c>
      <c r="E1291" s="8" t="s">
        <v>70</v>
      </c>
      <c r="F1291" s="8" t="s">
        <v>71</v>
      </c>
      <c r="G1291">
        <v>8418699900</v>
      </c>
      <c r="H1291" t="s">
        <v>1159</v>
      </c>
      <c r="I1291" t="s">
        <v>1160</v>
      </c>
      <c r="J1291" t="s">
        <v>38</v>
      </c>
      <c r="K1291" t="s">
        <v>39</v>
      </c>
      <c r="L1291">
        <v>12</v>
      </c>
      <c r="M1291">
        <v>1</v>
      </c>
      <c r="N1291" t="s">
        <v>64</v>
      </c>
      <c r="O1291">
        <v>0</v>
      </c>
      <c r="P1291">
        <v>976</v>
      </c>
      <c r="Q1291">
        <v>177.55</v>
      </c>
      <c r="R1291">
        <v>6.94</v>
      </c>
      <c r="S1291">
        <v>1160.49</v>
      </c>
      <c r="T1291" t="s">
        <v>1160</v>
      </c>
      <c r="U1291" t="s">
        <v>1160</v>
      </c>
      <c r="V1291" t="s">
        <v>38</v>
      </c>
      <c r="W1291" t="s">
        <v>1168</v>
      </c>
      <c r="X1291">
        <v>976</v>
      </c>
      <c r="Y1291" s="9">
        <f t="shared" si="102"/>
        <v>976</v>
      </c>
      <c r="Z1291" s="9">
        <f t="shared" si="103"/>
        <v>1830</v>
      </c>
      <c r="AA1291" s="5">
        <f t="shared" si="104"/>
        <v>2033.1299999999999</v>
      </c>
      <c r="AB1291" s="6">
        <f t="shared" si="105"/>
        <v>2964.4169999999999</v>
      </c>
      <c r="AD1291" s="10">
        <f t="shared" si="101"/>
        <v>3711.6609000000003</v>
      </c>
    </row>
    <row r="1292" spans="1:30" x14ac:dyDescent="0.3">
      <c r="A1292" t="s">
        <v>30</v>
      </c>
      <c r="B1292" s="8" t="s">
        <v>66</v>
      </c>
      <c r="C1292" s="8" t="s">
        <v>32</v>
      </c>
      <c r="D1292" s="8" t="s">
        <v>69</v>
      </c>
      <c r="E1292" s="8" t="s">
        <v>70</v>
      </c>
      <c r="F1292" s="8" t="s">
        <v>71</v>
      </c>
      <c r="G1292">
        <v>8418699900</v>
      </c>
      <c r="H1292" t="s">
        <v>1159</v>
      </c>
      <c r="I1292" t="s">
        <v>1160</v>
      </c>
      <c r="J1292" t="s">
        <v>38</v>
      </c>
      <c r="K1292" t="s">
        <v>39</v>
      </c>
      <c r="L1292">
        <v>12</v>
      </c>
      <c r="M1292">
        <v>1</v>
      </c>
      <c r="N1292" t="s">
        <v>64</v>
      </c>
      <c r="O1292">
        <v>0</v>
      </c>
      <c r="P1292">
        <v>1186</v>
      </c>
      <c r="Q1292">
        <v>215.76</v>
      </c>
      <c r="R1292">
        <v>8.43</v>
      </c>
      <c r="S1292">
        <v>1410.19</v>
      </c>
      <c r="T1292" t="s">
        <v>1160</v>
      </c>
      <c r="U1292" t="s">
        <v>1160</v>
      </c>
      <c r="V1292" t="s">
        <v>38</v>
      </c>
      <c r="W1292" t="s">
        <v>1169</v>
      </c>
      <c r="X1292">
        <v>1186</v>
      </c>
      <c r="Y1292" s="9">
        <f t="shared" si="102"/>
        <v>1186</v>
      </c>
      <c r="Z1292" s="9">
        <f t="shared" si="103"/>
        <v>2223.75</v>
      </c>
      <c r="AA1292" s="5">
        <f t="shared" si="104"/>
        <v>2470.5862499999998</v>
      </c>
      <c r="AB1292" s="6">
        <f t="shared" si="105"/>
        <v>3602.2526249999996</v>
      </c>
      <c r="AD1292" s="10">
        <f t="shared" si="101"/>
        <v>4510.2764625000009</v>
      </c>
    </row>
    <row r="1293" spans="1:30" x14ac:dyDescent="0.3">
      <c r="A1293" t="s">
        <v>30</v>
      </c>
      <c r="B1293" s="8" t="s">
        <v>66</v>
      </c>
      <c r="C1293" s="8" t="s">
        <v>32</v>
      </c>
      <c r="D1293" s="8" t="s">
        <v>69</v>
      </c>
      <c r="E1293" s="8" t="s">
        <v>70</v>
      </c>
      <c r="F1293" s="8" t="s">
        <v>71</v>
      </c>
      <c r="G1293">
        <v>8418699900</v>
      </c>
      <c r="H1293" t="s">
        <v>1159</v>
      </c>
      <c r="I1293" t="s">
        <v>1160</v>
      </c>
      <c r="J1293" t="s">
        <v>38</v>
      </c>
      <c r="K1293" t="s">
        <v>39</v>
      </c>
      <c r="L1293">
        <v>12</v>
      </c>
      <c r="M1293">
        <v>1</v>
      </c>
      <c r="N1293" t="s">
        <v>64</v>
      </c>
      <c r="O1293">
        <v>0</v>
      </c>
      <c r="P1293">
        <v>1533.57</v>
      </c>
      <c r="Q1293">
        <v>278.98</v>
      </c>
      <c r="R1293">
        <v>10.9</v>
      </c>
      <c r="S1293">
        <v>1823.46</v>
      </c>
      <c r="T1293" t="s">
        <v>1160</v>
      </c>
      <c r="U1293" t="s">
        <v>1160</v>
      </c>
      <c r="V1293" t="s">
        <v>38</v>
      </c>
      <c r="W1293" t="s">
        <v>1170</v>
      </c>
      <c r="X1293">
        <v>1533.57</v>
      </c>
      <c r="Y1293" s="9">
        <f t="shared" si="102"/>
        <v>1533.57</v>
      </c>
      <c r="Z1293" s="9">
        <f t="shared" si="103"/>
        <v>2875.4437499999999</v>
      </c>
      <c r="AA1293" s="5">
        <f t="shared" si="104"/>
        <v>3194.6180062499998</v>
      </c>
      <c r="AB1293" s="6">
        <f t="shared" si="105"/>
        <v>4657.9313306249996</v>
      </c>
      <c r="AD1293" s="10">
        <f t="shared" si="101"/>
        <v>5832.0612770625003</v>
      </c>
    </row>
    <row r="1294" spans="1:30" x14ac:dyDescent="0.3">
      <c r="A1294" t="s">
        <v>30</v>
      </c>
      <c r="B1294" s="8" t="s">
        <v>66</v>
      </c>
      <c r="C1294" s="8" t="s">
        <v>32</v>
      </c>
      <c r="D1294" s="8" t="s">
        <v>69</v>
      </c>
      <c r="E1294" s="8" t="s">
        <v>70</v>
      </c>
      <c r="F1294" s="8" t="s">
        <v>71</v>
      </c>
      <c r="G1294">
        <v>8418699900</v>
      </c>
      <c r="H1294" t="s">
        <v>1159</v>
      </c>
      <c r="I1294" t="s">
        <v>1160</v>
      </c>
      <c r="J1294" t="s">
        <v>38</v>
      </c>
      <c r="K1294" t="s">
        <v>39</v>
      </c>
      <c r="L1294">
        <v>12</v>
      </c>
      <c r="M1294">
        <v>1</v>
      </c>
      <c r="N1294" t="s">
        <v>64</v>
      </c>
      <c r="O1294">
        <v>0</v>
      </c>
      <c r="P1294">
        <v>1533.57</v>
      </c>
      <c r="Q1294">
        <v>278.98</v>
      </c>
      <c r="R1294">
        <v>10.9</v>
      </c>
      <c r="S1294">
        <v>1823.46</v>
      </c>
      <c r="T1294" t="s">
        <v>1160</v>
      </c>
      <c r="U1294" t="s">
        <v>1160</v>
      </c>
      <c r="V1294" t="s">
        <v>38</v>
      </c>
      <c r="W1294" t="s">
        <v>1170</v>
      </c>
      <c r="X1294">
        <v>1533.57</v>
      </c>
      <c r="Y1294" s="9">
        <f t="shared" si="102"/>
        <v>1533.57</v>
      </c>
      <c r="Z1294" s="9">
        <f t="shared" si="103"/>
        <v>2875.4437499999999</v>
      </c>
      <c r="AA1294" s="5">
        <f t="shared" si="104"/>
        <v>3194.6180062499998</v>
      </c>
      <c r="AB1294" s="6">
        <f t="shared" si="105"/>
        <v>4657.9313306249996</v>
      </c>
      <c r="AD1294" s="10">
        <f t="shared" si="101"/>
        <v>5832.0612770625003</v>
      </c>
    </row>
    <row r="1295" spans="1:30" x14ac:dyDescent="0.3">
      <c r="A1295" t="s">
        <v>30</v>
      </c>
      <c r="B1295" s="8" t="s">
        <v>249</v>
      </c>
      <c r="C1295" s="8" t="s">
        <v>32</v>
      </c>
      <c r="D1295" s="8" t="s">
        <v>69</v>
      </c>
      <c r="E1295" s="8" t="s">
        <v>70</v>
      </c>
      <c r="F1295" s="8" t="s">
        <v>71</v>
      </c>
      <c r="G1295">
        <v>8421392000</v>
      </c>
      <c r="H1295" t="s">
        <v>429</v>
      </c>
      <c r="I1295" t="s">
        <v>228</v>
      </c>
      <c r="J1295" t="s">
        <v>38</v>
      </c>
      <c r="K1295" t="s">
        <v>39</v>
      </c>
      <c r="L1295">
        <v>9</v>
      </c>
      <c r="M1295">
        <v>1</v>
      </c>
      <c r="N1295" t="s">
        <v>64</v>
      </c>
      <c r="O1295">
        <v>12.69</v>
      </c>
      <c r="P1295">
        <v>252.03</v>
      </c>
      <c r="Q1295">
        <v>22.35</v>
      </c>
      <c r="R1295">
        <v>1.67</v>
      </c>
      <c r="S1295">
        <v>276.05</v>
      </c>
      <c r="T1295" t="s">
        <v>41</v>
      </c>
      <c r="U1295" t="s">
        <v>41</v>
      </c>
      <c r="V1295" t="s">
        <v>38</v>
      </c>
      <c r="W1295" t="s">
        <v>1171</v>
      </c>
      <c r="X1295">
        <v>252.03</v>
      </c>
      <c r="Y1295" s="9">
        <f t="shared" si="102"/>
        <v>252.03</v>
      </c>
      <c r="Z1295" s="9">
        <f t="shared" si="103"/>
        <v>472.55624999999998</v>
      </c>
      <c r="AA1295" s="5">
        <f t="shared" si="104"/>
        <v>525.00999374999992</v>
      </c>
      <c r="AB1295" s="6">
        <f t="shared" si="105"/>
        <v>765.49386937499992</v>
      </c>
      <c r="AD1295" s="10">
        <f t="shared" si="101"/>
        <v>958.4527629375001</v>
      </c>
    </row>
    <row r="1296" spans="1:30" x14ac:dyDescent="0.3">
      <c r="A1296" t="s">
        <v>30</v>
      </c>
      <c r="B1296" s="8" t="s">
        <v>249</v>
      </c>
      <c r="C1296" s="8" t="s">
        <v>32</v>
      </c>
      <c r="D1296" s="8" t="s">
        <v>69</v>
      </c>
      <c r="E1296" s="8" t="s">
        <v>70</v>
      </c>
      <c r="F1296" s="8" t="s">
        <v>71</v>
      </c>
      <c r="G1296">
        <v>8421392000</v>
      </c>
      <c r="H1296" t="s">
        <v>429</v>
      </c>
      <c r="I1296" t="s">
        <v>228</v>
      </c>
      <c r="J1296" t="s">
        <v>38</v>
      </c>
      <c r="K1296" t="s">
        <v>39</v>
      </c>
      <c r="L1296">
        <v>9</v>
      </c>
      <c r="M1296">
        <v>1</v>
      </c>
      <c r="N1296" t="s">
        <v>64</v>
      </c>
      <c r="O1296">
        <v>22.51</v>
      </c>
      <c r="P1296">
        <v>447.33</v>
      </c>
      <c r="Q1296">
        <v>39.67</v>
      </c>
      <c r="R1296">
        <v>2.97</v>
      </c>
      <c r="S1296">
        <v>489.97</v>
      </c>
      <c r="T1296" t="s">
        <v>41</v>
      </c>
      <c r="U1296" t="s">
        <v>41</v>
      </c>
      <c r="V1296" t="s">
        <v>38</v>
      </c>
      <c r="W1296" t="s">
        <v>1172</v>
      </c>
      <c r="X1296">
        <v>447.33</v>
      </c>
      <c r="Y1296" s="9">
        <f t="shared" si="102"/>
        <v>447.33</v>
      </c>
      <c r="Z1296" s="9">
        <f t="shared" si="103"/>
        <v>838.74374999999998</v>
      </c>
      <c r="AA1296" s="5">
        <f t="shared" si="104"/>
        <v>931.84430624999993</v>
      </c>
      <c r="AB1296" s="6">
        <f t="shared" si="105"/>
        <v>1358.6810006249998</v>
      </c>
      <c r="AD1296" s="10">
        <f t="shared" si="101"/>
        <v>1701.1652360625001</v>
      </c>
    </row>
    <row r="1297" spans="1:30" x14ac:dyDescent="0.3">
      <c r="A1297" t="s">
        <v>30</v>
      </c>
      <c r="B1297" s="8" t="s">
        <v>249</v>
      </c>
      <c r="C1297" s="8" t="s">
        <v>32</v>
      </c>
      <c r="D1297" s="8" t="s">
        <v>69</v>
      </c>
      <c r="E1297" s="8" t="s">
        <v>70</v>
      </c>
      <c r="F1297" s="8" t="s">
        <v>71</v>
      </c>
      <c r="G1297">
        <v>8421392000</v>
      </c>
      <c r="H1297" t="s">
        <v>429</v>
      </c>
      <c r="I1297" t="s">
        <v>228</v>
      </c>
      <c r="J1297" t="s">
        <v>38</v>
      </c>
      <c r="K1297" t="s">
        <v>39</v>
      </c>
      <c r="L1297">
        <v>9</v>
      </c>
      <c r="M1297">
        <v>1</v>
      </c>
      <c r="N1297" t="s">
        <v>64</v>
      </c>
      <c r="O1297">
        <v>22.51</v>
      </c>
      <c r="P1297">
        <v>447.33</v>
      </c>
      <c r="Q1297">
        <v>39.67</v>
      </c>
      <c r="R1297">
        <v>2.97</v>
      </c>
      <c r="S1297">
        <v>489.97</v>
      </c>
      <c r="T1297" t="s">
        <v>41</v>
      </c>
      <c r="U1297" t="s">
        <v>41</v>
      </c>
      <c r="V1297" t="s">
        <v>38</v>
      </c>
      <c r="W1297" t="s">
        <v>1172</v>
      </c>
      <c r="X1297">
        <v>447.33</v>
      </c>
      <c r="Y1297" s="9">
        <f t="shared" si="102"/>
        <v>447.33</v>
      </c>
      <c r="Z1297" s="9">
        <f t="shared" si="103"/>
        <v>838.74374999999998</v>
      </c>
      <c r="AA1297" s="5">
        <f t="shared" si="104"/>
        <v>931.84430624999993</v>
      </c>
      <c r="AB1297" s="6">
        <f t="shared" si="105"/>
        <v>1358.6810006249998</v>
      </c>
      <c r="AD1297" s="10">
        <f t="shared" si="101"/>
        <v>1701.1652360625001</v>
      </c>
    </row>
    <row r="1298" spans="1:30" x14ac:dyDescent="0.3">
      <c r="A1298" t="s">
        <v>30</v>
      </c>
      <c r="B1298" s="8" t="s">
        <v>249</v>
      </c>
      <c r="C1298" s="8" t="s">
        <v>32</v>
      </c>
      <c r="D1298" s="8" t="s">
        <v>69</v>
      </c>
      <c r="E1298" s="8" t="s">
        <v>70</v>
      </c>
      <c r="F1298" s="8" t="s">
        <v>71</v>
      </c>
      <c r="G1298">
        <v>8421392000</v>
      </c>
      <c r="H1298" t="s">
        <v>429</v>
      </c>
      <c r="I1298" t="s">
        <v>228</v>
      </c>
      <c r="J1298" t="s">
        <v>38</v>
      </c>
      <c r="K1298" t="s">
        <v>39</v>
      </c>
      <c r="L1298">
        <v>9</v>
      </c>
      <c r="M1298">
        <v>1</v>
      </c>
      <c r="N1298" t="s">
        <v>64</v>
      </c>
      <c r="O1298">
        <v>25.09</v>
      </c>
      <c r="P1298">
        <v>498.48</v>
      </c>
      <c r="Q1298">
        <v>44.21</v>
      </c>
      <c r="R1298">
        <v>3.31</v>
      </c>
      <c r="S1298">
        <v>546</v>
      </c>
      <c r="T1298" t="s">
        <v>41</v>
      </c>
      <c r="U1298" t="s">
        <v>41</v>
      </c>
      <c r="V1298" t="s">
        <v>38</v>
      </c>
      <c r="W1298" t="s">
        <v>1173</v>
      </c>
      <c r="X1298">
        <v>498.48</v>
      </c>
      <c r="Y1298" s="9">
        <f t="shared" si="102"/>
        <v>498.48</v>
      </c>
      <c r="Z1298" s="9">
        <f t="shared" si="103"/>
        <v>934.65000000000009</v>
      </c>
      <c r="AA1298" s="5">
        <f t="shared" si="104"/>
        <v>1038.39615</v>
      </c>
      <c r="AB1298" s="6">
        <f t="shared" si="105"/>
        <v>1514.0395350000001</v>
      </c>
      <c r="AD1298" s="10">
        <f t="shared" si="101"/>
        <v>1895.6851695000005</v>
      </c>
    </row>
    <row r="1299" spans="1:30" x14ac:dyDescent="0.3">
      <c r="A1299" t="s">
        <v>168</v>
      </c>
      <c r="B1299" s="8" t="s">
        <v>249</v>
      </c>
      <c r="C1299" s="8" t="s">
        <v>32</v>
      </c>
      <c r="D1299" s="8" t="s">
        <v>33</v>
      </c>
      <c r="E1299" s="8" t="s">
        <v>34</v>
      </c>
      <c r="F1299" s="8" t="s">
        <v>35</v>
      </c>
      <c r="G1299">
        <v>8421392000</v>
      </c>
      <c r="H1299" t="s">
        <v>429</v>
      </c>
      <c r="I1299" t="s">
        <v>228</v>
      </c>
      <c r="J1299" t="s">
        <v>38</v>
      </c>
      <c r="K1299" t="s">
        <v>39</v>
      </c>
      <c r="L1299">
        <v>11</v>
      </c>
      <c r="M1299">
        <v>1</v>
      </c>
      <c r="N1299" t="s">
        <v>64</v>
      </c>
      <c r="O1299">
        <v>26.68</v>
      </c>
      <c r="P1299">
        <v>530.1</v>
      </c>
      <c r="Q1299">
        <v>50.77</v>
      </c>
      <c r="R1299">
        <v>3.58</v>
      </c>
      <c r="S1299">
        <v>584.45000000000005</v>
      </c>
      <c r="T1299" t="s">
        <v>41</v>
      </c>
      <c r="U1299" t="s">
        <v>43</v>
      </c>
      <c r="V1299" t="s">
        <v>38</v>
      </c>
      <c r="W1299" t="s">
        <v>1174</v>
      </c>
      <c r="X1299">
        <v>530.1</v>
      </c>
      <c r="Y1299" s="9">
        <f t="shared" si="102"/>
        <v>530.1</v>
      </c>
      <c r="Z1299" s="9">
        <f t="shared" si="103"/>
        <v>993.9375</v>
      </c>
      <c r="AA1299" s="5">
        <f t="shared" si="104"/>
        <v>1104.2645625</v>
      </c>
      <c r="AB1299" s="6">
        <f t="shared" si="105"/>
        <v>1610.0793562499998</v>
      </c>
      <c r="AD1299" s="10">
        <f t="shared" si="101"/>
        <v>2015.9338556250002</v>
      </c>
    </row>
    <row r="1300" spans="1:30" x14ac:dyDescent="0.3">
      <c r="A1300" t="s">
        <v>30</v>
      </c>
      <c r="B1300" s="8" t="s">
        <v>249</v>
      </c>
      <c r="C1300" s="8" t="s">
        <v>32</v>
      </c>
      <c r="D1300" s="8" t="s">
        <v>69</v>
      </c>
      <c r="E1300" s="8" t="s">
        <v>70</v>
      </c>
      <c r="F1300" s="8" t="s">
        <v>71</v>
      </c>
      <c r="G1300">
        <v>8421392000</v>
      </c>
      <c r="H1300" t="s">
        <v>429</v>
      </c>
      <c r="I1300" t="s">
        <v>228</v>
      </c>
      <c r="J1300" t="s">
        <v>38</v>
      </c>
      <c r="K1300" t="s">
        <v>39</v>
      </c>
      <c r="L1300">
        <v>13</v>
      </c>
      <c r="M1300">
        <v>1</v>
      </c>
      <c r="N1300" t="s">
        <v>64</v>
      </c>
      <c r="O1300">
        <v>25.93</v>
      </c>
      <c r="P1300">
        <v>515.22</v>
      </c>
      <c r="Q1300">
        <v>27.51</v>
      </c>
      <c r="R1300">
        <v>3.31</v>
      </c>
      <c r="S1300">
        <v>546.04</v>
      </c>
      <c r="T1300" t="s">
        <v>72</v>
      </c>
      <c r="U1300" t="s">
        <v>72</v>
      </c>
      <c r="V1300" t="s">
        <v>38</v>
      </c>
      <c r="W1300" t="s">
        <v>1174</v>
      </c>
      <c r="X1300">
        <v>515.22</v>
      </c>
      <c r="Y1300" s="9">
        <f t="shared" si="102"/>
        <v>515.22</v>
      </c>
      <c r="Z1300" s="9">
        <f t="shared" si="103"/>
        <v>966.03750000000002</v>
      </c>
      <c r="AA1300" s="5">
        <f t="shared" si="104"/>
        <v>1073.2676624999999</v>
      </c>
      <c r="AB1300" s="6">
        <f t="shared" si="105"/>
        <v>1564.88414625</v>
      </c>
      <c r="AD1300" s="10">
        <f t="shared" si="101"/>
        <v>1959.3462386250003</v>
      </c>
    </row>
    <row r="1301" spans="1:30" x14ac:dyDescent="0.3">
      <c r="A1301" t="s">
        <v>30</v>
      </c>
      <c r="B1301" s="8" t="s">
        <v>249</v>
      </c>
      <c r="C1301" s="8" t="s">
        <v>32</v>
      </c>
      <c r="D1301" s="8" t="s">
        <v>69</v>
      </c>
      <c r="E1301" s="8" t="s">
        <v>70</v>
      </c>
      <c r="F1301" s="8" t="s">
        <v>71</v>
      </c>
      <c r="G1301">
        <v>8421392000</v>
      </c>
      <c r="H1301" t="s">
        <v>429</v>
      </c>
      <c r="I1301" t="s">
        <v>228</v>
      </c>
      <c r="J1301" t="s">
        <v>38</v>
      </c>
      <c r="K1301" t="s">
        <v>39</v>
      </c>
      <c r="L1301">
        <v>9</v>
      </c>
      <c r="M1301">
        <v>1</v>
      </c>
      <c r="N1301" t="s">
        <v>64</v>
      </c>
      <c r="O1301">
        <v>28.32</v>
      </c>
      <c r="P1301">
        <v>562.65</v>
      </c>
      <c r="Q1301">
        <v>49.9</v>
      </c>
      <c r="R1301">
        <v>3.73</v>
      </c>
      <c r="S1301">
        <v>616.28</v>
      </c>
      <c r="T1301" t="s">
        <v>41</v>
      </c>
      <c r="U1301" t="s">
        <v>41</v>
      </c>
      <c r="V1301" t="s">
        <v>38</v>
      </c>
      <c r="W1301" t="s">
        <v>1174</v>
      </c>
      <c r="X1301">
        <v>562.65</v>
      </c>
      <c r="Y1301" s="9">
        <f t="shared" si="102"/>
        <v>562.65</v>
      </c>
      <c r="Z1301" s="9">
        <f t="shared" si="103"/>
        <v>1054.96875</v>
      </c>
      <c r="AA1301" s="5">
        <f t="shared" si="104"/>
        <v>1172.0702812499999</v>
      </c>
      <c r="AB1301" s="6">
        <f t="shared" si="105"/>
        <v>1708.9438781249999</v>
      </c>
      <c r="AD1301" s="10">
        <f t="shared" si="101"/>
        <v>2139.7192678125002</v>
      </c>
    </row>
    <row r="1302" spans="1:30" x14ac:dyDescent="0.3">
      <c r="A1302" t="s">
        <v>30</v>
      </c>
      <c r="B1302" s="8" t="s">
        <v>249</v>
      </c>
      <c r="C1302" s="8" t="s">
        <v>32</v>
      </c>
      <c r="D1302" s="8" t="s">
        <v>33</v>
      </c>
      <c r="E1302" s="8" t="s">
        <v>34</v>
      </c>
      <c r="F1302" s="8" t="s">
        <v>35</v>
      </c>
      <c r="G1302">
        <v>8421392000</v>
      </c>
      <c r="H1302" t="s">
        <v>429</v>
      </c>
      <c r="I1302" t="s">
        <v>1147</v>
      </c>
      <c r="J1302" t="s">
        <v>38</v>
      </c>
      <c r="K1302" t="s">
        <v>39</v>
      </c>
      <c r="L1302">
        <v>8</v>
      </c>
      <c r="M1302">
        <v>1</v>
      </c>
      <c r="N1302" t="s">
        <v>64</v>
      </c>
      <c r="O1302">
        <v>35.299999999999997</v>
      </c>
      <c r="P1302">
        <v>701.06</v>
      </c>
      <c r="Q1302">
        <v>100.89</v>
      </c>
      <c r="R1302">
        <v>4.93</v>
      </c>
      <c r="S1302">
        <v>806.88</v>
      </c>
      <c r="T1302" t="s">
        <v>41</v>
      </c>
      <c r="U1302" t="s">
        <v>41</v>
      </c>
      <c r="V1302" t="s">
        <v>38</v>
      </c>
      <c r="W1302" t="s">
        <v>1175</v>
      </c>
      <c r="X1302">
        <v>701.06</v>
      </c>
      <c r="Y1302" s="9">
        <f t="shared" si="102"/>
        <v>701.06</v>
      </c>
      <c r="Z1302" s="9">
        <f t="shared" si="103"/>
        <v>1314.4875</v>
      </c>
      <c r="AA1302" s="5">
        <f t="shared" si="104"/>
        <v>1460.3956125</v>
      </c>
      <c r="AB1302" s="6">
        <f t="shared" si="105"/>
        <v>2129.3383012499999</v>
      </c>
      <c r="AD1302" s="10">
        <f t="shared" si="101"/>
        <v>2666.0829821249999</v>
      </c>
    </row>
    <row r="1303" spans="1:30" x14ac:dyDescent="0.3">
      <c r="A1303" t="s">
        <v>30</v>
      </c>
      <c r="B1303" s="8" t="s">
        <v>249</v>
      </c>
      <c r="C1303" s="8" t="s">
        <v>32</v>
      </c>
      <c r="D1303" s="8" t="s">
        <v>69</v>
      </c>
      <c r="E1303" s="8" t="s">
        <v>70</v>
      </c>
      <c r="F1303" s="8" t="s">
        <v>71</v>
      </c>
      <c r="G1303">
        <v>8421392000</v>
      </c>
      <c r="H1303" t="s">
        <v>429</v>
      </c>
      <c r="I1303" t="s">
        <v>228</v>
      </c>
      <c r="J1303" t="s">
        <v>38</v>
      </c>
      <c r="K1303" t="s">
        <v>39</v>
      </c>
      <c r="L1303">
        <v>12</v>
      </c>
      <c r="M1303">
        <v>1</v>
      </c>
      <c r="N1303" t="s">
        <v>64</v>
      </c>
      <c r="O1303">
        <v>30.63</v>
      </c>
      <c r="P1303">
        <v>608.22</v>
      </c>
      <c r="Q1303">
        <v>110.65</v>
      </c>
      <c r="R1303">
        <v>4.32</v>
      </c>
      <c r="S1303">
        <v>723.19</v>
      </c>
      <c r="T1303" t="s">
        <v>1176</v>
      </c>
      <c r="U1303" t="s">
        <v>1176</v>
      </c>
      <c r="V1303" t="s">
        <v>38</v>
      </c>
      <c r="W1303" t="s">
        <v>1175</v>
      </c>
      <c r="X1303">
        <v>608.22</v>
      </c>
      <c r="Y1303" s="9">
        <f t="shared" si="102"/>
        <v>608.22</v>
      </c>
      <c r="Z1303" s="9">
        <f t="shared" si="103"/>
        <v>1140.4125000000001</v>
      </c>
      <c r="AA1303" s="5">
        <f t="shared" si="104"/>
        <v>1266.9982875000001</v>
      </c>
      <c r="AB1303" s="6">
        <f t="shared" si="105"/>
        <v>1847.35420875</v>
      </c>
      <c r="AD1303" s="10">
        <f t="shared" si="101"/>
        <v>2313.0188448750005</v>
      </c>
    </row>
    <row r="1304" spans="1:30" x14ac:dyDescent="0.3">
      <c r="A1304" t="s">
        <v>30</v>
      </c>
      <c r="B1304" s="8" t="s">
        <v>249</v>
      </c>
      <c r="C1304" s="8" t="s">
        <v>32</v>
      </c>
      <c r="D1304" s="8" t="s">
        <v>69</v>
      </c>
      <c r="E1304" s="8" t="s">
        <v>70</v>
      </c>
      <c r="F1304" s="8" t="s">
        <v>71</v>
      </c>
      <c r="G1304">
        <v>8421392000</v>
      </c>
      <c r="H1304" t="s">
        <v>429</v>
      </c>
      <c r="I1304" t="s">
        <v>228</v>
      </c>
      <c r="J1304" t="s">
        <v>38</v>
      </c>
      <c r="K1304" t="s">
        <v>39</v>
      </c>
      <c r="L1304">
        <v>9</v>
      </c>
      <c r="M1304">
        <v>1</v>
      </c>
      <c r="N1304" t="s">
        <v>64</v>
      </c>
      <c r="O1304">
        <v>8.99</v>
      </c>
      <c r="P1304">
        <v>178.56</v>
      </c>
      <c r="Q1304">
        <v>15.84</v>
      </c>
      <c r="R1304">
        <v>1.18</v>
      </c>
      <c r="S1304">
        <v>195.58</v>
      </c>
      <c r="T1304" t="s">
        <v>41</v>
      </c>
      <c r="U1304" t="s">
        <v>41</v>
      </c>
      <c r="V1304" t="s">
        <v>38</v>
      </c>
      <c r="W1304" t="s">
        <v>1177</v>
      </c>
      <c r="X1304">
        <v>178.56</v>
      </c>
      <c r="Y1304" s="9">
        <f t="shared" si="102"/>
        <v>178.56</v>
      </c>
      <c r="Z1304" s="9">
        <f t="shared" si="103"/>
        <v>334.8</v>
      </c>
      <c r="AA1304" s="5">
        <f t="shared" si="104"/>
        <v>371.96280000000002</v>
      </c>
      <c r="AB1304" s="6">
        <f t="shared" si="105"/>
        <v>542.34252000000004</v>
      </c>
      <c r="AD1304" s="10">
        <f t="shared" si="101"/>
        <v>679.05140400000005</v>
      </c>
    </row>
    <row r="1305" spans="1:30" x14ac:dyDescent="0.3">
      <c r="A1305" t="s">
        <v>30</v>
      </c>
      <c r="B1305" s="8" t="s">
        <v>249</v>
      </c>
      <c r="C1305" s="8" t="s">
        <v>32</v>
      </c>
      <c r="D1305" s="8" t="s">
        <v>69</v>
      </c>
      <c r="E1305" s="8" t="s">
        <v>70</v>
      </c>
      <c r="F1305" s="8" t="s">
        <v>71</v>
      </c>
      <c r="G1305">
        <v>8421392000</v>
      </c>
      <c r="H1305" t="s">
        <v>429</v>
      </c>
      <c r="I1305" t="s">
        <v>228</v>
      </c>
      <c r="J1305" t="s">
        <v>38</v>
      </c>
      <c r="K1305" t="s">
        <v>39</v>
      </c>
      <c r="L1305">
        <v>9</v>
      </c>
      <c r="M1305">
        <v>1</v>
      </c>
      <c r="N1305" t="s">
        <v>64</v>
      </c>
      <c r="O1305">
        <v>8.99</v>
      </c>
      <c r="P1305">
        <v>178.56</v>
      </c>
      <c r="Q1305">
        <v>15.84</v>
      </c>
      <c r="R1305">
        <v>1.18</v>
      </c>
      <c r="S1305">
        <v>195.58</v>
      </c>
      <c r="T1305" t="s">
        <v>41</v>
      </c>
      <c r="U1305" t="s">
        <v>41</v>
      </c>
      <c r="V1305" t="s">
        <v>38</v>
      </c>
      <c r="W1305" t="s">
        <v>1178</v>
      </c>
      <c r="X1305">
        <v>178.56</v>
      </c>
      <c r="Y1305" s="9">
        <f t="shared" si="102"/>
        <v>178.56</v>
      </c>
      <c r="Z1305" s="9">
        <f t="shared" si="103"/>
        <v>334.8</v>
      </c>
      <c r="AA1305" s="5">
        <f t="shared" si="104"/>
        <v>371.96280000000002</v>
      </c>
      <c r="AB1305" s="6">
        <f t="shared" si="105"/>
        <v>542.34252000000004</v>
      </c>
      <c r="AD1305" s="10">
        <f t="shared" si="101"/>
        <v>679.05140400000005</v>
      </c>
    </row>
    <row r="1306" spans="1:30" x14ac:dyDescent="0.3">
      <c r="A1306" t="s">
        <v>30</v>
      </c>
      <c r="B1306" s="8" t="s">
        <v>249</v>
      </c>
      <c r="C1306" s="8" t="s">
        <v>32</v>
      </c>
      <c r="D1306" s="8" t="s">
        <v>69</v>
      </c>
      <c r="E1306" s="8" t="s">
        <v>70</v>
      </c>
      <c r="F1306" s="8" t="s">
        <v>71</v>
      </c>
      <c r="G1306">
        <v>8421392000</v>
      </c>
      <c r="H1306" t="s">
        <v>429</v>
      </c>
      <c r="I1306" t="s">
        <v>228</v>
      </c>
      <c r="J1306" t="s">
        <v>38</v>
      </c>
      <c r="K1306" t="s">
        <v>39</v>
      </c>
      <c r="L1306">
        <v>9</v>
      </c>
      <c r="M1306">
        <v>1</v>
      </c>
      <c r="N1306" t="s">
        <v>64</v>
      </c>
      <c r="O1306">
        <v>12.69</v>
      </c>
      <c r="P1306">
        <v>252.03</v>
      </c>
      <c r="Q1306">
        <v>22.35</v>
      </c>
      <c r="R1306">
        <v>1.67</v>
      </c>
      <c r="S1306">
        <v>276.05</v>
      </c>
      <c r="T1306" t="s">
        <v>41</v>
      </c>
      <c r="U1306" t="s">
        <v>41</v>
      </c>
      <c r="V1306" t="s">
        <v>38</v>
      </c>
      <c r="W1306" t="s">
        <v>1179</v>
      </c>
      <c r="X1306">
        <v>252.03</v>
      </c>
      <c r="Y1306" s="9">
        <f t="shared" si="102"/>
        <v>252.03</v>
      </c>
      <c r="Z1306" s="9">
        <f t="shared" si="103"/>
        <v>472.55624999999998</v>
      </c>
      <c r="AA1306" s="5">
        <f t="shared" si="104"/>
        <v>525.00999374999992</v>
      </c>
      <c r="AB1306" s="6">
        <f t="shared" si="105"/>
        <v>765.49386937499992</v>
      </c>
      <c r="AD1306" s="10">
        <f t="shared" si="101"/>
        <v>958.4527629375001</v>
      </c>
    </row>
    <row r="1307" spans="1:30" x14ac:dyDescent="0.3">
      <c r="A1307" t="s">
        <v>30</v>
      </c>
      <c r="B1307" s="8" t="s">
        <v>249</v>
      </c>
      <c r="C1307" s="8" t="s">
        <v>32</v>
      </c>
      <c r="D1307" s="8" t="s">
        <v>69</v>
      </c>
      <c r="E1307" s="8" t="s">
        <v>70</v>
      </c>
      <c r="F1307" s="8" t="s">
        <v>71</v>
      </c>
      <c r="G1307">
        <v>8421392000</v>
      </c>
      <c r="H1307" t="s">
        <v>429</v>
      </c>
      <c r="I1307" t="s">
        <v>228</v>
      </c>
      <c r="J1307" t="s">
        <v>38</v>
      </c>
      <c r="K1307" t="s">
        <v>39</v>
      </c>
      <c r="L1307">
        <v>9</v>
      </c>
      <c r="M1307">
        <v>1</v>
      </c>
      <c r="N1307" t="s">
        <v>64</v>
      </c>
      <c r="O1307">
        <v>22.51</v>
      </c>
      <c r="P1307">
        <v>447.33</v>
      </c>
      <c r="Q1307">
        <v>39.67</v>
      </c>
      <c r="R1307">
        <v>2.97</v>
      </c>
      <c r="S1307">
        <v>489.97</v>
      </c>
      <c r="T1307" t="s">
        <v>41</v>
      </c>
      <c r="U1307" t="s">
        <v>41</v>
      </c>
      <c r="V1307" t="s">
        <v>38</v>
      </c>
      <c r="W1307" t="s">
        <v>1180</v>
      </c>
      <c r="X1307">
        <v>447.33</v>
      </c>
      <c r="Y1307" s="9">
        <f t="shared" si="102"/>
        <v>447.33</v>
      </c>
      <c r="Z1307" s="9">
        <f t="shared" si="103"/>
        <v>838.74374999999998</v>
      </c>
      <c r="AA1307" s="5">
        <f t="shared" si="104"/>
        <v>931.84430624999993</v>
      </c>
      <c r="AB1307" s="6">
        <f t="shared" si="105"/>
        <v>1358.6810006249998</v>
      </c>
      <c r="AD1307" s="10">
        <f t="shared" si="101"/>
        <v>1701.1652360625001</v>
      </c>
    </row>
    <row r="1308" spans="1:30" x14ac:dyDescent="0.3">
      <c r="A1308" t="s">
        <v>30</v>
      </c>
      <c r="B1308" s="8" t="s">
        <v>249</v>
      </c>
      <c r="C1308" s="8" t="s">
        <v>32</v>
      </c>
      <c r="D1308" s="8" t="s">
        <v>69</v>
      </c>
      <c r="E1308" s="8" t="s">
        <v>70</v>
      </c>
      <c r="F1308" s="8" t="s">
        <v>71</v>
      </c>
      <c r="G1308">
        <v>8421392000</v>
      </c>
      <c r="H1308" t="s">
        <v>429</v>
      </c>
      <c r="I1308" t="s">
        <v>228</v>
      </c>
      <c r="J1308" t="s">
        <v>38</v>
      </c>
      <c r="K1308" t="s">
        <v>39</v>
      </c>
      <c r="L1308">
        <v>9</v>
      </c>
      <c r="M1308">
        <v>1</v>
      </c>
      <c r="N1308" t="s">
        <v>64</v>
      </c>
      <c r="O1308">
        <v>22.51</v>
      </c>
      <c r="P1308">
        <v>447.33</v>
      </c>
      <c r="Q1308">
        <v>39.67</v>
      </c>
      <c r="R1308">
        <v>2.97</v>
      </c>
      <c r="S1308">
        <v>489.97</v>
      </c>
      <c r="T1308" t="s">
        <v>41</v>
      </c>
      <c r="U1308" t="s">
        <v>41</v>
      </c>
      <c r="V1308" t="s">
        <v>38</v>
      </c>
      <c r="W1308" t="s">
        <v>1180</v>
      </c>
      <c r="X1308">
        <v>447.33</v>
      </c>
      <c r="Y1308" s="9">
        <f t="shared" si="102"/>
        <v>447.33</v>
      </c>
      <c r="Z1308" s="9">
        <f t="shared" si="103"/>
        <v>838.74374999999998</v>
      </c>
      <c r="AA1308" s="5">
        <f t="shared" si="104"/>
        <v>931.84430624999993</v>
      </c>
      <c r="AB1308" s="6">
        <f t="shared" si="105"/>
        <v>1358.6810006249998</v>
      </c>
      <c r="AD1308" s="10">
        <f t="shared" si="101"/>
        <v>1701.1652360625001</v>
      </c>
    </row>
    <row r="1309" spans="1:30" x14ac:dyDescent="0.3">
      <c r="A1309" t="s">
        <v>30</v>
      </c>
      <c r="B1309" s="8" t="s">
        <v>249</v>
      </c>
      <c r="C1309" s="8" t="s">
        <v>32</v>
      </c>
      <c r="D1309" s="8" t="s">
        <v>69</v>
      </c>
      <c r="E1309" s="8" t="s">
        <v>70</v>
      </c>
      <c r="F1309" s="8" t="s">
        <v>71</v>
      </c>
      <c r="G1309">
        <v>8421392000</v>
      </c>
      <c r="H1309" t="s">
        <v>429</v>
      </c>
      <c r="I1309" t="s">
        <v>228</v>
      </c>
      <c r="J1309" t="s">
        <v>38</v>
      </c>
      <c r="K1309" t="s">
        <v>39</v>
      </c>
      <c r="L1309">
        <v>9</v>
      </c>
      <c r="M1309">
        <v>1</v>
      </c>
      <c r="N1309" t="s">
        <v>64</v>
      </c>
      <c r="O1309">
        <v>26.91</v>
      </c>
      <c r="P1309">
        <v>534.75</v>
      </c>
      <c r="Q1309">
        <v>47.43</v>
      </c>
      <c r="R1309">
        <v>3.55</v>
      </c>
      <c r="S1309">
        <v>585.72</v>
      </c>
      <c r="T1309" t="s">
        <v>41</v>
      </c>
      <c r="U1309" t="s">
        <v>41</v>
      </c>
      <c r="V1309" t="s">
        <v>38</v>
      </c>
      <c r="W1309" t="s">
        <v>1181</v>
      </c>
      <c r="X1309">
        <v>534.75</v>
      </c>
      <c r="Y1309" s="9">
        <f t="shared" si="102"/>
        <v>534.75</v>
      </c>
      <c r="Z1309" s="9">
        <f t="shared" si="103"/>
        <v>1002.65625</v>
      </c>
      <c r="AA1309" s="5">
        <f t="shared" si="104"/>
        <v>1113.9510937499999</v>
      </c>
      <c r="AB1309" s="6">
        <f t="shared" si="105"/>
        <v>1624.2028593749999</v>
      </c>
      <c r="AD1309" s="10">
        <f t="shared" si="101"/>
        <v>2033.6174859375003</v>
      </c>
    </row>
    <row r="1310" spans="1:30" x14ac:dyDescent="0.3">
      <c r="A1310" t="s">
        <v>168</v>
      </c>
      <c r="B1310" s="8" t="s">
        <v>249</v>
      </c>
      <c r="C1310" s="8" t="s">
        <v>32</v>
      </c>
      <c r="D1310" s="8" t="s">
        <v>33</v>
      </c>
      <c r="E1310" s="8" t="s">
        <v>34</v>
      </c>
      <c r="F1310" s="8" t="s">
        <v>35</v>
      </c>
      <c r="G1310">
        <v>8421392000</v>
      </c>
      <c r="H1310" t="s">
        <v>429</v>
      </c>
      <c r="I1310" t="s">
        <v>228</v>
      </c>
      <c r="J1310" t="s">
        <v>38</v>
      </c>
      <c r="K1310" t="s">
        <v>39</v>
      </c>
      <c r="L1310">
        <v>11</v>
      </c>
      <c r="M1310">
        <v>1</v>
      </c>
      <c r="N1310" t="s">
        <v>64</v>
      </c>
      <c r="O1310">
        <v>26.68</v>
      </c>
      <c r="P1310">
        <v>530.1</v>
      </c>
      <c r="Q1310">
        <v>50.77</v>
      </c>
      <c r="R1310">
        <v>3.58</v>
      </c>
      <c r="S1310">
        <v>584.45000000000005</v>
      </c>
      <c r="T1310" t="s">
        <v>41</v>
      </c>
      <c r="U1310" t="s">
        <v>43</v>
      </c>
      <c r="V1310" t="s">
        <v>38</v>
      </c>
      <c r="W1310" t="s">
        <v>1182</v>
      </c>
      <c r="X1310">
        <v>530.1</v>
      </c>
      <c r="Y1310" s="9">
        <f t="shared" si="102"/>
        <v>530.1</v>
      </c>
      <c r="Z1310" s="9">
        <f t="shared" si="103"/>
        <v>993.9375</v>
      </c>
      <c r="AA1310" s="5">
        <f t="shared" si="104"/>
        <v>1104.2645625</v>
      </c>
      <c r="AB1310" s="6">
        <f t="shared" si="105"/>
        <v>1610.0793562499998</v>
      </c>
      <c r="AD1310" s="10">
        <f t="shared" si="101"/>
        <v>2015.9338556250002</v>
      </c>
    </row>
    <row r="1311" spans="1:30" x14ac:dyDescent="0.3">
      <c r="A1311" t="s">
        <v>30</v>
      </c>
      <c r="B1311" s="8" t="s">
        <v>249</v>
      </c>
      <c r="C1311" s="8" t="s">
        <v>32</v>
      </c>
      <c r="D1311" s="8" t="s">
        <v>69</v>
      </c>
      <c r="E1311" s="8" t="s">
        <v>70</v>
      </c>
      <c r="F1311" s="8" t="s">
        <v>71</v>
      </c>
      <c r="G1311">
        <v>8421392000</v>
      </c>
      <c r="H1311" t="s">
        <v>429</v>
      </c>
      <c r="I1311" t="s">
        <v>228</v>
      </c>
      <c r="J1311" t="s">
        <v>38</v>
      </c>
      <c r="K1311" t="s">
        <v>39</v>
      </c>
      <c r="L1311">
        <v>13</v>
      </c>
      <c r="M1311">
        <v>1</v>
      </c>
      <c r="N1311" t="s">
        <v>64</v>
      </c>
      <c r="O1311">
        <v>25.93</v>
      </c>
      <c r="P1311">
        <v>515.22</v>
      </c>
      <c r="Q1311">
        <v>27.51</v>
      </c>
      <c r="R1311">
        <v>3.31</v>
      </c>
      <c r="S1311">
        <v>546.04</v>
      </c>
      <c r="T1311" t="s">
        <v>72</v>
      </c>
      <c r="U1311" t="s">
        <v>72</v>
      </c>
      <c r="V1311" t="s">
        <v>38</v>
      </c>
      <c r="W1311" t="s">
        <v>1182</v>
      </c>
      <c r="X1311">
        <v>515.22</v>
      </c>
      <c r="Y1311" s="9">
        <f t="shared" si="102"/>
        <v>515.22</v>
      </c>
      <c r="Z1311" s="9">
        <f t="shared" si="103"/>
        <v>966.03750000000002</v>
      </c>
      <c r="AA1311" s="5">
        <f t="shared" si="104"/>
        <v>1073.2676624999999</v>
      </c>
      <c r="AB1311" s="6">
        <f t="shared" si="105"/>
        <v>1564.88414625</v>
      </c>
      <c r="AD1311" s="10">
        <f t="shared" si="101"/>
        <v>1959.3462386250003</v>
      </c>
    </row>
    <row r="1312" spans="1:30" x14ac:dyDescent="0.3">
      <c r="A1312" t="s">
        <v>30</v>
      </c>
      <c r="B1312" s="8" t="s">
        <v>249</v>
      </c>
      <c r="C1312" s="8" t="s">
        <v>32</v>
      </c>
      <c r="D1312" s="8" t="s">
        <v>69</v>
      </c>
      <c r="E1312" s="8" t="s">
        <v>70</v>
      </c>
      <c r="F1312" s="8" t="s">
        <v>71</v>
      </c>
      <c r="G1312">
        <v>8421392000</v>
      </c>
      <c r="H1312" t="s">
        <v>429</v>
      </c>
      <c r="I1312" t="s">
        <v>228</v>
      </c>
      <c r="J1312" t="s">
        <v>38</v>
      </c>
      <c r="K1312" t="s">
        <v>39</v>
      </c>
      <c r="L1312">
        <v>9</v>
      </c>
      <c r="M1312">
        <v>1</v>
      </c>
      <c r="N1312" t="s">
        <v>64</v>
      </c>
      <c r="O1312">
        <v>30.33</v>
      </c>
      <c r="P1312">
        <v>602.64</v>
      </c>
      <c r="Q1312">
        <v>53.45</v>
      </c>
      <c r="R1312">
        <v>4</v>
      </c>
      <c r="S1312">
        <v>660.09</v>
      </c>
      <c r="T1312" t="s">
        <v>41</v>
      </c>
      <c r="U1312" t="s">
        <v>41</v>
      </c>
      <c r="V1312" t="s">
        <v>38</v>
      </c>
      <c r="W1312" t="s">
        <v>1182</v>
      </c>
      <c r="X1312">
        <v>602.64</v>
      </c>
      <c r="Y1312" s="9">
        <f t="shared" si="102"/>
        <v>602.64</v>
      </c>
      <c r="Z1312" s="9">
        <f t="shared" si="103"/>
        <v>1129.95</v>
      </c>
      <c r="AA1312" s="5">
        <f t="shared" si="104"/>
        <v>1255.37445</v>
      </c>
      <c r="AB1312" s="6">
        <f t="shared" si="105"/>
        <v>1830.4060050000001</v>
      </c>
      <c r="AD1312" s="10">
        <f t="shared" si="101"/>
        <v>2291.7984885000005</v>
      </c>
    </row>
    <row r="1313" spans="1:30" x14ac:dyDescent="0.3">
      <c r="A1313" t="s">
        <v>30</v>
      </c>
      <c r="B1313" s="8" t="s">
        <v>249</v>
      </c>
      <c r="C1313" s="8" t="s">
        <v>32</v>
      </c>
      <c r="D1313" s="8" t="s">
        <v>33</v>
      </c>
      <c r="E1313" s="8" t="s">
        <v>34</v>
      </c>
      <c r="F1313" s="8" t="s">
        <v>35</v>
      </c>
      <c r="G1313">
        <v>8421392000</v>
      </c>
      <c r="H1313" t="s">
        <v>429</v>
      </c>
      <c r="I1313" t="s">
        <v>1147</v>
      </c>
      <c r="J1313" t="s">
        <v>38</v>
      </c>
      <c r="K1313" t="s">
        <v>39</v>
      </c>
      <c r="L1313">
        <v>8</v>
      </c>
      <c r="M1313">
        <v>1</v>
      </c>
      <c r="N1313" t="s">
        <v>64</v>
      </c>
      <c r="O1313">
        <v>35.299999999999997</v>
      </c>
      <c r="P1313">
        <v>701.06</v>
      </c>
      <c r="Q1313">
        <v>100.89</v>
      </c>
      <c r="R1313">
        <v>4.93</v>
      </c>
      <c r="S1313">
        <v>806.88</v>
      </c>
      <c r="T1313" t="s">
        <v>41</v>
      </c>
      <c r="U1313" t="s">
        <v>41</v>
      </c>
      <c r="V1313" t="s">
        <v>38</v>
      </c>
      <c r="W1313" t="s">
        <v>1183</v>
      </c>
      <c r="X1313">
        <v>701.06</v>
      </c>
      <c r="Y1313" s="9">
        <f t="shared" si="102"/>
        <v>701.06</v>
      </c>
      <c r="Z1313" s="9">
        <f t="shared" si="103"/>
        <v>1314.4875</v>
      </c>
      <c r="AA1313" s="5">
        <f t="shared" si="104"/>
        <v>1460.3956125</v>
      </c>
      <c r="AB1313" s="6">
        <f t="shared" si="105"/>
        <v>2129.3383012499999</v>
      </c>
      <c r="AD1313" s="10">
        <f t="shared" si="101"/>
        <v>2666.0829821249999</v>
      </c>
    </row>
    <row r="1314" spans="1:30" x14ac:dyDescent="0.3">
      <c r="A1314" t="s">
        <v>30</v>
      </c>
      <c r="B1314" s="8" t="s">
        <v>249</v>
      </c>
      <c r="C1314" s="8" t="s">
        <v>32</v>
      </c>
      <c r="D1314" s="8" t="s">
        <v>69</v>
      </c>
      <c r="E1314" s="8" t="s">
        <v>70</v>
      </c>
      <c r="F1314" s="8" t="s">
        <v>71</v>
      </c>
      <c r="G1314">
        <v>8421392000</v>
      </c>
      <c r="H1314" t="s">
        <v>429</v>
      </c>
      <c r="I1314" t="s">
        <v>228</v>
      </c>
      <c r="J1314" t="s">
        <v>38</v>
      </c>
      <c r="K1314" t="s">
        <v>39</v>
      </c>
      <c r="L1314">
        <v>12</v>
      </c>
      <c r="M1314">
        <v>1</v>
      </c>
      <c r="N1314" t="s">
        <v>64</v>
      </c>
      <c r="O1314">
        <v>30.63</v>
      </c>
      <c r="P1314">
        <v>608.22</v>
      </c>
      <c r="Q1314">
        <v>110.65</v>
      </c>
      <c r="R1314">
        <v>4.32</v>
      </c>
      <c r="S1314">
        <v>723.19</v>
      </c>
      <c r="T1314" t="s">
        <v>1176</v>
      </c>
      <c r="U1314" t="s">
        <v>1176</v>
      </c>
      <c r="V1314" t="s">
        <v>38</v>
      </c>
      <c r="W1314" t="s">
        <v>1183</v>
      </c>
      <c r="X1314">
        <v>608.22</v>
      </c>
      <c r="Y1314" s="9">
        <f t="shared" si="102"/>
        <v>608.22</v>
      </c>
      <c r="Z1314" s="9">
        <f t="shared" si="103"/>
        <v>1140.4125000000001</v>
      </c>
      <c r="AA1314" s="5">
        <f t="shared" si="104"/>
        <v>1266.9982875000001</v>
      </c>
      <c r="AB1314" s="6">
        <f t="shared" si="105"/>
        <v>1847.35420875</v>
      </c>
      <c r="AD1314" s="10">
        <f t="shared" si="101"/>
        <v>2313.0188448750005</v>
      </c>
    </row>
    <row r="1315" spans="1:30" x14ac:dyDescent="0.3">
      <c r="A1315" t="s">
        <v>30</v>
      </c>
      <c r="B1315" s="8" t="s">
        <v>249</v>
      </c>
      <c r="C1315" s="8" t="s">
        <v>32</v>
      </c>
      <c r="D1315" s="8" t="s">
        <v>33</v>
      </c>
      <c r="E1315" s="8" t="s">
        <v>34</v>
      </c>
      <c r="F1315" s="8" t="s">
        <v>35</v>
      </c>
      <c r="G1315">
        <v>8421392000</v>
      </c>
      <c r="H1315" t="s">
        <v>429</v>
      </c>
      <c r="I1315" t="s">
        <v>228</v>
      </c>
      <c r="J1315" t="s">
        <v>38</v>
      </c>
      <c r="K1315" t="s">
        <v>39</v>
      </c>
      <c r="L1315">
        <v>12</v>
      </c>
      <c r="M1315">
        <v>1</v>
      </c>
      <c r="N1315" t="s">
        <v>64</v>
      </c>
      <c r="O1315">
        <v>43.8</v>
      </c>
      <c r="P1315">
        <v>870.13</v>
      </c>
      <c r="Q1315">
        <v>99.91</v>
      </c>
      <c r="R1315">
        <v>5.8</v>
      </c>
      <c r="S1315">
        <v>975.84</v>
      </c>
      <c r="T1315" t="s">
        <v>41</v>
      </c>
      <c r="U1315" t="s">
        <v>41</v>
      </c>
      <c r="V1315" t="s">
        <v>38</v>
      </c>
      <c r="W1315" t="s">
        <v>1184</v>
      </c>
      <c r="X1315">
        <v>870.13</v>
      </c>
      <c r="Y1315" s="9">
        <f t="shared" si="102"/>
        <v>870.13</v>
      </c>
      <c r="Z1315" s="9">
        <f t="shared" si="103"/>
        <v>1631.4937500000001</v>
      </c>
      <c r="AA1315" s="5">
        <f t="shared" si="104"/>
        <v>1812.58955625</v>
      </c>
      <c r="AB1315" s="6">
        <f t="shared" si="105"/>
        <v>2642.8567256249999</v>
      </c>
      <c r="AD1315" s="10">
        <f t="shared" si="101"/>
        <v>3309.0445685625004</v>
      </c>
    </row>
    <row r="1316" spans="1:30" x14ac:dyDescent="0.3">
      <c r="A1316" t="s">
        <v>30</v>
      </c>
      <c r="B1316" s="8" t="s">
        <v>249</v>
      </c>
      <c r="C1316" s="8" t="s">
        <v>32</v>
      </c>
      <c r="D1316" s="8" t="s">
        <v>69</v>
      </c>
      <c r="E1316" s="8" t="s">
        <v>70</v>
      </c>
      <c r="F1316" s="8" t="s">
        <v>71</v>
      </c>
      <c r="G1316">
        <v>8421392000</v>
      </c>
      <c r="H1316" t="s">
        <v>429</v>
      </c>
      <c r="I1316" t="s">
        <v>228</v>
      </c>
      <c r="J1316" t="s">
        <v>38</v>
      </c>
      <c r="K1316" t="s">
        <v>39</v>
      </c>
      <c r="L1316">
        <v>9</v>
      </c>
      <c r="M1316">
        <v>1</v>
      </c>
      <c r="N1316" t="s">
        <v>64</v>
      </c>
      <c r="O1316">
        <v>42.55</v>
      </c>
      <c r="P1316">
        <v>845.37</v>
      </c>
      <c r="Q1316">
        <v>74.97</v>
      </c>
      <c r="R1316">
        <v>5.61</v>
      </c>
      <c r="S1316">
        <v>925.95</v>
      </c>
      <c r="T1316" t="s">
        <v>41</v>
      </c>
      <c r="U1316" t="s">
        <v>41</v>
      </c>
      <c r="V1316" t="s">
        <v>38</v>
      </c>
      <c r="W1316" t="s">
        <v>1184</v>
      </c>
      <c r="X1316">
        <v>845.37</v>
      </c>
      <c r="Y1316" s="9">
        <f t="shared" si="102"/>
        <v>845.37</v>
      </c>
      <c r="Z1316" s="9">
        <f t="shared" si="103"/>
        <v>1585.0687499999999</v>
      </c>
      <c r="AA1316" s="5">
        <f t="shared" si="104"/>
        <v>1761.0113812499999</v>
      </c>
      <c r="AB1316" s="6">
        <f t="shared" si="105"/>
        <v>2567.6528681249997</v>
      </c>
      <c r="AD1316" s="10">
        <f t="shared" si="101"/>
        <v>3214.8839908125001</v>
      </c>
    </row>
    <row r="1317" spans="1:30" x14ac:dyDescent="0.3">
      <c r="A1317" t="s">
        <v>30</v>
      </c>
      <c r="B1317" s="8" t="s">
        <v>249</v>
      </c>
      <c r="C1317" s="8" t="s">
        <v>32</v>
      </c>
      <c r="D1317" s="8" t="s">
        <v>69</v>
      </c>
      <c r="E1317" s="8" t="s">
        <v>70</v>
      </c>
      <c r="F1317" s="8" t="s">
        <v>71</v>
      </c>
      <c r="G1317">
        <v>8421392000</v>
      </c>
      <c r="H1317" t="s">
        <v>429</v>
      </c>
      <c r="I1317" t="s">
        <v>228</v>
      </c>
      <c r="J1317" t="s">
        <v>38</v>
      </c>
      <c r="K1317" t="s">
        <v>39</v>
      </c>
      <c r="L1317">
        <v>9</v>
      </c>
      <c r="M1317">
        <v>1</v>
      </c>
      <c r="N1317" t="s">
        <v>64</v>
      </c>
      <c r="O1317">
        <v>13.71</v>
      </c>
      <c r="P1317">
        <v>272.49</v>
      </c>
      <c r="Q1317">
        <v>24.17</v>
      </c>
      <c r="R1317">
        <v>1.81</v>
      </c>
      <c r="S1317">
        <v>298.45999999999998</v>
      </c>
      <c r="T1317" t="s">
        <v>41</v>
      </c>
      <c r="U1317" t="s">
        <v>41</v>
      </c>
      <c r="V1317" t="s">
        <v>38</v>
      </c>
      <c r="W1317" t="s">
        <v>1185</v>
      </c>
      <c r="X1317">
        <v>272.49</v>
      </c>
      <c r="Y1317" s="9">
        <f t="shared" si="102"/>
        <v>272.49</v>
      </c>
      <c r="Z1317" s="9">
        <f t="shared" si="103"/>
        <v>510.91875000000005</v>
      </c>
      <c r="AA1317" s="5">
        <f t="shared" si="104"/>
        <v>567.63073125000005</v>
      </c>
      <c r="AB1317" s="6">
        <f t="shared" si="105"/>
        <v>827.63728312500007</v>
      </c>
      <c r="AD1317" s="10">
        <f t="shared" si="101"/>
        <v>1036.2607363125003</v>
      </c>
    </row>
    <row r="1318" spans="1:30" x14ac:dyDescent="0.3">
      <c r="A1318" t="s">
        <v>30</v>
      </c>
      <c r="B1318" s="8" t="s">
        <v>249</v>
      </c>
      <c r="C1318" s="8" t="s">
        <v>32</v>
      </c>
      <c r="D1318" s="8" t="s">
        <v>69</v>
      </c>
      <c r="E1318" s="8" t="s">
        <v>70</v>
      </c>
      <c r="F1318" s="8" t="s">
        <v>71</v>
      </c>
      <c r="G1318">
        <v>8421392000</v>
      </c>
      <c r="H1318" t="s">
        <v>429</v>
      </c>
      <c r="I1318" t="s">
        <v>228</v>
      </c>
      <c r="J1318" t="s">
        <v>38</v>
      </c>
      <c r="K1318" t="s">
        <v>39</v>
      </c>
      <c r="L1318">
        <v>8</v>
      </c>
      <c r="M1318">
        <v>1</v>
      </c>
      <c r="N1318" t="s">
        <v>64</v>
      </c>
      <c r="O1318">
        <v>18.07</v>
      </c>
      <c r="P1318">
        <v>358.98</v>
      </c>
      <c r="Q1318">
        <v>23.5</v>
      </c>
      <c r="R1318">
        <v>2.33</v>
      </c>
      <c r="S1318">
        <v>384.81</v>
      </c>
      <c r="T1318" t="s">
        <v>41</v>
      </c>
      <c r="U1318" t="s">
        <v>41</v>
      </c>
      <c r="V1318" t="s">
        <v>38</v>
      </c>
      <c r="W1318" t="s">
        <v>1186</v>
      </c>
      <c r="X1318">
        <v>358.98</v>
      </c>
      <c r="Y1318" s="9">
        <f t="shared" si="102"/>
        <v>358.98</v>
      </c>
      <c r="Z1318" s="9">
        <f t="shared" si="103"/>
        <v>673.08750000000009</v>
      </c>
      <c r="AA1318" s="5">
        <f t="shared" si="104"/>
        <v>747.80021250000004</v>
      </c>
      <c r="AB1318" s="6">
        <f t="shared" si="105"/>
        <v>1090.3344412500001</v>
      </c>
      <c r="AD1318" s="10">
        <f t="shared" si="101"/>
        <v>1365.1762601250002</v>
      </c>
    </row>
    <row r="1319" spans="1:30" x14ac:dyDescent="0.3">
      <c r="A1319" t="s">
        <v>30</v>
      </c>
      <c r="B1319" s="8" t="s">
        <v>249</v>
      </c>
      <c r="C1319" s="8" t="s">
        <v>32</v>
      </c>
      <c r="D1319" s="8" t="s">
        <v>69</v>
      </c>
      <c r="E1319" s="8" t="s">
        <v>70</v>
      </c>
      <c r="F1319" s="8" t="s">
        <v>71</v>
      </c>
      <c r="G1319">
        <v>8421392000</v>
      </c>
      <c r="H1319" t="s">
        <v>429</v>
      </c>
      <c r="I1319" t="s">
        <v>228</v>
      </c>
      <c r="J1319" t="s">
        <v>38</v>
      </c>
      <c r="K1319" t="s">
        <v>39</v>
      </c>
      <c r="L1319">
        <v>9</v>
      </c>
      <c r="M1319">
        <v>1</v>
      </c>
      <c r="N1319" t="s">
        <v>64</v>
      </c>
      <c r="O1319">
        <v>18.07</v>
      </c>
      <c r="P1319">
        <v>358.98</v>
      </c>
      <c r="Q1319">
        <v>31.84</v>
      </c>
      <c r="R1319">
        <v>2.38</v>
      </c>
      <c r="S1319">
        <v>393.2</v>
      </c>
      <c r="T1319" t="s">
        <v>41</v>
      </c>
      <c r="U1319" t="s">
        <v>41</v>
      </c>
      <c r="V1319" t="s">
        <v>38</v>
      </c>
      <c r="W1319" t="s">
        <v>1186</v>
      </c>
      <c r="X1319">
        <v>358.98</v>
      </c>
      <c r="Y1319" s="9">
        <f t="shared" si="102"/>
        <v>358.98</v>
      </c>
      <c r="Z1319" s="9">
        <f t="shared" si="103"/>
        <v>673.08750000000009</v>
      </c>
      <c r="AA1319" s="5">
        <f t="shared" si="104"/>
        <v>747.80021250000004</v>
      </c>
      <c r="AB1319" s="6">
        <f t="shared" si="105"/>
        <v>1090.3344412500001</v>
      </c>
      <c r="AD1319" s="10">
        <f t="shared" si="101"/>
        <v>1365.1762601250002</v>
      </c>
    </row>
    <row r="1320" spans="1:30" x14ac:dyDescent="0.3">
      <c r="A1320" t="s">
        <v>30</v>
      </c>
      <c r="B1320" s="8" t="s">
        <v>249</v>
      </c>
      <c r="C1320" s="8" t="s">
        <v>32</v>
      </c>
      <c r="D1320" s="8" t="s">
        <v>69</v>
      </c>
      <c r="E1320" s="8" t="s">
        <v>70</v>
      </c>
      <c r="F1320" s="8" t="s">
        <v>71</v>
      </c>
      <c r="G1320">
        <v>8421392000</v>
      </c>
      <c r="H1320" t="s">
        <v>429</v>
      </c>
      <c r="I1320" t="s">
        <v>228</v>
      </c>
      <c r="J1320" t="s">
        <v>38</v>
      </c>
      <c r="K1320" t="s">
        <v>39</v>
      </c>
      <c r="L1320">
        <v>9</v>
      </c>
      <c r="M1320">
        <v>1</v>
      </c>
      <c r="N1320" t="s">
        <v>64</v>
      </c>
      <c r="O1320">
        <v>43.25</v>
      </c>
      <c r="P1320">
        <v>859.32</v>
      </c>
      <c r="Q1320">
        <v>76.209999999999994</v>
      </c>
      <c r="R1320">
        <v>5.7</v>
      </c>
      <c r="S1320">
        <v>941.23</v>
      </c>
      <c r="T1320" t="s">
        <v>41</v>
      </c>
      <c r="U1320" t="s">
        <v>41</v>
      </c>
      <c r="V1320" t="s">
        <v>38</v>
      </c>
      <c r="W1320" t="s">
        <v>1187</v>
      </c>
      <c r="X1320">
        <v>859.32</v>
      </c>
      <c r="Y1320" s="9">
        <f t="shared" si="102"/>
        <v>859.32</v>
      </c>
      <c r="Z1320" s="9">
        <f t="shared" si="103"/>
        <v>1611.2250000000001</v>
      </c>
      <c r="AA1320" s="5">
        <f t="shared" si="104"/>
        <v>1790.0709750000001</v>
      </c>
      <c r="AB1320" s="6">
        <f t="shared" si="105"/>
        <v>2610.0233775000002</v>
      </c>
      <c r="AD1320" s="10">
        <f t="shared" si="101"/>
        <v>3267.9348817500004</v>
      </c>
    </row>
    <row r="1321" spans="1:30" x14ac:dyDescent="0.3">
      <c r="A1321" t="s">
        <v>30</v>
      </c>
      <c r="B1321" s="8" t="s">
        <v>249</v>
      </c>
      <c r="C1321" s="8" t="s">
        <v>32</v>
      </c>
      <c r="D1321" s="8" t="s">
        <v>69</v>
      </c>
      <c r="E1321" s="8" t="s">
        <v>70</v>
      </c>
      <c r="F1321" s="8" t="s">
        <v>71</v>
      </c>
      <c r="G1321">
        <v>8421392000</v>
      </c>
      <c r="H1321" t="s">
        <v>429</v>
      </c>
      <c r="I1321" t="s">
        <v>228</v>
      </c>
      <c r="J1321" t="s">
        <v>38</v>
      </c>
      <c r="K1321" t="s">
        <v>39</v>
      </c>
      <c r="L1321">
        <v>5</v>
      </c>
      <c r="M1321">
        <v>1</v>
      </c>
      <c r="N1321" t="s">
        <v>64</v>
      </c>
      <c r="O1321">
        <v>40.53</v>
      </c>
      <c r="P1321">
        <v>805.38</v>
      </c>
      <c r="Q1321">
        <v>54.5</v>
      </c>
      <c r="R1321">
        <v>5.18</v>
      </c>
      <c r="S1321">
        <v>865.06</v>
      </c>
      <c r="T1321" t="s">
        <v>1188</v>
      </c>
      <c r="U1321" t="s">
        <v>1188</v>
      </c>
      <c r="V1321" t="s">
        <v>38</v>
      </c>
      <c r="W1321" t="s">
        <v>1189</v>
      </c>
      <c r="X1321">
        <v>805.38</v>
      </c>
      <c r="Y1321" s="9">
        <f t="shared" si="102"/>
        <v>805.38</v>
      </c>
      <c r="Z1321" s="9">
        <f t="shared" si="103"/>
        <v>1510.0875000000001</v>
      </c>
      <c r="AA1321" s="5">
        <f t="shared" si="104"/>
        <v>1677.7072125</v>
      </c>
      <c r="AB1321" s="6">
        <f t="shared" si="105"/>
        <v>2446.19074125</v>
      </c>
      <c r="AD1321" s="10">
        <f t="shared" si="101"/>
        <v>3062.8047701250007</v>
      </c>
    </row>
    <row r="1322" spans="1:30" x14ac:dyDescent="0.3">
      <c r="A1322" t="s">
        <v>30</v>
      </c>
      <c r="B1322" s="8" t="s">
        <v>249</v>
      </c>
      <c r="C1322" s="8" t="s">
        <v>32</v>
      </c>
      <c r="D1322" s="8" t="s">
        <v>33</v>
      </c>
      <c r="E1322" s="8" t="s">
        <v>34</v>
      </c>
      <c r="F1322" s="8" t="s">
        <v>35</v>
      </c>
      <c r="G1322">
        <v>8421392000</v>
      </c>
      <c r="H1322" t="s">
        <v>429</v>
      </c>
      <c r="I1322" t="s">
        <v>228</v>
      </c>
      <c r="J1322" t="s">
        <v>38</v>
      </c>
      <c r="K1322" t="s">
        <v>39</v>
      </c>
      <c r="L1322">
        <v>7</v>
      </c>
      <c r="M1322">
        <v>1</v>
      </c>
      <c r="N1322" t="s">
        <v>64</v>
      </c>
      <c r="O1322">
        <v>12.3</v>
      </c>
      <c r="P1322">
        <v>244.51</v>
      </c>
      <c r="Q1322">
        <v>38.630000000000003</v>
      </c>
      <c r="R1322">
        <v>1.51</v>
      </c>
      <c r="S1322">
        <v>284.64999999999998</v>
      </c>
      <c r="T1322" t="s">
        <v>41</v>
      </c>
      <c r="U1322" t="s">
        <v>41</v>
      </c>
      <c r="V1322" t="s">
        <v>38</v>
      </c>
      <c r="W1322" t="s">
        <v>1190</v>
      </c>
      <c r="X1322">
        <v>244.51</v>
      </c>
      <c r="Y1322" s="9">
        <f t="shared" si="102"/>
        <v>244.51</v>
      </c>
      <c r="Z1322" s="9">
        <f t="shared" si="103"/>
        <v>458.45624999999995</v>
      </c>
      <c r="AA1322" s="5">
        <f t="shared" si="104"/>
        <v>509.34489374999993</v>
      </c>
      <c r="AB1322" s="6">
        <f t="shared" si="105"/>
        <v>742.6532793749999</v>
      </c>
      <c r="AD1322" s="10">
        <f t="shared" si="101"/>
        <v>929.85471993750002</v>
      </c>
    </row>
    <row r="1323" spans="1:30" x14ac:dyDescent="0.3">
      <c r="A1323" t="s">
        <v>30</v>
      </c>
      <c r="B1323" s="8" t="s">
        <v>249</v>
      </c>
      <c r="C1323" s="8" t="s">
        <v>32</v>
      </c>
      <c r="D1323" s="8" t="s">
        <v>33</v>
      </c>
      <c r="E1323" s="8" t="s">
        <v>34</v>
      </c>
      <c r="F1323" s="8" t="s">
        <v>35</v>
      </c>
      <c r="G1323">
        <v>8421392000</v>
      </c>
      <c r="H1323" t="s">
        <v>429</v>
      </c>
      <c r="I1323" t="s">
        <v>228</v>
      </c>
      <c r="J1323" t="s">
        <v>38</v>
      </c>
      <c r="K1323" t="s">
        <v>39</v>
      </c>
      <c r="L1323">
        <v>7</v>
      </c>
      <c r="M1323">
        <v>1</v>
      </c>
      <c r="N1323" t="s">
        <v>64</v>
      </c>
      <c r="O1323">
        <v>12.3</v>
      </c>
      <c r="P1323">
        <v>244.51</v>
      </c>
      <c r="Q1323">
        <v>38.630000000000003</v>
      </c>
      <c r="R1323">
        <v>1.51</v>
      </c>
      <c r="S1323">
        <v>284.64999999999998</v>
      </c>
      <c r="T1323" t="s">
        <v>41</v>
      </c>
      <c r="U1323" t="s">
        <v>41</v>
      </c>
      <c r="V1323" t="s">
        <v>38</v>
      </c>
      <c r="W1323" t="s">
        <v>1190</v>
      </c>
      <c r="X1323">
        <v>244.51</v>
      </c>
      <c r="Y1323" s="9">
        <f t="shared" si="102"/>
        <v>244.51</v>
      </c>
      <c r="Z1323" s="9">
        <f t="shared" si="103"/>
        <v>458.45624999999995</v>
      </c>
      <c r="AA1323" s="5">
        <f t="shared" si="104"/>
        <v>509.34489374999993</v>
      </c>
      <c r="AB1323" s="6">
        <f t="shared" si="105"/>
        <v>742.6532793749999</v>
      </c>
      <c r="AD1323" s="10">
        <f t="shared" si="101"/>
        <v>929.85471993750002</v>
      </c>
    </row>
    <row r="1324" spans="1:30" x14ac:dyDescent="0.3">
      <c r="A1324" t="s">
        <v>30</v>
      </c>
      <c r="B1324" s="8" t="s">
        <v>249</v>
      </c>
      <c r="C1324" s="8" t="s">
        <v>32</v>
      </c>
      <c r="D1324" s="8" t="s">
        <v>33</v>
      </c>
      <c r="E1324" s="8" t="s">
        <v>34</v>
      </c>
      <c r="F1324" s="8" t="s">
        <v>35</v>
      </c>
      <c r="G1324">
        <v>8421392000</v>
      </c>
      <c r="H1324" t="s">
        <v>429</v>
      </c>
      <c r="I1324" t="s">
        <v>228</v>
      </c>
      <c r="J1324" t="s">
        <v>38</v>
      </c>
      <c r="K1324" t="s">
        <v>39</v>
      </c>
      <c r="L1324">
        <v>7</v>
      </c>
      <c r="M1324">
        <v>1</v>
      </c>
      <c r="N1324" t="s">
        <v>64</v>
      </c>
      <c r="O1324">
        <v>12.3</v>
      </c>
      <c r="P1324">
        <v>244.51</v>
      </c>
      <c r="Q1324">
        <v>38.630000000000003</v>
      </c>
      <c r="R1324">
        <v>1.51</v>
      </c>
      <c r="S1324">
        <v>284.64999999999998</v>
      </c>
      <c r="T1324" t="s">
        <v>41</v>
      </c>
      <c r="U1324" t="s">
        <v>41</v>
      </c>
      <c r="V1324" t="s">
        <v>38</v>
      </c>
      <c r="W1324" t="s">
        <v>1190</v>
      </c>
      <c r="X1324">
        <v>244.51</v>
      </c>
      <c r="Y1324" s="9">
        <f t="shared" si="102"/>
        <v>244.51</v>
      </c>
      <c r="Z1324" s="9">
        <f t="shared" si="103"/>
        <v>458.45624999999995</v>
      </c>
      <c r="AA1324" s="5">
        <f t="shared" si="104"/>
        <v>509.34489374999993</v>
      </c>
      <c r="AB1324" s="6">
        <f t="shared" si="105"/>
        <v>742.6532793749999</v>
      </c>
      <c r="AD1324" s="10">
        <f t="shared" si="101"/>
        <v>929.85471993750002</v>
      </c>
    </row>
    <row r="1325" spans="1:30" x14ac:dyDescent="0.3">
      <c r="A1325" t="s">
        <v>30</v>
      </c>
      <c r="B1325" s="8" t="s">
        <v>249</v>
      </c>
      <c r="C1325" s="8" t="s">
        <v>32</v>
      </c>
      <c r="D1325" s="8" t="s">
        <v>69</v>
      </c>
      <c r="E1325" s="8" t="s">
        <v>70</v>
      </c>
      <c r="F1325" s="8" t="s">
        <v>71</v>
      </c>
      <c r="G1325">
        <v>8421392000</v>
      </c>
      <c r="H1325" t="s">
        <v>429</v>
      </c>
      <c r="I1325" t="s">
        <v>228</v>
      </c>
      <c r="J1325" t="s">
        <v>38</v>
      </c>
      <c r="K1325" t="s">
        <v>39</v>
      </c>
      <c r="L1325">
        <v>9</v>
      </c>
      <c r="M1325">
        <v>1</v>
      </c>
      <c r="N1325" t="s">
        <v>64</v>
      </c>
      <c r="O1325">
        <v>8.99</v>
      </c>
      <c r="P1325">
        <v>178.56</v>
      </c>
      <c r="Q1325">
        <v>15.84</v>
      </c>
      <c r="R1325">
        <v>1.18</v>
      </c>
      <c r="S1325">
        <v>195.58</v>
      </c>
      <c r="T1325" t="s">
        <v>41</v>
      </c>
      <c r="U1325" t="s">
        <v>41</v>
      </c>
      <c r="V1325" t="s">
        <v>38</v>
      </c>
      <c r="W1325" t="s">
        <v>1191</v>
      </c>
      <c r="X1325">
        <v>178.56</v>
      </c>
      <c r="Y1325" s="9">
        <f t="shared" si="102"/>
        <v>178.56</v>
      </c>
      <c r="Z1325" s="9">
        <f t="shared" si="103"/>
        <v>334.8</v>
      </c>
      <c r="AA1325" s="5">
        <f t="shared" si="104"/>
        <v>371.96280000000002</v>
      </c>
      <c r="AB1325" s="6">
        <f t="shared" si="105"/>
        <v>542.34252000000004</v>
      </c>
      <c r="AD1325" s="10">
        <f t="shared" si="101"/>
        <v>679.05140400000005</v>
      </c>
    </row>
    <row r="1326" spans="1:30" x14ac:dyDescent="0.3">
      <c r="A1326" t="s">
        <v>30</v>
      </c>
      <c r="B1326" s="8" t="s">
        <v>249</v>
      </c>
      <c r="C1326" s="8" t="s">
        <v>32</v>
      </c>
      <c r="D1326" s="8" t="s">
        <v>69</v>
      </c>
      <c r="E1326" s="8" t="s">
        <v>70</v>
      </c>
      <c r="F1326" s="8" t="s">
        <v>71</v>
      </c>
      <c r="G1326">
        <v>8421392000</v>
      </c>
      <c r="H1326" t="s">
        <v>429</v>
      </c>
      <c r="I1326" t="s">
        <v>228</v>
      </c>
      <c r="J1326" t="s">
        <v>38</v>
      </c>
      <c r="K1326" t="s">
        <v>39</v>
      </c>
      <c r="L1326">
        <v>9</v>
      </c>
      <c r="M1326">
        <v>1</v>
      </c>
      <c r="N1326" t="s">
        <v>64</v>
      </c>
      <c r="O1326">
        <v>22.51</v>
      </c>
      <c r="P1326">
        <v>447.33</v>
      </c>
      <c r="Q1326">
        <v>39.67</v>
      </c>
      <c r="R1326">
        <v>2.97</v>
      </c>
      <c r="S1326">
        <v>489.97</v>
      </c>
      <c r="T1326" t="s">
        <v>41</v>
      </c>
      <c r="U1326" t="s">
        <v>41</v>
      </c>
      <c r="V1326" t="s">
        <v>38</v>
      </c>
      <c r="W1326" t="s">
        <v>1192</v>
      </c>
      <c r="X1326">
        <v>447.33</v>
      </c>
      <c r="Y1326" s="9">
        <f t="shared" si="102"/>
        <v>447.33</v>
      </c>
      <c r="Z1326" s="9">
        <f t="shared" si="103"/>
        <v>838.74374999999998</v>
      </c>
      <c r="AA1326" s="5">
        <f t="shared" si="104"/>
        <v>931.84430624999993</v>
      </c>
      <c r="AB1326" s="6">
        <f t="shared" si="105"/>
        <v>1358.6810006249998</v>
      </c>
      <c r="AD1326" s="10">
        <f t="shared" si="101"/>
        <v>1701.1652360625001</v>
      </c>
    </row>
    <row r="1327" spans="1:30" x14ac:dyDescent="0.3">
      <c r="A1327" t="s">
        <v>30</v>
      </c>
      <c r="B1327" s="8" t="s">
        <v>249</v>
      </c>
      <c r="C1327" s="8" t="s">
        <v>32</v>
      </c>
      <c r="D1327" s="8" t="s">
        <v>69</v>
      </c>
      <c r="E1327" s="8" t="s">
        <v>70</v>
      </c>
      <c r="F1327" s="8" t="s">
        <v>71</v>
      </c>
      <c r="G1327">
        <v>8421392000</v>
      </c>
      <c r="H1327" t="s">
        <v>429</v>
      </c>
      <c r="I1327" t="s">
        <v>228</v>
      </c>
      <c r="J1327" t="s">
        <v>38</v>
      </c>
      <c r="K1327" t="s">
        <v>39</v>
      </c>
      <c r="L1327">
        <v>9</v>
      </c>
      <c r="M1327">
        <v>1</v>
      </c>
      <c r="N1327" t="s">
        <v>64</v>
      </c>
      <c r="O1327">
        <v>26.91</v>
      </c>
      <c r="P1327">
        <v>534.75</v>
      </c>
      <c r="Q1327">
        <v>47.43</v>
      </c>
      <c r="R1327">
        <v>3.55</v>
      </c>
      <c r="S1327">
        <v>585.72</v>
      </c>
      <c r="T1327" t="s">
        <v>41</v>
      </c>
      <c r="U1327" t="s">
        <v>41</v>
      </c>
      <c r="V1327" t="s">
        <v>38</v>
      </c>
      <c r="W1327" t="s">
        <v>1193</v>
      </c>
      <c r="X1327">
        <v>534.75</v>
      </c>
      <c r="Y1327" s="9">
        <f t="shared" si="102"/>
        <v>534.75</v>
      </c>
      <c r="Z1327" s="9">
        <f t="shared" si="103"/>
        <v>1002.65625</v>
      </c>
      <c r="AA1327" s="5">
        <f t="shared" si="104"/>
        <v>1113.9510937499999</v>
      </c>
      <c r="AB1327" s="6">
        <f t="shared" si="105"/>
        <v>1624.2028593749999</v>
      </c>
      <c r="AD1327" s="10">
        <f t="shared" si="101"/>
        <v>2033.6174859375003</v>
      </c>
    </row>
    <row r="1328" spans="1:30" x14ac:dyDescent="0.3">
      <c r="A1328" t="s">
        <v>168</v>
      </c>
      <c r="B1328" s="8" t="s">
        <v>249</v>
      </c>
      <c r="C1328" s="8" t="s">
        <v>32</v>
      </c>
      <c r="D1328" s="8" t="s">
        <v>33</v>
      </c>
      <c r="E1328" s="8" t="s">
        <v>34</v>
      </c>
      <c r="F1328" s="8" t="s">
        <v>35</v>
      </c>
      <c r="G1328">
        <v>8421392000</v>
      </c>
      <c r="H1328" t="s">
        <v>429</v>
      </c>
      <c r="I1328" t="s">
        <v>228</v>
      </c>
      <c r="J1328" t="s">
        <v>38</v>
      </c>
      <c r="K1328" t="s">
        <v>39</v>
      </c>
      <c r="L1328">
        <v>11</v>
      </c>
      <c r="M1328">
        <v>1</v>
      </c>
      <c r="N1328" t="s">
        <v>64</v>
      </c>
      <c r="O1328">
        <v>26.68</v>
      </c>
      <c r="P1328">
        <v>530.1</v>
      </c>
      <c r="Q1328">
        <v>50.77</v>
      </c>
      <c r="R1328">
        <v>3.58</v>
      </c>
      <c r="S1328">
        <v>584.45000000000005</v>
      </c>
      <c r="T1328" t="s">
        <v>41</v>
      </c>
      <c r="U1328" t="s">
        <v>43</v>
      </c>
      <c r="V1328" t="s">
        <v>38</v>
      </c>
      <c r="W1328" t="s">
        <v>1194</v>
      </c>
      <c r="X1328">
        <v>530.1</v>
      </c>
      <c r="Y1328" s="9">
        <f t="shared" si="102"/>
        <v>530.1</v>
      </c>
      <c r="Z1328" s="9">
        <f t="shared" si="103"/>
        <v>993.9375</v>
      </c>
      <c r="AA1328" s="5">
        <f t="shared" si="104"/>
        <v>1104.2645625</v>
      </c>
      <c r="AB1328" s="6">
        <f t="shared" si="105"/>
        <v>1610.0793562499998</v>
      </c>
      <c r="AD1328" s="10">
        <f t="shared" si="101"/>
        <v>2015.9338556250002</v>
      </c>
    </row>
    <row r="1329" spans="1:30" x14ac:dyDescent="0.3">
      <c r="A1329" t="s">
        <v>30</v>
      </c>
      <c r="B1329" s="8" t="s">
        <v>249</v>
      </c>
      <c r="C1329" s="8" t="s">
        <v>32</v>
      </c>
      <c r="D1329" s="8" t="s">
        <v>33</v>
      </c>
      <c r="E1329" s="8" t="s">
        <v>34</v>
      </c>
      <c r="F1329" s="8" t="s">
        <v>35</v>
      </c>
      <c r="G1329">
        <v>8421392000</v>
      </c>
      <c r="H1329" t="s">
        <v>429</v>
      </c>
      <c r="I1329" t="s">
        <v>1147</v>
      </c>
      <c r="J1329" t="s">
        <v>38</v>
      </c>
      <c r="K1329" t="s">
        <v>39</v>
      </c>
      <c r="L1329">
        <v>8</v>
      </c>
      <c r="M1329">
        <v>1</v>
      </c>
      <c r="N1329" t="s">
        <v>64</v>
      </c>
      <c r="O1329">
        <v>35.299999999999997</v>
      </c>
      <c r="P1329">
        <v>701.06</v>
      </c>
      <c r="Q1329">
        <v>100.89</v>
      </c>
      <c r="R1329">
        <v>4.93</v>
      </c>
      <c r="S1329">
        <v>806.88</v>
      </c>
      <c r="T1329" t="s">
        <v>41</v>
      </c>
      <c r="U1329" t="s">
        <v>41</v>
      </c>
      <c r="V1329" t="s">
        <v>38</v>
      </c>
      <c r="W1329" t="s">
        <v>1195</v>
      </c>
      <c r="X1329">
        <v>701.06</v>
      </c>
      <c r="Y1329" s="9">
        <f t="shared" si="102"/>
        <v>701.06</v>
      </c>
      <c r="Z1329" s="9">
        <f t="shared" si="103"/>
        <v>1314.4875</v>
      </c>
      <c r="AA1329" s="5">
        <f t="shared" si="104"/>
        <v>1460.3956125</v>
      </c>
      <c r="AB1329" s="6">
        <f t="shared" si="105"/>
        <v>2129.3383012499999</v>
      </c>
      <c r="AD1329" s="10">
        <f t="shared" si="101"/>
        <v>2666.0829821249999</v>
      </c>
    </row>
    <row r="1330" spans="1:30" x14ac:dyDescent="0.3">
      <c r="A1330" t="s">
        <v>30</v>
      </c>
      <c r="B1330" s="8" t="s">
        <v>66</v>
      </c>
      <c r="C1330" s="8" t="s">
        <v>32</v>
      </c>
      <c r="D1330" s="8" t="s">
        <v>69</v>
      </c>
      <c r="E1330" s="8" t="s">
        <v>70</v>
      </c>
      <c r="F1330" s="8" t="s">
        <v>71</v>
      </c>
      <c r="G1330">
        <v>8414802200</v>
      </c>
      <c r="H1330" t="s">
        <v>1196</v>
      </c>
      <c r="I1330" t="s">
        <v>1197</v>
      </c>
      <c r="J1330" t="s">
        <v>38</v>
      </c>
      <c r="K1330" t="s">
        <v>39</v>
      </c>
      <c r="L1330">
        <v>13</v>
      </c>
      <c r="M1330">
        <v>1</v>
      </c>
      <c r="N1330" t="s">
        <v>64</v>
      </c>
      <c r="O1330">
        <v>0</v>
      </c>
      <c r="P1330">
        <v>1151</v>
      </c>
      <c r="Q1330">
        <v>81.72</v>
      </c>
      <c r="R1330">
        <v>7.52</v>
      </c>
      <c r="S1330">
        <v>1240.25</v>
      </c>
      <c r="T1330" t="s">
        <v>41</v>
      </c>
      <c r="U1330" t="s">
        <v>41</v>
      </c>
      <c r="V1330" t="s">
        <v>38</v>
      </c>
      <c r="W1330" t="s">
        <v>1198</v>
      </c>
      <c r="X1330">
        <v>1151</v>
      </c>
      <c r="Y1330" s="9">
        <f t="shared" si="102"/>
        <v>1151</v>
      </c>
      <c r="Z1330" s="9">
        <f t="shared" si="103"/>
        <v>2158.125</v>
      </c>
      <c r="AA1330" s="5">
        <f t="shared" si="104"/>
        <v>2397.6768750000001</v>
      </c>
      <c r="AB1330" s="6">
        <f t="shared" si="105"/>
        <v>3495.9466874999998</v>
      </c>
      <c r="AD1330" s="10">
        <f t="shared" ref="AD1330:AD1377" si="106">SUM(Z1330)*2.02823</f>
        <v>4377.1738687500001</v>
      </c>
    </row>
    <row r="1331" spans="1:30" x14ac:dyDescent="0.3">
      <c r="A1331" t="s">
        <v>30</v>
      </c>
      <c r="B1331" s="8" t="s">
        <v>66</v>
      </c>
      <c r="C1331" s="8" t="s">
        <v>32</v>
      </c>
      <c r="D1331" s="8" t="s">
        <v>33</v>
      </c>
      <c r="E1331" s="8" t="s">
        <v>34</v>
      </c>
      <c r="F1331" s="8" t="s">
        <v>35</v>
      </c>
      <c r="G1331">
        <v>8414802100</v>
      </c>
      <c r="H1331" t="s">
        <v>1199</v>
      </c>
      <c r="I1331" t="s">
        <v>1197</v>
      </c>
      <c r="J1331" t="s">
        <v>38</v>
      </c>
      <c r="K1331" t="s">
        <v>39</v>
      </c>
      <c r="L1331">
        <v>12</v>
      </c>
      <c r="M1331">
        <v>1</v>
      </c>
      <c r="N1331" t="s">
        <v>64</v>
      </c>
      <c r="O1331">
        <v>0</v>
      </c>
      <c r="P1331">
        <v>1199.74</v>
      </c>
      <c r="Q1331">
        <v>137.76</v>
      </c>
      <c r="R1331">
        <v>7.99</v>
      </c>
      <c r="S1331">
        <v>1345.5</v>
      </c>
      <c r="T1331" t="s">
        <v>41</v>
      </c>
      <c r="U1331" t="s">
        <v>41</v>
      </c>
      <c r="V1331" t="s">
        <v>38</v>
      </c>
      <c r="W1331" t="s">
        <v>1200</v>
      </c>
      <c r="X1331">
        <v>1199.74</v>
      </c>
      <c r="Y1331" s="9">
        <f t="shared" si="102"/>
        <v>1199.74</v>
      </c>
      <c r="Z1331" s="9">
        <f t="shared" si="103"/>
        <v>2249.5124999999998</v>
      </c>
      <c r="AA1331" s="5">
        <f t="shared" si="104"/>
        <v>2499.2083874999998</v>
      </c>
      <c r="AB1331" s="6">
        <f t="shared" si="105"/>
        <v>3643.9852987499994</v>
      </c>
      <c r="AD1331" s="10">
        <f t="shared" si="106"/>
        <v>4562.5287378749999</v>
      </c>
    </row>
    <row r="1332" spans="1:30" x14ac:dyDescent="0.3">
      <c r="A1332" t="s">
        <v>30</v>
      </c>
      <c r="B1332" s="8" t="s">
        <v>66</v>
      </c>
      <c r="C1332" s="8" t="s">
        <v>32</v>
      </c>
      <c r="D1332" s="8" t="s">
        <v>69</v>
      </c>
      <c r="E1332" s="8" t="s">
        <v>70</v>
      </c>
      <c r="F1332" s="8" t="s">
        <v>71</v>
      </c>
      <c r="G1332">
        <v>8414802100</v>
      </c>
      <c r="H1332" t="s">
        <v>1199</v>
      </c>
      <c r="I1332" t="s">
        <v>1201</v>
      </c>
      <c r="J1332" t="s">
        <v>38</v>
      </c>
      <c r="K1332" t="s">
        <v>39</v>
      </c>
      <c r="L1332">
        <v>4</v>
      </c>
      <c r="M1332">
        <v>1</v>
      </c>
      <c r="N1332" t="s">
        <v>64</v>
      </c>
      <c r="O1332">
        <v>0</v>
      </c>
      <c r="P1332">
        <v>4508</v>
      </c>
      <c r="Q1332">
        <v>312.25</v>
      </c>
      <c r="R1332">
        <v>29.57</v>
      </c>
      <c r="S1332">
        <v>4849.8100000000004</v>
      </c>
      <c r="T1332" t="s">
        <v>1201</v>
      </c>
      <c r="U1332" t="s">
        <v>1201</v>
      </c>
      <c r="V1332" t="s">
        <v>38</v>
      </c>
      <c r="W1332" t="s">
        <v>1202</v>
      </c>
      <c r="X1332">
        <v>4508</v>
      </c>
      <c r="Y1332" s="9">
        <f t="shared" si="102"/>
        <v>4508</v>
      </c>
      <c r="Z1332" s="9">
        <f t="shared" si="103"/>
        <v>8452.5</v>
      </c>
      <c r="AA1332" s="5">
        <f t="shared" si="104"/>
        <v>9390.7274999999991</v>
      </c>
      <c r="AB1332" s="6">
        <f t="shared" si="105"/>
        <v>13692.204749999999</v>
      </c>
      <c r="AD1332" s="10">
        <f t="shared" si="106"/>
        <v>17143.614075000001</v>
      </c>
    </row>
    <row r="1333" spans="1:30" x14ac:dyDescent="0.3">
      <c r="A1333" t="s">
        <v>30</v>
      </c>
      <c r="B1333" s="8" t="s">
        <v>66</v>
      </c>
      <c r="C1333" s="8" t="s">
        <v>32</v>
      </c>
      <c r="D1333" s="8" t="s">
        <v>69</v>
      </c>
      <c r="E1333" s="8" t="s">
        <v>70</v>
      </c>
      <c r="F1333" s="8" t="s">
        <v>71</v>
      </c>
      <c r="G1333">
        <v>8414802100</v>
      </c>
      <c r="H1333" t="s">
        <v>1199</v>
      </c>
      <c r="I1333" t="s">
        <v>1201</v>
      </c>
      <c r="J1333" t="s">
        <v>38</v>
      </c>
      <c r="K1333" t="s">
        <v>39</v>
      </c>
      <c r="L1333">
        <v>9</v>
      </c>
      <c r="M1333">
        <v>1</v>
      </c>
      <c r="N1333" t="s">
        <v>64</v>
      </c>
      <c r="O1333">
        <v>0</v>
      </c>
      <c r="P1333">
        <v>3248</v>
      </c>
      <c r="Q1333">
        <v>288.06</v>
      </c>
      <c r="R1333">
        <v>21.54</v>
      </c>
      <c r="S1333">
        <v>3557.6</v>
      </c>
      <c r="T1333" t="s">
        <v>1201</v>
      </c>
      <c r="U1333" t="s">
        <v>1201</v>
      </c>
      <c r="V1333" t="s">
        <v>38</v>
      </c>
      <c r="W1333" t="s">
        <v>1203</v>
      </c>
      <c r="X1333">
        <v>3248</v>
      </c>
      <c r="Y1333" s="9">
        <f t="shared" si="102"/>
        <v>3248</v>
      </c>
      <c r="Z1333" s="9">
        <f t="shared" si="103"/>
        <v>6090</v>
      </c>
      <c r="AA1333" s="5">
        <f t="shared" si="104"/>
        <v>6765.99</v>
      </c>
      <c r="AB1333" s="6">
        <f t="shared" si="105"/>
        <v>9865.1909999999989</v>
      </c>
      <c r="AD1333" s="10">
        <f t="shared" si="106"/>
        <v>12351.920700000001</v>
      </c>
    </row>
    <row r="1334" spans="1:30" x14ac:dyDescent="0.3">
      <c r="A1334" t="s">
        <v>30</v>
      </c>
      <c r="B1334" s="8" t="s">
        <v>66</v>
      </c>
      <c r="C1334" s="8" t="s">
        <v>32</v>
      </c>
      <c r="D1334" s="8" t="s">
        <v>69</v>
      </c>
      <c r="E1334" s="8" t="s">
        <v>70</v>
      </c>
      <c r="F1334" s="8" t="s">
        <v>71</v>
      </c>
      <c r="G1334">
        <v>8414802100</v>
      </c>
      <c r="H1334" t="s">
        <v>1199</v>
      </c>
      <c r="I1334" t="s">
        <v>1201</v>
      </c>
      <c r="J1334" t="s">
        <v>38</v>
      </c>
      <c r="K1334" t="s">
        <v>39</v>
      </c>
      <c r="L1334">
        <v>7</v>
      </c>
      <c r="M1334">
        <v>1</v>
      </c>
      <c r="N1334" t="s">
        <v>64</v>
      </c>
      <c r="O1334">
        <v>0</v>
      </c>
      <c r="P1334">
        <v>1529</v>
      </c>
      <c r="Q1334">
        <v>126.12</v>
      </c>
      <c r="R1334">
        <v>10.23</v>
      </c>
      <c r="S1334">
        <v>1665.34</v>
      </c>
      <c r="T1334" t="s">
        <v>1201</v>
      </c>
      <c r="U1334" t="s">
        <v>1201</v>
      </c>
      <c r="V1334" t="s">
        <v>38</v>
      </c>
      <c r="W1334" t="s">
        <v>1204</v>
      </c>
      <c r="X1334">
        <v>1529</v>
      </c>
      <c r="Y1334" s="9">
        <f t="shared" si="102"/>
        <v>1529</v>
      </c>
      <c r="Z1334" s="9">
        <f t="shared" si="103"/>
        <v>2866.875</v>
      </c>
      <c r="AA1334" s="5">
        <f t="shared" si="104"/>
        <v>3185.098125</v>
      </c>
      <c r="AB1334" s="6">
        <f t="shared" si="105"/>
        <v>4644.0508124999997</v>
      </c>
      <c r="AD1334" s="10">
        <f t="shared" si="106"/>
        <v>5814.6818812500005</v>
      </c>
    </row>
    <row r="1335" spans="1:30" x14ac:dyDescent="0.3">
      <c r="A1335" t="s">
        <v>30</v>
      </c>
      <c r="B1335" s="8" t="s">
        <v>66</v>
      </c>
      <c r="C1335" s="8" t="s">
        <v>32</v>
      </c>
      <c r="D1335" s="8" t="s">
        <v>69</v>
      </c>
      <c r="E1335" s="8" t="s">
        <v>70</v>
      </c>
      <c r="F1335" s="8" t="s">
        <v>71</v>
      </c>
      <c r="G1335">
        <v>8414802100</v>
      </c>
      <c r="H1335" t="s">
        <v>1199</v>
      </c>
      <c r="I1335" t="s">
        <v>1201</v>
      </c>
      <c r="J1335" t="s">
        <v>38</v>
      </c>
      <c r="K1335" t="s">
        <v>39</v>
      </c>
      <c r="L1335">
        <v>7</v>
      </c>
      <c r="M1335">
        <v>1</v>
      </c>
      <c r="N1335" t="s">
        <v>64</v>
      </c>
      <c r="O1335">
        <v>0</v>
      </c>
      <c r="P1335">
        <v>1529</v>
      </c>
      <c r="Q1335">
        <v>126.12</v>
      </c>
      <c r="R1335">
        <v>10.23</v>
      </c>
      <c r="S1335">
        <v>1665.34</v>
      </c>
      <c r="T1335" t="s">
        <v>1201</v>
      </c>
      <c r="U1335" t="s">
        <v>1201</v>
      </c>
      <c r="V1335" t="s">
        <v>38</v>
      </c>
      <c r="W1335" t="s">
        <v>1204</v>
      </c>
      <c r="X1335">
        <v>1529</v>
      </c>
      <c r="Y1335" s="9">
        <f t="shared" si="102"/>
        <v>1529</v>
      </c>
      <c r="Z1335" s="9">
        <f t="shared" si="103"/>
        <v>2866.875</v>
      </c>
      <c r="AA1335" s="5">
        <f t="shared" si="104"/>
        <v>3185.098125</v>
      </c>
      <c r="AB1335" s="6">
        <f t="shared" si="105"/>
        <v>4644.0508124999997</v>
      </c>
      <c r="AD1335" s="10">
        <f t="shared" si="106"/>
        <v>5814.6818812500005</v>
      </c>
    </row>
    <row r="1336" spans="1:30" x14ac:dyDescent="0.3">
      <c r="A1336" t="s">
        <v>30</v>
      </c>
      <c r="B1336" s="8" t="s">
        <v>66</v>
      </c>
      <c r="C1336" s="8" t="s">
        <v>32</v>
      </c>
      <c r="D1336" s="8" t="s">
        <v>69</v>
      </c>
      <c r="E1336" s="8" t="s">
        <v>70</v>
      </c>
      <c r="F1336" s="8" t="s">
        <v>71</v>
      </c>
      <c r="G1336">
        <v>8414802100</v>
      </c>
      <c r="H1336" t="s">
        <v>1199</v>
      </c>
      <c r="I1336" t="s">
        <v>1201</v>
      </c>
      <c r="J1336" t="s">
        <v>38</v>
      </c>
      <c r="K1336" t="s">
        <v>39</v>
      </c>
      <c r="L1336">
        <v>7</v>
      </c>
      <c r="M1336">
        <v>1</v>
      </c>
      <c r="N1336" t="s">
        <v>64</v>
      </c>
      <c r="O1336">
        <v>0</v>
      </c>
      <c r="P1336">
        <v>3752</v>
      </c>
      <c r="Q1336">
        <v>309.48</v>
      </c>
      <c r="R1336">
        <v>25.1</v>
      </c>
      <c r="S1336">
        <v>4086.58</v>
      </c>
      <c r="T1336" t="s">
        <v>1201</v>
      </c>
      <c r="U1336" t="s">
        <v>1201</v>
      </c>
      <c r="V1336" t="s">
        <v>38</v>
      </c>
      <c r="W1336" t="s">
        <v>1204</v>
      </c>
      <c r="X1336">
        <v>3752</v>
      </c>
      <c r="Y1336" s="9">
        <f t="shared" si="102"/>
        <v>3752</v>
      </c>
      <c r="Z1336" s="9">
        <f t="shared" si="103"/>
        <v>7035</v>
      </c>
      <c r="AA1336" s="5">
        <f t="shared" si="104"/>
        <v>7815.8850000000002</v>
      </c>
      <c r="AB1336" s="6">
        <f t="shared" si="105"/>
        <v>11395.996499999999</v>
      </c>
      <c r="AD1336" s="10">
        <f t="shared" si="106"/>
        <v>14268.598050000001</v>
      </c>
    </row>
    <row r="1337" spans="1:30" x14ac:dyDescent="0.3">
      <c r="A1337" t="s">
        <v>30</v>
      </c>
      <c r="B1337" s="8" t="s">
        <v>66</v>
      </c>
      <c r="C1337" s="8" t="s">
        <v>32</v>
      </c>
      <c r="D1337" s="8" t="s">
        <v>69</v>
      </c>
      <c r="E1337" s="8" t="s">
        <v>70</v>
      </c>
      <c r="F1337" s="8" t="s">
        <v>71</v>
      </c>
      <c r="G1337">
        <v>8414802100</v>
      </c>
      <c r="H1337" t="s">
        <v>1199</v>
      </c>
      <c r="I1337" t="s">
        <v>1201</v>
      </c>
      <c r="J1337" t="s">
        <v>38</v>
      </c>
      <c r="K1337" t="s">
        <v>39</v>
      </c>
      <c r="L1337">
        <v>9</v>
      </c>
      <c r="M1337">
        <v>1</v>
      </c>
      <c r="N1337" t="s">
        <v>64</v>
      </c>
      <c r="O1337">
        <v>0</v>
      </c>
      <c r="P1337">
        <v>3650.4</v>
      </c>
      <c r="Q1337">
        <v>323.75</v>
      </c>
      <c r="R1337">
        <v>24.21</v>
      </c>
      <c r="S1337">
        <v>3998.36</v>
      </c>
      <c r="T1337" t="s">
        <v>1201</v>
      </c>
      <c r="U1337" t="s">
        <v>1201</v>
      </c>
      <c r="V1337" t="s">
        <v>38</v>
      </c>
      <c r="W1337" t="s">
        <v>1205</v>
      </c>
      <c r="X1337">
        <v>3650.4</v>
      </c>
      <c r="Y1337" s="9">
        <f t="shared" si="102"/>
        <v>3650.4</v>
      </c>
      <c r="Z1337" s="9">
        <f t="shared" si="103"/>
        <v>6844.5</v>
      </c>
      <c r="AA1337" s="5">
        <f t="shared" si="104"/>
        <v>7604.2394999999997</v>
      </c>
      <c r="AB1337" s="6">
        <f t="shared" si="105"/>
        <v>11087.405549999999</v>
      </c>
      <c r="AD1337" s="10">
        <f t="shared" si="106"/>
        <v>13882.220235000001</v>
      </c>
    </row>
    <row r="1338" spans="1:30" x14ac:dyDescent="0.3">
      <c r="A1338" t="s">
        <v>30</v>
      </c>
      <c r="B1338" s="8" t="s">
        <v>66</v>
      </c>
      <c r="C1338" s="8" t="s">
        <v>32</v>
      </c>
      <c r="D1338" s="8" t="s">
        <v>69</v>
      </c>
      <c r="E1338" s="8" t="s">
        <v>70</v>
      </c>
      <c r="F1338" s="8" t="s">
        <v>71</v>
      </c>
      <c r="G1338">
        <v>8414802100</v>
      </c>
      <c r="H1338" t="s">
        <v>1199</v>
      </c>
      <c r="I1338" t="s">
        <v>1201</v>
      </c>
      <c r="J1338" t="s">
        <v>38</v>
      </c>
      <c r="K1338" t="s">
        <v>39</v>
      </c>
      <c r="L1338">
        <v>7</v>
      </c>
      <c r="M1338">
        <v>1</v>
      </c>
      <c r="N1338" t="s">
        <v>64</v>
      </c>
      <c r="O1338">
        <v>0</v>
      </c>
      <c r="P1338">
        <v>3666.05</v>
      </c>
      <c r="Q1338">
        <v>480.99</v>
      </c>
      <c r="R1338">
        <v>25.16</v>
      </c>
      <c r="S1338">
        <v>4172.2</v>
      </c>
      <c r="T1338" t="s">
        <v>1201</v>
      </c>
      <c r="U1338" t="s">
        <v>1201</v>
      </c>
      <c r="V1338" t="s">
        <v>38</v>
      </c>
      <c r="W1338" t="s">
        <v>1206</v>
      </c>
      <c r="X1338">
        <v>3666.05</v>
      </c>
      <c r="Y1338" s="9">
        <f t="shared" si="102"/>
        <v>3666.05</v>
      </c>
      <c r="Z1338" s="9">
        <f t="shared" si="103"/>
        <v>6873.84375</v>
      </c>
      <c r="AA1338" s="5">
        <f t="shared" si="104"/>
        <v>7636.8404062500003</v>
      </c>
      <c r="AB1338" s="6">
        <f t="shared" si="105"/>
        <v>11134.939490625</v>
      </c>
      <c r="AD1338" s="10">
        <f t="shared" si="106"/>
        <v>13941.736109062502</v>
      </c>
    </row>
    <row r="1339" spans="1:30" x14ac:dyDescent="0.3">
      <c r="A1339" t="s">
        <v>30</v>
      </c>
      <c r="B1339" s="8" t="s">
        <v>66</v>
      </c>
      <c r="C1339" s="8" t="s">
        <v>32</v>
      </c>
      <c r="D1339" s="8" t="s">
        <v>69</v>
      </c>
      <c r="E1339" s="8" t="s">
        <v>70</v>
      </c>
      <c r="F1339" s="8" t="s">
        <v>71</v>
      </c>
      <c r="G1339">
        <v>8414802100</v>
      </c>
      <c r="H1339" t="s">
        <v>1199</v>
      </c>
      <c r="I1339" t="s">
        <v>1201</v>
      </c>
      <c r="J1339" t="s">
        <v>38</v>
      </c>
      <c r="K1339" t="s">
        <v>39</v>
      </c>
      <c r="L1339">
        <v>6</v>
      </c>
      <c r="M1339">
        <v>1</v>
      </c>
      <c r="N1339" t="s">
        <v>64</v>
      </c>
      <c r="O1339">
        <v>0</v>
      </c>
      <c r="P1339">
        <v>4386.5</v>
      </c>
      <c r="Q1339">
        <v>319.47000000000003</v>
      </c>
      <c r="R1339">
        <v>28.98</v>
      </c>
      <c r="S1339">
        <v>4734.9399999999996</v>
      </c>
      <c r="T1339" t="s">
        <v>1201</v>
      </c>
      <c r="U1339" t="s">
        <v>1201</v>
      </c>
      <c r="V1339" t="s">
        <v>38</v>
      </c>
      <c r="W1339" t="s">
        <v>1207</v>
      </c>
      <c r="X1339">
        <v>4386.5</v>
      </c>
      <c r="Y1339" s="9">
        <f t="shared" si="102"/>
        <v>4386.5</v>
      </c>
      <c r="Z1339" s="9">
        <f t="shared" si="103"/>
        <v>8224.6875</v>
      </c>
      <c r="AA1339" s="5">
        <f t="shared" si="104"/>
        <v>9137.6278125000008</v>
      </c>
      <c r="AB1339" s="6">
        <f t="shared" si="105"/>
        <v>13323.171281249999</v>
      </c>
      <c r="AD1339" s="10">
        <f t="shared" si="106"/>
        <v>16681.557928125003</v>
      </c>
    </row>
    <row r="1340" spans="1:30" x14ac:dyDescent="0.3">
      <c r="A1340" t="s">
        <v>30</v>
      </c>
      <c r="B1340" s="8" t="s">
        <v>32</v>
      </c>
      <c r="C1340" s="8" t="s">
        <v>32</v>
      </c>
      <c r="D1340" s="8" t="s">
        <v>69</v>
      </c>
      <c r="E1340" s="8" t="s">
        <v>70</v>
      </c>
      <c r="F1340" s="8" t="s">
        <v>71</v>
      </c>
      <c r="G1340">
        <v>8414802200</v>
      </c>
      <c r="H1340" t="s">
        <v>1196</v>
      </c>
      <c r="I1340" t="s">
        <v>1201</v>
      </c>
      <c r="J1340" t="s">
        <v>38</v>
      </c>
      <c r="K1340" t="s">
        <v>39</v>
      </c>
      <c r="L1340">
        <v>4</v>
      </c>
      <c r="M1340">
        <v>1</v>
      </c>
      <c r="N1340" t="s">
        <v>64</v>
      </c>
      <c r="O1340">
        <v>0</v>
      </c>
      <c r="P1340">
        <v>23066.95</v>
      </c>
      <c r="Q1340">
        <v>1597.73</v>
      </c>
      <c r="R1340">
        <v>151.28</v>
      </c>
      <c r="S1340">
        <v>24815.96</v>
      </c>
      <c r="T1340" t="s">
        <v>1201</v>
      </c>
      <c r="U1340" t="s">
        <v>1201</v>
      </c>
      <c r="V1340" t="s">
        <v>38</v>
      </c>
      <c r="W1340" t="s">
        <v>1208</v>
      </c>
      <c r="X1340">
        <v>23066.95</v>
      </c>
      <c r="Y1340" s="9">
        <f t="shared" si="102"/>
        <v>23066.95</v>
      </c>
      <c r="Z1340" s="9">
        <f t="shared" si="103"/>
        <v>43250.53125</v>
      </c>
      <c r="AA1340" s="5">
        <f t="shared" si="104"/>
        <v>48051.340218749996</v>
      </c>
      <c r="AB1340" s="6">
        <f t="shared" si="105"/>
        <v>70061.535571874992</v>
      </c>
      <c r="AD1340" s="10">
        <f t="shared" si="106"/>
        <v>87722.024997187502</v>
      </c>
    </row>
    <row r="1341" spans="1:30" x14ac:dyDescent="0.3">
      <c r="A1341" t="s">
        <v>30</v>
      </c>
      <c r="B1341" s="8" t="s">
        <v>32</v>
      </c>
      <c r="C1341" s="8" t="s">
        <v>32</v>
      </c>
      <c r="D1341" s="8" t="s">
        <v>69</v>
      </c>
      <c r="E1341" s="8" t="s">
        <v>70</v>
      </c>
      <c r="F1341" s="8" t="s">
        <v>71</v>
      </c>
      <c r="G1341">
        <v>8414802200</v>
      </c>
      <c r="H1341" t="s">
        <v>1196</v>
      </c>
      <c r="I1341" t="s">
        <v>1201</v>
      </c>
      <c r="J1341" t="s">
        <v>38</v>
      </c>
      <c r="K1341" t="s">
        <v>39</v>
      </c>
      <c r="L1341">
        <v>7</v>
      </c>
      <c r="M1341">
        <v>1</v>
      </c>
      <c r="N1341" t="s">
        <v>64</v>
      </c>
      <c r="O1341">
        <v>0</v>
      </c>
      <c r="P1341">
        <v>24936.55</v>
      </c>
      <c r="Q1341">
        <v>2056.86</v>
      </c>
      <c r="R1341">
        <v>166.8</v>
      </c>
      <c r="S1341">
        <v>27160.21</v>
      </c>
      <c r="T1341" t="s">
        <v>1201</v>
      </c>
      <c r="U1341" t="s">
        <v>1201</v>
      </c>
      <c r="V1341" t="s">
        <v>38</v>
      </c>
      <c r="W1341" t="s">
        <v>1208</v>
      </c>
      <c r="X1341">
        <v>24936.55</v>
      </c>
      <c r="Y1341" s="9">
        <f t="shared" si="102"/>
        <v>24936.55</v>
      </c>
      <c r="Z1341" s="9">
        <f t="shared" si="103"/>
        <v>46756.03125</v>
      </c>
      <c r="AA1341" s="5">
        <f t="shared" si="104"/>
        <v>51945.950718749998</v>
      </c>
      <c r="AB1341" s="6">
        <f t="shared" si="105"/>
        <v>75740.095021874993</v>
      </c>
      <c r="AD1341" s="10">
        <f t="shared" si="106"/>
        <v>94831.985262187503</v>
      </c>
    </row>
    <row r="1342" spans="1:30" x14ac:dyDescent="0.3">
      <c r="A1342" t="s">
        <v>30</v>
      </c>
      <c r="B1342" s="8" t="s">
        <v>66</v>
      </c>
      <c r="C1342" s="8" t="s">
        <v>32</v>
      </c>
      <c r="D1342" s="8" t="s">
        <v>69</v>
      </c>
      <c r="E1342" s="8" t="s">
        <v>70</v>
      </c>
      <c r="F1342" s="8" t="s">
        <v>71</v>
      </c>
      <c r="G1342">
        <v>8414802100</v>
      </c>
      <c r="H1342" t="s">
        <v>1199</v>
      </c>
      <c r="I1342" t="s">
        <v>1201</v>
      </c>
      <c r="J1342" t="s">
        <v>38</v>
      </c>
      <c r="K1342" t="s">
        <v>39</v>
      </c>
      <c r="L1342">
        <v>7</v>
      </c>
      <c r="M1342">
        <v>1</v>
      </c>
      <c r="N1342" t="s">
        <v>64</v>
      </c>
      <c r="O1342">
        <v>0</v>
      </c>
      <c r="P1342">
        <v>5384.6</v>
      </c>
      <c r="Q1342">
        <v>706.46</v>
      </c>
      <c r="R1342">
        <v>36.96</v>
      </c>
      <c r="S1342">
        <v>6128.02</v>
      </c>
      <c r="T1342" t="s">
        <v>1201</v>
      </c>
      <c r="U1342" t="s">
        <v>1201</v>
      </c>
      <c r="V1342" t="s">
        <v>38</v>
      </c>
      <c r="W1342" t="s">
        <v>1209</v>
      </c>
      <c r="X1342">
        <v>5384.6</v>
      </c>
      <c r="Y1342" s="9">
        <f t="shared" si="102"/>
        <v>5384.6</v>
      </c>
      <c r="Z1342" s="9">
        <f t="shared" si="103"/>
        <v>10096.125</v>
      </c>
      <c r="AA1342" s="5">
        <f t="shared" si="104"/>
        <v>11216.794875</v>
      </c>
      <c r="AB1342" s="6">
        <f t="shared" si="105"/>
        <v>16354.7128875</v>
      </c>
      <c r="AD1342" s="10">
        <f t="shared" si="106"/>
        <v>20477.263608750003</v>
      </c>
    </row>
    <row r="1343" spans="1:30" x14ac:dyDescent="0.3">
      <c r="A1343" t="s">
        <v>30</v>
      </c>
      <c r="B1343" s="8" t="s">
        <v>66</v>
      </c>
      <c r="C1343" s="8" t="s">
        <v>32</v>
      </c>
      <c r="D1343" s="8" t="s">
        <v>69</v>
      </c>
      <c r="E1343" s="8" t="s">
        <v>70</v>
      </c>
      <c r="F1343" s="8" t="s">
        <v>71</v>
      </c>
      <c r="G1343">
        <v>8414802100</v>
      </c>
      <c r="H1343" t="s">
        <v>1199</v>
      </c>
      <c r="I1343" t="s">
        <v>1201</v>
      </c>
      <c r="J1343" t="s">
        <v>38</v>
      </c>
      <c r="K1343" t="s">
        <v>39</v>
      </c>
      <c r="L1343">
        <v>6</v>
      </c>
      <c r="M1343">
        <v>1</v>
      </c>
      <c r="N1343" t="s">
        <v>64</v>
      </c>
      <c r="O1343">
        <v>0</v>
      </c>
      <c r="P1343">
        <v>5188</v>
      </c>
      <c r="Q1343">
        <v>377.84</v>
      </c>
      <c r="R1343">
        <v>34.270000000000003</v>
      </c>
      <c r="S1343">
        <v>5600.11</v>
      </c>
      <c r="T1343" t="s">
        <v>1201</v>
      </c>
      <c r="U1343" t="s">
        <v>1201</v>
      </c>
      <c r="V1343" t="s">
        <v>38</v>
      </c>
      <c r="W1343" t="s">
        <v>1210</v>
      </c>
      <c r="X1343">
        <v>5188</v>
      </c>
      <c r="Y1343" s="9">
        <f t="shared" si="102"/>
        <v>5188</v>
      </c>
      <c r="Z1343" s="9">
        <f t="shared" si="103"/>
        <v>9727.5</v>
      </c>
      <c r="AA1343" s="5">
        <f t="shared" si="104"/>
        <v>10807.252500000001</v>
      </c>
      <c r="AB1343" s="6">
        <f t="shared" si="105"/>
        <v>15757.577249999998</v>
      </c>
      <c r="AD1343" s="10">
        <f t="shared" si="106"/>
        <v>19729.607325000001</v>
      </c>
    </row>
    <row r="1344" spans="1:30" x14ac:dyDescent="0.3">
      <c r="A1344" t="s">
        <v>30</v>
      </c>
      <c r="B1344" s="8" t="s">
        <v>66</v>
      </c>
      <c r="C1344" s="8" t="s">
        <v>32</v>
      </c>
      <c r="D1344" s="8" t="s">
        <v>69</v>
      </c>
      <c r="E1344" s="8" t="s">
        <v>70</v>
      </c>
      <c r="F1344" s="8" t="s">
        <v>71</v>
      </c>
      <c r="G1344">
        <v>8414802100</v>
      </c>
      <c r="H1344" t="s">
        <v>1199</v>
      </c>
      <c r="I1344" t="s">
        <v>1201</v>
      </c>
      <c r="J1344" t="s">
        <v>38</v>
      </c>
      <c r="K1344" t="s">
        <v>39</v>
      </c>
      <c r="L1344">
        <v>7</v>
      </c>
      <c r="M1344">
        <v>1</v>
      </c>
      <c r="N1344" t="s">
        <v>64</v>
      </c>
      <c r="O1344">
        <v>0</v>
      </c>
      <c r="P1344">
        <v>7299</v>
      </c>
      <c r="Q1344">
        <v>602.04999999999995</v>
      </c>
      <c r="R1344">
        <v>48.82</v>
      </c>
      <c r="S1344">
        <v>7949.87</v>
      </c>
      <c r="T1344" t="s">
        <v>1201</v>
      </c>
      <c r="U1344" t="s">
        <v>1201</v>
      </c>
      <c r="V1344" t="s">
        <v>38</v>
      </c>
      <c r="W1344" t="s">
        <v>1211</v>
      </c>
      <c r="X1344">
        <v>7299</v>
      </c>
      <c r="Y1344" s="9">
        <f t="shared" si="102"/>
        <v>7299</v>
      </c>
      <c r="Z1344" s="9">
        <f t="shared" si="103"/>
        <v>13685.625</v>
      </c>
      <c r="AA1344" s="5">
        <f t="shared" si="104"/>
        <v>15204.729374999999</v>
      </c>
      <c r="AB1344" s="6">
        <f t="shared" si="105"/>
        <v>22169.343937499998</v>
      </c>
      <c r="AD1344" s="10">
        <f t="shared" si="106"/>
        <v>27757.595193750003</v>
      </c>
    </row>
    <row r="1345" spans="1:30" x14ac:dyDescent="0.3">
      <c r="A1345" t="s">
        <v>30</v>
      </c>
      <c r="B1345" s="8" t="s">
        <v>32</v>
      </c>
      <c r="C1345" s="8" t="s">
        <v>32</v>
      </c>
      <c r="D1345" s="8" t="s">
        <v>69</v>
      </c>
      <c r="E1345" s="8" t="s">
        <v>70</v>
      </c>
      <c r="F1345" s="8" t="s">
        <v>71</v>
      </c>
      <c r="G1345">
        <v>8414802200</v>
      </c>
      <c r="H1345" t="s">
        <v>1196</v>
      </c>
      <c r="I1345" t="s">
        <v>1201</v>
      </c>
      <c r="J1345" t="s">
        <v>38</v>
      </c>
      <c r="K1345" t="s">
        <v>39</v>
      </c>
      <c r="L1345">
        <v>2</v>
      </c>
      <c r="M1345">
        <v>1</v>
      </c>
      <c r="N1345" t="s">
        <v>64</v>
      </c>
      <c r="O1345">
        <v>0</v>
      </c>
      <c r="P1345">
        <v>23551</v>
      </c>
      <c r="Q1345">
        <v>1225.48</v>
      </c>
      <c r="R1345">
        <v>157.37</v>
      </c>
      <c r="S1345">
        <v>24933.85</v>
      </c>
      <c r="T1345" t="s">
        <v>1201</v>
      </c>
      <c r="U1345" t="s">
        <v>1201</v>
      </c>
      <c r="V1345" t="s">
        <v>38</v>
      </c>
      <c r="W1345" t="s">
        <v>1212</v>
      </c>
      <c r="X1345">
        <v>23551</v>
      </c>
      <c r="Y1345" s="9">
        <f t="shared" si="102"/>
        <v>23551</v>
      </c>
      <c r="Z1345" s="9">
        <f t="shared" si="103"/>
        <v>44158.125</v>
      </c>
      <c r="AA1345" s="5">
        <f t="shared" si="104"/>
        <v>49059.676874999997</v>
      </c>
      <c r="AB1345" s="6">
        <f t="shared" si="105"/>
        <v>71531.746687499995</v>
      </c>
      <c r="AD1345" s="10">
        <f t="shared" si="106"/>
        <v>89562.833868750007</v>
      </c>
    </row>
    <row r="1346" spans="1:30" x14ac:dyDescent="0.3">
      <c r="A1346" t="s">
        <v>30</v>
      </c>
      <c r="B1346" s="8" t="s">
        <v>32</v>
      </c>
      <c r="C1346" s="8" t="s">
        <v>32</v>
      </c>
      <c r="D1346" s="8" t="s">
        <v>69</v>
      </c>
      <c r="E1346" s="8" t="s">
        <v>70</v>
      </c>
      <c r="F1346" s="8" t="s">
        <v>71</v>
      </c>
      <c r="G1346">
        <v>8414802200</v>
      </c>
      <c r="H1346" t="s">
        <v>1196</v>
      </c>
      <c r="I1346" t="s">
        <v>1201</v>
      </c>
      <c r="J1346" t="s">
        <v>38</v>
      </c>
      <c r="K1346" t="s">
        <v>39</v>
      </c>
      <c r="L1346">
        <v>4</v>
      </c>
      <c r="M1346">
        <v>1</v>
      </c>
      <c r="N1346" t="s">
        <v>64</v>
      </c>
      <c r="O1346">
        <v>0</v>
      </c>
      <c r="P1346">
        <v>23011.040000000001</v>
      </c>
      <c r="Q1346">
        <v>1593.85</v>
      </c>
      <c r="R1346">
        <v>150.91</v>
      </c>
      <c r="S1346">
        <v>24755.81</v>
      </c>
      <c r="T1346" t="s">
        <v>1201</v>
      </c>
      <c r="U1346" t="s">
        <v>1201</v>
      </c>
      <c r="V1346" t="s">
        <v>38</v>
      </c>
      <c r="W1346" t="s">
        <v>1213</v>
      </c>
      <c r="X1346">
        <v>23011.040000000001</v>
      </c>
      <c r="Y1346" s="9">
        <f t="shared" si="102"/>
        <v>23011.040000000001</v>
      </c>
      <c r="Z1346" s="9">
        <f t="shared" si="103"/>
        <v>43145.700000000004</v>
      </c>
      <c r="AA1346" s="5">
        <f t="shared" si="104"/>
        <v>47934.872700000007</v>
      </c>
      <c r="AB1346" s="6">
        <f t="shared" si="105"/>
        <v>69891.719429999997</v>
      </c>
      <c r="AD1346" s="10">
        <f t="shared" si="106"/>
        <v>87509.403111000021</v>
      </c>
    </row>
    <row r="1347" spans="1:30" x14ac:dyDescent="0.3">
      <c r="A1347" t="s">
        <v>30</v>
      </c>
      <c r="B1347" s="8" t="s">
        <v>32</v>
      </c>
      <c r="C1347" s="8" t="s">
        <v>32</v>
      </c>
      <c r="D1347" s="8" t="s">
        <v>69</v>
      </c>
      <c r="E1347" s="8" t="s">
        <v>70</v>
      </c>
      <c r="F1347" s="8" t="s">
        <v>71</v>
      </c>
      <c r="G1347">
        <v>8414802200</v>
      </c>
      <c r="H1347" t="s">
        <v>1196</v>
      </c>
      <c r="I1347" t="s">
        <v>1201</v>
      </c>
      <c r="J1347" t="s">
        <v>38</v>
      </c>
      <c r="K1347" t="s">
        <v>39</v>
      </c>
      <c r="L1347">
        <v>5</v>
      </c>
      <c r="M1347">
        <v>1</v>
      </c>
      <c r="N1347" t="s">
        <v>64</v>
      </c>
      <c r="O1347">
        <v>0</v>
      </c>
      <c r="P1347">
        <v>25961.88</v>
      </c>
      <c r="Q1347">
        <v>1756.87</v>
      </c>
      <c r="R1347">
        <v>166.92</v>
      </c>
      <c r="S1347">
        <v>27885.67</v>
      </c>
      <c r="T1347" t="s">
        <v>1201</v>
      </c>
      <c r="U1347" t="s">
        <v>1201</v>
      </c>
      <c r="V1347" t="s">
        <v>38</v>
      </c>
      <c r="W1347" t="s">
        <v>1214</v>
      </c>
      <c r="X1347">
        <v>25961.88</v>
      </c>
      <c r="Y1347" s="9">
        <f t="shared" ref="Y1347:Y1377" si="107">SUM(P1347)/M1347</f>
        <v>25961.88</v>
      </c>
      <c r="Z1347" s="9">
        <f t="shared" ref="Z1347:Z1377" si="108">SUM(Y1347)*1.875</f>
        <v>48678.525000000001</v>
      </c>
      <c r="AA1347" s="5">
        <f t="shared" ref="AA1347:AA1377" si="109">SUM(Z1347)*1.111</f>
        <v>54081.841274999999</v>
      </c>
      <c r="AB1347" s="6">
        <f t="shared" ref="AB1347:AB1377" si="110">SUM(Z1347)*1.6199</f>
        <v>78854.342647500001</v>
      </c>
      <c r="AD1347" s="10">
        <f t="shared" si="106"/>
        <v>98731.244760750007</v>
      </c>
    </row>
    <row r="1348" spans="1:30" x14ac:dyDescent="0.3">
      <c r="A1348" t="s">
        <v>30</v>
      </c>
      <c r="B1348" s="8" t="s">
        <v>66</v>
      </c>
      <c r="C1348" s="8" t="s">
        <v>32</v>
      </c>
      <c r="D1348" s="8" t="s">
        <v>69</v>
      </c>
      <c r="E1348" s="8" t="s">
        <v>70</v>
      </c>
      <c r="F1348" s="8" t="s">
        <v>71</v>
      </c>
      <c r="G1348">
        <v>8414802100</v>
      </c>
      <c r="H1348" t="s">
        <v>1199</v>
      </c>
      <c r="I1348" t="s">
        <v>1201</v>
      </c>
      <c r="J1348" t="s">
        <v>38</v>
      </c>
      <c r="K1348" t="s">
        <v>39</v>
      </c>
      <c r="L1348">
        <v>9</v>
      </c>
      <c r="M1348">
        <v>1</v>
      </c>
      <c r="N1348" t="s">
        <v>64</v>
      </c>
      <c r="O1348">
        <v>0</v>
      </c>
      <c r="P1348">
        <v>7126.32</v>
      </c>
      <c r="Q1348">
        <v>632.03</v>
      </c>
      <c r="R1348">
        <v>47.27</v>
      </c>
      <c r="S1348">
        <v>7805.61</v>
      </c>
      <c r="T1348" t="s">
        <v>1201</v>
      </c>
      <c r="U1348" t="s">
        <v>1201</v>
      </c>
      <c r="V1348" t="s">
        <v>38</v>
      </c>
      <c r="W1348" t="s">
        <v>1215</v>
      </c>
      <c r="X1348">
        <v>7126.32</v>
      </c>
      <c r="Y1348" s="9">
        <f t="shared" si="107"/>
        <v>7126.32</v>
      </c>
      <c r="Z1348" s="9">
        <f t="shared" si="108"/>
        <v>13361.849999999999</v>
      </c>
      <c r="AA1348" s="5">
        <f t="shared" si="109"/>
        <v>14845.015349999998</v>
      </c>
      <c r="AB1348" s="6">
        <f t="shared" si="110"/>
        <v>21644.860814999996</v>
      </c>
      <c r="AD1348" s="10">
        <f t="shared" si="106"/>
        <v>27100.9050255</v>
      </c>
    </row>
    <row r="1349" spans="1:30" x14ac:dyDescent="0.3">
      <c r="A1349" t="s">
        <v>30</v>
      </c>
      <c r="B1349" s="8" t="s">
        <v>66</v>
      </c>
      <c r="C1349" s="8" t="s">
        <v>32</v>
      </c>
      <c r="D1349" s="8" t="s">
        <v>69</v>
      </c>
      <c r="E1349" s="8" t="s">
        <v>70</v>
      </c>
      <c r="F1349" s="8" t="s">
        <v>71</v>
      </c>
      <c r="G1349">
        <v>8414802100</v>
      </c>
      <c r="H1349" t="s">
        <v>1199</v>
      </c>
      <c r="I1349" t="s">
        <v>1201</v>
      </c>
      <c r="J1349" t="s">
        <v>38</v>
      </c>
      <c r="K1349" t="s">
        <v>39</v>
      </c>
      <c r="L1349">
        <v>6</v>
      </c>
      <c r="M1349">
        <v>1</v>
      </c>
      <c r="N1349" t="s">
        <v>64</v>
      </c>
      <c r="O1349">
        <v>0</v>
      </c>
      <c r="P1349">
        <v>4397</v>
      </c>
      <c r="Q1349">
        <v>320.23</v>
      </c>
      <c r="R1349">
        <v>29.04</v>
      </c>
      <c r="S1349">
        <v>4746.28</v>
      </c>
      <c r="T1349" t="s">
        <v>1201</v>
      </c>
      <c r="U1349" t="s">
        <v>1201</v>
      </c>
      <c r="V1349" t="s">
        <v>38</v>
      </c>
      <c r="W1349" t="s">
        <v>1216</v>
      </c>
      <c r="X1349">
        <v>4397</v>
      </c>
      <c r="Y1349" s="9">
        <f t="shared" si="107"/>
        <v>4397</v>
      </c>
      <c r="Z1349" s="9">
        <f t="shared" si="108"/>
        <v>8244.375</v>
      </c>
      <c r="AA1349" s="5">
        <f t="shared" si="109"/>
        <v>9159.5006250000006</v>
      </c>
      <c r="AB1349" s="6">
        <f t="shared" si="110"/>
        <v>13355.063062499999</v>
      </c>
      <c r="AD1349" s="10">
        <f t="shared" si="106"/>
        <v>16721.488706250002</v>
      </c>
    </row>
    <row r="1350" spans="1:30" x14ac:dyDescent="0.3">
      <c r="A1350" t="s">
        <v>30</v>
      </c>
      <c r="B1350" s="8" t="s">
        <v>66</v>
      </c>
      <c r="C1350" s="8" t="s">
        <v>32</v>
      </c>
      <c r="D1350" s="8" t="s">
        <v>69</v>
      </c>
      <c r="E1350" s="8" t="s">
        <v>70</v>
      </c>
      <c r="F1350" s="8" t="s">
        <v>71</v>
      </c>
      <c r="G1350">
        <v>8414802100</v>
      </c>
      <c r="H1350" t="s">
        <v>1199</v>
      </c>
      <c r="I1350" t="s">
        <v>1201</v>
      </c>
      <c r="J1350" t="s">
        <v>38</v>
      </c>
      <c r="K1350" t="s">
        <v>39</v>
      </c>
      <c r="L1350">
        <v>7</v>
      </c>
      <c r="M1350">
        <v>1</v>
      </c>
      <c r="N1350" t="s">
        <v>64</v>
      </c>
      <c r="O1350">
        <v>0</v>
      </c>
      <c r="P1350">
        <v>6606</v>
      </c>
      <c r="Q1350">
        <v>544.89</v>
      </c>
      <c r="R1350">
        <v>44.19</v>
      </c>
      <c r="S1350">
        <v>7195.08</v>
      </c>
      <c r="T1350" t="s">
        <v>1201</v>
      </c>
      <c r="U1350" t="s">
        <v>1201</v>
      </c>
      <c r="V1350" t="s">
        <v>38</v>
      </c>
      <c r="W1350" t="s">
        <v>1217</v>
      </c>
      <c r="X1350">
        <v>6606</v>
      </c>
      <c r="Y1350" s="9">
        <f t="shared" si="107"/>
        <v>6606</v>
      </c>
      <c r="Z1350" s="9">
        <f t="shared" si="108"/>
        <v>12386.25</v>
      </c>
      <c r="AA1350" s="5">
        <f t="shared" si="109"/>
        <v>13761.123750000001</v>
      </c>
      <c r="AB1350" s="6">
        <f t="shared" si="110"/>
        <v>20064.486375</v>
      </c>
      <c r="AD1350" s="10">
        <f t="shared" si="106"/>
        <v>25122.163837500004</v>
      </c>
    </row>
    <row r="1351" spans="1:30" x14ac:dyDescent="0.3">
      <c r="A1351" t="s">
        <v>30</v>
      </c>
      <c r="B1351" s="8" t="s">
        <v>66</v>
      </c>
      <c r="C1351" s="8" t="s">
        <v>32</v>
      </c>
      <c r="D1351" s="8" t="s">
        <v>69</v>
      </c>
      <c r="E1351" s="8" t="s">
        <v>70</v>
      </c>
      <c r="F1351" s="8" t="s">
        <v>71</v>
      </c>
      <c r="G1351">
        <v>8414802100</v>
      </c>
      <c r="H1351" t="s">
        <v>1199</v>
      </c>
      <c r="I1351" t="s">
        <v>1201</v>
      </c>
      <c r="J1351" t="s">
        <v>38</v>
      </c>
      <c r="K1351" t="s">
        <v>39</v>
      </c>
      <c r="L1351">
        <v>4</v>
      </c>
      <c r="M1351">
        <v>1</v>
      </c>
      <c r="N1351" t="s">
        <v>64</v>
      </c>
      <c r="O1351">
        <v>0</v>
      </c>
      <c r="P1351">
        <v>5860.86</v>
      </c>
      <c r="Q1351">
        <v>405.95</v>
      </c>
      <c r="R1351">
        <v>38.44</v>
      </c>
      <c r="S1351">
        <v>6305.25</v>
      </c>
      <c r="T1351" t="s">
        <v>1201</v>
      </c>
      <c r="U1351" t="s">
        <v>1201</v>
      </c>
      <c r="V1351" t="s">
        <v>38</v>
      </c>
      <c r="W1351" t="s">
        <v>1218</v>
      </c>
      <c r="X1351">
        <v>5860.86</v>
      </c>
      <c r="Y1351" s="9">
        <f t="shared" si="107"/>
        <v>5860.86</v>
      </c>
      <c r="Z1351" s="9">
        <f t="shared" si="108"/>
        <v>10989.112499999999</v>
      </c>
      <c r="AA1351" s="5">
        <f t="shared" si="109"/>
        <v>12208.9039875</v>
      </c>
      <c r="AB1351" s="6">
        <f t="shared" si="110"/>
        <v>17801.263338749999</v>
      </c>
      <c r="AD1351" s="10">
        <f t="shared" si="106"/>
        <v>22288.447645875</v>
      </c>
    </row>
    <row r="1352" spans="1:30" x14ac:dyDescent="0.3">
      <c r="A1352" t="s">
        <v>30</v>
      </c>
      <c r="B1352" s="8" t="s">
        <v>66</v>
      </c>
      <c r="C1352" s="8" t="s">
        <v>32</v>
      </c>
      <c r="D1352" s="8" t="s">
        <v>69</v>
      </c>
      <c r="E1352" s="8" t="s">
        <v>70</v>
      </c>
      <c r="F1352" s="8" t="s">
        <v>71</v>
      </c>
      <c r="G1352">
        <v>8414802100</v>
      </c>
      <c r="H1352" t="s">
        <v>1199</v>
      </c>
      <c r="I1352" t="s">
        <v>1201</v>
      </c>
      <c r="J1352" t="s">
        <v>38</v>
      </c>
      <c r="K1352" t="s">
        <v>39</v>
      </c>
      <c r="L1352">
        <v>5</v>
      </c>
      <c r="M1352">
        <v>1</v>
      </c>
      <c r="N1352" t="s">
        <v>64</v>
      </c>
      <c r="O1352">
        <v>0</v>
      </c>
      <c r="P1352">
        <v>5145</v>
      </c>
      <c r="Q1352">
        <v>348.17</v>
      </c>
      <c r="R1352">
        <v>33.08</v>
      </c>
      <c r="S1352">
        <v>5526.25</v>
      </c>
      <c r="T1352" t="s">
        <v>1201</v>
      </c>
      <c r="U1352" t="s">
        <v>1201</v>
      </c>
      <c r="V1352" t="s">
        <v>38</v>
      </c>
      <c r="W1352" t="s">
        <v>1219</v>
      </c>
      <c r="X1352">
        <v>5145</v>
      </c>
      <c r="Y1352" s="9">
        <f t="shared" si="107"/>
        <v>5145</v>
      </c>
      <c r="Z1352" s="9">
        <f t="shared" si="108"/>
        <v>9646.875</v>
      </c>
      <c r="AA1352" s="5">
        <f t="shared" si="109"/>
        <v>10717.678125</v>
      </c>
      <c r="AB1352" s="6">
        <f t="shared" si="110"/>
        <v>15626.972812499998</v>
      </c>
      <c r="AD1352" s="10">
        <f t="shared" si="106"/>
        <v>19566.081281250001</v>
      </c>
    </row>
    <row r="1353" spans="1:30" x14ac:dyDescent="0.3">
      <c r="A1353" t="s">
        <v>30</v>
      </c>
      <c r="B1353" s="8" t="s">
        <v>66</v>
      </c>
      <c r="C1353" s="8" t="s">
        <v>32</v>
      </c>
      <c r="D1353" s="8" t="s">
        <v>69</v>
      </c>
      <c r="E1353" s="8" t="s">
        <v>70</v>
      </c>
      <c r="F1353" s="8" t="s">
        <v>71</v>
      </c>
      <c r="G1353">
        <v>8414802200</v>
      </c>
      <c r="H1353" t="s">
        <v>1196</v>
      </c>
      <c r="I1353" t="s">
        <v>1201</v>
      </c>
      <c r="J1353" t="s">
        <v>38</v>
      </c>
      <c r="K1353" t="s">
        <v>39</v>
      </c>
      <c r="L1353">
        <v>5</v>
      </c>
      <c r="M1353">
        <v>1</v>
      </c>
      <c r="N1353" t="s">
        <v>64</v>
      </c>
      <c r="O1353">
        <v>0</v>
      </c>
      <c r="P1353">
        <v>13672</v>
      </c>
      <c r="Q1353">
        <v>1857.44</v>
      </c>
      <c r="R1353">
        <v>95.53</v>
      </c>
      <c r="S1353">
        <v>15624.97</v>
      </c>
      <c r="T1353" t="s">
        <v>1201</v>
      </c>
      <c r="U1353" t="s">
        <v>1201</v>
      </c>
      <c r="V1353" t="s">
        <v>38</v>
      </c>
      <c r="W1353" t="s">
        <v>1220</v>
      </c>
      <c r="X1353">
        <v>13672</v>
      </c>
      <c r="Y1353" s="9">
        <f t="shared" si="107"/>
        <v>13672</v>
      </c>
      <c r="Z1353" s="9">
        <f t="shared" si="108"/>
        <v>25635</v>
      </c>
      <c r="AA1353" s="5">
        <f t="shared" si="109"/>
        <v>28480.485000000001</v>
      </c>
      <c r="AB1353" s="6">
        <f t="shared" si="110"/>
        <v>41526.136500000001</v>
      </c>
      <c r="AD1353" s="10">
        <f t="shared" si="106"/>
        <v>51993.676050000002</v>
      </c>
    </row>
    <row r="1354" spans="1:30" x14ac:dyDescent="0.3">
      <c r="A1354" t="s">
        <v>30</v>
      </c>
      <c r="B1354" s="8" t="s">
        <v>32</v>
      </c>
      <c r="C1354" s="8" t="s">
        <v>32</v>
      </c>
      <c r="D1354" s="8" t="s">
        <v>69</v>
      </c>
      <c r="E1354" s="8" t="s">
        <v>70</v>
      </c>
      <c r="F1354" s="8" t="s">
        <v>71</v>
      </c>
      <c r="G1354">
        <v>8414802100</v>
      </c>
      <c r="H1354" t="s">
        <v>1199</v>
      </c>
      <c r="I1354" t="s">
        <v>1201</v>
      </c>
      <c r="J1354" t="s">
        <v>38</v>
      </c>
      <c r="K1354" t="s">
        <v>39</v>
      </c>
      <c r="L1354">
        <v>6</v>
      </c>
      <c r="M1354">
        <v>1</v>
      </c>
      <c r="N1354" t="s">
        <v>64</v>
      </c>
      <c r="O1354">
        <v>0</v>
      </c>
      <c r="P1354">
        <v>9593</v>
      </c>
      <c r="Q1354">
        <v>698.66</v>
      </c>
      <c r="R1354">
        <v>63.37</v>
      </c>
      <c r="S1354">
        <v>10355.030000000001</v>
      </c>
      <c r="T1354" t="s">
        <v>1201</v>
      </c>
      <c r="U1354" t="s">
        <v>1201</v>
      </c>
      <c r="V1354" t="s">
        <v>38</v>
      </c>
      <c r="W1354" t="s">
        <v>1221</v>
      </c>
      <c r="X1354">
        <v>9593</v>
      </c>
      <c r="Y1354" s="9">
        <f t="shared" si="107"/>
        <v>9593</v>
      </c>
      <c r="Z1354" s="9">
        <f t="shared" si="108"/>
        <v>17986.875</v>
      </c>
      <c r="AA1354" s="5">
        <f t="shared" si="109"/>
        <v>19983.418125</v>
      </c>
      <c r="AB1354" s="6">
        <f t="shared" si="110"/>
        <v>29136.938812499997</v>
      </c>
      <c r="AD1354" s="10">
        <f t="shared" si="106"/>
        <v>36481.519481250005</v>
      </c>
    </row>
    <row r="1355" spans="1:30" x14ac:dyDescent="0.3">
      <c r="A1355" t="s">
        <v>168</v>
      </c>
      <c r="B1355" s="8" t="s">
        <v>66</v>
      </c>
      <c r="C1355" s="8" t="s">
        <v>32</v>
      </c>
      <c r="D1355" s="8" t="s">
        <v>69</v>
      </c>
      <c r="E1355" s="8" t="s">
        <v>70</v>
      </c>
      <c r="F1355" s="8" t="s">
        <v>71</v>
      </c>
      <c r="G1355">
        <v>8414802100</v>
      </c>
      <c r="H1355" t="s">
        <v>1199</v>
      </c>
      <c r="I1355" t="s">
        <v>1201</v>
      </c>
      <c r="J1355" t="s">
        <v>38</v>
      </c>
      <c r="K1355" t="s">
        <v>39</v>
      </c>
      <c r="L1355">
        <v>6</v>
      </c>
      <c r="M1355">
        <v>1</v>
      </c>
      <c r="N1355" t="s">
        <v>64</v>
      </c>
      <c r="O1355">
        <v>0</v>
      </c>
      <c r="P1355">
        <v>7087</v>
      </c>
      <c r="Q1355">
        <v>691.33</v>
      </c>
      <c r="R1355">
        <v>48.67</v>
      </c>
      <c r="S1355">
        <v>7827</v>
      </c>
      <c r="T1355" t="s">
        <v>1201</v>
      </c>
      <c r="U1355" t="s">
        <v>1201</v>
      </c>
      <c r="V1355" t="s">
        <v>38</v>
      </c>
      <c r="W1355" t="s">
        <v>1222</v>
      </c>
      <c r="X1355">
        <v>7087</v>
      </c>
      <c r="Y1355" s="9">
        <f t="shared" si="107"/>
        <v>7087</v>
      </c>
      <c r="Z1355" s="9">
        <f t="shared" si="108"/>
        <v>13288.125</v>
      </c>
      <c r="AA1355" s="5">
        <f t="shared" si="109"/>
        <v>14763.106874999999</v>
      </c>
      <c r="AB1355" s="6">
        <f t="shared" si="110"/>
        <v>21525.433687499997</v>
      </c>
      <c r="AD1355" s="10">
        <f t="shared" si="106"/>
        <v>26951.373768750003</v>
      </c>
    </row>
    <row r="1356" spans="1:30" x14ac:dyDescent="0.3">
      <c r="A1356" t="s">
        <v>168</v>
      </c>
      <c r="B1356" s="8" t="s">
        <v>66</v>
      </c>
      <c r="C1356" s="8" t="s">
        <v>32</v>
      </c>
      <c r="D1356" s="8" t="s">
        <v>69</v>
      </c>
      <c r="E1356" s="8" t="s">
        <v>70</v>
      </c>
      <c r="F1356" s="8" t="s">
        <v>71</v>
      </c>
      <c r="G1356">
        <v>8414802100</v>
      </c>
      <c r="H1356" t="s">
        <v>1199</v>
      </c>
      <c r="I1356" t="s">
        <v>1201</v>
      </c>
      <c r="J1356" t="s">
        <v>38</v>
      </c>
      <c r="K1356" t="s">
        <v>39</v>
      </c>
      <c r="L1356">
        <v>6</v>
      </c>
      <c r="M1356">
        <v>1</v>
      </c>
      <c r="N1356" t="s">
        <v>64</v>
      </c>
      <c r="O1356">
        <v>0</v>
      </c>
      <c r="P1356">
        <v>7087</v>
      </c>
      <c r="Q1356">
        <v>691.33</v>
      </c>
      <c r="R1356">
        <v>48.67</v>
      </c>
      <c r="S1356">
        <v>7827</v>
      </c>
      <c r="T1356" t="s">
        <v>1201</v>
      </c>
      <c r="U1356" t="s">
        <v>1201</v>
      </c>
      <c r="V1356" t="s">
        <v>38</v>
      </c>
      <c r="W1356" t="s">
        <v>1222</v>
      </c>
      <c r="X1356">
        <v>7087</v>
      </c>
      <c r="Y1356" s="9">
        <f t="shared" si="107"/>
        <v>7087</v>
      </c>
      <c r="Z1356" s="9">
        <f t="shared" si="108"/>
        <v>13288.125</v>
      </c>
      <c r="AA1356" s="5">
        <f t="shared" si="109"/>
        <v>14763.106874999999</v>
      </c>
      <c r="AB1356" s="6">
        <f t="shared" si="110"/>
        <v>21525.433687499997</v>
      </c>
      <c r="AD1356" s="10">
        <f t="shared" si="106"/>
        <v>26951.373768750003</v>
      </c>
    </row>
    <row r="1357" spans="1:30" x14ac:dyDescent="0.3">
      <c r="A1357" t="s">
        <v>168</v>
      </c>
      <c r="B1357" s="8" t="s">
        <v>66</v>
      </c>
      <c r="C1357" s="8" t="s">
        <v>32</v>
      </c>
      <c r="D1357" s="8" t="s">
        <v>69</v>
      </c>
      <c r="E1357" s="8" t="s">
        <v>70</v>
      </c>
      <c r="F1357" s="8" t="s">
        <v>71</v>
      </c>
      <c r="G1357">
        <v>8414802100</v>
      </c>
      <c r="H1357" t="s">
        <v>1199</v>
      </c>
      <c r="I1357" t="s">
        <v>1201</v>
      </c>
      <c r="J1357" t="s">
        <v>38</v>
      </c>
      <c r="K1357" t="s">
        <v>39</v>
      </c>
      <c r="L1357">
        <v>6</v>
      </c>
      <c r="M1357">
        <v>1</v>
      </c>
      <c r="N1357" t="s">
        <v>64</v>
      </c>
      <c r="O1357">
        <v>0</v>
      </c>
      <c r="P1357">
        <v>8248</v>
      </c>
      <c r="Q1357">
        <v>804.59</v>
      </c>
      <c r="R1357">
        <v>56.65</v>
      </c>
      <c r="S1357">
        <v>9109.23</v>
      </c>
      <c r="T1357" t="s">
        <v>1201</v>
      </c>
      <c r="U1357" t="s">
        <v>1201</v>
      </c>
      <c r="V1357" t="s">
        <v>38</v>
      </c>
      <c r="W1357" t="s">
        <v>1223</v>
      </c>
      <c r="X1357">
        <v>8248</v>
      </c>
      <c r="Y1357" s="9">
        <f t="shared" si="107"/>
        <v>8248</v>
      </c>
      <c r="Z1357" s="9">
        <f t="shared" si="108"/>
        <v>15465</v>
      </c>
      <c r="AA1357" s="5">
        <f t="shared" si="109"/>
        <v>17181.615000000002</v>
      </c>
      <c r="AB1357" s="6">
        <f t="shared" si="110"/>
        <v>25051.753499999999</v>
      </c>
      <c r="AD1357" s="10">
        <f t="shared" si="106"/>
        <v>31366.576950000002</v>
      </c>
    </row>
    <row r="1358" spans="1:30" x14ac:dyDescent="0.3">
      <c r="A1358" t="s">
        <v>30</v>
      </c>
      <c r="B1358" s="8" t="s">
        <v>32</v>
      </c>
      <c r="C1358" s="8" t="s">
        <v>32</v>
      </c>
      <c r="D1358" s="8" t="s">
        <v>69</v>
      </c>
      <c r="E1358" s="8" t="s">
        <v>70</v>
      </c>
      <c r="F1358" s="8" t="s">
        <v>71</v>
      </c>
      <c r="G1358">
        <v>8414802200</v>
      </c>
      <c r="H1358" t="s">
        <v>1196</v>
      </c>
      <c r="I1358" t="s">
        <v>1201</v>
      </c>
      <c r="J1358" t="s">
        <v>38</v>
      </c>
      <c r="K1358" t="s">
        <v>39</v>
      </c>
      <c r="L1358">
        <v>5</v>
      </c>
      <c r="M1358">
        <v>1</v>
      </c>
      <c r="N1358" t="s">
        <v>64</v>
      </c>
      <c r="O1358">
        <v>0</v>
      </c>
      <c r="P1358">
        <v>19304</v>
      </c>
      <c r="Q1358">
        <v>1306.32</v>
      </c>
      <c r="R1358">
        <v>124.11</v>
      </c>
      <c r="S1358">
        <v>20734.439999999999</v>
      </c>
      <c r="T1358" t="s">
        <v>1201</v>
      </c>
      <c r="U1358" t="s">
        <v>1201</v>
      </c>
      <c r="V1358" t="s">
        <v>38</v>
      </c>
      <c r="W1358" t="s">
        <v>1224</v>
      </c>
      <c r="X1358">
        <v>19304</v>
      </c>
      <c r="Y1358" s="9">
        <f t="shared" si="107"/>
        <v>19304</v>
      </c>
      <c r="Z1358" s="9">
        <f t="shared" si="108"/>
        <v>36195</v>
      </c>
      <c r="AA1358" s="5">
        <f t="shared" si="109"/>
        <v>40212.644999999997</v>
      </c>
      <c r="AB1358" s="6">
        <f t="shared" si="110"/>
        <v>58632.280499999993</v>
      </c>
      <c r="AD1358" s="10">
        <f t="shared" si="106"/>
        <v>73411.784850000011</v>
      </c>
    </row>
    <row r="1359" spans="1:30" x14ac:dyDescent="0.3">
      <c r="A1359" t="s">
        <v>30</v>
      </c>
      <c r="B1359" s="8" t="s">
        <v>32</v>
      </c>
      <c r="C1359" s="8" t="s">
        <v>32</v>
      </c>
      <c r="D1359" s="8" t="s">
        <v>69</v>
      </c>
      <c r="E1359" s="8" t="s">
        <v>70</v>
      </c>
      <c r="F1359" s="8" t="s">
        <v>71</v>
      </c>
      <c r="G1359">
        <v>8414802200</v>
      </c>
      <c r="H1359" t="s">
        <v>1196</v>
      </c>
      <c r="I1359" t="s">
        <v>1201</v>
      </c>
      <c r="J1359" t="s">
        <v>38</v>
      </c>
      <c r="K1359" t="s">
        <v>39</v>
      </c>
      <c r="L1359">
        <v>6</v>
      </c>
      <c r="M1359">
        <v>1</v>
      </c>
      <c r="N1359" t="s">
        <v>64</v>
      </c>
      <c r="O1359">
        <v>0</v>
      </c>
      <c r="P1359">
        <v>11661</v>
      </c>
      <c r="Q1359">
        <v>849.27</v>
      </c>
      <c r="R1359">
        <v>77.03</v>
      </c>
      <c r="S1359">
        <v>12587.3</v>
      </c>
      <c r="T1359" t="s">
        <v>1201</v>
      </c>
      <c r="U1359" t="s">
        <v>1201</v>
      </c>
      <c r="V1359" t="s">
        <v>38</v>
      </c>
      <c r="W1359" t="s">
        <v>1225</v>
      </c>
      <c r="X1359">
        <v>11661</v>
      </c>
      <c r="Y1359" s="9">
        <f t="shared" si="107"/>
        <v>11661</v>
      </c>
      <c r="Z1359" s="9">
        <f t="shared" si="108"/>
        <v>21864.375</v>
      </c>
      <c r="AA1359" s="5">
        <f t="shared" si="109"/>
        <v>24291.320625</v>
      </c>
      <c r="AB1359" s="6">
        <f t="shared" si="110"/>
        <v>35418.101062499998</v>
      </c>
      <c r="AD1359" s="10">
        <f t="shared" si="106"/>
        <v>44345.981306250003</v>
      </c>
    </row>
    <row r="1360" spans="1:30" x14ac:dyDescent="0.3">
      <c r="A1360" t="s">
        <v>30</v>
      </c>
      <c r="B1360" s="8" t="s">
        <v>32</v>
      </c>
      <c r="C1360" s="8" t="s">
        <v>32</v>
      </c>
      <c r="D1360" s="8" t="s">
        <v>69</v>
      </c>
      <c r="E1360" s="8" t="s">
        <v>70</v>
      </c>
      <c r="F1360" s="8" t="s">
        <v>71</v>
      </c>
      <c r="G1360">
        <v>8414802200</v>
      </c>
      <c r="H1360" t="s">
        <v>1196</v>
      </c>
      <c r="I1360" t="s">
        <v>1201</v>
      </c>
      <c r="J1360" t="s">
        <v>38</v>
      </c>
      <c r="K1360" t="s">
        <v>39</v>
      </c>
      <c r="L1360">
        <v>7</v>
      </c>
      <c r="M1360">
        <v>1</v>
      </c>
      <c r="N1360" t="s">
        <v>64</v>
      </c>
      <c r="O1360">
        <v>0</v>
      </c>
      <c r="P1360">
        <v>12482.05</v>
      </c>
      <c r="Q1360">
        <v>1637.65</v>
      </c>
      <c r="R1360">
        <v>85.67</v>
      </c>
      <c r="S1360">
        <v>14205.36</v>
      </c>
      <c r="T1360" t="s">
        <v>1201</v>
      </c>
      <c r="U1360" t="s">
        <v>1201</v>
      </c>
      <c r="V1360" t="s">
        <v>38</v>
      </c>
      <c r="W1360" t="s">
        <v>1225</v>
      </c>
      <c r="X1360">
        <v>12482.05</v>
      </c>
      <c r="Y1360" s="9">
        <f t="shared" si="107"/>
        <v>12482.05</v>
      </c>
      <c r="Z1360" s="9">
        <f t="shared" si="108"/>
        <v>23403.84375</v>
      </c>
      <c r="AA1360" s="5">
        <f t="shared" si="109"/>
        <v>26001.670406249999</v>
      </c>
      <c r="AB1360" s="6">
        <f t="shared" si="110"/>
        <v>37911.886490624995</v>
      </c>
      <c r="AD1360" s="10">
        <f t="shared" si="106"/>
        <v>47468.378009062508</v>
      </c>
    </row>
    <row r="1361" spans="1:30" x14ac:dyDescent="0.3">
      <c r="A1361" t="s">
        <v>30</v>
      </c>
      <c r="B1361" s="8" t="s">
        <v>32</v>
      </c>
      <c r="C1361" s="8" t="s">
        <v>32</v>
      </c>
      <c r="D1361" s="8" t="s">
        <v>69</v>
      </c>
      <c r="E1361" s="8" t="s">
        <v>70</v>
      </c>
      <c r="F1361" s="8" t="s">
        <v>71</v>
      </c>
      <c r="G1361">
        <v>8414802200</v>
      </c>
      <c r="H1361" t="s">
        <v>1196</v>
      </c>
      <c r="I1361" t="s">
        <v>1201</v>
      </c>
      <c r="J1361" t="s">
        <v>38</v>
      </c>
      <c r="K1361" t="s">
        <v>39</v>
      </c>
      <c r="L1361">
        <v>7</v>
      </c>
      <c r="M1361">
        <v>1</v>
      </c>
      <c r="N1361" t="s">
        <v>64</v>
      </c>
      <c r="O1361">
        <v>0</v>
      </c>
      <c r="P1361">
        <v>15286.45</v>
      </c>
      <c r="Q1361">
        <v>2005.58</v>
      </c>
      <c r="R1361">
        <v>104.91</v>
      </c>
      <c r="S1361">
        <v>17396.95</v>
      </c>
      <c r="T1361" t="s">
        <v>1201</v>
      </c>
      <c r="U1361" t="s">
        <v>1201</v>
      </c>
      <c r="V1361" t="s">
        <v>38</v>
      </c>
      <c r="W1361" t="s">
        <v>1226</v>
      </c>
      <c r="X1361">
        <v>15286.45</v>
      </c>
      <c r="Y1361" s="9">
        <f t="shared" si="107"/>
        <v>15286.45</v>
      </c>
      <c r="Z1361" s="9">
        <f t="shared" si="108"/>
        <v>28662.09375</v>
      </c>
      <c r="AA1361" s="5">
        <f t="shared" si="109"/>
        <v>31843.586156249999</v>
      </c>
      <c r="AB1361" s="6">
        <f t="shared" si="110"/>
        <v>46429.725665624996</v>
      </c>
      <c r="AD1361" s="10">
        <f t="shared" si="106"/>
        <v>58133.318406562503</v>
      </c>
    </row>
    <row r="1362" spans="1:30" x14ac:dyDescent="0.3">
      <c r="A1362" t="s">
        <v>30</v>
      </c>
      <c r="B1362" s="8" t="s">
        <v>32</v>
      </c>
      <c r="C1362" s="8" t="s">
        <v>32</v>
      </c>
      <c r="D1362" s="8" t="s">
        <v>69</v>
      </c>
      <c r="E1362" s="8" t="s">
        <v>70</v>
      </c>
      <c r="F1362" s="8" t="s">
        <v>71</v>
      </c>
      <c r="G1362">
        <v>8414802200</v>
      </c>
      <c r="H1362" t="s">
        <v>1196</v>
      </c>
      <c r="I1362" t="s">
        <v>1201</v>
      </c>
      <c r="J1362" t="s">
        <v>38</v>
      </c>
      <c r="K1362" t="s">
        <v>39</v>
      </c>
      <c r="L1362">
        <v>4</v>
      </c>
      <c r="M1362">
        <v>1</v>
      </c>
      <c r="N1362" t="s">
        <v>64</v>
      </c>
      <c r="O1362">
        <v>0</v>
      </c>
      <c r="P1362">
        <v>15790</v>
      </c>
      <c r="Q1362">
        <v>1471.58</v>
      </c>
      <c r="R1362">
        <v>105.61</v>
      </c>
      <c r="S1362">
        <v>17367.189999999999</v>
      </c>
      <c r="T1362" t="s">
        <v>1201</v>
      </c>
      <c r="U1362" t="s">
        <v>1201</v>
      </c>
      <c r="V1362" t="s">
        <v>38</v>
      </c>
      <c r="W1362" t="s">
        <v>1227</v>
      </c>
      <c r="X1362">
        <v>15790</v>
      </c>
      <c r="Y1362" s="9">
        <f t="shared" si="107"/>
        <v>15790</v>
      </c>
      <c r="Z1362" s="9">
        <f t="shared" si="108"/>
        <v>29606.25</v>
      </c>
      <c r="AA1362" s="5">
        <f t="shared" si="109"/>
        <v>32892.543749999997</v>
      </c>
      <c r="AB1362" s="6">
        <f t="shared" si="110"/>
        <v>47959.164375</v>
      </c>
      <c r="AD1362" s="10">
        <f t="shared" si="106"/>
        <v>60048.284437500006</v>
      </c>
    </row>
    <row r="1363" spans="1:30" x14ac:dyDescent="0.3">
      <c r="A1363" t="s">
        <v>30</v>
      </c>
      <c r="B1363" s="8" t="s">
        <v>32</v>
      </c>
      <c r="C1363" s="8" t="s">
        <v>32</v>
      </c>
      <c r="D1363" s="8" t="s">
        <v>69</v>
      </c>
      <c r="E1363" s="8" t="s">
        <v>70</v>
      </c>
      <c r="F1363" s="8" t="s">
        <v>71</v>
      </c>
      <c r="G1363">
        <v>8414802200</v>
      </c>
      <c r="H1363" t="s">
        <v>1196</v>
      </c>
      <c r="I1363" t="s">
        <v>1201</v>
      </c>
      <c r="J1363" t="s">
        <v>38</v>
      </c>
      <c r="K1363" t="s">
        <v>39</v>
      </c>
      <c r="L1363">
        <v>4</v>
      </c>
      <c r="M1363">
        <v>1</v>
      </c>
      <c r="N1363" t="s">
        <v>64</v>
      </c>
      <c r="O1363">
        <v>0</v>
      </c>
      <c r="P1363">
        <v>15790</v>
      </c>
      <c r="Q1363">
        <v>1471.58</v>
      </c>
      <c r="R1363">
        <v>105.61</v>
      </c>
      <c r="S1363">
        <v>17367.189999999999</v>
      </c>
      <c r="T1363" t="s">
        <v>1201</v>
      </c>
      <c r="U1363" t="s">
        <v>1201</v>
      </c>
      <c r="V1363" t="s">
        <v>38</v>
      </c>
      <c r="W1363" t="s">
        <v>1227</v>
      </c>
      <c r="X1363">
        <v>15790</v>
      </c>
      <c r="Y1363" s="9">
        <f t="shared" si="107"/>
        <v>15790</v>
      </c>
      <c r="Z1363" s="9">
        <f t="shared" si="108"/>
        <v>29606.25</v>
      </c>
      <c r="AA1363" s="5">
        <f t="shared" si="109"/>
        <v>32892.543749999997</v>
      </c>
      <c r="AB1363" s="6">
        <f t="shared" si="110"/>
        <v>47959.164375</v>
      </c>
      <c r="AD1363" s="10">
        <f t="shared" si="106"/>
        <v>60048.284437500006</v>
      </c>
    </row>
    <row r="1364" spans="1:30" x14ac:dyDescent="0.3">
      <c r="A1364" t="s">
        <v>30</v>
      </c>
      <c r="B1364" s="8" t="s">
        <v>32</v>
      </c>
      <c r="C1364" s="8" t="s">
        <v>32</v>
      </c>
      <c r="D1364" s="8" t="s">
        <v>69</v>
      </c>
      <c r="E1364" s="8" t="s">
        <v>70</v>
      </c>
      <c r="F1364" s="8" t="s">
        <v>71</v>
      </c>
      <c r="G1364">
        <v>8414802200</v>
      </c>
      <c r="H1364" t="s">
        <v>1196</v>
      </c>
      <c r="I1364" t="s">
        <v>1201</v>
      </c>
      <c r="J1364" t="s">
        <v>38</v>
      </c>
      <c r="K1364" t="s">
        <v>39</v>
      </c>
      <c r="L1364">
        <v>5</v>
      </c>
      <c r="M1364">
        <v>1</v>
      </c>
      <c r="N1364" t="s">
        <v>64</v>
      </c>
      <c r="O1364">
        <v>0</v>
      </c>
      <c r="P1364">
        <v>21107</v>
      </c>
      <c r="Q1364">
        <v>1428.33</v>
      </c>
      <c r="R1364">
        <v>135.71</v>
      </c>
      <c r="S1364">
        <v>22671.040000000001</v>
      </c>
      <c r="T1364" t="s">
        <v>1201</v>
      </c>
      <c r="U1364" t="s">
        <v>1201</v>
      </c>
      <c r="V1364" t="s">
        <v>38</v>
      </c>
      <c r="W1364" t="s">
        <v>1228</v>
      </c>
      <c r="X1364">
        <v>21107</v>
      </c>
      <c r="Y1364" s="9">
        <f t="shared" si="107"/>
        <v>21107</v>
      </c>
      <c r="Z1364" s="9">
        <f t="shared" si="108"/>
        <v>39575.625</v>
      </c>
      <c r="AA1364" s="5">
        <f t="shared" si="109"/>
        <v>43968.519374999996</v>
      </c>
      <c r="AB1364" s="6">
        <f t="shared" si="110"/>
        <v>64108.554937499997</v>
      </c>
      <c r="AD1364" s="10">
        <f t="shared" si="106"/>
        <v>80268.469893750007</v>
      </c>
    </row>
    <row r="1365" spans="1:30" x14ac:dyDescent="0.3">
      <c r="A1365" t="s">
        <v>30</v>
      </c>
      <c r="B1365" s="8" t="s">
        <v>32</v>
      </c>
      <c r="C1365" s="8" t="s">
        <v>32</v>
      </c>
      <c r="D1365" s="8" t="s">
        <v>69</v>
      </c>
      <c r="E1365" s="8" t="s">
        <v>70</v>
      </c>
      <c r="F1365" s="8" t="s">
        <v>71</v>
      </c>
      <c r="G1365">
        <v>8414802200</v>
      </c>
      <c r="H1365" t="s">
        <v>1196</v>
      </c>
      <c r="I1365" t="s">
        <v>1201</v>
      </c>
      <c r="J1365" t="s">
        <v>38</v>
      </c>
      <c r="K1365" t="s">
        <v>39</v>
      </c>
      <c r="L1365">
        <v>6</v>
      </c>
      <c r="M1365">
        <v>1</v>
      </c>
      <c r="N1365" t="s">
        <v>64</v>
      </c>
      <c r="O1365">
        <v>0</v>
      </c>
      <c r="P1365">
        <v>19183.52</v>
      </c>
      <c r="Q1365">
        <v>1397.14</v>
      </c>
      <c r="R1365">
        <v>126.72</v>
      </c>
      <c r="S1365">
        <v>20707.37</v>
      </c>
      <c r="T1365" t="s">
        <v>1201</v>
      </c>
      <c r="U1365" t="s">
        <v>1201</v>
      </c>
      <c r="V1365" t="s">
        <v>38</v>
      </c>
      <c r="W1365" t="s">
        <v>1229</v>
      </c>
      <c r="X1365">
        <v>19183.52</v>
      </c>
      <c r="Y1365" s="9">
        <f t="shared" si="107"/>
        <v>19183.52</v>
      </c>
      <c r="Z1365" s="9">
        <f t="shared" si="108"/>
        <v>35969.1</v>
      </c>
      <c r="AA1365" s="5">
        <f t="shared" si="109"/>
        <v>39961.670099999996</v>
      </c>
      <c r="AB1365" s="6">
        <f t="shared" si="110"/>
        <v>58266.345089999995</v>
      </c>
      <c r="AD1365" s="10">
        <f t="shared" si="106"/>
        <v>72953.607692999998</v>
      </c>
    </row>
    <row r="1366" spans="1:30" x14ac:dyDescent="0.3">
      <c r="A1366" t="s">
        <v>30</v>
      </c>
      <c r="B1366" s="8" t="s">
        <v>32</v>
      </c>
      <c r="C1366" s="8" t="s">
        <v>32</v>
      </c>
      <c r="D1366" s="8" t="s">
        <v>69</v>
      </c>
      <c r="E1366" s="8" t="s">
        <v>70</v>
      </c>
      <c r="F1366" s="8" t="s">
        <v>71</v>
      </c>
      <c r="G1366">
        <v>8414802200</v>
      </c>
      <c r="H1366" t="s">
        <v>1196</v>
      </c>
      <c r="I1366" t="s">
        <v>1201</v>
      </c>
      <c r="J1366" t="s">
        <v>38</v>
      </c>
      <c r="K1366" t="s">
        <v>39</v>
      </c>
      <c r="L1366">
        <v>4</v>
      </c>
      <c r="M1366">
        <v>1</v>
      </c>
      <c r="N1366" t="s">
        <v>64</v>
      </c>
      <c r="O1366">
        <v>0</v>
      </c>
      <c r="P1366">
        <v>15790</v>
      </c>
      <c r="Q1366">
        <v>1471.58</v>
      </c>
      <c r="R1366">
        <v>105.61</v>
      </c>
      <c r="S1366">
        <v>17367.189999999999</v>
      </c>
      <c r="T1366" t="s">
        <v>1201</v>
      </c>
      <c r="U1366" t="s">
        <v>1201</v>
      </c>
      <c r="V1366" t="s">
        <v>38</v>
      </c>
      <c r="W1366" t="s">
        <v>1230</v>
      </c>
      <c r="X1366">
        <v>15790</v>
      </c>
      <c r="Y1366" s="9">
        <f t="shared" si="107"/>
        <v>15790</v>
      </c>
      <c r="Z1366" s="9">
        <f t="shared" si="108"/>
        <v>29606.25</v>
      </c>
      <c r="AA1366" s="5">
        <f t="shared" si="109"/>
        <v>32892.543749999997</v>
      </c>
      <c r="AB1366" s="6">
        <f t="shared" si="110"/>
        <v>47959.164375</v>
      </c>
      <c r="AD1366" s="10">
        <f t="shared" si="106"/>
        <v>60048.284437500006</v>
      </c>
    </row>
    <row r="1367" spans="1:30" x14ac:dyDescent="0.3">
      <c r="A1367" t="s">
        <v>30</v>
      </c>
      <c r="B1367" s="8" t="s">
        <v>66</v>
      </c>
      <c r="C1367" s="8" t="s">
        <v>32</v>
      </c>
      <c r="D1367" s="8" t="s">
        <v>69</v>
      </c>
      <c r="E1367" s="8" t="s">
        <v>70</v>
      </c>
      <c r="F1367" s="8" t="s">
        <v>71</v>
      </c>
      <c r="G1367">
        <v>8414802100</v>
      </c>
      <c r="H1367" t="s">
        <v>1199</v>
      </c>
      <c r="I1367" t="s">
        <v>1201</v>
      </c>
      <c r="J1367" t="s">
        <v>38</v>
      </c>
      <c r="K1367" t="s">
        <v>39</v>
      </c>
      <c r="L1367">
        <v>5</v>
      </c>
      <c r="M1367">
        <v>1</v>
      </c>
      <c r="N1367" t="s">
        <v>64</v>
      </c>
      <c r="O1367">
        <v>0</v>
      </c>
      <c r="P1367">
        <v>7556</v>
      </c>
      <c r="Q1367">
        <v>1026.54</v>
      </c>
      <c r="R1367">
        <v>52.8</v>
      </c>
      <c r="S1367">
        <v>8635.33</v>
      </c>
      <c r="T1367" t="s">
        <v>1201</v>
      </c>
      <c r="U1367" t="s">
        <v>1201</v>
      </c>
      <c r="V1367" t="s">
        <v>38</v>
      </c>
      <c r="W1367" t="s">
        <v>1231</v>
      </c>
      <c r="X1367">
        <v>7556</v>
      </c>
      <c r="Y1367" s="9">
        <f t="shared" si="107"/>
        <v>7556</v>
      </c>
      <c r="Z1367" s="9">
        <f t="shared" si="108"/>
        <v>14167.5</v>
      </c>
      <c r="AA1367" s="5">
        <f t="shared" si="109"/>
        <v>15740.092500000001</v>
      </c>
      <c r="AB1367" s="6">
        <f t="shared" si="110"/>
        <v>22949.933249999998</v>
      </c>
      <c r="AD1367" s="10">
        <f t="shared" si="106"/>
        <v>28734.948525000003</v>
      </c>
    </row>
    <row r="1368" spans="1:30" x14ac:dyDescent="0.3">
      <c r="A1368" t="s">
        <v>30</v>
      </c>
      <c r="B1368" s="8" t="s">
        <v>66</v>
      </c>
      <c r="C1368" s="8" t="s">
        <v>32</v>
      </c>
      <c r="D1368" s="8" t="s">
        <v>69</v>
      </c>
      <c r="E1368" s="8" t="s">
        <v>70</v>
      </c>
      <c r="F1368" s="8" t="s">
        <v>71</v>
      </c>
      <c r="G1368">
        <v>8414802100</v>
      </c>
      <c r="H1368" t="s">
        <v>1199</v>
      </c>
      <c r="I1368" t="s">
        <v>1201</v>
      </c>
      <c r="J1368" t="s">
        <v>38</v>
      </c>
      <c r="K1368" t="s">
        <v>39</v>
      </c>
      <c r="L1368">
        <v>5</v>
      </c>
      <c r="M1368">
        <v>1</v>
      </c>
      <c r="N1368" t="s">
        <v>64</v>
      </c>
      <c r="O1368">
        <v>0</v>
      </c>
      <c r="P1368">
        <v>8500</v>
      </c>
      <c r="Q1368">
        <v>1154.79</v>
      </c>
      <c r="R1368">
        <v>59.39</v>
      </c>
      <c r="S1368">
        <v>9714.18</v>
      </c>
      <c r="T1368" t="s">
        <v>1201</v>
      </c>
      <c r="U1368" t="s">
        <v>1201</v>
      </c>
      <c r="V1368" t="s">
        <v>38</v>
      </c>
      <c r="W1368" t="s">
        <v>1232</v>
      </c>
      <c r="X1368">
        <v>8500</v>
      </c>
      <c r="Y1368" s="9">
        <f t="shared" si="107"/>
        <v>8500</v>
      </c>
      <c r="Z1368" s="9">
        <f t="shared" si="108"/>
        <v>15937.5</v>
      </c>
      <c r="AA1368" s="5">
        <f t="shared" si="109"/>
        <v>17706.5625</v>
      </c>
      <c r="AB1368" s="6">
        <f t="shared" si="110"/>
        <v>25817.15625</v>
      </c>
      <c r="AD1368" s="10">
        <f t="shared" si="106"/>
        <v>32324.915625000001</v>
      </c>
    </row>
    <row r="1369" spans="1:30" x14ac:dyDescent="0.3">
      <c r="A1369" t="s">
        <v>30</v>
      </c>
      <c r="B1369" s="8" t="s">
        <v>32</v>
      </c>
      <c r="C1369" s="8" t="s">
        <v>32</v>
      </c>
      <c r="D1369" s="8" t="s">
        <v>69</v>
      </c>
      <c r="E1369" s="8" t="s">
        <v>70</v>
      </c>
      <c r="F1369" s="8" t="s">
        <v>71</v>
      </c>
      <c r="G1369">
        <v>8414802200</v>
      </c>
      <c r="H1369" t="s">
        <v>1196</v>
      </c>
      <c r="I1369" t="s">
        <v>1201</v>
      </c>
      <c r="J1369" t="s">
        <v>38</v>
      </c>
      <c r="K1369" t="s">
        <v>39</v>
      </c>
      <c r="L1369">
        <v>12</v>
      </c>
      <c r="M1369">
        <v>1</v>
      </c>
      <c r="N1369" t="s">
        <v>64</v>
      </c>
      <c r="O1369">
        <v>0</v>
      </c>
      <c r="P1369">
        <v>14593.56</v>
      </c>
      <c r="Q1369">
        <v>2654.83</v>
      </c>
      <c r="R1369">
        <v>103.75</v>
      </c>
      <c r="S1369">
        <v>17352.14</v>
      </c>
      <c r="T1369" t="s">
        <v>1201</v>
      </c>
      <c r="U1369" t="s">
        <v>1201</v>
      </c>
      <c r="V1369" t="s">
        <v>38</v>
      </c>
      <c r="W1369" t="s">
        <v>1233</v>
      </c>
      <c r="X1369">
        <v>14593.56</v>
      </c>
      <c r="Y1369" s="9">
        <f t="shared" si="107"/>
        <v>14593.56</v>
      </c>
      <c r="Z1369" s="9">
        <f t="shared" si="108"/>
        <v>27362.924999999999</v>
      </c>
      <c r="AA1369" s="5">
        <f t="shared" si="109"/>
        <v>30400.209674999998</v>
      </c>
      <c r="AB1369" s="6">
        <f t="shared" si="110"/>
        <v>44325.202207499999</v>
      </c>
      <c r="AD1369" s="10">
        <f t="shared" si="106"/>
        <v>55498.305372750001</v>
      </c>
    </row>
    <row r="1370" spans="1:30" x14ac:dyDescent="0.3">
      <c r="A1370" t="s">
        <v>30</v>
      </c>
      <c r="B1370" s="8" t="s">
        <v>66</v>
      </c>
      <c r="C1370" s="8" t="s">
        <v>32</v>
      </c>
      <c r="D1370" s="8" t="s">
        <v>33</v>
      </c>
      <c r="E1370" s="8" t="s">
        <v>34</v>
      </c>
      <c r="F1370" s="8" t="s">
        <v>35</v>
      </c>
      <c r="G1370">
        <v>7412200000</v>
      </c>
      <c r="H1370" t="s">
        <v>85</v>
      </c>
      <c r="I1370" t="s">
        <v>1234</v>
      </c>
      <c r="J1370" t="s">
        <v>38</v>
      </c>
      <c r="K1370" t="s">
        <v>39</v>
      </c>
      <c r="L1370">
        <v>10</v>
      </c>
      <c r="M1370">
        <v>4</v>
      </c>
      <c r="N1370" t="s">
        <v>40</v>
      </c>
      <c r="O1370">
        <v>0</v>
      </c>
      <c r="P1370">
        <v>18.239999999999998</v>
      </c>
      <c r="Q1370">
        <v>1.52</v>
      </c>
      <c r="R1370">
        <v>0.12</v>
      </c>
      <c r="S1370">
        <v>19.88</v>
      </c>
      <c r="T1370" t="s">
        <v>41</v>
      </c>
      <c r="U1370" t="s">
        <v>43</v>
      </c>
      <c r="V1370" t="s">
        <v>38</v>
      </c>
      <c r="W1370" t="s">
        <v>1235</v>
      </c>
      <c r="X1370">
        <v>4.5599999999999996</v>
      </c>
      <c r="Y1370" s="9">
        <f t="shared" si="107"/>
        <v>4.5599999999999996</v>
      </c>
      <c r="Z1370" s="9">
        <f t="shared" si="108"/>
        <v>8.5499999999999989</v>
      </c>
      <c r="AA1370" s="5">
        <f t="shared" si="109"/>
        <v>9.4990499999999987</v>
      </c>
      <c r="AB1370" s="6">
        <f t="shared" si="110"/>
        <v>13.850144999999998</v>
      </c>
      <c r="AD1370" s="10">
        <f t="shared" si="106"/>
        <v>17.341366499999999</v>
      </c>
    </row>
    <row r="1371" spans="1:30" x14ac:dyDescent="0.3">
      <c r="A1371" t="s">
        <v>30</v>
      </c>
      <c r="B1371" s="8" t="s">
        <v>32</v>
      </c>
      <c r="C1371" s="8" t="s">
        <v>32</v>
      </c>
      <c r="D1371" s="8" t="s">
        <v>1236</v>
      </c>
      <c r="E1371" s="8" t="s">
        <v>34</v>
      </c>
      <c r="F1371" s="8" t="s">
        <v>35</v>
      </c>
      <c r="G1371">
        <v>8467199000</v>
      </c>
      <c r="H1371" t="s">
        <v>53</v>
      </c>
      <c r="I1371" t="s">
        <v>1237</v>
      </c>
      <c r="K1371" t="s">
        <v>39</v>
      </c>
      <c r="L1371">
        <v>3</v>
      </c>
      <c r="M1371">
        <v>1</v>
      </c>
      <c r="N1371" t="s">
        <v>64</v>
      </c>
      <c r="O1371">
        <v>20.32</v>
      </c>
      <c r="P1371">
        <v>402.43</v>
      </c>
      <c r="Q1371">
        <v>12.64</v>
      </c>
      <c r="R1371">
        <v>4.0199999999999996</v>
      </c>
      <c r="S1371">
        <v>419.09</v>
      </c>
      <c r="X1371">
        <v>402.43</v>
      </c>
      <c r="Y1371" s="9">
        <f t="shared" si="107"/>
        <v>402.43</v>
      </c>
      <c r="Z1371" s="9">
        <f t="shared" si="108"/>
        <v>754.55624999999998</v>
      </c>
      <c r="AA1371" s="5">
        <f t="shared" si="109"/>
        <v>838.31199374999994</v>
      </c>
      <c r="AB1371" s="6">
        <f t="shared" si="110"/>
        <v>1222.305669375</v>
      </c>
      <c r="AD1371" s="10">
        <f t="shared" si="106"/>
        <v>1530.4136229375001</v>
      </c>
    </row>
    <row r="1372" spans="1:30" x14ac:dyDescent="0.3">
      <c r="A1372" t="s">
        <v>30</v>
      </c>
      <c r="B1372" s="8" t="s">
        <v>32</v>
      </c>
      <c r="C1372" s="8" t="s">
        <v>32</v>
      </c>
      <c r="D1372" s="8" t="s">
        <v>1236</v>
      </c>
      <c r="E1372" s="8" t="s">
        <v>34</v>
      </c>
      <c r="F1372" s="8" t="s">
        <v>35</v>
      </c>
      <c r="G1372">
        <v>8467111000</v>
      </c>
      <c r="H1372" t="s">
        <v>1238</v>
      </c>
      <c r="I1372" t="s">
        <v>1239</v>
      </c>
      <c r="K1372" t="s">
        <v>39</v>
      </c>
      <c r="L1372">
        <v>3</v>
      </c>
      <c r="M1372">
        <v>2</v>
      </c>
      <c r="N1372" t="s">
        <v>64</v>
      </c>
      <c r="O1372">
        <v>127.83</v>
      </c>
      <c r="P1372">
        <v>2531.1999999999998</v>
      </c>
      <c r="Q1372">
        <v>79.48</v>
      </c>
      <c r="R1372">
        <v>25.31</v>
      </c>
      <c r="S1372">
        <v>2635.99</v>
      </c>
      <c r="X1372">
        <v>1265.5999999999999</v>
      </c>
      <c r="Y1372" s="9">
        <f t="shared" si="107"/>
        <v>1265.5999999999999</v>
      </c>
      <c r="Z1372" s="9">
        <f t="shared" si="108"/>
        <v>2373</v>
      </c>
      <c r="AA1372" s="5">
        <f t="shared" si="109"/>
        <v>2636.4029999999998</v>
      </c>
      <c r="AB1372" s="6">
        <f t="shared" si="110"/>
        <v>3844.0226999999995</v>
      </c>
      <c r="AD1372" s="10">
        <f t="shared" si="106"/>
        <v>4812.9897900000005</v>
      </c>
    </row>
    <row r="1373" spans="1:30" x14ac:dyDescent="0.3">
      <c r="A1373" t="s">
        <v>30</v>
      </c>
      <c r="B1373" s="8" t="s">
        <v>32</v>
      </c>
      <c r="C1373" s="8" t="s">
        <v>32</v>
      </c>
      <c r="D1373" s="8" t="s">
        <v>1236</v>
      </c>
      <c r="E1373" s="8" t="s">
        <v>34</v>
      </c>
      <c r="F1373" s="8" t="s">
        <v>35</v>
      </c>
      <c r="G1373">
        <v>8204120000</v>
      </c>
      <c r="H1373" t="s">
        <v>1240</v>
      </c>
      <c r="I1373" t="s">
        <v>1241</v>
      </c>
      <c r="K1373" t="s">
        <v>39</v>
      </c>
      <c r="L1373">
        <v>3</v>
      </c>
      <c r="M1373">
        <v>3</v>
      </c>
      <c r="N1373" t="s">
        <v>64</v>
      </c>
      <c r="O1373">
        <v>17.600000000000001</v>
      </c>
      <c r="P1373">
        <v>348.52</v>
      </c>
      <c r="Q1373">
        <v>10.94</v>
      </c>
      <c r="R1373">
        <v>3.49</v>
      </c>
      <c r="S1373">
        <v>362.95</v>
      </c>
      <c r="X1373">
        <v>116.17</v>
      </c>
      <c r="Y1373" s="9">
        <f t="shared" si="107"/>
        <v>116.17333333333333</v>
      </c>
      <c r="Z1373" s="9">
        <f t="shared" si="108"/>
        <v>217.82499999999999</v>
      </c>
      <c r="AA1373" s="5">
        <f t="shared" si="109"/>
        <v>242.00357499999998</v>
      </c>
      <c r="AB1373" s="6">
        <f t="shared" si="110"/>
        <v>352.85471749999994</v>
      </c>
      <c r="AD1373" s="10">
        <f t="shared" si="106"/>
        <v>441.79919975000001</v>
      </c>
    </row>
    <row r="1374" spans="1:30" x14ac:dyDescent="0.3">
      <c r="A1374" t="s">
        <v>30</v>
      </c>
      <c r="B1374" s="8" t="s">
        <v>32</v>
      </c>
      <c r="C1374" s="8" t="s">
        <v>32</v>
      </c>
      <c r="D1374" s="8" t="s">
        <v>1236</v>
      </c>
      <c r="E1374" s="8" t="s">
        <v>34</v>
      </c>
      <c r="F1374" s="8" t="s">
        <v>35</v>
      </c>
      <c r="G1374">
        <v>8481100000</v>
      </c>
      <c r="H1374" t="s">
        <v>462</v>
      </c>
      <c r="I1374" t="s">
        <v>184</v>
      </c>
      <c r="K1374" t="s">
        <v>39</v>
      </c>
      <c r="L1374">
        <v>3</v>
      </c>
      <c r="M1374">
        <v>4</v>
      </c>
      <c r="N1374" t="s">
        <v>64</v>
      </c>
      <c r="O1374">
        <v>0</v>
      </c>
      <c r="P1374">
        <v>625.54999999999995</v>
      </c>
      <c r="Q1374">
        <v>19.64</v>
      </c>
      <c r="R1374">
        <v>6.26</v>
      </c>
      <c r="S1374">
        <v>651.45000000000005</v>
      </c>
      <c r="X1374">
        <v>156.38999999999999</v>
      </c>
      <c r="Y1374" s="9">
        <f t="shared" si="107"/>
        <v>156.38749999999999</v>
      </c>
      <c r="Z1374" s="9">
        <f t="shared" si="108"/>
        <v>293.2265625</v>
      </c>
      <c r="AA1374" s="5">
        <f t="shared" si="109"/>
        <v>325.7747109375</v>
      </c>
      <c r="AB1374" s="6">
        <f t="shared" si="110"/>
        <v>474.99770859374996</v>
      </c>
      <c r="AD1374" s="10">
        <f t="shared" si="106"/>
        <v>594.73091085937506</v>
      </c>
    </row>
    <row r="1375" spans="1:30" x14ac:dyDescent="0.3">
      <c r="A1375" t="s">
        <v>30</v>
      </c>
      <c r="B1375" s="8" t="s">
        <v>32</v>
      </c>
      <c r="C1375" s="8" t="s">
        <v>32</v>
      </c>
      <c r="D1375" s="8" t="s">
        <v>1236</v>
      </c>
      <c r="E1375" s="8" t="s">
        <v>34</v>
      </c>
      <c r="F1375" s="8" t="s">
        <v>35</v>
      </c>
      <c r="G1375">
        <v>8481909090</v>
      </c>
      <c r="H1375" t="s">
        <v>238</v>
      </c>
      <c r="I1375" t="s">
        <v>1242</v>
      </c>
      <c r="K1375" t="s">
        <v>39</v>
      </c>
      <c r="L1375">
        <v>3</v>
      </c>
      <c r="M1375">
        <v>1</v>
      </c>
      <c r="N1375" t="s">
        <v>64</v>
      </c>
      <c r="O1375">
        <v>1.97</v>
      </c>
      <c r="P1375">
        <v>9.73</v>
      </c>
      <c r="Q1375">
        <v>0.31</v>
      </c>
      <c r="R1375">
        <v>0.1</v>
      </c>
      <c r="S1375">
        <v>10.14</v>
      </c>
      <c r="X1375">
        <v>9.73</v>
      </c>
      <c r="Y1375" s="9">
        <f t="shared" si="107"/>
        <v>9.73</v>
      </c>
      <c r="Z1375" s="9">
        <f t="shared" si="108"/>
        <v>18.243750000000002</v>
      </c>
      <c r="AA1375" s="5">
        <f t="shared" si="109"/>
        <v>20.268806250000001</v>
      </c>
      <c r="AB1375" s="6">
        <f t="shared" si="110"/>
        <v>29.553050625000001</v>
      </c>
      <c r="AD1375" s="10">
        <f t="shared" si="106"/>
        <v>37.002521062500008</v>
      </c>
    </row>
    <row r="1376" spans="1:30" x14ac:dyDescent="0.3">
      <c r="A1376" t="s">
        <v>30</v>
      </c>
      <c r="B1376" s="8" t="s">
        <v>32</v>
      </c>
      <c r="C1376" s="8" t="s">
        <v>32</v>
      </c>
      <c r="D1376" s="8" t="s">
        <v>1236</v>
      </c>
      <c r="E1376" s="8" t="s">
        <v>34</v>
      </c>
      <c r="F1376" s="8" t="s">
        <v>35</v>
      </c>
      <c r="G1376">
        <v>3926909000</v>
      </c>
      <c r="H1376" t="s">
        <v>36</v>
      </c>
      <c r="I1376" t="s">
        <v>1243</v>
      </c>
      <c r="K1376" t="s">
        <v>39</v>
      </c>
      <c r="L1376">
        <v>3</v>
      </c>
      <c r="M1376">
        <v>1</v>
      </c>
      <c r="N1376" t="s">
        <v>64</v>
      </c>
      <c r="O1376">
        <v>1.97</v>
      </c>
      <c r="P1376">
        <v>9.73</v>
      </c>
      <c r="Q1376">
        <v>0.31</v>
      </c>
      <c r="R1376">
        <v>0.1</v>
      </c>
      <c r="S1376">
        <v>10.14</v>
      </c>
      <c r="X1376">
        <v>9.73</v>
      </c>
      <c r="Y1376" s="9">
        <f t="shared" si="107"/>
        <v>9.73</v>
      </c>
      <c r="Z1376" s="9">
        <f t="shared" si="108"/>
        <v>18.243750000000002</v>
      </c>
      <c r="AA1376" s="5">
        <f t="shared" si="109"/>
        <v>20.268806250000001</v>
      </c>
      <c r="AB1376" s="6">
        <f t="shared" si="110"/>
        <v>29.553050625000001</v>
      </c>
      <c r="AD1376" s="10">
        <f t="shared" si="106"/>
        <v>37.002521062500008</v>
      </c>
    </row>
    <row r="1377" spans="1:30" x14ac:dyDescent="0.3">
      <c r="A1377" t="s">
        <v>30</v>
      </c>
      <c r="B1377" s="8" t="s">
        <v>32</v>
      </c>
      <c r="C1377" s="8" t="s">
        <v>32</v>
      </c>
      <c r="D1377" s="8" t="s">
        <v>1236</v>
      </c>
      <c r="E1377" s="8" t="s">
        <v>34</v>
      </c>
      <c r="F1377" s="8" t="s">
        <v>35</v>
      </c>
      <c r="G1377">
        <v>8412900000</v>
      </c>
      <c r="H1377" t="s">
        <v>338</v>
      </c>
      <c r="I1377" t="s">
        <v>1244</v>
      </c>
      <c r="K1377" t="s">
        <v>39</v>
      </c>
      <c r="L1377">
        <v>3</v>
      </c>
      <c r="M1377">
        <v>4</v>
      </c>
      <c r="N1377" t="s">
        <v>64</v>
      </c>
      <c r="O1377">
        <v>0</v>
      </c>
      <c r="P1377">
        <v>351.89</v>
      </c>
      <c r="Q1377">
        <v>11.04</v>
      </c>
      <c r="R1377">
        <v>3.51</v>
      </c>
      <c r="S1377">
        <v>366.44</v>
      </c>
      <c r="X1377">
        <v>87.97</v>
      </c>
      <c r="Y1377" s="9">
        <f t="shared" si="107"/>
        <v>87.972499999999997</v>
      </c>
      <c r="Z1377" s="9">
        <f t="shared" si="108"/>
        <v>164.94843749999998</v>
      </c>
      <c r="AA1377" s="5">
        <f t="shared" si="109"/>
        <v>183.25771406249999</v>
      </c>
      <c r="AB1377" s="6">
        <f t="shared" si="110"/>
        <v>267.19997390624997</v>
      </c>
      <c r="AD1377" s="10">
        <f t="shared" si="106"/>
        <v>334.55336939062499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aguirre</dc:creator>
  <cp:lastModifiedBy>Nicolas Aguirre</cp:lastModifiedBy>
  <dcterms:created xsi:type="dcterms:W3CDTF">2026-04-23T20:23:12Z</dcterms:created>
  <dcterms:modified xsi:type="dcterms:W3CDTF">2026-04-25T01:34:19Z</dcterms:modified>
</cp:coreProperties>
</file>